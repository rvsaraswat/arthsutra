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E:\Projects\Qlik Apps\Input\"/>
    </mc:Choice>
  </mc:AlternateContent>
  <xr:revisionPtr revIDLastSave="0" documentId="13_ncr:1_{D4FF1F70-0453-4052-8913-5509F69F02B9}" xr6:coauthVersionLast="47" xr6:coauthVersionMax="47" xr10:uidLastSave="{00000000-0000-0000-0000-000000000000}"/>
  <bookViews>
    <workbookView xWindow="-120" yWindow="-120" windowWidth="29040" windowHeight="15720" tabRatio="733" xr2:uid="{00000000-000D-0000-FFFF-FFFF00000000}"/>
  </bookViews>
  <sheets>
    <sheet name="FINAL" sheetId="1" r:id="rId1"/>
    <sheet name="stock" sheetId="20" r:id="rId2"/>
    <sheet name="SIP" sheetId="6" r:id="rId3"/>
    <sheet name="SIP_Name" sheetId="12" r:id="rId4"/>
    <sheet name="stocks and mf" sheetId="21" r:id="rId5"/>
    <sheet name="FD_RD" sheetId="7" r:id="rId6"/>
    <sheet name="LIC" sheetId="8" r:id="rId7"/>
    <sheet name="GOLD_RESERVE" sheetId="11" r:id="rId8"/>
    <sheet name="Asset" sheetId="13" r:id="rId9"/>
    <sheet name="SIP_Transations" sheetId="19" r:id="rId10"/>
    <sheet name="GOLD RATE" sheetId="4" r:id="rId11"/>
    <sheet name="CURRENCY" sheetId="5" r:id="rId12"/>
    <sheet name="Asset_Type" sheetId="18" r:id="rId13"/>
    <sheet name="Budget Processing on Actual" sheetId="17" r:id="rId14"/>
    <sheet name="%BUDGET" sheetId="16" r:id="rId15"/>
    <sheet name="Budget_Grid" sheetId="15" r:id="rId16"/>
    <sheet name="FIN_Year" sheetId="14" r:id="rId17"/>
    <sheet name="Gold_Qual" sheetId="10" r:id="rId18"/>
  </sheets>
  <definedNames>
    <definedName name="_xlnm._FilterDatabase" localSheetId="5" hidden="1">FD_RD!$A$1:$M$8</definedName>
    <definedName name="_xlnm._FilterDatabase" localSheetId="16" hidden="1">FIN_Year!$B$1:$D$1</definedName>
    <definedName name="_xlnm._FilterDatabase" localSheetId="0" hidden="1">FINAL!$A$1:$DE$4182</definedName>
    <definedName name="_xlnm._FilterDatabase" localSheetId="7" hidden="1">GOLD_RESERVE!$A$1:$W$32</definedName>
    <definedName name="_xlnm._FilterDatabase" localSheetId="6" hidden="1">LIC!$A$1:$J$127</definedName>
    <definedName name="_xlnm._FilterDatabase" localSheetId="2" hidden="1">SIP!$A$1:$L$16</definedName>
    <definedName name="_xlnm._FilterDatabase" localSheetId="3" hidden="1">SIP_Name!$A$1:$E$1</definedName>
    <definedName name="_xlnm._FilterDatabase" localSheetId="9" hidden="1">SIP_Transations!$A$1:$I$503</definedName>
    <definedName name="_xlnm._FilterDatabase" localSheetId="1" hidden="1">stock!$A$1:$G$11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7" l="1"/>
  <c r="I5" i="7"/>
  <c r="I3" i="7"/>
  <c r="O31" i="11"/>
  <c r="R31" i="11" s="1"/>
  <c r="N31" i="11"/>
  <c r="K31" i="11"/>
  <c r="K30" i="11"/>
  <c r="O30" i="11"/>
  <c r="R30" i="11" s="1"/>
  <c r="N30" i="11"/>
  <c r="O29" i="11"/>
  <c r="N29" i="11"/>
  <c r="N32" i="11"/>
  <c r="O32" i="11"/>
  <c r="Q32" i="11" s="1"/>
  <c r="R32" i="11" s="1"/>
  <c r="K32" i="11"/>
  <c r="K28" i="11"/>
  <c r="N28" i="11"/>
  <c r="O28" i="11"/>
  <c r="Q28" i="11" s="1"/>
  <c r="R28" i="11" s="1"/>
  <c r="K27" i="11"/>
  <c r="O27" i="11"/>
  <c r="N27" i="11"/>
  <c r="L27" i="11"/>
  <c r="N4162" i="1"/>
  <c r="N4178" i="1"/>
  <c r="N4179" i="1"/>
  <c r="N4181" i="1"/>
  <c r="N4182" i="1"/>
  <c r="C4180" i="1"/>
  <c r="G4182" i="1"/>
  <c r="A4182" i="1" s="1"/>
  <c r="G4181" i="1"/>
  <c r="A4181" i="1" s="1"/>
  <c r="G4179" i="1"/>
  <c r="A4179" i="1" s="1"/>
  <c r="G4178" i="1"/>
  <c r="A4178" i="1" s="1"/>
  <c r="G4162" i="1"/>
  <c r="A4162" i="1" s="1"/>
  <c r="C4150" i="1"/>
  <c r="N4150" i="1" s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1" i="1"/>
  <c r="N4152" i="1"/>
  <c r="N4153" i="1"/>
  <c r="N4154" i="1"/>
  <c r="N4155" i="1"/>
  <c r="N4156" i="1"/>
  <c r="N4157" i="1"/>
  <c r="N4158" i="1"/>
  <c r="N4159" i="1"/>
  <c r="N4160" i="1"/>
  <c r="N4161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G4180" i="1"/>
  <c r="G4177" i="1"/>
  <c r="A4177" i="1" s="1"/>
  <c r="G4176" i="1"/>
  <c r="A4176" i="1" s="1"/>
  <c r="G4175" i="1"/>
  <c r="A4175" i="1" s="1"/>
  <c r="G4174" i="1"/>
  <c r="A4174" i="1" s="1"/>
  <c r="G4173" i="1"/>
  <c r="A4173" i="1" s="1"/>
  <c r="G4172" i="1"/>
  <c r="A4172" i="1" s="1"/>
  <c r="G4171" i="1"/>
  <c r="A4171" i="1" s="1"/>
  <c r="G4170" i="1"/>
  <c r="A4170" i="1" s="1"/>
  <c r="G4169" i="1"/>
  <c r="A4169" i="1" s="1"/>
  <c r="G4168" i="1"/>
  <c r="A4168" i="1" s="1"/>
  <c r="G4167" i="1"/>
  <c r="A4167" i="1" s="1"/>
  <c r="G4166" i="1"/>
  <c r="A4166" i="1" s="1"/>
  <c r="G4165" i="1"/>
  <c r="A4165" i="1" s="1"/>
  <c r="G4164" i="1"/>
  <c r="A4164" i="1" s="1"/>
  <c r="G4163" i="1"/>
  <c r="A4163" i="1" s="1"/>
  <c r="G4161" i="1"/>
  <c r="A4161" i="1" s="1"/>
  <c r="G4160" i="1"/>
  <c r="A4160" i="1" s="1"/>
  <c r="G4159" i="1"/>
  <c r="A4159" i="1" s="1"/>
  <c r="G4158" i="1"/>
  <c r="A4158" i="1" s="1"/>
  <c r="G4157" i="1"/>
  <c r="A4157" i="1" s="1"/>
  <c r="G4156" i="1"/>
  <c r="A4156" i="1" s="1"/>
  <c r="G4155" i="1"/>
  <c r="A4155" i="1" s="1"/>
  <c r="G4154" i="1"/>
  <c r="A4154" i="1" s="1"/>
  <c r="G4153" i="1"/>
  <c r="A4153" i="1" s="1"/>
  <c r="G4152" i="1"/>
  <c r="A4152" i="1" s="1"/>
  <c r="G4151" i="1"/>
  <c r="A4151" i="1" s="1"/>
  <c r="G4150" i="1"/>
  <c r="G4149" i="1"/>
  <c r="A4149" i="1" s="1"/>
  <c r="G4148" i="1"/>
  <c r="A4148" i="1" s="1"/>
  <c r="G4147" i="1"/>
  <c r="A4147" i="1" s="1"/>
  <c r="G4146" i="1"/>
  <c r="A4146" i="1" s="1"/>
  <c r="G4145" i="1"/>
  <c r="A4145" i="1" s="1"/>
  <c r="G4144" i="1"/>
  <c r="A4144" i="1" s="1"/>
  <c r="G4143" i="1"/>
  <c r="A4143" i="1" s="1"/>
  <c r="G4142" i="1"/>
  <c r="A4142" i="1" s="1"/>
  <c r="G4141" i="1"/>
  <c r="A4141" i="1" s="1"/>
  <c r="G4140" i="1"/>
  <c r="A4140" i="1" s="1"/>
  <c r="G4139" i="1"/>
  <c r="A4139" i="1" s="1"/>
  <c r="G4138" i="1"/>
  <c r="A4138" i="1" s="1"/>
  <c r="G4137" i="1"/>
  <c r="A4137" i="1" s="1"/>
  <c r="G4136" i="1"/>
  <c r="A4136" i="1" s="1"/>
  <c r="G4135" i="1"/>
  <c r="A4135" i="1" s="1"/>
  <c r="G4134" i="1"/>
  <c r="A4134" i="1" s="1"/>
  <c r="G4133" i="1"/>
  <c r="A4133" i="1" s="1"/>
  <c r="G4132" i="1"/>
  <c r="A4132" i="1" s="1"/>
  <c r="G4131" i="1"/>
  <c r="A4131" i="1" s="1"/>
  <c r="G4130" i="1"/>
  <c r="A4130" i="1" s="1"/>
  <c r="G4129" i="1"/>
  <c r="A4129" i="1" s="1"/>
  <c r="G4128" i="1"/>
  <c r="A4128" i="1" s="1"/>
  <c r="G4127" i="1"/>
  <c r="A4127" i="1" s="1"/>
  <c r="G4126" i="1"/>
  <c r="A4126" i="1" s="1"/>
  <c r="G4125" i="1"/>
  <c r="A4125" i="1" s="1"/>
  <c r="G4124" i="1"/>
  <c r="A4124" i="1" s="1"/>
  <c r="G4123" i="1"/>
  <c r="A4123" i="1" s="1"/>
  <c r="G4122" i="1"/>
  <c r="A4122" i="1" s="1"/>
  <c r="G4121" i="1"/>
  <c r="A4121" i="1" s="1"/>
  <c r="G4120" i="1"/>
  <c r="A4120" i="1" s="1"/>
  <c r="G4119" i="1"/>
  <c r="A4119" i="1" s="1"/>
  <c r="G4118" i="1"/>
  <c r="A4118" i="1" s="1"/>
  <c r="G4117" i="1"/>
  <c r="A4117" i="1" s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092" i="1"/>
  <c r="N4091" i="1"/>
  <c r="N4090" i="1"/>
  <c r="G4116" i="1"/>
  <c r="A4116" i="1" s="1"/>
  <c r="G4115" i="1"/>
  <c r="A4115" i="1" s="1"/>
  <c r="G4114" i="1"/>
  <c r="A4114" i="1" s="1"/>
  <c r="G4113" i="1"/>
  <c r="A4113" i="1" s="1"/>
  <c r="G4112" i="1"/>
  <c r="A4112" i="1" s="1"/>
  <c r="G4111" i="1"/>
  <c r="A4111" i="1" s="1"/>
  <c r="G4110" i="1"/>
  <c r="A4110" i="1" s="1"/>
  <c r="G4109" i="1"/>
  <c r="A4109" i="1" s="1"/>
  <c r="G4108" i="1"/>
  <c r="A4108" i="1" s="1"/>
  <c r="G4107" i="1"/>
  <c r="A4107" i="1" s="1"/>
  <c r="G4106" i="1"/>
  <c r="A4106" i="1" s="1"/>
  <c r="G4105" i="1"/>
  <c r="A4105" i="1" s="1"/>
  <c r="G4104" i="1"/>
  <c r="A4104" i="1" s="1"/>
  <c r="G4103" i="1"/>
  <c r="A4103" i="1" s="1"/>
  <c r="G4102" i="1"/>
  <c r="A4102" i="1" s="1"/>
  <c r="G4101" i="1"/>
  <c r="A4101" i="1" s="1"/>
  <c r="G4100" i="1"/>
  <c r="A4100" i="1" s="1"/>
  <c r="G4099" i="1"/>
  <c r="A4099" i="1" s="1"/>
  <c r="G4098" i="1"/>
  <c r="A4098" i="1" s="1"/>
  <c r="G4097" i="1"/>
  <c r="A4097" i="1" s="1"/>
  <c r="G4096" i="1"/>
  <c r="A4096" i="1" s="1"/>
  <c r="G4095" i="1"/>
  <c r="A4095" i="1" s="1"/>
  <c r="G4094" i="1"/>
  <c r="A4094" i="1" s="1"/>
  <c r="G4093" i="1"/>
  <c r="A4093" i="1" s="1"/>
  <c r="G4092" i="1"/>
  <c r="A4092" i="1" s="1"/>
  <c r="G4091" i="1"/>
  <c r="A4091" i="1" s="1"/>
  <c r="G4090" i="1"/>
  <c r="A4090" i="1" s="1"/>
  <c r="G87" i="8"/>
  <c r="G86" i="8"/>
  <c r="N3835" i="1"/>
  <c r="G3835" i="1"/>
  <c r="A3835" i="1" s="1"/>
  <c r="N3950" i="1"/>
  <c r="G3950" i="1"/>
  <c r="A3950" i="1" s="1"/>
  <c r="N3710" i="1"/>
  <c r="G3710" i="1"/>
  <c r="A3710" i="1" s="1"/>
  <c r="N3709" i="1"/>
  <c r="G3709" i="1"/>
  <c r="A3709" i="1" s="1"/>
  <c r="N3708" i="1"/>
  <c r="G3708" i="1"/>
  <c r="A3708" i="1" s="1"/>
  <c r="N3834" i="1"/>
  <c r="G3834" i="1"/>
  <c r="A3834" i="1" s="1"/>
  <c r="N3833" i="1"/>
  <c r="G3833" i="1"/>
  <c r="A3833" i="1" s="1"/>
  <c r="N3938" i="1"/>
  <c r="G3938" i="1"/>
  <c r="A3938" i="1" s="1"/>
  <c r="N3949" i="1"/>
  <c r="G3949" i="1"/>
  <c r="A3949" i="1" s="1"/>
  <c r="N3948" i="1"/>
  <c r="G3948" i="1"/>
  <c r="A3948" i="1" s="1"/>
  <c r="N3947" i="1"/>
  <c r="G3947" i="1"/>
  <c r="A3947" i="1" s="1"/>
  <c r="N3946" i="1"/>
  <c r="G3946" i="1"/>
  <c r="A3946" i="1" s="1"/>
  <c r="N3959" i="1"/>
  <c r="G3959" i="1"/>
  <c r="A3959" i="1" s="1"/>
  <c r="N3958" i="1"/>
  <c r="G3958" i="1"/>
  <c r="A3958" i="1" s="1"/>
  <c r="N3957" i="1"/>
  <c r="G3957" i="1"/>
  <c r="A3957" i="1" s="1"/>
  <c r="N3956" i="1"/>
  <c r="G3956" i="1"/>
  <c r="A3956" i="1" s="1"/>
  <c r="N3955" i="1"/>
  <c r="G3955" i="1"/>
  <c r="A3955" i="1" s="1"/>
  <c r="N3961" i="1"/>
  <c r="G3961" i="1"/>
  <c r="A3961" i="1" s="1"/>
  <c r="N3965" i="1"/>
  <c r="G3965" i="1"/>
  <c r="A3965" i="1" s="1"/>
  <c r="N3964" i="1"/>
  <c r="G3964" i="1"/>
  <c r="A3964" i="1" s="1"/>
  <c r="N3969" i="1"/>
  <c r="G3969" i="1"/>
  <c r="A3969" i="1" s="1"/>
  <c r="N3972" i="1"/>
  <c r="G3972" i="1"/>
  <c r="A3972" i="1" s="1"/>
  <c r="N3971" i="1"/>
  <c r="G3971" i="1"/>
  <c r="A3971" i="1" s="1"/>
  <c r="N3986" i="1"/>
  <c r="G3986" i="1"/>
  <c r="A3986" i="1" s="1"/>
  <c r="N3992" i="1"/>
  <c r="G3992" i="1"/>
  <c r="A3992" i="1" s="1"/>
  <c r="N3991" i="1"/>
  <c r="G3991" i="1"/>
  <c r="A3991" i="1" s="1"/>
  <c r="N4005" i="1"/>
  <c r="G4005" i="1"/>
  <c r="A4005" i="1" s="1"/>
  <c r="N4008" i="1"/>
  <c r="G4008" i="1"/>
  <c r="A4008" i="1" s="1"/>
  <c r="N4038" i="1"/>
  <c r="G4038" i="1"/>
  <c r="A4038" i="1" s="1"/>
  <c r="N4055" i="1"/>
  <c r="G4055" i="1"/>
  <c r="A4055" i="1" s="1"/>
  <c r="N4054" i="1"/>
  <c r="G4054" i="1"/>
  <c r="A4054" i="1" s="1"/>
  <c r="N4053" i="1"/>
  <c r="G4053" i="1"/>
  <c r="A4053" i="1" s="1"/>
  <c r="N4052" i="1"/>
  <c r="G4052" i="1"/>
  <c r="A4052" i="1" s="1"/>
  <c r="N4065" i="1"/>
  <c r="G4065" i="1"/>
  <c r="A4065" i="1" s="1"/>
  <c r="N4064" i="1"/>
  <c r="G4064" i="1"/>
  <c r="A4064" i="1" s="1"/>
  <c r="N4063" i="1"/>
  <c r="G4063" i="1"/>
  <c r="A4063" i="1" s="1"/>
  <c r="N4062" i="1"/>
  <c r="G4062" i="1"/>
  <c r="A4062" i="1" s="1"/>
  <c r="N4061" i="1"/>
  <c r="G4061" i="1"/>
  <c r="A4061" i="1" s="1"/>
  <c r="N4060" i="1"/>
  <c r="G4060" i="1"/>
  <c r="A4060" i="1" s="1"/>
  <c r="N4059" i="1"/>
  <c r="G4059" i="1"/>
  <c r="A4059" i="1" s="1"/>
  <c r="N4067" i="1"/>
  <c r="G4067" i="1"/>
  <c r="A4067" i="1" s="1"/>
  <c r="N4071" i="1"/>
  <c r="G4071" i="1"/>
  <c r="A4071" i="1" s="1"/>
  <c r="N4070" i="1"/>
  <c r="G4070" i="1"/>
  <c r="A4070" i="1" s="1"/>
  <c r="N4074" i="1"/>
  <c r="G4074" i="1"/>
  <c r="A4074" i="1" s="1"/>
  <c r="N4073" i="1"/>
  <c r="G4073" i="1"/>
  <c r="A4073" i="1" s="1"/>
  <c r="N4072" i="1"/>
  <c r="G4072" i="1"/>
  <c r="A4072" i="1" s="1"/>
  <c r="N4080" i="1"/>
  <c r="G4080" i="1"/>
  <c r="A4080" i="1" s="1"/>
  <c r="N4079" i="1"/>
  <c r="G4079" i="1"/>
  <c r="A4079" i="1" s="1"/>
  <c r="N4078" i="1"/>
  <c r="G4078" i="1"/>
  <c r="A4078" i="1" s="1"/>
  <c r="N4089" i="1"/>
  <c r="G4089" i="1"/>
  <c r="A4089" i="1" s="1"/>
  <c r="G3945" i="1"/>
  <c r="A3945" i="1" s="1"/>
  <c r="G3953" i="1"/>
  <c r="A3953" i="1" s="1"/>
  <c r="G3963" i="1"/>
  <c r="A3963" i="1" s="1"/>
  <c r="G3975" i="1"/>
  <c r="A3975" i="1" s="1"/>
  <c r="G4069" i="1"/>
  <c r="A4069" i="1" s="1"/>
  <c r="N3945" i="1"/>
  <c r="N3953" i="1"/>
  <c r="N3963" i="1"/>
  <c r="N3975" i="1"/>
  <c r="N4069" i="1"/>
  <c r="N4082" i="1"/>
  <c r="N4083" i="1"/>
  <c r="N4081" i="1"/>
  <c r="N4077" i="1"/>
  <c r="N4075" i="1"/>
  <c r="N4076" i="1"/>
  <c r="N4068" i="1"/>
  <c r="N4066" i="1"/>
  <c r="N4056" i="1"/>
  <c r="N4057" i="1"/>
  <c r="N4058" i="1"/>
  <c r="N4051" i="1"/>
  <c r="N4049" i="1"/>
  <c r="N4050" i="1"/>
  <c r="N4045" i="1"/>
  <c r="N4046" i="1"/>
  <c r="N4047" i="1"/>
  <c r="N4048" i="1"/>
  <c r="N4040" i="1"/>
  <c r="N4041" i="1"/>
  <c r="N4042" i="1"/>
  <c r="N4043" i="1"/>
  <c r="N4044" i="1"/>
  <c r="N4039" i="1"/>
  <c r="N4029" i="1"/>
  <c r="N4030" i="1"/>
  <c r="N4031" i="1"/>
  <c r="N4032" i="1"/>
  <c r="N4033" i="1"/>
  <c r="N4034" i="1"/>
  <c r="N4035" i="1"/>
  <c r="N4036" i="1"/>
  <c r="N4037" i="1"/>
  <c r="N4025" i="1"/>
  <c r="N4026" i="1"/>
  <c r="N4027" i="1"/>
  <c r="N4028" i="1"/>
  <c r="N4019" i="1"/>
  <c r="N4020" i="1"/>
  <c r="N4021" i="1"/>
  <c r="N4022" i="1"/>
  <c r="N4023" i="1"/>
  <c r="N4024" i="1"/>
  <c r="N4018" i="1"/>
  <c r="N4015" i="1"/>
  <c r="N4016" i="1"/>
  <c r="N4017" i="1"/>
  <c r="N4012" i="1"/>
  <c r="N4013" i="1"/>
  <c r="N4014" i="1"/>
  <c r="N4011" i="1"/>
  <c r="N4009" i="1"/>
  <c r="N4010" i="1"/>
  <c r="N4006" i="1"/>
  <c r="N4007" i="1"/>
  <c r="N3999" i="1"/>
  <c r="N4000" i="1"/>
  <c r="N4001" i="1"/>
  <c r="N4002" i="1"/>
  <c r="N4003" i="1"/>
  <c r="N4004" i="1"/>
  <c r="N3997" i="1"/>
  <c r="N3998" i="1"/>
  <c r="N3996" i="1"/>
  <c r="N3993" i="1"/>
  <c r="N3994" i="1"/>
  <c r="N3995" i="1"/>
  <c r="N3988" i="1"/>
  <c r="N3989" i="1"/>
  <c r="N3990" i="1"/>
  <c r="N3987" i="1"/>
  <c r="N3983" i="1"/>
  <c r="N3984" i="1"/>
  <c r="N3985" i="1"/>
  <c r="N3976" i="1"/>
  <c r="N3977" i="1"/>
  <c r="N3978" i="1"/>
  <c r="N3979" i="1"/>
  <c r="N3980" i="1"/>
  <c r="N3981" i="1"/>
  <c r="N3982" i="1"/>
  <c r="N3973" i="1"/>
  <c r="N3974" i="1"/>
  <c r="N3970" i="1"/>
  <c r="N3966" i="1"/>
  <c r="N3967" i="1"/>
  <c r="N3968" i="1"/>
  <c r="N3962" i="1"/>
  <c r="N3960" i="1"/>
  <c r="N3954" i="1"/>
  <c r="N3952" i="1"/>
  <c r="N3951" i="1"/>
  <c r="N3939" i="1"/>
  <c r="N3940" i="1"/>
  <c r="N3941" i="1"/>
  <c r="N3942" i="1"/>
  <c r="N3943" i="1"/>
  <c r="N3944" i="1"/>
  <c r="N3937" i="1"/>
  <c r="N3934" i="1"/>
  <c r="N3935" i="1"/>
  <c r="N3930" i="1"/>
  <c r="N3931" i="1"/>
  <c r="N3932" i="1"/>
  <c r="N3933" i="1"/>
  <c r="N3922" i="1"/>
  <c r="N3923" i="1"/>
  <c r="N3924" i="1"/>
  <c r="N3925" i="1"/>
  <c r="N3926" i="1"/>
  <c r="N3927" i="1"/>
  <c r="N3928" i="1"/>
  <c r="N3916" i="1"/>
  <c r="N3917" i="1"/>
  <c r="N3918" i="1"/>
  <c r="N3919" i="1"/>
  <c r="N3920" i="1"/>
  <c r="G4086" i="1"/>
  <c r="G4087" i="1"/>
  <c r="G4088" i="1"/>
  <c r="G4084" i="1"/>
  <c r="G4082" i="1"/>
  <c r="A4082" i="1" s="1"/>
  <c r="G4083" i="1"/>
  <c r="A4083" i="1" s="1"/>
  <c r="G4081" i="1"/>
  <c r="A4081" i="1" s="1"/>
  <c r="G4077" i="1"/>
  <c r="A4077" i="1" s="1"/>
  <c r="G4075" i="1"/>
  <c r="A4075" i="1" s="1"/>
  <c r="G4076" i="1"/>
  <c r="A4076" i="1" s="1"/>
  <c r="G4068" i="1"/>
  <c r="A4068" i="1" s="1"/>
  <c r="G4066" i="1"/>
  <c r="A4066" i="1" s="1"/>
  <c r="G4056" i="1"/>
  <c r="A4056" i="1" s="1"/>
  <c r="G4057" i="1"/>
  <c r="A4057" i="1" s="1"/>
  <c r="G4058" i="1"/>
  <c r="A4058" i="1" s="1"/>
  <c r="G4051" i="1"/>
  <c r="A4051" i="1" s="1"/>
  <c r="G4049" i="1"/>
  <c r="A4049" i="1" s="1"/>
  <c r="G4050" i="1"/>
  <c r="A4050" i="1" s="1"/>
  <c r="G4045" i="1"/>
  <c r="A4045" i="1" s="1"/>
  <c r="G4046" i="1"/>
  <c r="A4046" i="1" s="1"/>
  <c r="G4047" i="1"/>
  <c r="A4047" i="1" s="1"/>
  <c r="G4048" i="1"/>
  <c r="A4048" i="1" s="1"/>
  <c r="G4040" i="1"/>
  <c r="A4040" i="1" s="1"/>
  <c r="G4041" i="1"/>
  <c r="A4041" i="1" s="1"/>
  <c r="G4042" i="1"/>
  <c r="A4042" i="1" s="1"/>
  <c r="G4043" i="1"/>
  <c r="A4043" i="1" s="1"/>
  <c r="G4044" i="1"/>
  <c r="A4044" i="1" s="1"/>
  <c r="G4039" i="1"/>
  <c r="A4039" i="1" s="1"/>
  <c r="G4029" i="1"/>
  <c r="A4029" i="1" s="1"/>
  <c r="G4030" i="1"/>
  <c r="A4030" i="1" s="1"/>
  <c r="G4031" i="1"/>
  <c r="A4031" i="1" s="1"/>
  <c r="G4032" i="1"/>
  <c r="A4032" i="1" s="1"/>
  <c r="G4033" i="1"/>
  <c r="A4033" i="1" s="1"/>
  <c r="G4034" i="1"/>
  <c r="A4034" i="1" s="1"/>
  <c r="G4035" i="1"/>
  <c r="A4035" i="1" s="1"/>
  <c r="G4036" i="1"/>
  <c r="A4036" i="1" s="1"/>
  <c r="G4037" i="1"/>
  <c r="A4037" i="1" s="1"/>
  <c r="G4025" i="1"/>
  <c r="A4025" i="1" s="1"/>
  <c r="G4026" i="1"/>
  <c r="A4026" i="1" s="1"/>
  <c r="G4027" i="1"/>
  <c r="A4027" i="1" s="1"/>
  <c r="G4028" i="1"/>
  <c r="A4028" i="1" s="1"/>
  <c r="G4019" i="1"/>
  <c r="A4019" i="1" s="1"/>
  <c r="G4020" i="1"/>
  <c r="A4020" i="1" s="1"/>
  <c r="G4021" i="1"/>
  <c r="A4021" i="1" s="1"/>
  <c r="G4022" i="1"/>
  <c r="A4022" i="1" s="1"/>
  <c r="G4023" i="1"/>
  <c r="A4023" i="1" s="1"/>
  <c r="G4024" i="1"/>
  <c r="A4024" i="1" s="1"/>
  <c r="G4018" i="1"/>
  <c r="A4018" i="1" s="1"/>
  <c r="G4015" i="1"/>
  <c r="A4015" i="1" s="1"/>
  <c r="G4016" i="1"/>
  <c r="A4016" i="1" s="1"/>
  <c r="G4017" i="1"/>
  <c r="A4017" i="1" s="1"/>
  <c r="G4012" i="1"/>
  <c r="A4012" i="1" s="1"/>
  <c r="G4013" i="1"/>
  <c r="A4013" i="1" s="1"/>
  <c r="G4014" i="1"/>
  <c r="A4014" i="1" s="1"/>
  <c r="G4011" i="1"/>
  <c r="A4011" i="1" s="1"/>
  <c r="G4009" i="1"/>
  <c r="A4009" i="1" s="1"/>
  <c r="G4010" i="1"/>
  <c r="A4010" i="1" s="1"/>
  <c r="G4006" i="1"/>
  <c r="A4006" i="1" s="1"/>
  <c r="G4007" i="1"/>
  <c r="A4007" i="1" s="1"/>
  <c r="G3999" i="1"/>
  <c r="A3999" i="1" s="1"/>
  <c r="G4000" i="1"/>
  <c r="A4000" i="1" s="1"/>
  <c r="G4001" i="1"/>
  <c r="A4001" i="1" s="1"/>
  <c r="G4002" i="1"/>
  <c r="A4002" i="1" s="1"/>
  <c r="G4003" i="1"/>
  <c r="A4003" i="1" s="1"/>
  <c r="G4004" i="1"/>
  <c r="A4004" i="1" s="1"/>
  <c r="G3997" i="1"/>
  <c r="A3997" i="1" s="1"/>
  <c r="G3998" i="1"/>
  <c r="A3998" i="1" s="1"/>
  <c r="G3996" i="1"/>
  <c r="A3996" i="1" s="1"/>
  <c r="G3993" i="1"/>
  <c r="A3993" i="1" s="1"/>
  <c r="G3994" i="1"/>
  <c r="A3994" i="1" s="1"/>
  <c r="G3995" i="1"/>
  <c r="A3995" i="1" s="1"/>
  <c r="G3988" i="1"/>
  <c r="A3988" i="1" s="1"/>
  <c r="G3989" i="1"/>
  <c r="A3989" i="1" s="1"/>
  <c r="G3990" i="1"/>
  <c r="A3990" i="1" s="1"/>
  <c r="G3987" i="1"/>
  <c r="A3987" i="1" s="1"/>
  <c r="G3983" i="1"/>
  <c r="A3983" i="1" s="1"/>
  <c r="G3984" i="1"/>
  <c r="A3984" i="1" s="1"/>
  <c r="G3985" i="1"/>
  <c r="A3985" i="1" s="1"/>
  <c r="G3976" i="1"/>
  <c r="A3976" i="1" s="1"/>
  <c r="G3977" i="1"/>
  <c r="A3977" i="1" s="1"/>
  <c r="G3978" i="1"/>
  <c r="A3978" i="1" s="1"/>
  <c r="G3979" i="1"/>
  <c r="A3979" i="1" s="1"/>
  <c r="G3980" i="1"/>
  <c r="A3980" i="1" s="1"/>
  <c r="G3981" i="1"/>
  <c r="A3981" i="1" s="1"/>
  <c r="G3982" i="1"/>
  <c r="A3982" i="1" s="1"/>
  <c r="G3973" i="1"/>
  <c r="A3973" i="1" s="1"/>
  <c r="G3974" i="1"/>
  <c r="A3974" i="1" s="1"/>
  <c r="G3970" i="1"/>
  <c r="A3970" i="1" s="1"/>
  <c r="G3966" i="1"/>
  <c r="A3966" i="1" s="1"/>
  <c r="G3967" i="1"/>
  <c r="A3967" i="1" s="1"/>
  <c r="G3968" i="1"/>
  <c r="A3968" i="1" s="1"/>
  <c r="G3962" i="1"/>
  <c r="A3962" i="1" s="1"/>
  <c r="G3960" i="1"/>
  <c r="A3960" i="1" s="1"/>
  <c r="G3954" i="1"/>
  <c r="A3954" i="1" s="1"/>
  <c r="G3952" i="1"/>
  <c r="A3952" i="1" s="1"/>
  <c r="G3951" i="1"/>
  <c r="A3951" i="1" s="1"/>
  <c r="G3939" i="1"/>
  <c r="A3939" i="1" s="1"/>
  <c r="G3940" i="1"/>
  <c r="A3940" i="1" s="1"/>
  <c r="G3941" i="1"/>
  <c r="A3941" i="1" s="1"/>
  <c r="G3942" i="1"/>
  <c r="A3942" i="1" s="1"/>
  <c r="G3943" i="1"/>
  <c r="A3943" i="1" s="1"/>
  <c r="G3944" i="1"/>
  <c r="A3944" i="1" s="1"/>
  <c r="G3937" i="1"/>
  <c r="A3937" i="1" s="1"/>
  <c r="G3934" i="1"/>
  <c r="A3934" i="1" s="1"/>
  <c r="G3935" i="1"/>
  <c r="A3935" i="1" s="1"/>
  <c r="G3930" i="1"/>
  <c r="A3930" i="1" s="1"/>
  <c r="G3931" i="1"/>
  <c r="A3931" i="1" s="1"/>
  <c r="G3932" i="1"/>
  <c r="A3932" i="1" s="1"/>
  <c r="G3933" i="1"/>
  <c r="A3933" i="1" s="1"/>
  <c r="G3922" i="1"/>
  <c r="A3922" i="1" s="1"/>
  <c r="G3923" i="1"/>
  <c r="A3923" i="1" s="1"/>
  <c r="G3924" i="1"/>
  <c r="A3924" i="1" s="1"/>
  <c r="G3925" i="1"/>
  <c r="A3925" i="1" s="1"/>
  <c r="G3926" i="1"/>
  <c r="A3926" i="1" s="1"/>
  <c r="G3927" i="1"/>
  <c r="A3927" i="1" s="1"/>
  <c r="G3928" i="1"/>
  <c r="A3928" i="1" s="1"/>
  <c r="G3916" i="1"/>
  <c r="A3916" i="1" s="1"/>
  <c r="G3917" i="1"/>
  <c r="A3917" i="1" s="1"/>
  <c r="G3918" i="1"/>
  <c r="A3918" i="1" s="1"/>
  <c r="G3919" i="1"/>
  <c r="A3919" i="1" s="1"/>
  <c r="G3920" i="1"/>
  <c r="A3920" i="1" s="1"/>
  <c r="G4085" i="1"/>
  <c r="C4084" i="1"/>
  <c r="N4084" i="1" s="1"/>
  <c r="C4088" i="1"/>
  <c r="C4087" i="1"/>
  <c r="C4086" i="1"/>
  <c r="N4086" i="1" s="1"/>
  <c r="C4085" i="1"/>
  <c r="N4085" i="1" s="1"/>
  <c r="G3818" i="1"/>
  <c r="A3818" i="1" s="1"/>
  <c r="N3818" i="1"/>
  <c r="N3936" i="1"/>
  <c r="N3906" i="1"/>
  <c r="N3907" i="1"/>
  <c r="N3908" i="1"/>
  <c r="N3855" i="1"/>
  <c r="N3850" i="1"/>
  <c r="N3851" i="1"/>
  <c r="N3838" i="1"/>
  <c r="N3832" i="1"/>
  <c r="N3828" i="1"/>
  <c r="N3829" i="1"/>
  <c r="N3830" i="1"/>
  <c r="N3814" i="1"/>
  <c r="N3815" i="1"/>
  <c r="N3816" i="1"/>
  <c r="N3817" i="1"/>
  <c r="N3819" i="1"/>
  <c r="N3820" i="1"/>
  <c r="N3821" i="1"/>
  <c r="N3822" i="1"/>
  <c r="N3823" i="1"/>
  <c r="N3824" i="1"/>
  <c r="N3825" i="1"/>
  <c r="G3825" i="1"/>
  <c r="A3825" i="1" s="1"/>
  <c r="G3824" i="1"/>
  <c r="A3824" i="1" s="1"/>
  <c r="G3823" i="1"/>
  <c r="A3823" i="1" s="1"/>
  <c r="G3822" i="1"/>
  <c r="A3822" i="1" s="1"/>
  <c r="G3821" i="1"/>
  <c r="A3821" i="1" s="1"/>
  <c r="G3820" i="1"/>
  <c r="A3820" i="1" s="1"/>
  <c r="G3819" i="1"/>
  <c r="A3819" i="1" s="1"/>
  <c r="G3817" i="1"/>
  <c r="A3817" i="1" s="1"/>
  <c r="G3816" i="1"/>
  <c r="A3816" i="1" s="1"/>
  <c r="G3815" i="1"/>
  <c r="A3815" i="1" s="1"/>
  <c r="G3814" i="1"/>
  <c r="A3814" i="1" s="1"/>
  <c r="G3830" i="1"/>
  <c r="A3830" i="1" s="1"/>
  <c r="G3829" i="1"/>
  <c r="A3829" i="1" s="1"/>
  <c r="G3828" i="1"/>
  <c r="A3828" i="1" s="1"/>
  <c r="G3832" i="1"/>
  <c r="A3832" i="1" s="1"/>
  <c r="G3838" i="1"/>
  <c r="A3838" i="1" s="1"/>
  <c r="G3851" i="1"/>
  <c r="A3851" i="1" s="1"/>
  <c r="G3850" i="1"/>
  <c r="A3850" i="1" s="1"/>
  <c r="G3855" i="1"/>
  <c r="A3855" i="1" s="1"/>
  <c r="G3908" i="1"/>
  <c r="A3908" i="1" s="1"/>
  <c r="G3907" i="1"/>
  <c r="A3907" i="1" s="1"/>
  <c r="G3906" i="1"/>
  <c r="A3906" i="1" s="1"/>
  <c r="G3936" i="1"/>
  <c r="A3936" i="1" s="1"/>
  <c r="N3837" i="1"/>
  <c r="N3913" i="1"/>
  <c r="N3809" i="1"/>
  <c r="G3809" i="1"/>
  <c r="A3809" i="1" s="1"/>
  <c r="G3837" i="1"/>
  <c r="A3837" i="1" s="1"/>
  <c r="G3913" i="1"/>
  <c r="A3913" i="1" s="1"/>
  <c r="G3899" i="1"/>
  <c r="N3899" i="1"/>
  <c r="G3898" i="1"/>
  <c r="E3897" i="1"/>
  <c r="G3897" i="1" s="1"/>
  <c r="N3897" i="1"/>
  <c r="C3861" i="1"/>
  <c r="N3861" i="1" s="1"/>
  <c r="G3861" i="1"/>
  <c r="G3929" i="1"/>
  <c r="C3929" i="1"/>
  <c r="N3929" i="1" s="1"/>
  <c r="C3864" i="1"/>
  <c r="N3864" i="1" s="1"/>
  <c r="C3863" i="1"/>
  <c r="N3863" i="1" s="1"/>
  <c r="C3862" i="1"/>
  <c r="N3862" i="1" s="1"/>
  <c r="C3921" i="1"/>
  <c r="N3921" i="1" s="1"/>
  <c r="N3914" i="1"/>
  <c r="N3915" i="1"/>
  <c r="N3909" i="1"/>
  <c r="N3910" i="1"/>
  <c r="N3911" i="1"/>
  <c r="N3912" i="1"/>
  <c r="N3900" i="1"/>
  <c r="N3901" i="1"/>
  <c r="N3902" i="1"/>
  <c r="N3903" i="1"/>
  <c r="N3904" i="1"/>
  <c r="N3905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75" i="1"/>
  <c r="N3876" i="1"/>
  <c r="N3877" i="1"/>
  <c r="N3878" i="1"/>
  <c r="N3879" i="1"/>
  <c r="N3880" i="1"/>
  <c r="N3881" i="1"/>
  <c r="N3882" i="1"/>
  <c r="N3883" i="1"/>
  <c r="N3884" i="1"/>
  <c r="N3865" i="1"/>
  <c r="N3866" i="1"/>
  <c r="N3867" i="1"/>
  <c r="N3868" i="1"/>
  <c r="N3869" i="1"/>
  <c r="N3870" i="1"/>
  <c r="N3871" i="1"/>
  <c r="N3872" i="1"/>
  <c r="N3873" i="1"/>
  <c r="N3874" i="1"/>
  <c r="N3857" i="1"/>
  <c r="N3858" i="1"/>
  <c r="N3859" i="1"/>
  <c r="N3860" i="1"/>
  <c r="N3856" i="1"/>
  <c r="N3852" i="1"/>
  <c r="N3853" i="1"/>
  <c r="N3854" i="1"/>
  <c r="N3849" i="1"/>
  <c r="N3846" i="1"/>
  <c r="N3847" i="1"/>
  <c r="N3848" i="1"/>
  <c r="N3841" i="1"/>
  <c r="N3842" i="1"/>
  <c r="N3843" i="1"/>
  <c r="N3844" i="1"/>
  <c r="N3845" i="1"/>
  <c r="N3839" i="1"/>
  <c r="N3840" i="1"/>
  <c r="N3836" i="1"/>
  <c r="N3831" i="1"/>
  <c r="N3826" i="1"/>
  <c r="N3827" i="1"/>
  <c r="N3811" i="1"/>
  <c r="N3812" i="1"/>
  <c r="N3813" i="1"/>
  <c r="G3813" i="1"/>
  <c r="A3813" i="1" s="1"/>
  <c r="G3812" i="1"/>
  <c r="A3812" i="1" s="1"/>
  <c r="G3811" i="1"/>
  <c r="A3811" i="1" s="1"/>
  <c r="G3827" i="1"/>
  <c r="A3827" i="1" s="1"/>
  <c r="G3826" i="1"/>
  <c r="A3826" i="1" s="1"/>
  <c r="G3831" i="1"/>
  <c r="A3831" i="1" s="1"/>
  <c r="G3836" i="1"/>
  <c r="A3836" i="1" s="1"/>
  <c r="G3840" i="1"/>
  <c r="A3840" i="1" s="1"/>
  <c r="G3839" i="1"/>
  <c r="A3839" i="1" s="1"/>
  <c r="G3845" i="1"/>
  <c r="A3845" i="1" s="1"/>
  <c r="G3844" i="1"/>
  <c r="A3844" i="1" s="1"/>
  <c r="G3843" i="1"/>
  <c r="A3843" i="1" s="1"/>
  <c r="G3842" i="1"/>
  <c r="A3842" i="1" s="1"/>
  <c r="G3841" i="1"/>
  <c r="A3841" i="1" s="1"/>
  <c r="G3848" i="1"/>
  <c r="A3848" i="1" s="1"/>
  <c r="G3847" i="1"/>
  <c r="A3847" i="1" s="1"/>
  <c r="G3846" i="1"/>
  <c r="A3846" i="1" s="1"/>
  <c r="G3849" i="1"/>
  <c r="A3849" i="1" s="1"/>
  <c r="G3854" i="1"/>
  <c r="A3854" i="1" s="1"/>
  <c r="G3853" i="1"/>
  <c r="A3853" i="1" s="1"/>
  <c r="G3852" i="1"/>
  <c r="A3852" i="1" s="1"/>
  <c r="G3856" i="1"/>
  <c r="A3856" i="1" s="1"/>
  <c r="G3860" i="1"/>
  <c r="A3860" i="1" s="1"/>
  <c r="G3859" i="1"/>
  <c r="A3859" i="1" s="1"/>
  <c r="G3858" i="1"/>
  <c r="A3858" i="1" s="1"/>
  <c r="G3857" i="1"/>
  <c r="A3857" i="1" s="1"/>
  <c r="G3874" i="1"/>
  <c r="A3874" i="1" s="1"/>
  <c r="G3873" i="1"/>
  <c r="A3873" i="1" s="1"/>
  <c r="G3872" i="1"/>
  <c r="A3872" i="1" s="1"/>
  <c r="G3871" i="1"/>
  <c r="A3871" i="1" s="1"/>
  <c r="G3870" i="1"/>
  <c r="A3870" i="1" s="1"/>
  <c r="G3869" i="1"/>
  <c r="A3869" i="1" s="1"/>
  <c r="G3868" i="1"/>
  <c r="A3868" i="1" s="1"/>
  <c r="G3867" i="1"/>
  <c r="A3867" i="1" s="1"/>
  <c r="G3866" i="1"/>
  <c r="A3866" i="1" s="1"/>
  <c r="G3865" i="1"/>
  <c r="A3865" i="1" s="1"/>
  <c r="G3864" i="1"/>
  <c r="G3863" i="1"/>
  <c r="G3862" i="1"/>
  <c r="G3884" i="1"/>
  <c r="A3884" i="1" s="1"/>
  <c r="G3883" i="1"/>
  <c r="A3883" i="1" s="1"/>
  <c r="G3882" i="1"/>
  <c r="A3882" i="1" s="1"/>
  <c r="G3881" i="1"/>
  <c r="A3881" i="1" s="1"/>
  <c r="G3880" i="1"/>
  <c r="A3880" i="1" s="1"/>
  <c r="G3879" i="1"/>
  <c r="A3879" i="1" s="1"/>
  <c r="G3878" i="1"/>
  <c r="A3878" i="1" s="1"/>
  <c r="G3877" i="1"/>
  <c r="A3877" i="1" s="1"/>
  <c r="G3876" i="1"/>
  <c r="A3876" i="1" s="1"/>
  <c r="G3875" i="1"/>
  <c r="A3875" i="1" s="1"/>
  <c r="G3896" i="1"/>
  <c r="A3896" i="1" s="1"/>
  <c r="G3895" i="1"/>
  <c r="A3895" i="1" s="1"/>
  <c r="G3894" i="1"/>
  <c r="A3894" i="1" s="1"/>
  <c r="G3893" i="1"/>
  <c r="A3893" i="1" s="1"/>
  <c r="G3892" i="1"/>
  <c r="A3892" i="1" s="1"/>
  <c r="G3891" i="1"/>
  <c r="A3891" i="1" s="1"/>
  <c r="G3890" i="1"/>
  <c r="A3890" i="1" s="1"/>
  <c r="G3889" i="1"/>
  <c r="A3889" i="1" s="1"/>
  <c r="G3888" i="1"/>
  <c r="A3888" i="1" s="1"/>
  <c r="G3887" i="1"/>
  <c r="A3887" i="1" s="1"/>
  <c r="G3886" i="1"/>
  <c r="A3886" i="1" s="1"/>
  <c r="G3885" i="1"/>
  <c r="A3885" i="1" s="1"/>
  <c r="G3905" i="1"/>
  <c r="A3905" i="1" s="1"/>
  <c r="G3904" i="1"/>
  <c r="A3904" i="1" s="1"/>
  <c r="G3903" i="1"/>
  <c r="A3903" i="1" s="1"/>
  <c r="G3902" i="1"/>
  <c r="A3902" i="1" s="1"/>
  <c r="G3901" i="1"/>
  <c r="A3901" i="1" s="1"/>
  <c r="G3900" i="1"/>
  <c r="A3900" i="1" s="1"/>
  <c r="G3912" i="1"/>
  <c r="A3912" i="1" s="1"/>
  <c r="G3911" i="1"/>
  <c r="A3911" i="1" s="1"/>
  <c r="G3910" i="1"/>
  <c r="A3910" i="1" s="1"/>
  <c r="G3909" i="1"/>
  <c r="A3909" i="1" s="1"/>
  <c r="G3915" i="1"/>
  <c r="A3915" i="1" s="1"/>
  <c r="G3914" i="1"/>
  <c r="A3914" i="1" s="1"/>
  <c r="G3921" i="1"/>
  <c r="N3803" i="1"/>
  <c r="N3795" i="1"/>
  <c r="N3770" i="1"/>
  <c r="N3771" i="1"/>
  <c r="N3772" i="1"/>
  <c r="N3759" i="1"/>
  <c r="N3755" i="1"/>
  <c r="N3751" i="1"/>
  <c r="N3744" i="1"/>
  <c r="N3745" i="1"/>
  <c r="N3732" i="1"/>
  <c r="N3733" i="1"/>
  <c r="N3734" i="1"/>
  <c r="N3735" i="1"/>
  <c r="N3736" i="1"/>
  <c r="N3737" i="1"/>
  <c r="N3738" i="1"/>
  <c r="N3725" i="1"/>
  <c r="N3724" i="1"/>
  <c r="N3718" i="1"/>
  <c r="N3719" i="1"/>
  <c r="N3720" i="1"/>
  <c r="N3721" i="1"/>
  <c r="N3722" i="1"/>
  <c r="N3714" i="1"/>
  <c r="N3711" i="1"/>
  <c r="N3712" i="1"/>
  <c r="N3698" i="1"/>
  <c r="N3681" i="1"/>
  <c r="N3677" i="1"/>
  <c r="N3678" i="1"/>
  <c r="N3672" i="1"/>
  <c r="N3673" i="1"/>
  <c r="N3666" i="1"/>
  <c r="N3663" i="1"/>
  <c r="N3660" i="1"/>
  <c r="N3661" i="1"/>
  <c r="N3651" i="1"/>
  <c r="N3652" i="1"/>
  <c r="N3653" i="1"/>
  <c r="N3654" i="1"/>
  <c r="N3642" i="1"/>
  <c r="N3643" i="1"/>
  <c r="N3638" i="1"/>
  <c r="N3637" i="1"/>
  <c r="N3635" i="1"/>
  <c r="N3636" i="1"/>
  <c r="N3631" i="1"/>
  <c r="N3632" i="1"/>
  <c r="N3633" i="1"/>
  <c r="N3625" i="1"/>
  <c r="N3619" i="1"/>
  <c r="N3595" i="1"/>
  <c r="N3593" i="1"/>
  <c r="N3583" i="1"/>
  <c r="N3579" i="1"/>
  <c r="N3580" i="1"/>
  <c r="N3569" i="1"/>
  <c r="N3570" i="1"/>
  <c r="N3571" i="1"/>
  <c r="N3564" i="1"/>
  <c r="N3565" i="1"/>
  <c r="N3556" i="1"/>
  <c r="N3557" i="1"/>
  <c r="N3542" i="1"/>
  <c r="N3543" i="1"/>
  <c r="N3544" i="1"/>
  <c r="N3545" i="1"/>
  <c r="N3546" i="1"/>
  <c r="N3547" i="1"/>
  <c r="N3548" i="1"/>
  <c r="N3549" i="1"/>
  <c r="N3550" i="1"/>
  <c r="N3551" i="1"/>
  <c r="N3535" i="1"/>
  <c r="N3536" i="1"/>
  <c r="N3540" i="1"/>
  <c r="N3552" i="1"/>
  <c r="N3558" i="1"/>
  <c r="N3559" i="1"/>
  <c r="N3566" i="1"/>
  <c r="N3581" i="1"/>
  <c r="N3609" i="1"/>
  <c r="N3639" i="1"/>
  <c r="N3694" i="1"/>
  <c r="N3695" i="1"/>
  <c r="N3696" i="1"/>
  <c r="N3723" i="1"/>
  <c r="N3728" i="1"/>
  <c r="N3756" i="1"/>
  <c r="N3780" i="1"/>
  <c r="N3537" i="1"/>
  <c r="N3538" i="1"/>
  <c r="N3539" i="1"/>
  <c r="N3553" i="1"/>
  <c r="N3554" i="1"/>
  <c r="N3555" i="1"/>
  <c r="N3560" i="1"/>
  <c r="N3561" i="1"/>
  <c r="N3562" i="1"/>
  <c r="N3563" i="1"/>
  <c r="N3567" i="1"/>
  <c r="N3572" i="1"/>
  <c r="N3573" i="1"/>
  <c r="N3574" i="1"/>
  <c r="N3575" i="1"/>
  <c r="N3576" i="1"/>
  <c r="N3577" i="1"/>
  <c r="N3578" i="1"/>
  <c r="N3582" i="1"/>
  <c r="N3584" i="1"/>
  <c r="N3585" i="1"/>
  <c r="N3586" i="1"/>
  <c r="N3587" i="1"/>
  <c r="N3588" i="1"/>
  <c r="N3589" i="1"/>
  <c r="N3590" i="1"/>
  <c r="N3591" i="1"/>
  <c r="N3592" i="1"/>
  <c r="N3594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10" i="1"/>
  <c r="N3611" i="1"/>
  <c r="N3612" i="1"/>
  <c r="N3613" i="1"/>
  <c r="N3614" i="1"/>
  <c r="N3615" i="1"/>
  <c r="N3616" i="1"/>
  <c r="N3617" i="1"/>
  <c r="N3618" i="1"/>
  <c r="N3620" i="1"/>
  <c r="N3621" i="1"/>
  <c r="N3622" i="1"/>
  <c r="N3623" i="1"/>
  <c r="N3624" i="1"/>
  <c r="N3626" i="1"/>
  <c r="N3627" i="1"/>
  <c r="N3628" i="1"/>
  <c r="N3629" i="1"/>
  <c r="N3630" i="1"/>
  <c r="N3634" i="1"/>
  <c r="N3640" i="1"/>
  <c r="N3641" i="1"/>
  <c r="N3644" i="1"/>
  <c r="N3645" i="1"/>
  <c r="N3646" i="1"/>
  <c r="N3647" i="1"/>
  <c r="N3648" i="1"/>
  <c r="N3649" i="1"/>
  <c r="N3650" i="1"/>
  <c r="N3655" i="1"/>
  <c r="N3656" i="1"/>
  <c r="N3657" i="1"/>
  <c r="N3658" i="1"/>
  <c r="N3659" i="1"/>
  <c r="N3662" i="1"/>
  <c r="N3664" i="1"/>
  <c r="N3665" i="1"/>
  <c r="N3667" i="1"/>
  <c r="N3668" i="1"/>
  <c r="N3669" i="1"/>
  <c r="N3670" i="1"/>
  <c r="N3671" i="1"/>
  <c r="N3674" i="1"/>
  <c r="N3675" i="1"/>
  <c r="N3676" i="1"/>
  <c r="N3679" i="1"/>
  <c r="N3680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7" i="1"/>
  <c r="N3699" i="1"/>
  <c r="N3700" i="1"/>
  <c r="N3701" i="1"/>
  <c r="N3702" i="1"/>
  <c r="N3703" i="1"/>
  <c r="N3704" i="1"/>
  <c r="N3705" i="1"/>
  <c r="N3706" i="1"/>
  <c r="N3707" i="1"/>
  <c r="N3713" i="1"/>
  <c r="N3715" i="1"/>
  <c r="N3716" i="1"/>
  <c r="N3717" i="1"/>
  <c r="N3726" i="1"/>
  <c r="N3727" i="1"/>
  <c r="N3729" i="1"/>
  <c r="N3730" i="1"/>
  <c r="N3731" i="1"/>
  <c r="N3739" i="1"/>
  <c r="N3740" i="1"/>
  <c r="N3741" i="1"/>
  <c r="N3742" i="1"/>
  <c r="N3743" i="1"/>
  <c r="N3746" i="1"/>
  <c r="N3747" i="1"/>
  <c r="N3748" i="1"/>
  <c r="N3749" i="1"/>
  <c r="N3750" i="1"/>
  <c r="N3752" i="1"/>
  <c r="N3753" i="1"/>
  <c r="N3754" i="1"/>
  <c r="N3757" i="1"/>
  <c r="N3758" i="1"/>
  <c r="N3760" i="1"/>
  <c r="N3761" i="1"/>
  <c r="N3762" i="1"/>
  <c r="N3763" i="1"/>
  <c r="N3764" i="1"/>
  <c r="N3765" i="1"/>
  <c r="N3766" i="1"/>
  <c r="N3767" i="1"/>
  <c r="N3768" i="1"/>
  <c r="N3769" i="1"/>
  <c r="N3773" i="1"/>
  <c r="N3774" i="1"/>
  <c r="N3775" i="1"/>
  <c r="N3776" i="1"/>
  <c r="N3777" i="1"/>
  <c r="N3778" i="1"/>
  <c r="N3779" i="1"/>
  <c r="N3781" i="1"/>
  <c r="N3782" i="1"/>
  <c r="N3783" i="1"/>
  <c r="N3784" i="1"/>
  <c r="N3785" i="1"/>
  <c r="N3786" i="1"/>
  <c r="N3787" i="1"/>
  <c r="N3789" i="1"/>
  <c r="N3790" i="1"/>
  <c r="N3791" i="1"/>
  <c r="N3792" i="1"/>
  <c r="N3793" i="1"/>
  <c r="N3794" i="1"/>
  <c r="N3796" i="1"/>
  <c r="N3797" i="1"/>
  <c r="N3798" i="1"/>
  <c r="N3799" i="1"/>
  <c r="N3800" i="1"/>
  <c r="N3801" i="1"/>
  <c r="N3802" i="1"/>
  <c r="N3568" i="1"/>
  <c r="N3541" i="1"/>
  <c r="N3810" i="1"/>
  <c r="G3803" i="1"/>
  <c r="A3803" i="1" s="1"/>
  <c r="G3795" i="1"/>
  <c r="A3795" i="1" s="1"/>
  <c r="G3770" i="1"/>
  <c r="A3770" i="1" s="1"/>
  <c r="G3771" i="1"/>
  <c r="A3771" i="1" s="1"/>
  <c r="G3772" i="1"/>
  <c r="A3772" i="1" s="1"/>
  <c r="G3759" i="1"/>
  <c r="A3759" i="1" s="1"/>
  <c r="G3755" i="1"/>
  <c r="A3755" i="1" s="1"/>
  <c r="G3751" i="1"/>
  <c r="A3751" i="1" s="1"/>
  <c r="G3744" i="1"/>
  <c r="A3744" i="1" s="1"/>
  <c r="G3745" i="1"/>
  <c r="A3745" i="1" s="1"/>
  <c r="G3732" i="1"/>
  <c r="A3732" i="1" s="1"/>
  <c r="G3733" i="1"/>
  <c r="A3733" i="1" s="1"/>
  <c r="G3734" i="1"/>
  <c r="A3734" i="1" s="1"/>
  <c r="G3735" i="1"/>
  <c r="A3735" i="1" s="1"/>
  <c r="G3736" i="1"/>
  <c r="A3736" i="1" s="1"/>
  <c r="G3737" i="1"/>
  <c r="A3737" i="1" s="1"/>
  <c r="G3738" i="1"/>
  <c r="A3738" i="1" s="1"/>
  <c r="G3725" i="1"/>
  <c r="A3725" i="1" s="1"/>
  <c r="G3724" i="1"/>
  <c r="A3724" i="1" s="1"/>
  <c r="G3718" i="1"/>
  <c r="A3718" i="1" s="1"/>
  <c r="G3719" i="1"/>
  <c r="A3719" i="1" s="1"/>
  <c r="G3720" i="1"/>
  <c r="A3720" i="1" s="1"/>
  <c r="G3721" i="1"/>
  <c r="A3721" i="1" s="1"/>
  <c r="G3722" i="1"/>
  <c r="A3722" i="1" s="1"/>
  <c r="G3714" i="1"/>
  <c r="A3714" i="1" s="1"/>
  <c r="G3711" i="1"/>
  <c r="A3711" i="1" s="1"/>
  <c r="G3712" i="1"/>
  <c r="A3712" i="1" s="1"/>
  <c r="G3698" i="1"/>
  <c r="A3698" i="1" s="1"/>
  <c r="G3681" i="1"/>
  <c r="A3681" i="1" s="1"/>
  <c r="G3677" i="1"/>
  <c r="A3677" i="1" s="1"/>
  <c r="G3678" i="1"/>
  <c r="A3678" i="1" s="1"/>
  <c r="G3672" i="1"/>
  <c r="A3672" i="1" s="1"/>
  <c r="G3673" i="1"/>
  <c r="A3673" i="1" s="1"/>
  <c r="G3666" i="1"/>
  <c r="A3666" i="1" s="1"/>
  <c r="G3663" i="1"/>
  <c r="A3663" i="1" s="1"/>
  <c r="G3660" i="1"/>
  <c r="A3660" i="1" s="1"/>
  <c r="G3661" i="1"/>
  <c r="A3661" i="1" s="1"/>
  <c r="G3651" i="1"/>
  <c r="A3651" i="1" s="1"/>
  <c r="G3652" i="1"/>
  <c r="A3652" i="1" s="1"/>
  <c r="G3653" i="1"/>
  <c r="A3653" i="1" s="1"/>
  <c r="G3654" i="1"/>
  <c r="A3654" i="1" s="1"/>
  <c r="G3642" i="1"/>
  <c r="A3642" i="1" s="1"/>
  <c r="G3643" i="1"/>
  <c r="A3643" i="1" s="1"/>
  <c r="G3638" i="1"/>
  <c r="A3638" i="1" s="1"/>
  <c r="G3637" i="1"/>
  <c r="A3637" i="1" s="1"/>
  <c r="G3635" i="1"/>
  <c r="A3635" i="1" s="1"/>
  <c r="G3636" i="1"/>
  <c r="A3636" i="1" s="1"/>
  <c r="G3631" i="1"/>
  <c r="A3631" i="1" s="1"/>
  <c r="G3632" i="1"/>
  <c r="A3632" i="1" s="1"/>
  <c r="G3633" i="1"/>
  <c r="A3633" i="1" s="1"/>
  <c r="G3625" i="1"/>
  <c r="A3625" i="1" s="1"/>
  <c r="G3619" i="1"/>
  <c r="A3619" i="1" s="1"/>
  <c r="G3595" i="1"/>
  <c r="A3595" i="1" s="1"/>
  <c r="G3593" i="1"/>
  <c r="A3593" i="1" s="1"/>
  <c r="G3583" i="1"/>
  <c r="A3583" i="1" s="1"/>
  <c r="G3579" i="1"/>
  <c r="A3579" i="1" s="1"/>
  <c r="G3580" i="1"/>
  <c r="G3569" i="1"/>
  <c r="A3569" i="1" s="1"/>
  <c r="G3570" i="1"/>
  <c r="A3570" i="1" s="1"/>
  <c r="G3571" i="1"/>
  <c r="A3571" i="1" s="1"/>
  <c r="G3564" i="1"/>
  <c r="A3564" i="1" s="1"/>
  <c r="G3565" i="1"/>
  <c r="A3565" i="1" s="1"/>
  <c r="G3556" i="1"/>
  <c r="A3556" i="1" s="1"/>
  <c r="G3557" i="1"/>
  <c r="A3557" i="1" s="1"/>
  <c r="G3542" i="1"/>
  <c r="A3542" i="1" s="1"/>
  <c r="G3543" i="1"/>
  <c r="A3543" i="1" s="1"/>
  <c r="G3544" i="1"/>
  <c r="A3544" i="1" s="1"/>
  <c r="G3545" i="1"/>
  <c r="A3545" i="1" s="1"/>
  <c r="G3546" i="1"/>
  <c r="A3546" i="1" s="1"/>
  <c r="G3547" i="1"/>
  <c r="A3547" i="1" s="1"/>
  <c r="G3548" i="1"/>
  <c r="A3548" i="1" s="1"/>
  <c r="G3549" i="1"/>
  <c r="A3549" i="1" s="1"/>
  <c r="G3550" i="1"/>
  <c r="A3550" i="1" s="1"/>
  <c r="G3551" i="1"/>
  <c r="A3551" i="1" s="1"/>
  <c r="G3535" i="1"/>
  <c r="A3535" i="1" s="1"/>
  <c r="G3536" i="1"/>
  <c r="A3536" i="1" s="1"/>
  <c r="G3540" i="1"/>
  <c r="A3540" i="1" s="1"/>
  <c r="G3552" i="1"/>
  <c r="A3552" i="1" s="1"/>
  <c r="G3558" i="1"/>
  <c r="A3558" i="1" s="1"/>
  <c r="G3559" i="1"/>
  <c r="A3559" i="1" s="1"/>
  <c r="G3566" i="1"/>
  <c r="A3566" i="1" s="1"/>
  <c r="G3581" i="1"/>
  <c r="A3581" i="1" s="1"/>
  <c r="G3609" i="1"/>
  <c r="A3609" i="1" s="1"/>
  <c r="G3639" i="1"/>
  <c r="A3639" i="1" s="1"/>
  <c r="G3694" i="1"/>
  <c r="A3694" i="1" s="1"/>
  <c r="G3695" i="1"/>
  <c r="A3695" i="1" s="1"/>
  <c r="G3696" i="1"/>
  <c r="A3696" i="1" s="1"/>
  <c r="G3723" i="1"/>
  <c r="A3723" i="1" s="1"/>
  <c r="G3728" i="1"/>
  <c r="A3728" i="1" s="1"/>
  <c r="G3756" i="1"/>
  <c r="A3756" i="1" s="1"/>
  <c r="G3780" i="1"/>
  <c r="A3780" i="1" s="1"/>
  <c r="G3804" i="1"/>
  <c r="G3805" i="1"/>
  <c r="G3537" i="1"/>
  <c r="A3537" i="1" s="1"/>
  <c r="G3538" i="1"/>
  <c r="A3538" i="1" s="1"/>
  <c r="G3539" i="1"/>
  <c r="A3539" i="1" s="1"/>
  <c r="G3553" i="1"/>
  <c r="A3553" i="1" s="1"/>
  <c r="G3554" i="1"/>
  <c r="A3554" i="1" s="1"/>
  <c r="G3555" i="1"/>
  <c r="A3555" i="1" s="1"/>
  <c r="G3560" i="1"/>
  <c r="A3560" i="1" s="1"/>
  <c r="G3561" i="1"/>
  <c r="A3561" i="1" s="1"/>
  <c r="G3562" i="1"/>
  <c r="A3562" i="1" s="1"/>
  <c r="G3563" i="1"/>
  <c r="A3563" i="1" s="1"/>
  <c r="G3567" i="1"/>
  <c r="A3567" i="1" s="1"/>
  <c r="G3572" i="1"/>
  <c r="A3572" i="1" s="1"/>
  <c r="G3573" i="1"/>
  <c r="A3573" i="1" s="1"/>
  <c r="G3574" i="1"/>
  <c r="A3574" i="1" s="1"/>
  <c r="G3575" i="1"/>
  <c r="A3575" i="1" s="1"/>
  <c r="G3576" i="1"/>
  <c r="A3576" i="1" s="1"/>
  <c r="G3577" i="1"/>
  <c r="A3577" i="1" s="1"/>
  <c r="G3578" i="1"/>
  <c r="A3578" i="1" s="1"/>
  <c r="G3582" i="1"/>
  <c r="A3582" i="1" s="1"/>
  <c r="G3584" i="1"/>
  <c r="A3584" i="1" s="1"/>
  <c r="G3585" i="1"/>
  <c r="A3585" i="1" s="1"/>
  <c r="G3586" i="1"/>
  <c r="A3586" i="1" s="1"/>
  <c r="G3587" i="1"/>
  <c r="A3587" i="1" s="1"/>
  <c r="G3588" i="1"/>
  <c r="A3588" i="1" s="1"/>
  <c r="G3589" i="1"/>
  <c r="A3589" i="1" s="1"/>
  <c r="G3590" i="1"/>
  <c r="A3590" i="1" s="1"/>
  <c r="G3591" i="1"/>
  <c r="A3591" i="1" s="1"/>
  <c r="G3592" i="1"/>
  <c r="A3592" i="1" s="1"/>
  <c r="G3594" i="1"/>
  <c r="A3594" i="1" s="1"/>
  <c r="G3596" i="1"/>
  <c r="A3596" i="1" s="1"/>
  <c r="G3597" i="1"/>
  <c r="A3597" i="1" s="1"/>
  <c r="G3598" i="1"/>
  <c r="A3598" i="1" s="1"/>
  <c r="G3599" i="1"/>
  <c r="A3599" i="1" s="1"/>
  <c r="G3600" i="1"/>
  <c r="A3600" i="1" s="1"/>
  <c r="G3601" i="1"/>
  <c r="A3601" i="1" s="1"/>
  <c r="G3602" i="1"/>
  <c r="A3602" i="1" s="1"/>
  <c r="G3603" i="1"/>
  <c r="A3603" i="1" s="1"/>
  <c r="G3604" i="1"/>
  <c r="A3604" i="1" s="1"/>
  <c r="G3605" i="1"/>
  <c r="A3605" i="1" s="1"/>
  <c r="G3606" i="1"/>
  <c r="A3606" i="1" s="1"/>
  <c r="G3607" i="1"/>
  <c r="A3607" i="1" s="1"/>
  <c r="G3608" i="1"/>
  <c r="A3608" i="1" s="1"/>
  <c r="G3610" i="1"/>
  <c r="A3610" i="1" s="1"/>
  <c r="G3611" i="1"/>
  <c r="A3611" i="1" s="1"/>
  <c r="G3612" i="1"/>
  <c r="A3612" i="1" s="1"/>
  <c r="G3613" i="1"/>
  <c r="A3613" i="1" s="1"/>
  <c r="G3614" i="1"/>
  <c r="A3614" i="1" s="1"/>
  <c r="G3615" i="1"/>
  <c r="A3615" i="1" s="1"/>
  <c r="G3616" i="1"/>
  <c r="A3616" i="1" s="1"/>
  <c r="G3617" i="1"/>
  <c r="A3617" i="1" s="1"/>
  <c r="G3618" i="1"/>
  <c r="A3618" i="1" s="1"/>
  <c r="G3620" i="1"/>
  <c r="A3620" i="1" s="1"/>
  <c r="G3621" i="1"/>
  <c r="A3621" i="1" s="1"/>
  <c r="G3622" i="1"/>
  <c r="A3622" i="1" s="1"/>
  <c r="G3623" i="1"/>
  <c r="A3623" i="1" s="1"/>
  <c r="G3624" i="1"/>
  <c r="A3624" i="1" s="1"/>
  <c r="G3626" i="1"/>
  <c r="A3626" i="1" s="1"/>
  <c r="G3627" i="1"/>
  <c r="A3627" i="1" s="1"/>
  <c r="G3628" i="1"/>
  <c r="A3628" i="1" s="1"/>
  <c r="G3629" i="1"/>
  <c r="A3629" i="1" s="1"/>
  <c r="G3630" i="1"/>
  <c r="A3630" i="1" s="1"/>
  <c r="G3634" i="1"/>
  <c r="A3634" i="1" s="1"/>
  <c r="G3640" i="1"/>
  <c r="A3640" i="1" s="1"/>
  <c r="G3641" i="1"/>
  <c r="A3641" i="1" s="1"/>
  <c r="G3644" i="1"/>
  <c r="A3644" i="1" s="1"/>
  <c r="G3645" i="1"/>
  <c r="A3645" i="1" s="1"/>
  <c r="G3646" i="1"/>
  <c r="A3646" i="1" s="1"/>
  <c r="G3647" i="1"/>
  <c r="A3647" i="1" s="1"/>
  <c r="G3648" i="1"/>
  <c r="A3648" i="1" s="1"/>
  <c r="G3649" i="1"/>
  <c r="A3649" i="1" s="1"/>
  <c r="G3650" i="1"/>
  <c r="A3650" i="1" s="1"/>
  <c r="G3655" i="1"/>
  <c r="A3655" i="1" s="1"/>
  <c r="G3656" i="1"/>
  <c r="A3656" i="1" s="1"/>
  <c r="G3657" i="1"/>
  <c r="A3657" i="1" s="1"/>
  <c r="G3658" i="1"/>
  <c r="A3658" i="1" s="1"/>
  <c r="G3659" i="1"/>
  <c r="A3659" i="1" s="1"/>
  <c r="G3662" i="1"/>
  <c r="A3662" i="1" s="1"/>
  <c r="G3664" i="1"/>
  <c r="A3664" i="1" s="1"/>
  <c r="G3665" i="1"/>
  <c r="A3665" i="1" s="1"/>
  <c r="G3667" i="1"/>
  <c r="A3667" i="1" s="1"/>
  <c r="G3668" i="1"/>
  <c r="A3668" i="1" s="1"/>
  <c r="G3669" i="1"/>
  <c r="A3669" i="1" s="1"/>
  <c r="G3670" i="1"/>
  <c r="A3670" i="1" s="1"/>
  <c r="G3671" i="1"/>
  <c r="A3671" i="1" s="1"/>
  <c r="G3674" i="1"/>
  <c r="A3674" i="1" s="1"/>
  <c r="G3675" i="1"/>
  <c r="A3675" i="1" s="1"/>
  <c r="G3676" i="1"/>
  <c r="A3676" i="1" s="1"/>
  <c r="G3679" i="1"/>
  <c r="A3679" i="1" s="1"/>
  <c r="G3680" i="1"/>
  <c r="A3680" i="1" s="1"/>
  <c r="G3682" i="1"/>
  <c r="A3682" i="1" s="1"/>
  <c r="G3683" i="1"/>
  <c r="A3683" i="1" s="1"/>
  <c r="G3684" i="1"/>
  <c r="A3684" i="1" s="1"/>
  <c r="G3685" i="1"/>
  <c r="A3685" i="1" s="1"/>
  <c r="G3686" i="1"/>
  <c r="A3686" i="1" s="1"/>
  <c r="G3687" i="1"/>
  <c r="A3687" i="1" s="1"/>
  <c r="G3688" i="1"/>
  <c r="A3688" i="1" s="1"/>
  <c r="G3689" i="1"/>
  <c r="A3689" i="1" s="1"/>
  <c r="G3690" i="1"/>
  <c r="A3690" i="1" s="1"/>
  <c r="G3691" i="1"/>
  <c r="A3691" i="1" s="1"/>
  <c r="G3692" i="1"/>
  <c r="A3692" i="1" s="1"/>
  <c r="G3693" i="1"/>
  <c r="A3693" i="1" s="1"/>
  <c r="G3697" i="1"/>
  <c r="A3697" i="1" s="1"/>
  <c r="G3699" i="1"/>
  <c r="A3699" i="1" s="1"/>
  <c r="G3700" i="1"/>
  <c r="A3700" i="1" s="1"/>
  <c r="G3701" i="1"/>
  <c r="A3701" i="1" s="1"/>
  <c r="G3702" i="1"/>
  <c r="A3702" i="1" s="1"/>
  <c r="G3703" i="1"/>
  <c r="A3703" i="1" s="1"/>
  <c r="G3704" i="1"/>
  <c r="A3704" i="1" s="1"/>
  <c r="G3705" i="1"/>
  <c r="A3705" i="1" s="1"/>
  <c r="G3706" i="1"/>
  <c r="A3706" i="1" s="1"/>
  <c r="G3707" i="1"/>
  <c r="A3707" i="1" s="1"/>
  <c r="G3713" i="1"/>
  <c r="A3713" i="1" s="1"/>
  <c r="G3715" i="1"/>
  <c r="A3715" i="1" s="1"/>
  <c r="G3716" i="1"/>
  <c r="A3716" i="1" s="1"/>
  <c r="G3717" i="1"/>
  <c r="A3717" i="1" s="1"/>
  <c r="G3726" i="1"/>
  <c r="A3726" i="1" s="1"/>
  <c r="G3727" i="1"/>
  <c r="A3727" i="1" s="1"/>
  <c r="G3729" i="1"/>
  <c r="A3729" i="1" s="1"/>
  <c r="G3730" i="1"/>
  <c r="A3730" i="1" s="1"/>
  <c r="G3731" i="1"/>
  <c r="A3731" i="1" s="1"/>
  <c r="G3739" i="1"/>
  <c r="A3739" i="1" s="1"/>
  <c r="G3740" i="1"/>
  <c r="A3740" i="1" s="1"/>
  <c r="G3741" i="1"/>
  <c r="A3741" i="1" s="1"/>
  <c r="G3742" i="1"/>
  <c r="A3742" i="1" s="1"/>
  <c r="G3743" i="1"/>
  <c r="A3743" i="1" s="1"/>
  <c r="G3746" i="1"/>
  <c r="A3746" i="1" s="1"/>
  <c r="G3747" i="1"/>
  <c r="A3747" i="1" s="1"/>
  <c r="G3748" i="1"/>
  <c r="A3748" i="1" s="1"/>
  <c r="G3749" i="1"/>
  <c r="A3749" i="1" s="1"/>
  <c r="G3750" i="1"/>
  <c r="A3750" i="1" s="1"/>
  <c r="G3752" i="1"/>
  <c r="A3752" i="1" s="1"/>
  <c r="G3753" i="1"/>
  <c r="A3753" i="1" s="1"/>
  <c r="G3754" i="1"/>
  <c r="A3754" i="1" s="1"/>
  <c r="G3757" i="1"/>
  <c r="A3757" i="1" s="1"/>
  <c r="G3758" i="1"/>
  <c r="A3758" i="1" s="1"/>
  <c r="G3760" i="1"/>
  <c r="A3760" i="1" s="1"/>
  <c r="G3761" i="1"/>
  <c r="A3761" i="1" s="1"/>
  <c r="G3762" i="1"/>
  <c r="A3762" i="1" s="1"/>
  <c r="G3763" i="1"/>
  <c r="A3763" i="1" s="1"/>
  <c r="G3764" i="1"/>
  <c r="A3764" i="1" s="1"/>
  <c r="G3765" i="1"/>
  <c r="A3765" i="1" s="1"/>
  <c r="G3766" i="1"/>
  <c r="A3766" i="1" s="1"/>
  <c r="G3767" i="1"/>
  <c r="A3767" i="1" s="1"/>
  <c r="G3768" i="1"/>
  <c r="A3768" i="1" s="1"/>
  <c r="G3769" i="1"/>
  <c r="A3769" i="1" s="1"/>
  <c r="G3773" i="1"/>
  <c r="A3773" i="1" s="1"/>
  <c r="G3774" i="1"/>
  <c r="A3774" i="1" s="1"/>
  <c r="G3775" i="1"/>
  <c r="A3775" i="1" s="1"/>
  <c r="G3776" i="1"/>
  <c r="A3776" i="1" s="1"/>
  <c r="G3777" i="1"/>
  <c r="A3777" i="1" s="1"/>
  <c r="G3778" i="1"/>
  <c r="A3778" i="1" s="1"/>
  <c r="G3779" i="1"/>
  <c r="A3779" i="1" s="1"/>
  <c r="G3781" i="1"/>
  <c r="A3781" i="1" s="1"/>
  <c r="G3782" i="1"/>
  <c r="A3782" i="1" s="1"/>
  <c r="G3783" i="1"/>
  <c r="A3783" i="1" s="1"/>
  <c r="G3784" i="1"/>
  <c r="A3784" i="1" s="1"/>
  <c r="G3785" i="1"/>
  <c r="A3785" i="1" s="1"/>
  <c r="G3786" i="1"/>
  <c r="A3786" i="1" s="1"/>
  <c r="G3787" i="1"/>
  <c r="A3787" i="1" s="1"/>
  <c r="G3788" i="1"/>
  <c r="G3789" i="1"/>
  <c r="A3789" i="1" s="1"/>
  <c r="G3790" i="1"/>
  <c r="A3790" i="1" s="1"/>
  <c r="G3791" i="1"/>
  <c r="A3791" i="1" s="1"/>
  <c r="G3792" i="1"/>
  <c r="A3792" i="1" s="1"/>
  <c r="G3793" i="1"/>
  <c r="A3793" i="1" s="1"/>
  <c r="G3794" i="1"/>
  <c r="A3794" i="1" s="1"/>
  <c r="G3796" i="1"/>
  <c r="A3796" i="1" s="1"/>
  <c r="G3797" i="1"/>
  <c r="A3797" i="1" s="1"/>
  <c r="G3798" i="1"/>
  <c r="A3798" i="1" s="1"/>
  <c r="G3799" i="1"/>
  <c r="A3799" i="1" s="1"/>
  <c r="G3800" i="1"/>
  <c r="A3800" i="1" s="1"/>
  <c r="G3801" i="1"/>
  <c r="A3801" i="1" s="1"/>
  <c r="G3802" i="1"/>
  <c r="A3802" i="1" s="1"/>
  <c r="G3806" i="1"/>
  <c r="G3807" i="1"/>
  <c r="G3808" i="1"/>
  <c r="G3568" i="1"/>
  <c r="A3568" i="1" s="1"/>
  <c r="G3541" i="1"/>
  <c r="A3541" i="1" s="1"/>
  <c r="G3810" i="1"/>
  <c r="A3810" i="1" s="1"/>
  <c r="A3580" i="1"/>
  <c r="C3808" i="1"/>
  <c r="N3808" i="1" s="1"/>
  <c r="C3807" i="1"/>
  <c r="N3807" i="1" s="1"/>
  <c r="C3806" i="1"/>
  <c r="N3806" i="1" s="1"/>
  <c r="C3788" i="1"/>
  <c r="N3788" i="1" s="1"/>
  <c r="C3804" i="1"/>
  <c r="N3804" i="1" s="1"/>
  <c r="C3805" i="1"/>
  <c r="N3805" i="1" s="1"/>
  <c r="L8" i="7"/>
  <c r="I8" i="7"/>
  <c r="L7" i="7"/>
  <c r="I7" i="7"/>
  <c r="L6" i="7"/>
  <c r="I6" i="7"/>
  <c r="K17" i="6"/>
  <c r="BJ3" i="15"/>
  <c r="BH3" i="15"/>
  <c r="BD3" i="15"/>
  <c r="BE3" i="15"/>
  <c r="BF3" i="15"/>
  <c r="BG3" i="15"/>
  <c r="BI3" i="15"/>
  <c r="BK3" i="15"/>
  <c r="BL3" i="15"/>
  <c r="BM3" i="15"/>
  <c r="BN3" i="15"/>
  <c r="BO3" i="15"/>
  <c r="BD4" i="15"/>
  <c r="BE4" i="15"/>
  <c r="BF4" i="15"/>
  <c r="BG4" i="15"/>
  <c r="BH4" i="15"/>
  <c r="BI4" i="15"/>
  <c r="BJ4" i="15"/>
  <c r="BK4" i="15"/>
  <c r="BL4" i="15"/>
  <c r="BM4" i="15"/>
  <c r="BN4" i="15"/>
  <c r="BO4" i="15"/>
  <c r="BD5" i="15"/>
  <c r="BE5" i="15"/>
  <c r="BF5" i="15"/>
  <c r="BG5" i="15"/>
  <c r="BH5" i="15"/>
  <c r="BI5" i="15"/>
  <c r="BJ5" i="15"/>
  <c r="BK5" i="15"/>
  <c r="BL5" i="15"/>
  <c r="BM5" i="15"/>
  <c r="BN5" i="15"/>
  <c r="BO5" i="15"/>
  <c r="BD6" i="15"/>
  <c r="BE6" i="15"/>
  <c r="BF6" i="15"/>
  <c r="BG6" i="15"/>
  <c r="BH6" i="15"/>
  <c r="BI6" i="15"/>
  <c r="BJ6" i="15"/>
  <c r="BK6" i="15"/>
  <c r="BL6" i="15"/>
  <c r="BM6" i="15"/>
  <c r="BN6" i="15"/>
  <c r="BO6" i="15"/>
  <c r="BD7" i="15"/>
  <c r="BE7" i="15"/>
  <c r="BF7" i="15"/>
  <c r="BG7" i="15"/>
  <c r="BH7" i="15"/>
  <c r="BI7" i="15"/>
  <c r="BJ7" i="15"/>
  <c r="BK7" i="15"/>
  <c r="BL7" i="15"/>
  <c r="BM7" i="15"/>
  <c r="BN7" i="15"/>
  <c r="BO7" i="15"/>
  <c r="BD8" i="15"/>
  <c r="BE8" i="15"/>
  <c r="BF8" i="15"/>
  <c r="BG8" i="15"/>
  <c r="BH8" i="15"/>
  <c r="BI8" i="15"/>
  <c r="BJ8" i="15"/>
  <c r="BK8" i="15"/>
  <c r="BL8" i="15"/>
  <c r="BM8" i="15"/>
  <c r="BN8" i="15"/>
  <c r="BO8" i="15"/>
  <c r="BD9" i="15"/>
  <c r="BE9" i="15"/>
  <c r="BF9" i="15"/>
  <c r="BG9" i="15"/>
  <c r="BH9" i="15"/>
  <c r="BI9" i="15"/>
  <c r="BJ9" i="15"/>
  <c r="BK9" i="15"/>
  <c r="BL9" i="15"/>
  <c r="BM9" i="15"/>
  <c r="BN9" i="15"/>
  <c r="BO9" i="15"/>
  <c r="BD10" i="15"/>
  <c r="BE10" i="15"/>
  <c r="BF10" i="15"/>
  <c r="BG10" i="15"/>
  <c r="BH10" i="15"/>
  <c r="BI10" i="15"/>
  <c r="BJ10" i="15"/>
  <c r="BK10" i="15"/>
  <c r="BL10" i="15"/>
  <c r="BM10" i="15"/>
  <c r="BN10" i="15"/>
  <c r="BO10" i="15"/>
  <c r="BD11" i="15"/>
  <c r="BE11" i="15"/>
  <c r="BF11" i="15"/>
  <c r="BG11" i="15"/>
  <c r="BH11" i="15"/>
  <c r="BI11" i="15"/>
  <c r="BJ11" i="15"/>
  <c r="BK11" i="15"/>
  <c r="BL11" i="15"/>
  <c r="BM11" i="15"/>
  <c r="BN11" i="15"/>
  <c r="BO11" i="15"/>
  <c r="BD12" i="15"/>
  <c r="BE12" i="15"/>
  <c r="BF12" i="15"/>
  <c r="BG12" i="15"/>
  <c r="BH12" i="15"/>
  <c r="BI12" i="15"/>
  <c r="BJ12" i="15"/>
  <c r="BK12" i="15"/>
  <c r="BL12" i="15"/>
  <c r="BM12" i="15"/>
  <c r="BN12" i="15"/>
  <c r="BO12" i="15"/>
  <c r="BD13" i="15"/>
  <c r="BE13" i="15"/>
  <c r="BF13" i="15"/>
  <c r="BG13" i="15"/>
  <c r="BH13" i="15"/>
  <c r="BI13" i="15"/>
  <c r="BJ13" i="15"/>
  <c r="BK13" i="15"/>
  <c r="BL13" i="15"/>
  <c r="BM13" i="15"/>
  <c r="BN13" i="15"/>
  <c r="BO13" i="15"/>
  <c r="BD14" i="15"/>
  <c r="BE14" i="15"/>
  <c r="BF14" i="15"/>
  <c r="BG14" i="15"/>
  <c r="BH14" i="15"/>
  <c r="BI14" i="15"/>
  <c r="BJ14" i="15"/>
  <c r="BK14" i="15"/>
  <c r="BL14" i="15"/>
  <c r="BM14" i="15"/>
  <c r="BN14" i="15"/>
  <c r="BO14" i="15"/>
  <c r="BD15" i="15"/>
  <c r="BE15" i="15"/>
  <c r="BF15" i="15"/>
  <c r="BG15" i="15"/>
  <c r="BH15" i="15"/>
  <c r="BI15" i="15"/>
  <c r="BJ15" i="15"/>
  <c r="BK15" i="15"/>
  <c r="BL15" i="15"/>
  <c r="BM15" i="15"/>
  <c r="BN15" i="15"/>
  <c r="BO15" i="15"/>
  <c r="BD16" i="15"/>
  <c r="BE16" i="15"/>
  <c r="BF16" i="15"/>
  <c r="BG16" i="15"/>
  <c r="BH16" i="15"/>
  <c r="BI16" i="15"/>
  <c r="BJ16" i="15"/>
  <c r="BK16" i="15"/>
  <c r="BL16" i="15"/>
  <c r="BM16" i="15"/>
  <c r="BN16" i="15"/>
  <c r="BO16" i="15"/>
  <c r="BD17" i="15"/>
  <c r="BE17" i="15"/>
  <c r="BF17" i="15"/>
  <c r="BG17" i="15"/>
  <c r="BH17" i="15"/>
  <c r="BI17" i="15"/>
  <c r="BJ17" i="15"/>
  <c r="BK17" i="15"/>
  <c r="BL17" i="15"/>
  <c r="BM17" i="15"/>
  <c r="BN17" i="15"/>
  <c r="BO17" i="15"/>
  <c r="BD18" i="15"/>
  <c r="BE18" i="15"/>
  <c r="BF18" i="15"/>
  <c r="BG18" i="15"/>
  <c r="BH18" i="15"/>
  <c r="BI18" i="15"/>
  <c r="BJ18" i="15"/>
  <c r="BK18" i="15"/>
  <c r="BL18" i="15"/>
  <c r="BM18" i="15"/>
  <c r="BN18" i="15"/>
  <c r="BO18" i="15"/>
  <c r="BL29" i="16"/>
  <c r="A12" i="1"/>
  <c r="A13" i="1"/>
  <c r="A357" i="1"/>
  <c r="A379" i="1"/>
  <c r="A778" i="1"/>
  <c r="N3465" i="1"/>
  <c r="N3084" i="1"/>
  <c r="N3093" i="1"/>
  <c r="N3095" i="1"/>
  <c r="N3099" i="1"/>
  <c r="N3123" i="1"/>
  <c r="N3122" i="1"/>
  <c r="N3146" i="1"/>
  <c r="N3145" i="1"/>
  <c r="N3151" i="1"/>
  <c r="N3158" i="1"/>
  <c r="N3178" i="1"/>
  <c r="N3181" i="1"/>
  <c r="N3184" i="1"/>
  <c r="N3191" i="1"/>
  <c r="N3190" i="1"/>
  <c r="N3239" i="1"/>
  <c r="N3243" i="1"/>
  <c r="N3245" i="1"/>
  <c r="N3270" i="1"/>
  <c r="N3269" i="1"/>
  <c r="N3268" i="1"/>
  <c r="N3293" i="1"/>
  <c r="N3308" i="1"/>
  <c r="N3307" i="1"/>
  <c r="N3328" i="1"/>
  <c r="N3327" i="1"/>
  <c r="N3347" i="1"/>
  <c r="N3369" i="1"/>
  <c r="N3408" i="1"/>
  <c r="N3407" i="1"/>
  <c r="N3412" i="1"/>
  <c r="N3415" i="1"/>
  <c r="N3431" i="1"/>
  <c r="N3447" i="1"/>
  <c r="N3446" i="1"/>
  <c r="N3445" i="1"/>
  <c r="N3058" i="1"/>
  <c r="N3077" i="1"/>
  <c r="N3076" i="1"/>
  <c r="N3080" i="1"/>
  <c r="N3079" i="1"/>
  <c r="N3078" i="1"/>
  <c r="N3083" i="1"/>
  <c r="N3082" i="1"/>
  <c r="N3081" i="1"/>
  <c r="N3086" i="1"/>
  <c r="N3085" i="1"/>
  <c r="N3089" i="1"/>
  <c r="N3088" i="1"/>
  <c r="N3087" i="1"/>
  <c r="N3092" i="1"/>
  <c r="N3091" i="1"/>
  <c r="N3094" i="1"/>
  <c r="N3098" i="1"/>
  <c r="N3108" i="1"/>
  <c r="N3120" i="1"/>
  <c r="N3119" i="1"/>
  <c r="N3118" i="1"/>
  <c r="N3121" i="1"/>
  <c r="N3124" i="1"/>
  <c r="N3129" i="1"/>
  <c r="N3128" i="1"/>
  <c r="N3130" i="1"/>
  <c r="N3140" i="1"/>
  <c r="N3139" i="1"/>
  <c r="N3138" i="1"/>
  <c r="N3137" i="1"/>
  <c r="N3136" i="1"/>
  <c r="N3135" i="1"/>
  <c r="N3142" i="1"/>
  <c r="N3143" i="1"/>
  <c r="N3144" i="1"/>
  <c r="N3148" i="1"/>
  <c r="N3149" i="1"/>
  <c r="N3152" i="1"/>
  <c r="N3154" i="1"/>
  <c r="N3153" i="1"/>
  <c r="N3157" i="1"/>
  <c r="N3156" i="1"/>
  <c r="N3155" i="1"/>
  <c r="N3166" i="1"/>
  <c r="N3165" i="1"/>
  <c r="N3167" i="1"/>
  <c r="N3168" i="1"/>
  <c r="N3170" i="1"/>
  <c r="N3169" i="1"/>
  <c r="N3171" i="1"/>
  <c r="N3172" i="1"/>
  <c r="N3175" i="1"/>
  <c r="N3174" i="1"/>
  <c r="N3173" i="1"/>
  <c r="N3177" i="1"/>
  <c r="N3180" i="1"/>
  <c r="N3183" i="1"/>
  <c r="N3182" i="1"/>
  <c r="N3189" i="1"/>
  <c r="N3188" i="1"/>
  <c r="N3195" i="1"/>
  <c r="N3196" i="1"/>
  <c r="N3197" i="1"/>
  <c r="N3198" i="1"/>
  <c r="N3200" i="1"/>
  <c r="N3199" i="1"/>
  <c r="N3202" i="1"/>
  <c r="N3201" i="1"/>
  <c r="N3205" i="1"/>
  <c r="N3204" i="1"/>
  <c r="N3206" i="1"/>
  <c r="N3209" i="1"/>
  <c r="N3208" i="1"/>
  <c r="N3207" i="1"/>
  <c r="N3213" i="1"/>
  <c r="N3212" i="1"/>
  <c r="N3211" i="1"/>
  <c r="N3210" i="1"/>
  <c r="N3216" i="1"/>
  <c r="N3217" i="1"/>
  <c r="N3218" i="1"/>
  <c r="N3219" i="1"/>
  <c r="N3221" i="1"/>
  <c r="N3220" i="1"/>
  <c r="N3223" i="1"/>
  <c r="N3222" i="1"/>
  <c r="N3226" i="1"/>
  <c r="N3225" i="1"/>
  <c r="N3224" i="1"/>
  <c r="N3232" i="1"/>
  <c r="N3231" i="1"/>
  <c r="N3230" i="1"/>
  <c r="N3229" i="1"/>
  <c r="N3233" i="1"/>
  <c r="N3238" i="1"/>
  <c r="N3237" i="1"/>
  <c r="N3241" i="1"/>
  <c r="N3244" i="1"/>
  <c r="N3255" i="1"/>
  <c r="N3254" i="1"/>
  <c r="N3253" i="1"/>
  <c r="N3252" i="1"/>
  <c r="N3259" i="1"/>
  <c r="N3258" i="1"/>
  <c r="N3257" i="1"/>
  <c r="N3256" i="1"/>
  <c r="N3267" i="1"/>
  <c r="N3266" i="1"/>
  <c r="N3273" i="1"/>
  <c r="N3272" i="1"/>
  <c r="N3278" i="1"/>
  <c r="N3277" i="1"/>
  <c r="N3276" i="1"/>
  <c r="N3275" i="1"/>
  <c r="N3274" i="1"/>
  <c r="N3279" i="1"/>
  <c r="N3281" i="1"/>
  <c r="N3282" i="1"/>
  <c r="N3284" i="1"/>
  <c r="N3283" i="1"/>
  <c r="N3287" i="1"/>
  <c r="N3286" i="1"/>
  <c r="N3285" i="1"/>
  <c r="N3292" i="1"/>
  <c r="N3291" i="1"/>
  <c r="N3290" i="1"/>
  <c r="N3289" i="1"/>
  <c r="N3288" i="1"/>
  <c r="N3295" i="1"/>
  <c r="N3298" i="1"/>
  <c r="N3297" i="1"/>
  <c r="N3296" i="1"/>
  <c r="N3299" i="1"/>
  <c r="N3300" i="1"/>
  <c r="N3305" i="1"/>
  <c r="N3304" i="1"/>
  <c r="N3306" i="1"/>
  <c r="N3312" i="1"/>
  <c r="N3311" i="1"/>
  <c r="N3310" i="1"/>
  <c r="N3309" i="1"/>
  <c r="N3316" i="1"/>
  <c r="N3315" i="1"/>
  <c r="N3320" i="1"/>
  <c r="N3319" i="1"/>
  <c r="N3318" i="1"/>
  <c r="N3317" i="1"/>
  <c r="N3323" i="1"/>
  <c r="N3322" i="1"/>
  <c r="N3321" i="1"/>
  <c r="N3324" i="1"/>
  <c r="N3326" i="1"/>
  <c r="N3325" i="1"/>
  <c r="N3332" i="1"/>
  <c r="N3331" i="1"/>
  <c r="N3330" i="1"/>
  <c r="N3329" i="1"/>
  <c r="N3339" i="1"/>
  <c r="N3338" i="1"/>
  <c r="N3337" i="1"/>
  <c r="N3336" i="1"/>
  <c r="N3335" i="1"/>
  <c r="N3352" i="1"/>
  <c r="N3351" i="1"/>
  <c r="N3350" i="1"/>
  <c r="N3356" i="1"/>
  <c r="N3355" i="1"/>
  <c r="N3354" i="1"/>
  <c r="N3353" i="1"/>
  <c r="N3358" i="1"/>
  <c r="N3357" i="1"/>
  <c r="N3360" i="1"/>
  <c r="N3359" i="1"/>
  <c r="N3363" i="1"/>
  <c r="N3368" i="1"/>
  <c r="N3367" i="1"/>
  <c r="N3366" i="1"/>
  <c r="N3365" i="1"/>
  <c r="N3364" i="1"/>
  <c r="N3370" i="1"/>
  <c r="N3371" i="1"/>
  <c r="N3377" i="1"/>
  <c r="N3376" i="1"/>
  <c r="N3375" i="1"/>
  <c r="N3374" i="1"/>
  <c r="N3373" i="1"/>
  <c r="N3372" i="1"/>
  <c r="N3381" i="1"/>
  <c r="N3380" i="1"/>
  <c r="N3379" i="1"/>
  <c r="N3378" i="1"/>
  <c r="N3383" i="1"/>
  <c r="N3382" i="1"/>
  <c r="N3385" i="1"/>
  <c r="N3386" i="1"/>
  <c r="N3389" i="1"/>
  <c r="N3388" i="1"/>
  <c r="N3387" i="1"/>
  <c r="N3396" i="1"/>
  <c r="N3395" i="1"/>
  <c r="N3394" i="1"/>
  <c r="N3393" i="1"/>
  <c r="N3399" i="1"/>
  <c r="N3398" i="1"/>
  <c r="N3402" i="1"/>
  <c r="N3401" i="1"/>
  <c r="N3400" i="1"/>
  <c r="N3406" i="1"/>
  <c r="N3405" i="1"/>
  <c r="N3404" i="1"/>
  <c r="N3403" i="1"/>
  <c r="N3411" i="1"/>
  <c r="N3410" i="1"/>
  <c r="N3414" i="1"/>
  <c r="N3413" i="1"/>
  <c r="N3419" i="1"/>
  <c r="N3418" i="1"/>
  <c r="N3427" i="1"/>
  <c r="N3426" i="1"/>
  <c r="N3425" i="1"/>
  <c r="N3424" i="1"/>
  <c r="N3423" i="1"/>
  <c r="N3422" i="1"/>
  <c r="N3421" i="1"/>
  <c r="N3420" i="1"/>
  <c r="N3430" i="1"/>
  <c r="N3437" i="1"/>
  <c r="N3436" i="1"/>
  <c r="N3435" i="1"/>
  <c r="N3434" i="1"/>
  <c r="N3433" i="1"/>
  <c r="N3432" i="1"/>
  <c r="N3438" i="1"/>
  <c r="N3440" i="1"/>
  <c r="N3439" i="1"/>
  <c r="N3444" i="1"/>
  <c r="N3448" i="1"/>
  <c r="N3456" i="1"/>
  <c r="N3455" i="1"/>
  <c r="N3454" i="1"/>
  <c r="N3453" i="1"/>
  <c r="N3452" i="1"/>
  <c r="N3451" i="1"/>
  <c r="N3450" i="1"/>
  <c r="N3458" i="1"/>
  <c r="N3457" i="1"/>
  <c r="N3460" i="1"/>
  <c r="N3464" i="1"/>
  <c r="N3463" i="1"/>
  <c r="N3462" i="1"/>
  <c r="N3461" i="1"/>
  <c r="N3468" i="1"/>
  <c r="N3467" i="1"/>
  <c r="N3466" i="1"/>
  <c r="N3471" i="1"/>
  <c r="N3470" i="1"/>
  <c r="N3475" i="1"/>
  <c r="N3474" i="1"/>
  <c r="N3473" i="1"/>
  <c r="N3472" i="1"/>
  <c r="N3476" i="1"/>
  <c r="N3481" i="1"/>
  <c r="N3480" i="1"/>
  <c r="N3479" i="1"/>
  <c r="N3478" i="1"/>
  <c r="N3477" i="1"/>
  <c r="N3486" i="1"/>
  <c r="N3485" i="1"/>
  <c r="N3484" i="1"/>
  <c r="N3483" i="1"/>
  <c r="N3482" i="1"/>
  <c r="N3491" i="1"/>
  <c r="N3490" i="1"/>
  <c r="N3489" i="1"/>
  <c r="N3488" i="1"/>
  <c r="N3497" i="1"/>
  <c r="N3496" i="1"/>
  <c r="N3495" i="1"/>
  <c r="N3494" i="1"/>
  <c r="N3504" i="1"/>
  <c r="N3503" i="1"/>
  <c r="N3502" i="1"/>
  <c r="N3501" i="1"/>
  <c r="N3509" i="1"/>
  <c r="N3508" i="1"/>
  <c r="N3507" i="1"/>
  <c r="N3506" i="1"/>
  <c r="N3505" i="1"/>
  <c r="N3511" i="1"/>
  <c r="N3510" i="1"/>
  <c r="N3512" i="1"/>
  <c r="N3521" i="1"/>
  <c r="N3520" i="1"/>
  <c r="N3519" i="1"/>
  <c r="N3518" i="1"/>
  <c r="N3527" i="1"/>
  <c r="N3526" i="1"/>
  <c r="N3525" i="1"/>
  <c r="N3524" i="1"/>
  <c r="N3523" i="1"/>
  <c r="N3522" i="1"/>
  <c r="N3062" i="1"/>
  <c r="N3061" i="1"/>
  <c r="N3090" i="1"/>
  <c r="N3097" i="1"/>
  <c r="N3107" i="1"/>
  <c r="N3106" i="1"/>
  <c r="N3105" i="1"/>
  <c r="N3104" i="1"/>
  <c r="N3103" i="1"/>
  <c r="N3114" i="1"/>
  <c r="N3117" i="1"/>
  <c r="N3116" i="1"/>
  <c r="N3127" i="1"/>
  <c r="N3126" i="1"/>
  <c r="N3147" i="1"/>
  <c r="N3150" i="1"/>
  <c r="N3164" i="1"/>
  <c r="N3163" i="1"/>
  <c r="N3162" i="1"/>
  <c r="N3161" i="1"/>
  <c r="N3160" i="1"/>
  <c r="N3159" i="1"/>
  <c r="N3176" i="1"/>
  <c r="N3179" i="1"/>
  <c r="N3187" i="1"/>
  <c r="N3186" i="1"/>
  <c r="N3185" i="1"/>
  <c r="N3192" i="1"/>
  <c r="N3194" i="1"/>
  <c r="N3193" i="1"/>
  <c r="N3203" i="1"/>
  <c r="N3215" i="1"/>
  <c r="N3214" i="1"/>
  <c r="N3228" i="1"/>
  <c r="N3227" i="1"/>
  <c r="N3236" i="1"/>
  <c r="N3235" i="1"/>
  <c r="N3234" i="1"/>
  <c r="N3240" i="1"/>
  <c r="N3242" i="1"/>
  <c r="N3249" i="1"/>
  <c r="N3248" i="1"/>
  <c r="N3247" i="1"/>
  <c r="N3246" i="1"/>
  <c r="N3251" i="1"/>
  <c r="N3250" i="1"/>
  <c r="N3265" i="1"/>
  <c r="N3264" i="1"/>
  <c r="N3263" i="1"/>
  <c r="N3262" i="1"/>
  <c r="N3261" i="1"/>
  <c r="N3260" i="1"/>
  <c r="N3271" i="1"/>
  <c r="N3280" i="1"/>
  <c r="N3294" i="1"/>
  <c r="N3303" i="1"/>
  <c r="N3302" i="1"/>
  <c r="N3301" i="1"/>
  <c r="N3314" i="1"/>
  <c r="N3313" i="1"/>
  <c r="N3334" i="1"/>
  <c r="N3333" i="1"/>
  <c r="N3343" i="1"/>
  <c r="N3342" i="1"/>
  <c r="N3341" i="1"/>
  <c r="N3340" i="1"/>
  <c r="N3346" i="1"/>
  <c r="N3345" i="1"/>
  <c r="N3344" i="1"/>
  <c r="N3349" i="1"/>
  <c r="N3348" i="1"/>
  <c r="N3362" i="1"/>
  <c r="N3361" i="1"/>
  <c r="N3384" i="1"/>
  <c r="N3392" i="1"/>
  <c r="N3391" i="1"/>
  <c r="N3390" i="1"/>
  <c r="N3397" i="1"/>
  <c r="N3409" i="1"/>
  <c r="N3417" i="1"/>
  <c r="N3416" i="1"/>
  <c r="N3429" i="1"/>
  <c r="N3428" i="1"/>
  <c r="N3443" i="1"/>
  <c r="N3442" i="1"/>
  <c r="N3441" i="1"/>
  <c r="N3449" i="1"/>
  <c r="N3459" i="1"/>
  <c r="N3469" i="1"/>
  <c r="N3499" i="1"/>
  <c r="N3498" i="1"/>
  <c r="N3517" i="1"/>
  <c r="N3516" i="1"/>
  <c r="N3515" i="1"/>
  <c r="N3514" i="1"/>
  <c r="N3513" i="1"/>
  <c r="N3531" i="1"/>
  <c r="N3530" i="1"/>
  <c r="G3516" i="1"/>
  <c r="A3516" i="1" s="1"/>
  <c r="N3534" i="1"/>
  <c r="C3487" i="1"/>
  <c r="N3487" i="1" s="1"/>
  <c r="C3493" i="1"/>
  <c r="N3493" i="1" s="1"/>
  <c r="C3492" i="1"/>
  <c r="N3492" i="1" s="1"/>
  <c r="C3500" i="1"/>
  <c r="N3500" i="1" s="1"/>
  <c r="N3529" i="1"/>
  <c r="N3528" i="1"/>
  <c r="N3533" i="1"/>
  <c r="N3532" i="1"/>
  <c r="G3530" i="1"/>
  <c r="A3530" i="1" s="1"/>
  <c r="G3531" i="1"/>
  <c r="A3531" i="1" s="1"/>
  <c r="G3513" i="1"/>
  <c r="A3513" i="1" s="1"/>
  <c r="G3514" i="1"/>
  <c r="A3514" i="1" s="1"/>
  <c r="G3515" i="1"/>
  <c r="A3515" i="1" s="1"/>
  <c r="G3517" i="1"/>
  <c r="A3517" i="1" s="1"/>
  <c r="G3498" i="1"/>
  <c r="A3498" i="1" s="1"/>
  <c r="G3499" i="1"/>
  <c r="A3499" i="1" s="1"/>
  <c r="G3469" i="1"/>
  <c r="A3469" i="1" s="1"/>
  <c r="G3459" i="1"/>
  <c r="A3459" i="1" s="1"/>
  <c r="G3449" i="1"/>
  <c r="A3449" i="1" s="1"/>
  <c r="G3441" i="1"/>
  <c r="A3441" i="1" s="1"/>
  <c r="G3442" i="1"/>
  <c r="A3442" i="1" s="1"/>
  <c r="G3443" i="1"/>
  <c r="A3443" i="1" s="1"/>
  <c r="G3428" i="1"/>
  <c r="A3428" i="1" s="1"/>
  <c r="G3429" i="1"/>
  <c r="A3429" i="1" s="1"/>
  <c r="G3416" i="1"/>
  <c r="A3416" i="1" s="1"/>
  <c r="G3417" i="1"/>
  <c r="A3417" i="1" s="1"/>
  <c r="G3409" i="1"/>
  <c r="A3409" i="1" s="1"/>
  <c r="G3397" i="1"/>
  <c r="A3397" i="1" s="1"/>
  <c r="G3390" i="1"/>
  <c r="A3390" i="1" s="1"/>
  <c r="G3391" i="1"/>
  <c r="A3391" i="1" s="1"/>
  <c r="G3392" i="1"/>
  <c r="A3392" i="1" s="1"/>
  <c r="G3384" i="1"/>
  <c r="A3384" i="1" s="1"/>
  <c r="G3361" i="1"/>
  <c r="A3361" i="1" s="1"/>
  <c r="G3362" i="1"/>
  <c r="A3362" i="1" s="1"/>
  <c r="G3348" i="1"/>
  <c r="A3348" i="1" s="1"/>
  <c r="G3349" i="1"/>
  <c r="A3349" i="1" s="1"/>
  <c r="G3344" i="1"/>
  <c r="A3344" i="1" s="1"/>
  <c r="G3345" i="1"/>
  <c r="A3345" i="1" s="1"/>
  <c r="G3346" i="1"/>
  <c r="A3346" i="1" s="1"/>
  <c r="G3340" i="1"/>
  <c r="A3340" i="1" s="1"/>
  <c r="G3341" i="1"/>
  <c r="A3341" i="1" s="1"/>
  <c r="G3342" i="1"/>
  <c r="A3342" i="1" s="1"/>
  <c r="G3343" i="1"/>
  <c r="A3343" i="1" s="1"/>
  <c r="G3333" i="1"/>
  <c r="A3333" i="1" s="1"/>
  <c r="G3334" i="1"/>
  <c r="A3334" i="1" s="1"/>
  <c r="G3313" i="1"/>
  <c r="A3313" i="1" s="1"/>
  <c r="G3314" i="1"/>
  <c r="A3314" i="1" s="1"/>
  <c r="G3301" i="1"/>
  <c r="A3301" i="1" s="1"/>
  <c r="G3302" i="1"/>
  <c r="A3302" i="1" s="1"/>
  <c r="G3303" i="1"/>
  <c r="A3303" i="1" s="1"/>
  <c r="G3294" i="1"/>
  <c r="A3294" i="1" s="1"/>
  <c r="G3280" i="1"/>
  <c r="A3280" i="1" s="1"/>
  <c r="G3271" i="1"/>
  <c r="A3271" i="1" s="1"/>
  <c r="G3260" i="1"/>
  <c r="A3260" i="1" s="1"/>
  <c r="G3261" i="1"/>
  <c r="A3261" i="1" s="1"/>
  <c r="G3262" i="1"/>
  <c r="A3262" i="1" s="1"/>
  <c r="G3263" i="1"/>
  <c r="A3263" i="1" s="1"/>
  <c r="G3264" i="1"/>
  <c r="A3264" i="1" s="1"/>
  <c r="G3265" i="1"/>
  <c r="A3265" i="1" s="1"/>
  <c r="G3250" i="1"/>
  <c r="A3250" i="1" s="1"/>
  <c r="G3251" i="1"/>
  <c r="A3251" i="1" s="1"/>
  <c r="G3246" i="1"/>
  <c r="A3246" i="1" s="1"/>
  <c r="G3247" i="1"/>
  <c r="A3247" i="1" s="1"/>
  <c r="G3248" i="1"/>
  <c r="A3248" i="1" s="1"/>
  <c r="G3249" i="1"/>
  <c r="A3249" i="1" s="1"/>
  <c r="G3242" i="1"/>
  <c r="A3242" i="1" s="1"/>
  <c r="G3240" i="1"/>
  <c r="A3240" i="1" s="1"/>
  <c r="G3234" i="1"/>
  <c r="A3234" i="1" s="1"/>
  <c r="G3235" i="1"/>
  <c r="A3235" i="1" s="1"/>
  <c r="G3236" i="1"/>
  <c r="A3236" i="1" s="1"/>
  <c r="G3227" i="1"/>
  <c r="A3227" i="1" s="1"/>
  <c r="G3228" i="1"/>
  <c r="A3228" i="1" s="1"/>
  <c r="G3214" i="1"/>
  <c r="A3214" i="1" s="1"/>
  <c r="G3215" i="1"/>
  <c r="A3215" i="1" s="1"/>
  <c r="G3203" i="1"/>
  <c r="A3203" i="1" s="1"/>
  <c r="G3193" i="1"/>
  <c r="A3193" i="1" s="1"/>
  <c r="G3194" i="1"/>
  <c r="A3194" i="1" s="1"/>
  <c r="G3192" i="1"/>
  <c r="A3192" i="1" s="1"/>
  <c r="G3185" i="1"/>
  <c r="A3185" i="1" s="1"/>
  <c r="G3186" i="1"/>
  <c r="A3186" i="1" s="1"/>
  <c r="G3187" i="1"/>
  <c r="A3187" i="1" s="1"/>
  <c r="G3179" i="1"/>
  <c r="A3179" i="1" s="1"/>
  <c r="G3176" i="1"/>
  <c r="A3176" i="1" s="1"/>
  <c r="G3159" i="1"/>
  <c r="A3159" i="1" s="1"/>
  <c r="G3160" i="1"/>
  <c r="A3160" i="1" s="1"/>
  <c r="G3161" i="1"/>
  <c r="A3161" i="1" s="1"/>
  <c r="G3162" i="1"/>
  <c r="A3162" i="1" s="1"/>
  <c r="G3163" i="1"/>
  <c r="A3163" i="1" s="1"/>
  <c r="G3164" i="1"/>
  <c r="A3164" i="1" s="1"/>
  <c r="G3150" i="1"/>
  <c r="A3150" i="1" s="1"/>
  <c r="G3147" i="1"/>
  <c r="A3147" i="1" s="1"/>
  <c r="G3126" i="1"/>
  <c r="A3126" i="1" s="1"/>
  <c r="G3127" i="1"/>
  <c r="A3127" i="1" s="1"/>
  <c r="G3116" i="1"/>
  <c r="A3116" i="1" s="1"/>
  <c r="G3117" i="1"/>
  <c r="A3117" i="1" s="1"/>
  <c r="G3114" i="1"/>
  <c r="A3114" i="1" s="1"/>
  <c r="G3103" i="1"/>
  <c r="A3103" i="1" s="1"/>
  <c r="G3104" i="1"/>
  <c r="A3104" i="1" s="1"/>
  <c r="G3105" i="1"/>
  <c r="A3105" i="1" s="1"/>
  <c r="G3106" i="1"/>
  <c r="A3106" i="1" s="1"/>
  <c r="G3107" i="1"/>
  <c r="A3107" i="1" s="1"/>
  <c r="G3097" i="1"/>
  <c r="A3097" i="1" s="1"/>
  <c r="G3090" i="1"/>
  <c r="A3090" i="1" s="1"/>
  <c r="G3061" i="1"/>
  <c r="A3061" i="1" s="1"/>
  <c r="G3062" i="1"/>
  <c r="A3062" i="1" s="1"/>
  <c r="G3532" i="1"/>
  <c r="G3533" i="1"/>
  <c r="G3528" i="1"/>
  <c r="G3529" i="1"/>
  <c r="G3522" i="1"/>
  <c r="A3522" i="1" s="1"/>
  <c r="G3523" i="1"/>
  <c r="A3523" i="1" s="1"/>
  <c r="G3524" i="1"/>
  <c r="A3524" i="1" s="1"/>
  <c r="G3525" i="1"/>
  <c r="A3525" i="1" s="1"/>
  <c r="G3526" i="1"/>
  <c r="A3526" i="1" s="1"/>
  <c r="G3527" i="1"/>
  <c r="A3527" i="1" s="1"/>
  <c r="G3518" i="1"/>
  <c r="A3518" i="1" s="1"/>
  <c r="G3519" i="1"/>
  <c r="A3519" i="1" s="1"/>
  <c r="G3520" i="1"/>
  <c r="A3520" i="1" s="1"/>
  <c r="G3521" i="1"/>
  <c r="A3521" i="1" s="1"/>
  <c r="G3512" i="1"/>
  <c r="A3512" i="1" s="1"/>
  <c r="G3510" i="1"/>
  <c r="A3510" i="1" s="1"/>
  <c r="G3511" i="1"/>
  <c r="A3511" i="1" s="1"/>
  <c r="G3505" i="1"/>
  <c r="A3505" i="1" s="1"/>
  <c r="G3506" i="1"/>
  <c r="A3506" i="1" s="1"/>
  <c r="G3507" i="1"/>
  <c r="A3507" i="1" s="1"/>
  <c r="G3508" i="1"/>
  <c r="A3508" i="1" s="1"/>
  <c r="G3509" i="1"/>
  <c r="A3509" i="1" s="1"/>
  <c r="G3500" i="1"/>
  <c r="G3501" i="1"/>
  <c r="A3501" i="1" s="1"/>
  <c r="G3502" i="1"/>
  <c r="A3502" i="1" s="1"/>
  <c r="G3503" i="1"/>
  <c r="A3503" i="1" s="1"/>
  <c r="G3504" i="1"/>
  <c r="A3504" i="1" s="1"/>
  <c r="G3492" i="1"/>
  <c r="G3493" i="1"/>
  <c r="G3494" i="1"/>
  <c r="A3494" i="1" s="1"/>
  <c r="G3495" i="1"/>
  <c r="A3495" i="1" s="1"/>
  <c r="G3496" i="1"/>
  <c r="A3496" i="1" s="1"/>
  <c r="G3497" i="1"/>
  <c r="A3497" i="1" s="1"/>
  <c r="G3487" i="1"/>
  <c r="G3488" i="1"/>
  <c r="A3488" i="1" s="1"/>
  <c r="G3489" i="1"/>
  <c r="A3489" i="1" s="1"/>
  <c r="G3490" i="1"/>
  <c r="A3490" i="1" s="1"/>
  <c r="G3491" i="1"/>
  <c r="A3491" i="1" s="1"/>
  <c r="G3482" i="1"/>
  <c r="A3482" i="1" s="1"/>
  <c r="G3483" i="1"/>
  <c r="A3483" i="1" s="1"/>
  <c r="G3484" i="1"/>
  <c r="A3484" i="1" s="1"/>
  <c r="G3485" i="1"/>
  <c r="A3485" i="1" s="1"/>
  <c r="G3486" i="1"/>
  <c r="A3486" i="1" s="1"/>
  <c r="G3477" i="1"/>
  <c r="A3477" i="1" s="1"/>
  <c r="G3478" i="1"/>
  <c r="A3478" i="1" s="1"/>
  <c r="G3479" i="1"/>
  <c r="A3479" i="1" s="1"/>
  <c r="G3480" i="1"/>
  <c r="A3480" i="1" s="1"/>
  <c r="G3481" i="1"/>
  <c r="A3481" i="1" s="1"/>
  <c r="G3476" i="1"/>
  <c r="A3476" i="1" s="1"/>
  <c r="G3472" i="1"/>
  <c r="A3472" i="1" s="1"/>
  <c r="G3473" i="1"/>
  <c r="A3473" i="1" s="1"/>
  <c r="G3474" i="1"/>
  <c r="A3474" i="1" s="1"/>
  <c r="G3475" i="1"/>
  <c r="A3475" i="1" s="1"/>
  <c r="G3470" i="1"/>
  <c r="A3470" i="1" s="1"/>
  <c r="G3471" i="1"/>
  <c r="A3471" i="1" s="1"/>
  <c r="G3466" i="1"/>
  <c r="A3466" i="1" s="1"/>
  <c r="G3467" i="1"/>
  <c r="A3467" i="1" s="1"/>
  <c r="G3468" i="1"/>
  <c r="A3468" i="1" s="1"/>
  <c r="G3461" i="1"/>
  <c r="A3461" i="1" s="1"/>
  <c r="G3462" i="1"/>
  <c r="A3462" i="1" s="1"/>
  <c r="G3463" i="1"/>
  <c r="A3463" i="1" s="1"/>
  <c r="G3464" i="1"/>
  <c r="A3464" i="1" s="1"/>
  <c r="G3460" i="1"/>
  <c r="A3460" i="1" s="1"/>
  <c r="G3457" i="1"/>
  <c r="A3457" i="1" s="1"/>
  <c r="G3458" i="1"/>
  <c r="A3458" i="1" s="1"/>
  <c r="G3450" i="1"/>
  <c r="A3450" i="1" s="1"/>
  <c r="G3451" i="1"/>
  <c r="A3451" i="1" s="1"/>
  <c r="G3452" i="1"/>
  <c r="A3452" i="1" s="1"/>
  <c r="G3453" i="1"/>
  <c r="A3453" i="1" s="1"/>
  <c r="G3454" i="1"/>
  <c r="A3454" i="1" s="1"/>
  <c r="G3455" i="1"/>
  <c r="A3455" i="1" s="1"/>
  <c r="G3456" i="1"/>
  <c r="A3456" i="1" s="1"/>
  <c r="G3448" i="1"/>
  <c r="A3448" i="1" s="1"/>
  <c r="G3444" i="1"/>
  <c r="A3444" i="1" s="1"/>
  <c r="G3439" i="1"/>
  <c r="A3439" i="1" s="1"/>
  <c r="G3440" i="1"/>
  <c r="A3440" i="1" s="1"/>
  <c r="G3438" i="1"/>
  <c r="A3438" i="1" s="1"/>
  <c r="G3432" i="1"/>
  <c r="A3432" i="1" s="1"/>
  <c r="G3433" i="1"/>
  <c r="A3433" i="1" s="1"/>
  <c r="G3434" i="1"/>
  <c r="A3434" i="1" s="1"/>
  <c r="G3435" i="1"/>
  <c r="A3435" i="1" s="1"/>
  <c r="G3436" i="1"/>
  <c r="A3436" i="1" s="1"/>
  <c r="G3437" i="1"/>
  <c r="A3437" i="1" s="1"/>
  <c r="G3430" i="1"/>
  <c r="A3430" i="1" s="1"/>
  <c r="G3420" i="1"/>
  <c r="A3420" i="1" s="1"/>
  <c r="G3421" i="1"/>
  <c r="A3421" i="1" s="1"/>
  <c r="G3422" i="1"/>
  <c r="A3422" i="1" s="1"/>
  <c r="G3423" i="1"/>
  <c r="A3423" i="1" s="1"/>
  <c r="G3424" i="1"/>
  <c r="A3424" i="1" s="1"/>
  <c r="G3425" i="1"/>
  <c r="A3425" i="1" s="1"/>
  <c r="G3426" i="1"/>
  <c r="A3426" i="1" s="1"/>
  <c r="G3427" i="1"/>
  <c r="A3427" i="1" s="1"/>
  <c r="G3418" i="1"/>
  <c r="A3418" i="1" s="1"/>
  <c r="G3419" i="1"/>
  <c r="A3419" i="1" s="1"/>
  <c r="G3413" i="1"/>
  <c r="A3413" i="1" s="1"/>
  <c r="G3414" i="1"/>
  <c r="A3414" i="1" s="1"/>
  <c r="G3410" i="1"/>
  <c r="A3410" i="1" s="1"/>
  <c r="G3411" i="1"/>
  <c r="A3411" i="1" s="1"/>
  <c r="G3403" i="1"/>
  <c r="A3403" i="1" s="1"/>
  <c r="G3404" i="1"/>
  <c r="A3404" i="1" s="1"/>
  <c r="G3405" i="1"/>
  <c r="A3405" i="1" s="1"/>
  <c r="G3406" i="1"/>
  <c r="A3406" i="1" s="1"/>
  <c r="G3400" i="1"/>
  <c r="A3400" i="1" s="1"/>
  <c r="G3401" i="1"/>
  <c r="A3401" i="1" s="1"/>
  <c r="G3402" i="1"/>
  <c r="A3402" i="1" s="1"/>
  <c r="G3398" i="1"/>
  <c r="A3398" i="1" s="1"/>
  <c r="G3399" i="1"/>
  <c r="A3399" i="1" s="1"/>
  <c r="G3393" i="1"/>
  <c r="A3393" i="1" s="1"/>
  <c r="G3394" i="1"/>
  <c r="A3394" i="1" s="1"/>
  <c r="G3395" i="1"/>
  <c r="A3395" i="1" s="1"/>
  <c r="G3396" i="1"/>
  <c r="A3396" i="1" s="1"/>
  <c r="G3387" i="1"/>
  <c r="A3387" i="1" s="1"/>
  <c r="G3388" i="1"/>
  <c r="A3388" i="1" s="1"/>
  <c r="G3389" i="1"/>
  <c r="A3389" i="1" s="1"/>
  <c r="G3386" i="1"/>
  <c r="A3386" i="1" s="1"/>
  <c r="G3385" i="1"/>
  <c r="A3385" i="1" s="1"/>
  <c r="G3382" i="1"/>
  <c r="A3382" i="1" s="1"/>
  <c r="G3383" i="1"/>
  <c r="A3383" i="1" s="1"/>
  <c r="G3378" i="1"/>
  <c r="A3378" i="1" s="1"/>
  <c r="G3379" i="1"/>
  <c r="A3379" i="1" s="1"/>
  <c r="G3380" i="1"/>
  <c r="A3380" i="1" s="1"/>
  <c r="G3381" i="1"/>
  <c r="A3381" i="1" s="1"/>
  <c r="G3372" i="1"/>
  <c r="A3372" i="1" s="1"/>
  <c r="G3373" i="1"/>
  <c r="A3373" i="1" s="1"/>
  <c r="G3374" i="1"/>
  <c r="A3374" i="1" s="1"/>
  <c r="G3375" i="1"/>
  <c r="A3375" i="1" s="1"/>
  <c r="G3376" i="1"/>
  <c r="A3376" i="1" s="1"/>
  <c r="G3377" i="1"/>
  <c r="A3377" i="1" s="1"/>
  <c r="G3371" i="1"/>
  <c r="A3371" i="1" s="1"/>
  <c r="G3370" i="1"/>
  <c r="A3370" i="1" s="1"/>
  <c r="G3364" i="1"/>
  <c r="A3364" i="1" s="1"/>
  <c r="G3365" i="1"/>
  <c r="A3365" i="1" s="1"/>
  <c r="G3366" i="1"/>
  <c r="A3366" i="1" s="1"/>
  <c r="G3367" i="1"/>
  <c r="A3367" i="1" s="1"/>
  <c r="G3368" i="1"/>
  <c r="A3368" i="1" s="1"/>
  <c r="G3363" i="1"/>
  <c r="A3363" i="1" s="1"/>
  <c r="G3359" i="1"/>
  <c r="A3359" i="1" s="1"/>
  <c r="G3360" i="1"/>
  <c r="A3360" i="1" s="1"/>
  <c r="G3357" i="1"/>
  <c r="A3357" i="1" s="1"/>
  <c r="G3358" i="1"/>
  <c r="A3358" i="1" s="1"/>
  <c r="G3353" i="1"/>
  <c r="A3353" i="1" s="1"/>
  <c r="G3354" i="1"/>
  <c r="A3354" i="1" s="1"/>
  <c r="G3355" i="1"/>
  <c r="A3355" i="1" s="1"/>
  <c r="G3356" i="1"/>
  <c r="A3356" i="1" s="1"/>
  <c r="G3350" i="1"/>
  <c r="A3350" i="1" s="1"/>
  <c r="G3351" i="1"/>
  <c r="A3351" i="1" s="1"/>
  <c r="G3352" i="1"/>
  <c r="A3352" i="1" s="1"/>
  <c r="G3335" i="1"/>
  <c r="A3335" i="1" s="1"/>
  <c r="G3336" i="1"/>
  <c r="A3336" i="1" s="1"/>
  <c r="G3337" i="1"/>
  <c r="A3337" i="1" s="1"/>
  <c r="G3338" i="1"/>
  <c r="A3338" i="1" s="1"/>
  <c r="G3339" i="1"/>
  <c r="A3339" i="1" s="1"/>
  <c r="G3329" i="1"/>
  <c r="A3329" i="1" s="1"/>
  <c r="G3330" i="1"/>
  <c r="A3330" i="1" s="1"/>
  <c r="G3331" i="1"/>
  <c r="A3331" i="1" s="1"/>
  <c r="G3332" i="1"/>
  <c r="A3332" i="1" s="1"/>
  <c r="G3325" i="1"/>
  <c r="A3325" i="1" s="1"/>
  <c r="G3326" i="1"/>
  <c r="A3326" i="1" s="1"/>
  <c r="G3324" i="1"/>
  <c r="A3324" i="1" s="1"/>
  <c r="G3321" i="1"/>
  <c r="A3321" i="1" s="1"/>
  <c r="G3322" i="1"/>
  <c r="A3322" i="1" s="1"/>
  <c r="G3323" i="1"/>
  <c r="A3323" i="1" s="1"/>
  <c r="G3317" i="1"/>
  <c r="A3317" i="1" s="1"/>
  <c r="G3318" i="1"/>
  <c r="A3318" i="1" s="1"/>
  <c r="G3319" i="1"/>
  <c r="A3319" i="1" s="1"/>
  <c r="G3320" i="1"/>
  <c r="A3320" i="1" s="1"/>
  <c r="G3315" i="1"/>
  <c r="A3315" i="1" s="1"/>
  <c r="G3316" i="1"/>
  <c r="A3316" i="1" s="1"/>
  <c r="G3309" i="1"/>
  <c r="A3309" i="1" s="1"/>
  <c r="G3310" i="1"/>
  <c r="A3310" i="1" s="1"/>
  <c r="G3311" i="1"/>
  <c r="A3311" i="1" s="1"/>
  <c r="G3312" i="1"/>
  <c r="A3312" i="1" s="1"/>
  <c r="G3306" i="1"/>
  <c r="A3306" i="1" s="1"/>
  <c r="G3304" i="1"/>
  <c r="A3304" i="1" s="1"/>
  <c r="G3305" i="1"/>
  <c r="A3305" i="1" s="1"/>
  <c r="G3300" i="1"/>
  <c r="A3300" i="1" s="1"/>
  <c r="G3299" i="1"/>
  <c r="A3299" i="1" s="1"/>
  <c r="G3296" i="1"/>
  <c r="A3296" i="1" s="1"/>
  <c r="G3297" i="1"/>
  <c r="A3297" i="1" s="1"/>
  <c r="G3298" i="1"/>
  <c r="A3298" i="1" s="1"/>
  <c r="G3295" i="1"/>
  <c r="A3295" i="1" s="1"/>
  <c r="G3288" i="1"/>
  <c r="A3288" i="1" s="1"/>
  <c r="G3289" i="1"/>
  <c r="A3289" i="1" s="1"/>
  <c r="G3290" i="1"/>
  <c r="A3290" i="1" s="1"/>
  <c r="G3291" i="1"/>
  <c r="A3291" i="1" s="1"/>
  <c r="G3292" i="1"/>
  <c r="A3292" i="1" s="1"/>
  <c r="G3285" i="1"/>
  <c r="A3285" i="1" s="1"/>
  <c r="G3286" i="1"/>
  <c r="A3286" i="1" s="1"/>
  <c r="G3287" i="1"/>
  <c r="A3287" i="1" s="1"/>
  <c r="G3283" i="1"/>
  <c r="A3283" i="1" s="1"/>
  <c r="G3284" i="1"/>
  <c r="A3284" i="1" s="1"/>
  <c r="G3282" i="1"/>
  <c r="A3282" i="1" s="1"/>
  <c r="G3281" i="1"/>
  <c r="A3281" i="1" s="1"/>
  <c r="G3279" i="1"/>
  <c r="A3279" i="1" s="1"/>
  <c r="G3274" i="1"/>
  <c r="A3274" i="1" s="1"/>
  <c r="G3275" i="1"/>
  <c r="A3275" i="1" s="1"/>
  <c r="G3276" i="1"/>
  <c r="A3276" i="1" s="1"/>
  <c r="G3277" i="1"/>
  <c r="A3277" i="1" s="1"/>
  <c r="G3278" i="1"/>
  <c r="A3278" i="1" s="1"/>
  <c r="G3272" i="1"/>
  <c r="A3272" i="1" s="1"/>
  <c r="G3273" i="1"/>
  <c r="A3273" i="1" s="1"/>
  <c r="G3266" i="1"/>
  <c r="A3266" i="1" s="1"/>
  <c r="G3267" i="1"/>
  <c r="A3267" i="1" s="1"/>
  <c r="G3256" i="1"/>
  <c r="A3256" i="1" s="1"/>
  <c r="G3257" i="1"/>
  <c r="A3257" i="1" s="1"/>
  <c r="G3258" i="1"/>
  <c r="A3258" i="1" s="1"/>
  <c r="G3259" i="1"/>
  <c r="A3259" i="1" s="1"/>
  <c r="G3252" i="1"/>
  <c r="A3252" i="1" s="1"/>
  <c r="G3253" i="1"/>
  <c r="A3253" i="1" s="1"/>
  <c r="G3254" i="1"/>
  <c r="A3254" i="1" s="1"/>
  <c r="G3255" i="1"/>
  <c r="A3255" i="1" s="1"/>
  <c r="G3244" i="1"/>
  <c r="A3244" i="1" s="1"/>
  <c r="G3241" i="1"/>
  <c r="A3241" i="1" s="1"/>
  <c r="G3237" i="1"/>
  <c r="A3237" i="1" s="1"/>
  <c r="G3238" i="1"/>
  <c r="A3238" i="1" s="1"/>
  <c r="G3233" i="1"/>
  <c r="A3233" i="1" s="1"/>
  <c r="G3229" i="1"/>
  <c r="A3229" i="1" s="1"/>
  <c r="G3230" i="1"/>
  <c r="A3230" i="1" s="1"/>
  <c r="G3231" i="1"/>
  <c r="A3231" i="1" s="1"/>
  <c r="G3232" i="1"/>
  <c r="A3232" i="1" s="1"/>
  <c r="G3224" i="1"/>
  <c r="A3224" i="1" s="1"/>
  <c r="G3225" i="1"/>
  <c r="A3225" i="1" s="1"/>
  <c r="G3226" i="1"/>
  <c r="A3226" i="1" s="1"/>
  <c r="G3222" i="1"/>
  <c r="A3222" i="1" s="1"/>
  <c r="G3223" i="1"/>
  <c r="A3223" i="1" s="1"/>
  <c r="G3220" i="1"/>
  <c r="A3220" i="1" s="1"/>
  <c r="G3221" i="1"/>
  <c r="A3221" i="1" s="1"/>
  <c r="G3219" i="1"/>
  <c r="A3219" i="1" s="1"/>
  <c r="G3218" i="1"/>
  <c r="A3218" i="1" s="1"/>
  <c r="G3217" i="1"/>
  <c r="A3217" i="1" s="1"/>
  <c r="G3216" i="1"/>
  <c r="A3216" i="1" s="1"/>
  <c r="G3210" i="1"/>
  <c r="A3210" i="1" s="1"/>
  <c r="G3211" i="1"/>
  <c r="A3211" i="1" s="1"/>
  <c r="G3212" i="1"/>
  <c r="A3212" i="1" s="1"/>
  <c r="G3213" i="1"/>
  <c r="A3213" i="1" s="1"/>
  <c r="G3207" i="1"/>
  <c r="A3207" i="1" s="1"/>
  <c r="G3208" i="1"/>
  <c r="A3208" i="1" s="1"/>
  <c r="G3209" i="1"/>
  <c r="A3209" i="1" s="1"/>
  <c r="G3206" i="1"/>
  <c r="A3206" i="1" s="1"/>
  <c r="G3204" i="1"/>
  <c r="A3204" i="1" s="1"/>
  <c r="G3205" i="1"/>
  <c r="A3205" i="1" s="1"/>
  <c r="G3201" i="1"/>
  <c r="A3201" i="1" s="1"/>
  <c r="G3202" i="1"/>
  <c r="A3202" i="1" s="1"/>
  <c r="G3199" i="1"/>
  <c r="A3199" i="1" s="1"/>
  <c r="G3200" i="1"/>
  <c r="A3200" i="1" s="1"/>
  <c r="G3198" i="1"/>
  <c r="A3198" i="1" s="1"/>
  <c r="G3197" i="1"/>
  <c r="A3197" i="1" s="1"/>
  <c r="G3196" i="1"/>
  <c r="A3196" i="1" s="1"/>
  <c r="G3195" i="1"/>
  <c r="A3195" i="1" s="1"/>
  <c r="G3188" i="1"/>
  <c r="A3188" i="1" s="1"/>
  <c r="G3189" i="1"/>
  <c r="A3189" i="1" s="1"/>
  <c r="G3182" i="1"/>
  <c r="A3182" i="1" s="1"/>
  <c r="G3183" i="1"/>
  <c r="A3183" i="1" s="1"/>
  <c r="G3180" i="1"/>
  <c r="A3180" i="1" s="1"/>
  <c r="G3177" i="1"/>
  <c r="A3177" i="1" s="1"/>
  <c r="G3173" i="1"/>
  <c r="A3173" i="1" s="1"/>
  <c r="G3174" i="1"/>
  <c r="A3174" i="1" s="1"/>
  <c r="G3175" i="1"/>
  <c r="A3175" i="1" s="1"/>
  <c r="G3172" i="1"/>
  <c r="A3172" i="1" s="1"/>
  <c r="G3171" i="1"/>
  <c r="A3171" i="1" s="1"/>
  <c r="G3169" i="1"/>
  <c r="A3169" i="1" s="1"/>
  <c r="G3170" i="1"/>
  <c r="A3170" i="1" s="1"/>
  <c r="G3168" i="1"/>
  <c r="A3168" i="1" s="1"/>
  <c r="G3167" i="1"/>
  <c r="A3167" i="1" s="1"/>
  <c r="G3165" i="1"/>
  <c r="A3165" i="1" s="1"/>
  <c r="G3166" i="1"/>
  <c r="A3166" i="1" s="1"/>
  <c r="G3155" i="1"/>
  <c r="A3155" i="1" s="1"/>
  <c r="G3156" i="1"/>
  <c r="A3156" i="1" s="1"/>
  <c r="G3157" i="1"/>
  <c r="A3157" i="1" s="1"/>
  <c r="G3153" i="1"/>
  <c r="A3153" i="1" s="1"/>
  <c r="G3154" i="1"/>
  <c r="A3154" i="1" s="1"/>
  <c r="G3152" i="1"/>
  <c r="A3152" i="1" s="1"/>
  <c r="G3149" i="1"/>
  <c r="A3149" i="1" s="1"/>
  <c r="G3148" i="1"/>
  <c r="A3148" i="1" s="1"/>
  <c r="G3144" i="1"/>
  <c r="A3144" i="1" s="1"/>
  <c r="G3143" i="1"/>
  <c r="A3143" i="1" s="1"/>
  <c r="G3142" i="1"/>
  <c r="A3142" i="1" s="1"/>
  <c r="G3135" i="1"/>
  <c r="A3135" i="1" s="1"/>
  <c r="G3136" i="1"/>
  <c r="A3136" i="1" s="1"/>
  <c r="G3137" i="1"/>
  <c r="A3137" i="1" s="1"/>
  <c r="G3138" i="1"/>
  <c r="A3138" i="1" s="1"/>
  <c r="G3139" i="1"/>
  <c r="A3139" i="1" s="1"/>
  <c r="G3140" i="1"/>
  <c r="A3140" i="1" s="1"/>
  <c r="G3130" i="1"/>
  <c r="A3130" i="1" s="1"/>
  <c r="G3128" i="1"/>
  <c r="A3128" i="1" s="1"/>
  <c r="G3129" i="1"/>
  <c r="A3129" i="1" s="1"/>
  <c r="G3124" i="1"/>
  <c r="A3124" i="1" s="1"/>
  <c r="G3121" i="1"/>
  <c r="A3121" i="1" s="1"/>
  <c r="G3118" i="1"/>
  <c r="A3118" i="1" s="1"/>
  <c r="G3119" i="1"/>
  <c r="A3119" i="1" s="1"/>
  <c r="G3120" i="1"/>
  <c r="A3120" i="1" s="1"/>
  <c r="G3108" i="1"/>
  <c r="A3108" i="1" s="1"/>
  <c r="G3098" i="1"/>
  <c r="A3098" i="1" s="1"/>
  <c r="G3094" i="1"/>
  <c r="A3094" i="1" s="1"/>
  <c r="G3091" i="1"/>
  <c r="A3091" i="1" s="1"/>
  <c r="G3092" i="1"/>
  <c r="A3092" i="1" s="1"/>
  <c r="G3087" i="1"/>
  <c r="A3087" i="1" s="1"/>
  <c r="G3088" i="1"/>
  <c r="A3088" i="1" s="1"/>
  <c r="G3089" i="1"/>
  <c r="A3089" i="1" s="1"/>
  <c r="G3085" i="1"/>
  <c r="A3085" i="1" s="1"/>
  <c r="G3086" i="1"/>
  <c r="A3086" i="1" s="1"/>
  <c r="G3081" i="1"/>
  <c r="A3081" i="1" s="1"/>
  <c r="G3082" i="1"/>
  <c r="A3082" i="1" s="1"/>
  <c r="G3083" i="1"/>
  <c r="A3083" i="1" s="1"/>
  <c r="G3078" i="1"/>
  <c r="A3078" i="1" s="1"/>
  <c r="G3079" i="1"/>
  <c r="A3079" i="1" s="1"/>
  <c r="G3080" i="1"/>
  <c r="A3080" i="1" s="1"/>
  <c r="G3076" i="1"/>
  <c r="A3076" i="1" s="1"/>
  <c r="G3077" i="1"/>
  <c r="A3077" i="1" s="1"/>
  <c r="G3058" i="1"/>
  <c r="A3058" i="1" s="1"/>
  <c r="G3534" i="1"/>
  <c r="G3445" i="1"/>
  <c r="A3445" i="1" s="1"/>
  <c r="G3446" i="1"/>
  <c r="A3446" i="1" s="1"/>
  <c r="G3447" i="1"/>
  <c r="A3447" i="1" s="1"/>
  <c r="G3431" i="1"/>
  <c r="A3431" i="1" s="1"/>
  <c r="G3415" i="1"/>
  <c r="A3415" i="1" s="1"/>
  <c r="G3412" i="1"/>
  <c r="A3412" i="1" s="1"/>
  <c r="G3407" i="1"/>
  <c r="A3407" i="1" s="1"/>
  <c r="G3408" i="1"/>
  <c r="A3408" i="1" s="1"/>
  <c r="G3369" i="1"/>
  <c r="A3369" i="1" s="1"/>
  <c r="G3347" i="1"/>
  <c r="A3347" i="1" s="1"/>
  <c r="G3327" i="1"/>
  <c r="A3327" i="1" s="1"/>
  <c r="G3328" i="1"/>
  <c r="A3328" i="1" s="1"/>
  <c r="G3307" i="1"/>
  <c r="A3307" i="1" s="1"/>
  <c r="G3308" i="1"/>
  <c r="A3308" i="1" s="1"/>
  <c r="G3293" i="1"/>
  <c r="A3293" i="1" s="1"/>
  <c r="G3268" i="1"/>
  <c r="A3268" i="1" s="1"/>
  <c r="G3269" i="1"/>
  <c r="A3269" i="1" s="1"/>
  <c r="G3270" i="1"/>
  <c r="A3270" i="1" s="1"/>
  <c r="G3245" i="1"/>
  <c r="A3245" i="1" s="1"/>
  <c r="G3243" i="1"/>
  <c r="A3243" i="1" s="1"/>
  <c r="G3239" i="1"/>
  <c r="A3239" i="1" s="1"/>
  <c r="G3190" i="1"/>
  <c r="A3190" i="1" s="1"/>
  <c r="G3191" i="1"/>
  <c r="A3191" i="1" s="1"/>
  <c r="G3184" i="1"/>
  <c r="A3184" i="1" s="1"/>
  <c r="G3181" i="1"/>
  <c r="A3181" i="1" s="1"/>
  <c r="G3178" i="1"/>
  <c r="A3178" i="1" s="1"/>
  <c r="G3158" i="1"/>
  <c r="A3158" i="1" s="1"/>
  <c r="G3151" i="1"/>
  <c r="A3151" i="1" s="1"/>
  <c r="G3145" i="1"/>
  <c r="A3145" i="1" s="1"/>
  <c r="G3146" i="1"/>
  <c r="A3146" i="1" s="1"/>
  <c r="G3122" i="1"/>
  <c r="A3122" i="1" s="1"/>
  <c r="G3123" i="1"/>
  <c r="A3123" i="1" s="1"/>
  <c r="G3099" i="1"/>
  <c r="A3099" i="1" s="1"/>
  <c r="G3095" i="1"/>
  <c r="A3095" i="1" s="1"/>
  <c r="G3093" i="1"/>
  <c r="A3093" i="1" s="1"/>
  <c r="G3084" i="1"/>
  <c r="A3084" i="1" s="1"/>
  <c r="G3465" i="1"/>
  <c r="A3465" i="1" s="1"/>
  <c r="N2999" i="1"/>
  <c r="N3032" i="1"/>
  <c r="N3040" i="1"/>
  <c r="N3041" i="1"/>
  <c r="N3047" i="1"/>
  <c r="N3049" i="1"/>
  <c r="N3050" i="1"/>
  <c r="N3051" i="1"/>
  <c r="N3052" i="1"/>
  <c r="N3053" i="1"/>
  <c r="N3066" i="1"/>
  <c r="N3072" i="1"/>
  <c r="N3096" i="1"/>
  <c r="N3111" i="1"/>
  <c r="N3112" i="1"/>
  <c r="G2999" i="1"/>
  <c r="A2999" i="1" s="1"/>
  <c r="G3032" i="1"/>
  <c r="A3032" i="1" s="1"/>
  <c r="G3040" i="1"/>
  <c r="A3040" i="1" s="1"/>
  <c r="G3041" i="1"/>
  <c r="A3041" i="1" s="1"/>
  <c r="G3047" i="1"/>
  <c r="A3047" i="1" s="1"/>
  <c r="G3049" i="1"/>
  <c r="A3049" i="1" s="1"/>
  <c r="G3050" i="1"/>
  <c r="A3050" i="1" s="1"/>
  <c r="G3051" i="1"/>
  <c r="A3051" i="1" s="1"/>
  <c r="G3052" i="1"/>
  <c r="A3052" i="1" s="1"/>
  <c r="G3053" i="1"/>
  <c r="A3053" i="1" s="1"/>
  <c r="G3066" i="1"/>
  <c r="A3066" i="1" s="1"/>
  <c r="G3072" i="1"/>
  <c r="A3072" i="1" s="1"/>
  <c r="G3096" i="1"/>
  <c r="A3096" i="1" s="1"/>
  <c r="G3111" i="1"/>
  <c r="A3111" i="1" s="1"/>
  <c r="G3112" i="1"/>
  <c r="A3112" i="1" s="1"/>
  <c r="C3141" i="1"/>
  <c r="N3141" i="1" s="1"/>
  <c r="C3134" i="1"/>
  <c r="N3134" i="1" s="1"/>
  <c r="C3133" i="1"/>
  <c r="N3133" i="1" s="1"/>
  <c r="C3132" i="1"/>
  <c r="N3132" i="1" s="1"/>
  <c r="C3131" i="1"/>
  <c r="N3131" i="1" s="1"/>
  <c r="N3003" i="1"/>
  <c r="N3006" i="1"/>
  <c r="N3017" i="1"/>
  <c r="N3018" i="1"/>
  <c r="N3026" i="1"/>
  <c r="N3031" i="1"/>
  <c r="N3044" i="1"/>
  <c r="N3054" i="1"/>
  <c r="N3055" i="1"/>
  <c r="N3056" i="1"/>
  <c r="N3057" i="1"/>
  <c r="N3059" i="1"/>
  <c r="N3060" i="1"/>
  <c r="N3063" i="1"/>
  <c r="N3067" i="1"/>
  <c r="N3100" i="1"/>
  <c r="N3101" i="1"/>
  <c r="N3102" i="1"/>
  <c r="N3109" i="1"/>
  <c r="N3110" i="1"/>
  <c r="N3113" i="1"/>
  <c r="N3115" i="1"/>
  <c r="N3125" i="1"/>
  <c r="N2998" i="1"/>
  <c r="N3000" i="1"/>
  <c r="N3001" i="1"/>
  <c r="N3002" i="1"/>
  <c r="N3004" i="1"/>
  <c r="N3005" i="1"/>
  <c r="N3007" i="1"/>
  <c r="N3008" i="1"/>
  <c r="N3009" i="1"/>
  <c r="N3010" i="1"/>
  <c r="N3011" i="1"/>
  <c r="N3012" i="1"/>
  <c r="N3013" i="1"/>
  <c r="N3014" i="1"/>
  <c r="N3015" i="1"/>
  <c r="N3016" i="1"/>
  <c r="N3019" i="1"/>
  <c r="N3020" i="1"/>
  <c r="N3021" i="1"/>
  <c r="N3022" i="1"/>
  <c r="N3023" i="1"/>
  <c r="N3024" i="1"/>
  <c r="N3025" i="1"/>
  <c r="N3027" i="1"/>
  <c r="N3028" i="1"/>
  <c r="N3029" i="1"/>
  <c r="N3030" i="1"/>
  <c r="N3033" i="1"/>
  <c r="N3034" i="1"/>
  <c r="N3035" i="1"/>
  <c r="N3036" i="1"/>
  <c r="N3037" i="1"/>
  <c r="N3038" i="1"/>
  <c r="N3039" i="1"/>
  <c r="N3042" i="1"/>
  <c r="N3043" i="1"/>
  <c r="N3045" i="1"/>
  <c r="N3046" i="1"/>
  <c r="N3048" i="1"/>
  <c r="N3064" i="1"/>
  <c r="N3065" i="1"/>
  <c r="N3068" i="1"/>
  <c r="N3069" i="1"/>
  <c r="N3070" i="1"/>
  <c r="N3071" i="1"/>
  <c r="N3073" i="1"/>
  <c r="N3074" i="1"/>
  <c r="N3075" i="1"/>
  <c r="G3001" i="1"/>
  <c r="A3001" i="1" s="1"/>
  <c r="G3002" i="1"/>
  <c r="A3002" i="1" s="1"/>
  <c r="G3004" i="1"/>
  <c r="A3004" i="1" s="1"/>
  <c r="G3005" i="1"/>
  <c r="A3005" i="1" s="1"/>
  <c r="G3007" i="1"/>
  <c r="A3007" i="1" s="1"/>
  <c r="G3008" i="1"/>
  <c r="A3008" i="1" s="1"/>
  <c r="G3009" i="1"/>
  <c r="A3009" i="1" s="1"/>
  <c r="G3010" i="1"/>
  <c r="A3010" i="1" s="1"/>
  <c r="G3011" i="1"/>
  <c r="A3011" i="1" s="1"/>
  <c r="G3012" i="1"/>
  <c r="A3012" i="1" s="1"/>
  <c r="G3013" i="1"/>
  <c r="A3013" i="1" s="1"/>
  <c r="G3014" i="1"/>
  <c r="A3014" i="1" s="1"/>
  <c r="G3015" i="1"/>
  <c r="A3015" i="1" s="1"/>
  <c r="G3016" i="1"/>
  <c r="A3016" i="1" s="1"/>
  <c r="G3019" i="1"/>
  <c r="A3019" i="1" s="1"/>
  <c r="G3020" i="1"/>
  <c r="A3020" i="1" s="1"/>
  <c r="G3021" i="1"/>
  <c r="A3021" i="1" s="1"/>
  <c r="G3022" i="1"/>
  <c r="A3022" i="1" s="1"/>
  <c r="G3023" i="1"/>
  <c r="A3023" i="1" s="1"/>
  <c r="G3024" i="1"/>
  <c r="A3024" i="1" s="1"/>
  <c r="G3025" i="1"/>
  <c r="A3025" i="1" s="1"/>
  <c r="G3027" i="1"/>
  <c r="A3027" i="1" s="1"/>
  <c r="G3028" i="1"/>
  <c r="A3028" i="1" s="1"/>
  <c r="G3029" i="1"/>
  <c r="A3029" i="1" s="1"/>
  <c r="G3030" i="1"/>
  <c r="A3030" i="1" s="1"/>
  <c r="G3033" i="1"/>
  <c r="A3033" i="1" s="1"/>
  <c r="G3034" i="1"/>
  <c r="A3034" i="1" s="1"/>
  <c r="G3035" i="1"/>
  <c r="A3035" i="1" s="1"/>
  <c r="G3036" i="1"/>
  <c r="A3036" i="1" s="1"/>
  <c r="G3037" i="1"/>
  <c r="A3037" i="1" s="1"/>
  <c r="G3038" i="1"/>
  <c r="A3038" i="1" s="1"/>
  <c r="G3039" i="1"/>
  <c r="A3039" i="1" s="1"/>
  <c r="G3042" i="1"/>
  <c r="A3042" i="1" s="1"/>
  <c r="G3043" i="1"/>
  <c r="A3043" i="1" s="1"/>
  <c r="G3045" i="1"/>
  <c r="A3045" i="1" s="1"/>
  <c r="G3046" i="1"/>
  <c r="A3046" i="1" s="1"/>
  <c r="G3048" i="1"/>
  <c r="A3048" i="1" s="1"/>
  <c r="G3064" i="1"/>
  <c r="A3064" i="1" s="1"/>
  <c r="G3065" i="1"/>
  <c r="A3065" i="1" s="1"/>
  <c r="G3068" i="1"/>
  <c r="A3068" i="1" s="1"/>
  <c r="G3069" i="1"/>
  <c r="A3069" i="1" s="1"/>
  <c r="G3070" i="1"/>
  <c r="A3070" i="1" s="1"/>
  <c r="G3071" i="1"/>
  <c r="A3071" i="1" s="1"/>
  <c r="G3073" i="1"/>
  <c r="A3073" i="1" s="1"/>
  <c r="G3074" i="1"/>
  <c r="A3074" i="1" s="1"/>
  <c r="G3075" i="1"/>
  <c r="A3075" i="1" s="1"/>
  <c r="G3131" i="1"/>
  <c r="G3132" i="1"/>
  <c r="G3133" i="1"/>
  <c r="G3134" i="1"/>
  <c r="G3141" i="1"/>
  <c r="G3000" i="1"/>
  <c r="A3000" i="1" s="1"/>
  <c r="G2998" i="1"/>
  <c r="A2998" i="1" s="1"/>
  <c r="G3006" i="1"/>
  <c r="A3006" i="1" s="1"/>
  <c r="G3017" i="1"/>
  <c r="A3017" i="1" s="1"/>
  <c r="G3018" i="1"/>
  <c r="A3018" i="1" s="1"/>
  <c r="G3026" i="1"/>
  <c r="A3026" i="1" s="1"/>
  <c r="G3031" i="1"/>
  <c r="A3031" i="1" s="1"/>
  <c r="G3044" i="1"/>
  <c r="A3044" i="1" s="1"/>
  <c r="G3054" i="1"/>
  <c r="A3054" i="1" s="1"/>
  <c r="G3055" i="1"/>
  <c r="A3055" i="1" s="1"/>
  <c r="G3056" i="1"/>
  <c r="A3056" i="1" s="1"/>
  <c r="G3057" i="1"/>
  <c r="A3057" i="1" s="1"/>
  <c r="G3059" i="1"/>
  <c r="A3059" i="1" s="1"/>
  <c r="G3060" i="1"/>
  <c r="A3060" i="1" s="1"/>
  <c r="G3063" i="1"/>
  <c r="A3063" i="1" s="1"/>
  <c r="G3067" i="1"/>
  <c r="A3067" i="1" s="1"/>
  <c r="G3100" i="1"/>
  <c r="A3100" i="1" s="1"/>
  <c r="G3101" i="1"/>
  <c r="A3101" i="1" s="1"/>
  <c r="G3102" i="1"/>
  <c r="A3102" i="1" s="1"/>
  <c r="G3109" i="1"/>
  <c r="A3109" i="1" s="1"/>
  <c r="G3110" i="1"/>
  <c r="A3110" i="1" s="1"/>
  <c r="G3113" i="1"/>
  <c r="A3113" i="1" s="1"/>
  <c r="G3115" i="1"/>
  <c r="A3115" i="1" s="1"/>
  <c r="G3125" i="1"/>
  <c r="A3125" i="1" s="1"/>
  <c r="G3003" i="1"/>
  <c r="A3003" i="1" s="1"/>
  <c r="G81" i="8"/>
  <c r="G2997" i="1"/>
  <c r="G2993" i="1"/>
  <c r="G2990" i="1"/>
  <c r="A2990" i="1" s="1"/>
  <c r="G2986" i="1"/>
  <c r="A2986" i="1" s="1"/>
  <c r="G2985" i="1"/>
  <c r="A2985" i="1" s="1"/>
  <c r="G2984" i="1"/>
  <c r="A2984" i="1" s="1"/>
  <c r="G2979" i="1"/>
  <c r="A2979" i="1" s="1"/>
  <c r="G2977" i="1"/>
  <c r="A2977" i="1" s="1"/>
  <c r="G2976" i="1"/>
  <c r="A2976" i="1" s="1"/>
  <c r="G2975" i="1"/>
  <c r="A2975" i="1" s="1"/>
  <c r="G2974" i="1"/>
  <c r="A2974" i="1" s="1"/>
  <c r="G2973" i="1"/>
  <c r="A2973" i="1" s="1"/>
  <c r="G2972" i="1"/>
  <c r="A2972" i="1" s="1"/>
  <c r="G2971" i="1"/>
  <c r="G2969" i="1"/>
  <c r="A2969" i="1" s="1"/>
  <c r="G2968" i="1"/>
  <c r="A2968" i="1" s="1"/>
  <c r="G2967" i="1"/>
  <c r="A2967" i="1" s="1"/>
  <c r="G2966" i="1"/>
  <c r="A2966" i="1" s="1"/>
  <c r="G2965" i="1"/>
  <c r="A2965" i="1" s="1"/>
  <c r="G2963" i="1"/>
  <c r="A2963" i="1" s="1"/>
  <c r="G2962" i="1"/>
  <c r="A2962" i="1" s="1"/>
  <c r="G2961" i="1"/>
  <c r="A2961" i="1" s="1"/>
  <c r="G2960" i="1"/>
  <c r="A2960" i="1" s="1"/>
  <c r="G2959" i="1"/>
  <c r="A2959" i="1" s="1"/>
  <c r="G2958" i="1"/>
  <c r="A2958" i="1" s="1"/>
  <c r="G2957" i="1"/>
  <c r="A2957" i="1" s="1"/>
  <c r="G2956" i="1"/>
  <c r="A2956" i="1" s="1"/>
  <c r="G2954" i="1"/>
  <c r="A2954" i="1" s="1"/>
  <c r="G2952" i="1"/>
  <c r="A2952" i="1" s="1"/>
  <c r="G2947" i="1"/>
  <c r="A2947" i="1" s="1"/>
  <c r="G2946" i="1"/>
  <c r="A2946" i="1" s="1"/>
  <c r="G2945" i="1"/>
  <c r="A2945" i="1" s="1"/>
  <c r="G2941" i="1"/>
  <c r="A2941" i="1" s="1"/>
  <c r="G2940" i="1"/>
  <c r="A2940" i="1" s="1"/>
  <c r="G2939" i="1"/>
  <c r="A2939" i="1" s="1"/>
  <c r="G2938" i="1"/>
  <c r="A2938" i="1" s="1"/>
  <c r="G2937" i="1"/>
  <c r="A2937" i="1" s="1"/>
  <c r="G2934" i="1"/>
  <c r="A2934" i="1" s="1"/>
  <c r="G2932" i="1"/>
  <c r="A2932" i="1" s="1"/>
  <c r="G2931" i="1"/>
  <c r="A2931" i="1" s="1"/>
  <c r="G2930" i="1"/>
  <c r="A2930" i="1" s="1"/>
  <c r="G2919" i="1"/>
  <c r="A2919" i="1" s="1"/>
  <c r="G2918" i="1"/>
  <c r="A2918" i="1" s="1"/>
  <c r="G2917" i="1"/>
  <c r="A2917" i="1" s="1"/>
  <c r="G2916" i="1"/>
  <c r="A2916" i="1" s="1"/>
  <c r="G2915" i="1"/>
  <c r="A2915" i="1" s="1"/>
  <c r="G2914" i="1"/>
  <c r="A2914" i="1" s="1"/>
  <c r="G2913" i="1"/>
  <c r="A2913" i="1" s="1"/>
  <c r="G2912" i="1"/>
  <c r="A2912" i="1" s="1"/>
  <c r="G2905" i="1"/>
  <c r="A2905" i="1" s="1"/>
  <c r="G2900" i="1"/>
  <c r="A2900" i="1" s="1"/>
  <c r="G2899" i="1"/>
  <c r="A2899" i="1" s="1"/>
  <c r="G2898" i="1"/>
  <c r="A2898" i="1" s="1"/>
  <c r="G2897" i="1"/>
  <c r="A2897" i="1" s="1"/>
  <c r="G2894" i="1"/>
  <c r="A2894" i="1" s="1"/>
  <c r="G2893" i="1"/>
  <c r="A2893" i="1" s="1"/>
  <c r="G2892" i="1"/>
  <c r="A2892" i="1" s="1"/>
  <c r="G2989" i="1"/>
  <c r="A2989" i="1" s="1"/>
  <c r="G2981" i="1"/>
  <c r="A2981" i="1" s="1"/>
  <c r="G2980" i="1"/>
  <c r="A2980" i="1" s="1"/>
  <c r="G2978" i="1"/>
  <c r="A2978" i="1" s="1"/>
  <c r="G2970" i="1"/>
  <c r="A2970" i="1" s="1"/>
  <c r="G2951" i="1"/>
  <c r="A2951" i="1" s="1"/>
  <c r="G2950" i="1"/>
  <c r="A2950" i="1" s="1"/>
  <c r="G2949" i="1"/>
  <c r="A2949" i="1" s="1"/>
  <c r="G2944" i="1"/>
  <c r="A2944" i="1" s="1"/>
  <c r="G2936" i="1"/>
  <c r="A2936" i="1" s="1"/>
  <c r="G2928" i="1"/>
  <c r="A2928" i="1" s="1"/>
  <c r="G2911" i="1"/>
  <c r="A2911" i="1" s="1"/>
  <c r="G2910" i="1"/>
  <c r="A2910" i="1" s="1"/>
  <c r="G2909" i="1"/>
  <c r="A2909" i="1" s="1"/>
  <c r="G2908" i="1"/>
  <c r="A2908" i="1" s="1"/>
  <c r="G2904" i="1"/>
  <c r="A2904" i="1" s="1"/>
  <c r="G2896" i="1"/>
  <c r="A2896" i="1" s="1"/>
  <c r="G2895" i="1"/>
  <c r="A2895" i="1" s="1"/>
  <c r="C2997" i="1"/>
  <c r="N2997" i="1" s="1"/>
  <c r="C2993" i="1"/>
  <c r="N2993" i="1" s="1"/>
  <c r="C2971" i="1"/>
  <c r="N2971" i="1" s="1"/>
  <c r="N2892" i="1"/>
  <c r="N2893" i="1"/>
  <c r="N2894" i="1"/>
  <c r="N2897" i="1"/>
  <c r="N2898" i="1"/>
  <c r="N2899" i="1"/>
  <c r="N2900" i="1"/>
  <c r="N2905" i="1"/>
  <c r="N2912" i="1"/>
  <c r="N2913" i="1"/>
  <c r="N2914" i="1"/>
  <c r="N2915" i="1"/>
  <c r="N2916" i="1"/>
  <c r="N2917" i="1"/>
  <c r="N2918" i="1"/>
  <c r="N2919" i="1"/>
  <c r="N2930" i="1"/>
  <c r="N2931" i="1"/>
  <c r="N2932" i="1"/>
  <c r="N2934" i="1"/>
  <c r="N2937" i="1"/>
  <c r="N2938" i="1"/>
  <c r="N2939" i="1"/>
  <c r="N2940" i="1"/>
  <c r="N2941" i="1"/>
  <c r="N2945" i="1"/>
  <c r="N2946" i="1"/>
  <c r="N2947" i="1"/>
  <c r="N2952" i="1"/>
  <c r="N2954" i="1"/>
  <c r="N2956" i="1"/>
  <c r="N2957" i="1"/>
  <c r="N2958" i="1"/>
  <c r="N2959" i="1"/>
  <c r="N2960" i="1"/>
  <c r="N2961" i="1"/>
  <c r="N2962" i="1"/>
  <c r="N2963" i="1"/>
  <c r="N2965" i="1"/>
  <c r="N2966" i="1"/>
  <c r="N2967" i="1"/>
  <c r="N2968" i="1"/>
  <c r="N2969" i="1"/>
  <c r="N2972" i="1"/>
  <c r="N2973" i="1"/>
  <c r="N2974" i="1"/>
  <c r="N2975" i="1"/>
  <c r="N2976" i="1"/>
  <c r="N2977" i="1"/>
  <c r="N2979" i="1"/>
  <c r="N2984" i="1"/>
  <c r="N2985" i="1"/>
  <c r="N2986" i="1"/>
  <c r="N2990" i="1"/>
  <c r="N2895" i="1"/>
  <c r="N2896" i="1"/>
  <c r="N2904" i="1"/>
  <c r="N2908" i="1"/>
  <c r="N2909" i="1"/>
  <c r="N2910" i="1"/>
  <c r="N2911" i="1"/>
  <c r="N2928" i="1"/>
  <c r="N2936" i="1"/>
  <c r="N2944" i="1"/>
  <c r="N2949" i="1"/>
  <c r="N2950" i="1"/>
  <c r="N2951" i="1"/>
  <c r="N2970" i="1"/>
  <c r="N2978" i="1"/>
  <c r="N2980" i="1"/>
  <c r="N2981" i="1"/>
  <c r="N2989" i="1"/>
  <c r="N2996" i="1"/>
  <c r="N2995" i="1"/>
  <c r="N2994" i="1"/>
  <c r="N2992" i="1"/>
  <c r="N2991" i="1"/>
  <c r="N2988" i="1"/>
  <c r="N2987" i="1"/>
  <c r="N2983" i="1"/>
  <c r="N2982" i="1"/>
  <c r="N2964" i="1"/>
  <c r="N2955" i="1"/>
  <c r="N2953" i="1"/>
  <c r="N2948" i="1"/>
  <c r="N2943" i="1"/>
  <c r="N2942" i="1"/>
  <c r="N2935" i="1"/>
  <c r="N2933" i="1"/>
  <c r="N2929" i="1"/>
  <c r="N2927" i="1"/>
  <c r="N2926" i="1"/>
  <c r="N2925" i="1"/>
  <c r="N2924" i="1"/>
  <c r="N2923" i="1"/>
  <c r="N2922" i="1"/>
  <c r="N2921" i="1"/>
  <c r="N2920" i="1"/>
  <c r="N2907" i="1"/>
  <c r="N2906" i="1"/>
  <c r="N2903" i="1"/>
  <c r="N2902" i="1"/>
  <c r="N2901" i="1"/>
  <c r="G2902" i="1"/>
  <c r="A2902" i="1" s="1"/>
  <c r="G2903" i="1"/>
  <c r="A2903" i="1" s="1"/>
  <c r="G2906" i="1"/>
  <c r="A2906" i="1" s="1"/>
  <c r="G2907" i="1"/>
  <c r="A2907" i="1" s="1"/>
  <c r="G2920" i="1"/>
  <c r="A2920" i="1" s="1"/>
  <c r="G2921" i="1"/>
  <c r="A2921" i="1" s="1"/>
  <c r="G2922" i="1"/>
  <c r="A2922" i="1" s="1"/>
  <c r="G2923" i="1"/>
  <c r="A2923" i="1" s="1"/>
  <c r="G2924" i="1"/>
  <c r="A2924" i="1" s="1"/>
  <c r="G2925" i="1"/>
  <c r="A2925" i="1" s="1"/>
  <c r="G2926" i="1"/>
  <c r="A2926" i="1" s="1"/>
  <c r="G2927" i="1"/>
  <c r="A2927" i="1" s="1"/>
  <c r="G2929" i="1"/>
  <c r="A2929" i="1" s="1"/>
  <c r="G2933" i="1"/>
  <c r="A2933" i="1" s="1"/>
  <c r="G2935" i="1"/>
  <c r="A2935" i="1" s="1"/>
  <c r="G2942" i="1"/>
  <c r="A2942" i="1" s="1"/>
  <c r="G2943" i="1"/>
  <c r="A2943" i="1" s="1"/>
  <c r="G2948" i="1"/>
  <c r="A2948" i="1" s="1"/>
  <c r="G2953" i="1"/>
  <c r="A2953" i="1" s="1"/>
  <c r="G2955" i="1"/>
  <c r="A2955" i="1" s="1"/>
  <c r="G2964" i="1"/>
  <c r="A2964" i="1" s="1"/>
  <c r="G2982" i="1"/>
  <c r="A2982" i="1" s="1"/>
  <c r="G2983" i="1"/>
  <c r="A2983" i="1" s="1"/>
  <c r="G2987" i="1"/>
  <c r="A2987" i="1" s="1"/>
  <c r="G2988" i="1"/>
  <c r="A2988" i="1" s="1"/>
  <c r="G2991" i="1"/>
  <c r="A2991" i="1" s="1"/>
  <c r="G2992" i="1"/>
  <c r="A2992" i="1" s="1"/>
  <c r="G2994" i="1"/>
  <c r="A2994" i="1" s="1"/>
  <c r="G2995" i="1"/>
  <c r="A2995" i="1" s="1"/>
  <c r="G2996" i="1"/>
  <c r="A2996" i="1" s="1"/>
  <c r="G2901" i="1"/>
  <c r="A2901" i="1" s="1"/>
  <c r="N2890" i="1"/>
  <c r="N2889" i="1"/>
  <c r="N2887" i="1"/>
  <c r="N2886" i="1"/>
  <c r="N2885" i="1"/>
  <c r="G2780" i="1"/>
  <c r="A2780" i="1" s="1"/>
  <c r="G2781" i="1"/>
  <c r="A2781" i="1" s="1"/>
  <c r="G2782" i="1"/>
  <c r="A2782" i="1" s="1"/>
  <c r="G2783" i="1"/>
  <c r="A2783" i="1" s="1"/>
  <c r="G2784" i="1"/>
  <c r="A2784" i="1" s="1"/>
  <c r="G2785" i="1"/>
  <c r="A2785" i="1" s="1"/>
  <c r="G2786" i="1"/>
  <c r="A2786" i="1" s="1"/>
  <c r="G2787" i="1"/>
  <c r="A2787" i="1" s="1"/>
  <c r="G2788" i="1"/>
  <c r="A2788" i="1" s="1"/>
  <c r="G2789" i="1"/>
  <c r="A2789" i="1" s="1"/>
  <c r="G2790" i="1"/>
  <c r="A2790" i="1" s="1"/>
  <c r="G2791" i="1"/>
  <c r="A2791" i="1" s="1"/>
  <c r="G2792" i="1"/>
  <c r="A2792" i="1" s="1"/>
  <c r="G2793" i="1"/>
  <c r="A2793" i="1" s="1"/>
  <c r="G2794" i="1"/>
  <c r="A2794" i="1" s="1"/>
  <c r="G2795" i="1"/>
  <c r="A2795" i="1" s="1"/>
  <c r="G2796" i="1"/>
  <c r="A2796" i="1" s="1"/>
  <c r="G2797" i="1"/>
  <c r="A2797" i="1" s="1"/>
  <c r="G2798" i="1"/>
  <c r="A2798" i="1" s="1"/>
  <c r="G2799" i="1"/>
  <c r="A2799" i="1" s="1"/>
  <c r="G2800" i="1"/>
  <c r="A2800" i="1" s="1"/>
  <c r="G2801" i="1"/>
  <c r="A2801" i="1" s="1"/>
  <c r="G2802" i="1"/>
  <c r="A2802" i="1" s="1"/>
  <c r="G2803" i="1"/>
  <c r="A2803" i="1" s="1"/>
  <c r="G2804" i="1"/>
  <c r="A2804" i="1" s="1"/>
  <c r="G2805" i="1"/>
  <c r="A2805" i="1" s="1"/>
  <c r="G2806" i="1"/>
  <c r="A2806" i="1" s="1"/>
  <c r="G2807" i="1"/>
  <c r="A2807" i="1" s="1"/>
  <c r="G2808" i="1"/>
  <c r="A2808" i="1" s="1"/>
  <c r="G2809" i="1"/>
  <c r="A2809" i="1" s="1"/>
  <c r="G2810" i="1"/>
  <c r="A2810" i="1" s="1"/>
  <c r="G2811" i="1"/>
  <c r="A2811" i="1" s="1"/>
  <c r="G2812" i="1"/>
  <c r="A2812" i="1" s="1"/>
  <c r="G2813" i="1"/>
  <c r="A2813" i="1" s="1"/>
  <c r="G2814" i="1"/>
  <c r="A2814" i="1" s="1"/>
  <c r="G2815" i="1"/>
  <c r="A2815" i="1" s="1"/>
  <c r="G2816" i="1"/>
  <c r="A2816" i="1" s="1"/>
  <c r="G2817" i="1"/>
  <c r="A2817" i="1" s="1"/>
  <c r="G2818" i="1"/>
  <c r="A2818" i="1" s="1"/>
  <c r="G2819" i="1"/>
  <c r="A2819" i="1" s="1"/>
  <c r="G2820" i="1"/>
  <c r="A2820" i="1" s="1"/>
  <c r="G2821" i="1"/>
  <c r="A2821" i="1" s="1"/>
  <c r="G2822" i="1"/>
  <c r="A2822" i="1" s="1"/>
  <c r="G2823" i="1"/>
  <c r="A2823" i="1" s="1"/>
  <c r="G2824" i="1"/>
  <c r="A2824" i="1" s="1"/>
  <c r="G2825" i="1"/>
  <c r="A2825" i="1" s="1"/>
  <c r="G2826" i="1"/>
  <c r="A2826" i="1" s="1"/>
  <c r="G2827" i="1"/>
  <c r="A2827" i="1" s="1"/>
  <c r="G2828" i="1"/>
  <c r="A2828" i="1" s="1"/>
  <c r="G2829" i="1"/>
  <c r="A2829" i="1" s="1"/>
  <c r="G2830" i="1"/>
  <c r="A2830" i="1" s="1"/>
  <c r="G2831" i="1"/>
  <c r="A2831" i="1" s="1"/>
  <c r="G2832" i="1"/>
  <c r="A2832" i="1" s="1"/>
  <c r="G2833" i="1"/>
  <c r="A2833" i="1" s="1"/>
  <c r="G2834" i="1"/>
  <c r="A2834" i="1" s="1"/>
  <c r="G2835" i="1"/>
  <c r="A2835" i="1" s="1"/>
  <c r="G2836" i="1"/>
  <c r="A2836" i="1" s="1"/>
  <c r="G2837" i="1"/>
  <c r="A2837" i="1" s="1"/>
  <c r="G2838" i="1"/>
  <c r="A2838" i="1" s="1"/>
  <c r="G2839" i="1"/>
  <c r="A2839" i="1" s="1"/>
  <c r="G2840" i="1"/>
  <c r="A2840" i="1" s="1"/>
  <c r="G2841" i="1"/>
  <c r="A2841" i="1" s="1"/>
  <c r="G2842" i="1"/>
  <c r="A2842" i="1" s="1"/>
  <c r="G2843" i="1"/>
  <c r="A2843" i="1" s="1"/>
  <c r="G2844" i="1"/>
  <c r="A2844" i="1" s="1"/>
  <c r="G2845" i="1"/>
  <c r="A2845" i="1" s="1"/>
  <c r="G2846" i="1"/>
  <c r="A2846" i="1" s="1"/>
  <c r="G2847" i="1"/>
  <c r="A2847" i="1" s="1"/>
  <c r="G2848" i="1"/>
  <c r="A2848" i="1" s="1"/>
  <c r="G2849" i="1"/>
  <c r="A2849" i="1" s="1"/>
  <c r="G2850" i="1"/>
  <c r="A2850" i="1" s="1"/>
  <c r="G2851" i="1"/>
  <c r="A2851" i="1" s="1"/>
  <c r="G2852" i="1"/>
  <c r="A2852" i="1" s="1"/>
  <c r="G2853" i="1"/>
  <c r="A2853" i="1" s="1"/>
  <c r="G2854" i="1"/>
  <c r="A2854" i="1" s="1"/>
  <c r="G2855" i="1"/>
  <c r="A2855" i="1" s="1"/>
  <c r="G2856" i="1"/>
  <c r="A2856" i="1" s="1"/>
  <c r="G2857" i="1"/>
  <c r="A2857" i="1" s="1"/>
  <c r="G2858" i="1"/>
  <c r="A2858" i="1" s="1"/>
  <c r="G2859" i="1"/>
  <c r="A2859" i="1" s="1"/>
  <c r="G2860" i="1"/>
  <c r="A2860" i="1" s="1"/>
  <c r="G2861" i="1"/>
  <c r="A2861" i="1" s="1"/>
  <c r="G2862" i="1"/>
  <c r="A2862" i="1" s="1"/>
  <c r="G2863" i="1"/>
  <c r="A2863" i="1" s="1"/>
  <c r="G2864" i="1"/>
  <c r="A2864" i="1" s="1"/>
  <c r="G2865" i="1"/>
  <c r="A2865" i="1" s="1"/>
  <c r="G2866" i="1"/>
  <c r="A2866" i="1" s="1"/>
  <c r="G2867" i="1"/>
  <c r="A2867" i="1" s="1"/>
  <c r="G2868" i="1"/>
  <c r="A2868" i="1" s="1"/>
  <c r="G2869" i="1"/>
  <c r="A2869" i="1" s="1"/>
  <c r="G2870" i="1"/>
  <c r="A2870" i="1" s="1"/>
  <c r="G2871" i="1"/>
  <c r="A2871" i="1" s="1"/>
  <c r="G2872" i="1"/>
  <c r="A2872" i="1" s="1"/>
  <c r="G2873" i="1"/>
  <c r="A2873" i="1" s="1"/>
  <c r="G2874" i="1"/>
  <c r="A2874" i="1" s="1"/>
  <c r="G2875" i="1"/>
  <c r="A2875" i="1" s="1"/>
  <c r="G2876" i="1"/>
  <c r="A2876" i="1" s="1"/>
  <c r="G2877" i="1"/>
  <c r="A2877" i="1" s="1"/>
  <c r="G2878" i="1"/>
  <c r="A2878" i="1" s="1"/>
  <c r="G2879" i="1"/>
  <c r="A2879" i="1" s="1"/>
  <c r="G2880" i="1"/>
  <c r="A2880" i="1" s="1"/>
  <c r="G2881" i="1"/>
  <c r="A2881" i="1" s="1"/>
  <c r="G2882" i="1"/>
  <c r="A2882" i="1" s="1"/>
  <c r="G2883" i="1"/>
  <c r="A2883" i="1" s="1"/>
  <c r="G2884" i="1"/>
  <c r="A2884" i="1" s="1"/>
  <c r="G2885" i="1"/>
  <c r="A2885" i="1" s="1"/>
  <c r="G2886" i="1"/>
  <c r="A2886" i="1" s="1"/>
  <c r="G2887" i="1"/>
  <c r="A2887" i="1" s="1"/>
  <c r="G2888" i="1"/>
  <c r="A2888" i="1" s="1"/>
  <c r="G2889" i="1"/>
  <c r="A2889" i="1" s="1"/>
  <c r="G2890" i="1"/>
  <c r="A2890" i="1" s="1"/>
  <c r="G2891" i="1"/>
  <c r="A2891" i="1" s="1"/>
  <c r="N2891" i="1"/>
  <c r="N2888" i="1"/>
  <c r="N2883" i="1"/>
  <c r="N2882" i="1"/>
  <c r="N2880" i="1"/>
  <c r="N2879" i="1"/>
  <c r="N2875" i="1"/>
  <c r="N2874" i="1"/>
  <c r="N2873" i="1"/>
  <c r="N2869" i="1"/>
  <c r="N2868" i="1"/>
  <c r="N2866" i="1"/>
  <c r="N2865" i="1"/>
  <c r="N2863" i="1"/>
  <c r="N2862" i="1"/>
  <c r="N2861" i="1"/>
  <c r="N2857" i="1"/>
  <c r="N2853" i="1"/>
  <c r="N2852" i="1"/>
  <c r="N2851" i="1"/>
  <c r="N2850" i="1"/>
  <c r="N2846" i="1"/>
  <c r="N2841" i="1"/>
  <c r="N2840" i="1"/>
  <c r="N2839" i="1"/>
  <c r="N2832" i="1"/>
  <c r="N2831" i="1"/>
  <c r="N2830" i="1"/>
  <c r="N2829" i="1"/>
  <c r="N2828" i="1"/>
  <c r="N2827" i="1"/>
  <c r="N2826" i="1"/>
  <c r="N2825" i="1"/>
  <c r="N2824" i="1"/>
  <c r="N2823" i="1"/>
  <c r="N2820" i="1"/>
  <c r="N2819" i="1"/>
  <c r="N2815" i="1"/>
  <c r="N2812" i="1"/>
  <c r="N2809" i="1"/>
  <c r="N2808" i="1"/>
  <c r="N2803" i="1"/>
  <c r="N2800" i="1"/>
  <c r="N2780" i="1"/>
  <c r="N2881" i="1"/>
  <c r="N2878" i="1"/>
  <c r="N2877" i="1"/>
  <c r="N2876" i="1"/>
  <c r="N2872" i="1"/>
  <c r="N2867" i="1"/>
  <c r="N2864" i="1"/>
  <c r="N2860" i="1"/>
  <c r="N2859" i="1"/>
  <c r="N2856" i="1"/>
  <c r="N2855" i="1"/>
  <c r="N2854" i="1"/>
  <c r="N2849" i="1"/>
  <c r="N2848" i="1"/>
  <c r="N2847" i="1"/>
  <c r="N2845" i="1"/>
  <c r="N2844" i="1"/>
  <c r="N2843" i="1"/>
  <c r="N2838" i="1"/>
  <c r="N2837" i="1"/>
  <c r="N2834" i="1"/>
  <c r="N2833" i="1"/>
  <c r="N2822" i="1"/>
  <c r="N2821" i="1"/>
  <c r="N2818" i="1"/>
  <c r="N2817" i="1"/>
  <c r="N2814" i="1"/>
  <c r="N2813" i="1"/>
  <c r="N2811" i="1"/>
  <c r="N2807" i="1"/>
  <c r="N2806" i="1"/>
  <c r="N2802" i="1"/>
  <c r="N2801" i="1"/>
  <c r="N2884" i="1"/>
  <c r="N2871" i="1"/>
  <c r="N2870" i="1"/>
  <c r="N2858" i="1"/>
  <c r="N2842" i="1"/>
  <c r="N2836" i="1"/>
  <c r="N2835" i="1"/>
  <c r="N2816" i="1"/>
  <c r="N2810" i="1"/>
  <c r="N2805" i="1"/>
  <c r="N2804" i="1"/>
  <c r="N2742" i="1"/>
  <c r="N2749" i="1"/>
  <c r="N2748" i="1"/>
  <c r="N2736" i="1"/>
  <c r="N2727" i="1"/>
  <c r="N2797" i="1"/>
  <c r="N2782" i="1"/>
  <c r="N2705" i="1"/>
  <c r="N2791" i="1"/>
  <c r="N2798" i="1"/>
  <c r="N2794" i="1"/>
  <c r="N2785" i="1"/>
  <c r="N2783" i="1"/>
  <c r="N2773" i="1"/>
  <c r="N2766" i="1"/>
  <c r="N2760" i="1"/>
  <c r="N2756" i="1"/>
  <c r="N2744" i="1"/>
  <c r="N2743" i="1"/>
  <c r="N2741" i="1"/>
  <c r="N2772" i="1"/>
  <c r="N2745" i="1"/>
  <c r="N2757" i="1"/>
  <c r="N2713" i="1"/>
  <c r="N2714" i="1"/>
  <c r="N2787" i="1"/>
  <c r="N2761" i="1"/>
  <c r="N2637" i="1"/>
  <c r="N2206" i="1"/>
  <c r="N2709" i="1"/>
  <c r="N2795" i="1"/>
  <c r="N2775" i="1"/>
  <c r="N2759" i="1"/>
  <c r="N2746" i="1"/>
  <c r="N2735" i="1"/>
  <c r="N2728" i="1"/>
  <c r="N2654" i="1"/>
  <c r="N2627" i="1"/>
  <c r="N2557" i="1"/>
  <c r="N2556" i="1"/>
  <c r="N2541" i="1"/>
  <c r="N2514" i="1"/>
  <c r="N2509" i="1"/>
  <c r="N2507" i="1"/>
  <c r="N2426" i="1"/>
  <c r="N2340" i="1"/>
  <c r="N2322" i="1"/>
  <c r="N2106" i="1"/>
  <c r="N1385" i="1"/>
  <c r="N1164" i="1"/>
  <c r="N985" i="1"/>
  <c r="N2786" i="1"/>
  <c r="N2778" i="1"/>
  <c r="N2722" i="1"/>
  <c r="N2793" i="1"/>
  <c r="N2784" i="1"/>
  <c r="N2776" i="1"/>
  <c r="N2769" i="1"/>
  <c r="N2768" i="1"/>
  <c r="N2767" i="1"/>
  <c r="N2763" i="1"/>
  <c r="N2755" i="1"/>
  <c r="N2754" i="1"/>
  <c r="N2753" i="1"/>
  <c r="N2752" i="1"/>
  <c r="N2739" i="1"/>
  <c r="N2738" i="1"/>
  <c r="N2737" i="1"/>
  <c r="N2732" i="1"/>
  <c r="N2726" i="1"/>
  <c r="N2723" i="1"/>
  <c r="N2720" i="1"/>
  <c r="N2718" i="1"/>
  <c r="N2771" i="1"/>
  <c r="N2725" i="1"/>
  <c r="N2758" i="1"/>
  <c r="N2770" i="1"/>
  <c r="N2765" i="1"/>
  <c r="N2762" i="1"/>
  <c r="N2747" i="1"/>
  <c r="N2719" i="1"/>
  <c r="N2799" i="1"/>
  <c r="N2796" i="1"/>
  <c r="N2788" i="1"/>
  <c r="N2779" i="1"/>
  <c r="N2774" i="1"/>
  <c r="N2777" i="1"/>
  <c r="N2764" i="1"/>
  <c r="N2740" i="1"/>
  <c r="N2734" i="1"/>
  <c r="N2733" i="1"/>
  <c r="N2724" i="1"/>
  <c r="N2711" i="1"/>
  <c r="N2710" i="1"/>
  <c r="N2721" i="1"/>
  <c r="N2712" i="1"/>
  <c r="G2718" i="1"/>
  <c r="A2718" i="1" s="1"/>
  <c r="G2720" i="1"/>
  <c r="A2720" i="1" s="1"/>
  <c r="G2723" i="1"/>
  <c r="A2723" i="1" s="1"/>
  <c r="G2726" i="1"/>
  <c r="A2726" i="1" s="1"/>
  <c r="G2732" i="1"/>
  <c r="A2732" i="1" s="1"/>
  <c r="G2737" i="1"/>
  <c r="A2737" i="1" s="1"/>
  <c r="G2738" i="1"/>
  <c r="A2738" i="1" s="1"/>
  <c r="G2739" i="1"/>
  <c r="A2739" i="1" s="1"/>
  <c r="G2752" i="1"/>
  <c r="A2752" i="1" s="1"/>
  <c r="G2753" i="1"/>
  <c r="A2753" i="1" s="1"/>
  <c r="G2754" i="1"/>
  <c r="A2754" i="1" s="1"/>
  <c r="G2755" i="1"/>
  <c r="A2755" i="1" s="1"/>
  <c r="G2763" i="1"/>
  <c r="A2763" i="1" s="1"/>
  <c r="G2767" i="1"/>
  <c r="A2767" i="1" s="1"/>
  <c r="G2768" i="1"/>
  <c r="A2768" i="1" s="1"/>
  <c r="G2769" i="1"/>
  <c r="A2769" i="1" s="1"/>
  <c r="G2776" i="1"/>
  <c r="A2776" i="1" s="1"/>
  <c r="G2727" i="1"/>
  <c r="A2727" i="1" s="1"/>
  <c r="G2736" i="1"/>
  <c r="A2736" i="1" s="1"/>
  <c r="G2748" i="1"/>
  <c r="A2748" i="1" s="1"/>
  <c r="G2742" i="1"/>
  <c r="A2742" i="1" s="1"/>
  <c r="G2749" i="1"/>
  <c r="A2749" i="1" s="1"/>
  <c r="G2709" i="1"/>
  <c r="A2709" i="1" s="1"/>
  <c r="G2710" i="1"/>
  <c r="A2710" i="1" s="1"/>
  <c r="G2711" i="1"/>
  <c r="A2711" i="1" s="1"/>
  <c r="G2712" i="1"/>
  <c r="A2712" i="1" s="1"/>
  <c r="G2713" i="1"/>
  <c r="A2713" i="1" s="1"/>
  <c r="G2714" i="1"/>
  <c r="A2714" i="1" s="1"/>
  <c r="G2719" i="1"/>
  <c r="A2719" i="1" s="1"/>
  <c r="G2721" i="1"/>
  <c r="A2721" i="1" s="1"/>
  <c r="G2722" i="1"/>
  <c r="A2722" i="1" s="1"/>
  <c r="G2724" i="1"/>
  <c r="A2724" i="1" s="1"/>
  <c r="G2725" i="1"/>
  <c r="A2725" i="1" s="1"/>
  <c r="G2728" i="1"/>
  <c r="A2728" i="1" s="1"/>
  <c r="G2733" i="1"/>
  <c r="A2733" i="1" s="1"/>
  <c r="G2734" i="1"/>
  <c r="A2734" i="1" s="1"/>
  <c r="G2735" i="1"/>
  <c r="A2735" i="1" s="1"/>
  <c r="G2740" i="1"/>
  <c r="A2740" i="1" s="1"/>
  <c r="G2741" i="1"/>
  <c r="A2741" i="1" s="1"/>
  <c r="G2743" i="1"/>
  <c r="A2743" i="1" s="1"/>
  <c r="G2744" i="1"/>
  <c r="A2744" i="1" s="1"/>
  <c r="G2745" i="1"/>
  <c r="A2745" i="1" s="1"/>
  <c r="G2746" i="1"/>
  <c r="A2746" i="1" s="1"/>
  <c r="G2747" i="1"/>
  <c r="A2747" i="1" s="1"/>
  <c r="G2756" i="1"/>
  <c r="A2756" i="1" s="1"/>
  <c r="G2757" i="1"/>
  <c r="A2757" i="1" s="1"/>
  <c r="G2758" i="1"/>
  <c r="A2758" i="1" s="1"/>
  <c r="G2759" i="1"/>
  <c r="A2759" i="1" s="1"/>
  <c r="G2760" i="1"/>
  <c r="A2760" i="1" s="1"/>
  <c r="G2761" i="1"/>
  <c r="A2761" i="1" s="1"/>
  <c r="G2762" i="1"/>
  <c r="A2762" i="1" s="1"/>
  <c r="G2764" i="1"/>
  <c r="A2764" i="1" s="1"/>
  <c r="G2765" i="1"/>
  <c r="A2765" i="1" s="1"/>
  <c r="G2766" i="1"/>
  <c r="A2766" i="1" s="1"/>
  <c r="G2770" i="1"/>
  <c r="A2770" i="1" s="1"/>
  <c r="G2771" i="1"/>
  <c r="A2771" i="1" s="1"/>
  <c r="G2772" i="1"/>
  <c r="A2772" i="1" s="1"/>
  <c r="G2773" i="1"/>
  <c r="A2773" i="1" s="1"/>
  <c r="G2774" i="1"/>
  <c r="A2774" i="1" s="1"/>
  <c r="G2775" i="1"/>
  <c r="A2775" i="1" s="1"/>
  <c r="G2777" i="1"/>
  <c r="A2777" i="1" s="1"/>
  <c r="G2778" i="1"/>
  <c r="A2778" i="1" s="1"/>
  <c r="G2779" i="1"/>
  <c r="A2779" i="1" s="1"/>
  <c r="N2792" i="1"/>
  <c r="N2790" i="1"/>
  <c r="N2789" i="1"/>
  <c r="N2781" i="1"/>
  <c r="N2751" i="1"/>
  <c r="N2750" i="1"/>
  <c r="N2731" i="1"/>
  <c r="N2730" i="1"/>
  <c r="N2729" i="1"/>
  <c r="N2717" i="1"/>
  <c r="N2716" i="1"/>
  <c r="N2715" i="1"/>
  <c r="N2708" i="1"/>
  <c r="N2707" i="1"/>
  <c r="N2706" i="1"/>
  <c r="N2704" i="1"/>
  <c r="N2703" i="1"/>
  <c r="N2702" i="1"/>
  <c r="N2701" i="1"/>
  <c r="N2700" i="1"/>
  <c r="N2699" i="1"/>
  <c r="N2698" i="1"/>
  <c r="N2697" i="1"/>
  <c r="G2751" i="1"/>
  <c r="A2751" i="1" s="1"/>
  <c r="G2750" i="1"/>
  <c r="A2750" i="1" s="1"/>
  <c r="G2731" i="1"/>
  <c r="A2731" i="1" s="1"/>
  <c r="G2730" i="1"/>
  <c r="A2730" i="1" s="1"/>
  <c r="G2729" i="1"/>
  <c r="A2729" i="1" s="1"/>
  <c r="G2717" i="1"/>
  <c r="A2717" i="1" s="1"/>
  <c r="G2716" i="1"/>
  <c r="A2716" i="1" s="1"/>
  <c r="G2715" i="1"/>
  <c r="A2715" i="1" s="1"/>
  <c r="G2708" i="1"/>
  <c r="A2708" i="1" s="1"/>
  <c r="G2707" i="1"/>
  <c r="A2707" i="1" s="1"/>
  <c r="G2706" i="1"/>
  <c r="A2706" i="1" s="1"/>
  <c r="G2705" i="1"/>
  <c r="A2705" i="1" s="1"/>
  <c r="G2704" i="1"/>
  <c r="A2704" i="1" s="1"/>
  <c r="G2703" i="1"/>
  <c r="A2703" i="1" s="1"/>
  <c r="G2702" i="1"/>
  <c r="A2702" i="1" s="1"/>
  <c r="G2701" i="1"/>
  <c r="A2701" i="1" s="1"/>
  <c r="G2700" i="1"/>
  <c r="A2700" i="1" s="1"/>
  <c r="G2699" i="1"/>
  <c r="A2699" i="1" s="1"/>
  <c r="G2698" i="1"/>
  <c r="A2698" i="1" s="1"/>
  <c r="G2697" i="1"/>
  <c r="A2697" i="1" s="1"/>
  <c r="N2686" i="1"/>
  <c r="G2686" i="1"/>
  <c r="A2686" i="1" s="1"/>
  <c r="G2693" i="1"/>
  <c r="A2693" i="1" s="1"/>
  <c r="N2693" i="1"/>
  <c r="N2688" i="1"/>
  <c r="N2685" i="1"/>
  <c r="N2690" i="1"/>
  <c r="N2689" i="1"/>
  <c r="N2687" i="1"/>
  <c r="N2684" i="1"/>
  <c r="N2682" i="1"/>
  <c r="N2683" i="1"/>
  <c r="N2691" i="1"/>
  <c r="N2694" i="1"/>
  <c r="N2692" i="1"/>
  <c r="N2696" i="1"/>
  <c r="N2695" i="1"/>
  <c r="G2696" i="1"/>
  <c r="A2696" i="1" s="1"/>
  <c r="G2695" i="1"/>
  <c r="A2695" i="1" s="1"/>
  <c r="G2694" i="1"/>
  <c r="A2694" i="1" s="1"/>
  <c r="G2692" i="1"/>
  <c r="A2692" i="1" s="1"/>
  <c r="G2691" i="1"/>
  <c r="A2691" i="1" s="1"/>
  <c r="G2690" i="1"/>
  <c r="A2690" i="1" s="1"/>
  <c r="G2689" i="1"/>
  <c r="A2689" i="1" s="1"/>
  <c r="G2688" i="1"/>
  <c r="A2688" i="1" s="1"/>
  <c r="G2687" i="1"/>
  <c r="A2687" i="1" s="1"/>
  <c r="G2685" i="1"/>
  <c r="A2685" i="1" s="1"/>
  <c r="G2684" i="1"/>
  <c r="A2684" i="1" s="1"/>
  <c r="G2683" i="1"/>
  <c r="A2683" i="1" s="1"/>
  <c r="G2682" i="1"/>
  <c r="A2682" i="1" s="1"/>
  <c r="K16" i="6"/>
  <c r="I16" i="6"/>
  <c r="K5" i="6"/>
  <c r="I5" i="6"/>
  <c r="N1365" i="1"/>
  <c r="G1365" i="1"/>
  <c r="A1365" i="1" s="1"/>
  <c r="N2493" i="1"/>
  <c r="N2581" i="1"/>
  <c r="N2583" i="1"/>
  <c r="G2493" i="1"/>
  <c r="A2493" i="1" s="1"/>
  <c r="G2581" i="1"/>
  <c r="A2581" i="1" s="1"/>
  <c r="G2583" i="1"/>
  <c r="A2583" i="1" s="1"/>
  <c r="C2677" i="1"/>
  <c r="N2677" i="1" s="1"/>
  <c r="C2678" i="1"/>
  <c r="N2678" i="1" s="1"/>
  <c r="C2679" i="1"/>
  <c r="N2679" i="1" s="1"/>
  <c r="C2680" i="1"/>
  <c r="N2680" i="1" s="1"/>
  <c r="C2681" i="1"/>
  <c r="N2681" i="1" s="1"/>
  <c r="C2676" i="1"/>
  <c r="N2676" i="1" s="1"/>
  <c r="N2531" i="1"/>
  <c r="N2540" i="1"/>
  <c r="N2539" i="1"/>
  <c r="N2538" i="1"/>
  <c r="N2537" i="1"/>
  <c r="N2543" i="1"/>
  <c r="N2546" i="1"/>
  <c r="N2545" i="1"/>
  <c r="N2544" i="1"/>
  <c r="N2550" i="1"/>
  <c r="N2549" i="1"/>
  <c r="N2548" i="1"/>
  <c r="N2552" i="1"/>
  <c r="N2555" i="1"/>
  <c r="N2561" i="1"/>
  <c r="N2560" i="1"/>
  <c r="N2559" i="1"/>
  <c r="N2564" i="1"/>
  <c r="N2563" i="1"/>
  <c r="N2566" i="1"/>
  <c r="N2565" i="1"/>
  <c r="N2567" i="1"/>
  <c r="N2569" i="1"/>
  <c r="N2568" i="1"/>
  <c r="N2570" i="1"/>
  <c r="N2574" i="1"/>
  <c r="N2573" i="1"/>
  <c r="N2580" i="1"/>
  <c r="N2579" i="1"/>
  <c r="N2596" i="1"/>
  <c r="N2595" i="1"/>
  <c r="N2601" i="1"/>
  <c r="N2600" i="1"/>
  <c r="N2603" i="1"/>
  <c r="N2605" i="1"/>
  <c r="N2608" i="1"/>
  <c r="N2607" i="1"/>
  <c r="N2606" i="1"/>
  <c r="N2610" i="1"/>
  <c r="N2615" i="1"/>
  <c r="N2617" i="1"/>
  <c r="N2623" i="1"/>
  <c r="N2622" i="1"/>
  <c r="N2621" i="1"/>
  <c r="N2620" i="1"/>
  <c r="N2619" i="1"/>
  <c r="N2625" i="1"/>
  <c r="N2632" i="1"/>
  <c r="N2631" i="1"/>
  <c r="N2630" i="1"/>
  <c r="N2629" i="1"/>
  <c r="N2628" i="1"/>
  <c r="N2635" i="1"/>
  <c r="N2634" i="1"/>
  <c r="N2633" i="1"/>
  <c r="N2641" i="1"/>
  <c r="N2640" i="1"/>
  <c r="N2639" i="1"/>
  <c r="N2644" i="1"/>
  <c r="N2643" i="1"/>
  <c r="N2652" i="1"/>
  <c r="N2651" i="1"/>
  <c r="N2650" i="1"/>
  <c r="N2649" i="1"/>
  <c r="N2648" i="1"/>
  <c r="N2653" i="1"/>
  <c r="N2656" i="1"/>
  <c r="N2655" i="1"/>
  <c r="N2661" i="1"/>
  <c r="N2660" i="1"/>
  <c r="N2659" i="1"/>
  <c r="N2658" i="1"/>
  <c r="N2668" i="1"/>
  <c r="N2667" i="1"/>
  <c r="N2666" i="1"/>
  <c r="N2665" i="1"/>
  <c r="N2664" i="1"/>
  <c r="N2663" i="1"/>
  <c r="N2662" i="1"/>
  <c r="N2675" i="1"/>
  <c r="N2674" i="1"/>
  <c r="N2673" i="1"/>
  <c r="N2672" i="1"/>
  <c r="N2671" i="1"/>
  <c r="N2446" i="1"/>
  <c r="N2453" i="1"/>
  <c r="N2461" i="1"/>
  <c r="N2473" i="1"/>
  <c r="N2484" i="1"/>
  <c r="N2487" i="1"/>
  <c r="N2492" i="1"/>
  <c r="N2500" i="1"/>
  <c r="N2499" i="1"/>
  <c r="N2506" i="1"/>
  <c r="N2513" i="1"/>
  <c r="N2515" i="1"/>
  <c r="N2518" i="1"/>
  <c r="N2517" i="1"/>
  <c r="N2520" i="1"/>
  <c r="N2521" i="1"/>
  <c r="N2530" i="1"/>
  <c r="N2529" i="1"/>
  <c r="N2534" i="1"/>
  <c r="N2533" i="1"/>
  <c r="N2536" i="1"/>
  <c r="N2535" i="1"/>
  <c r="N2542" i="1"/>
  <c r="N2547" i="1"/>
  <c r="N2554" i="1"/>
  <c r="N2553" i="1"/>
  <c r="N2558" i="1"/>
  <c r="N2562" i="1"/>
  <c r="N2572" i="1"/>
  <c r="N2571" i="1"/>
  <c r="N2578" i="1"/>
  <c r="N2582" i="1"/>
  <c r="N2594" i="1"/>
  <c r="N2593" i="1"/>
  <c r="N2599" i="1"/>
  <c r="N2602" i="1"/>
  <c r="N2604" i="1"/>
  <c r="N2609" i="1"/>
  <c r="N2614" i="1"/>
  <c r="N2616" i="1"/>
  <c r="N2624" i="1"/>
  <c r="N2626" i="1"/>
  <c r="N2636" i="1"/>
  <c r="N2638" i="1"/>
  <c r="N2642" i="1"/>
  <c r="N2647" i="1"/>
  <c r="N2670" i="1"/>
  <c r="N2669" i="1"/>
  <c r="N2532" i="1"/>
  <c r="N2551" i="1"/>
  <c r="N2577" i="1"/>
  <c r="N2576" i="1"/>
  <c r="N2575" i="1"/>
  <c r="N2590" i="1"/>
  <c r="N2589" i="1"/>
  <c r="N2588" i="1"/>
  <c r="N2587" i="1"/>
  <c r="N2586" i="1"/>
  <c r="N2585" i="1"/>
  <c r="N2584" i="1"/>
  <c r="N2592" i="1"/>
  <c r="N2591" i="1"/>
  <c r="N2598" i="1"/>
  <c r="N2597" i="1"/>
  <c r="N2613" i="1"/>
  <c r="N2612" i="1"/>
  <c r="N2611" i="1"/>
  <c r="N2618" i="1"/>
  <c r="N2646" i="1"/>
  <c r="N2645" i="1"/>
  <c r="N2657" i="1"/>
  <c r="G2531" i="1"/>
  <c r="A2531" i="1" s="1"/>
  <c r="G2541" i="1"/>
  <c r="A2541" i="1" s="1"/>
  <c r="G2540" i="1"/>
  <c r="A2540" i="1" s="1"/>
  <c r="G2539" i="1"/>
  <c r="A2539" i="1" s="1"/>
  <c r="G2538" i="1"/>
  <c r="A2538" i="1" s="1"/>
  <c r="G2537" i="1"/>
  <c r="A2537" i="1" s="1"/>
  <c r="G2543" i="1"/>
  <c r="A2543" i="1" s="1"/>
  <c r="G2546" i="1"/>
  <c r="A2546" i="1" s="1"/>
  <c r="G2545" i="1"/>
  <c r="A2545" i="1" s="1"/>
  <c r="G2544" i="1"/>
  <c r="A2544" i="1" s="1"/>
  <c r="G2550" i="1"/>
  <c r="A2550" i="1" s="1"/>
  <c r="G2549" i="1"/>
  <c r="A2549" i="1" s="1"/>
  <c r="G2548" i="1"/>
  <c r="A2548" i="1" s="1"/>
  <c r="G2552" i="1"/>
  <c r="A2552" i="1" s="1"/>
  <c r="G2557" i="1"/>
  <c r="A2557" i="1" s="1"/>
  <c r="G2556" i="1"/>
  <c r="A2556" i="1" s="1"/>
  <c r="G2555" i="1"/>
  <c r="A2555" i="1" s="1"/>
  <c r="G2561" i="1"/>
  <c r="A2561" i="1" s="1"/>
  <c r="G2560" i="1"/>
  <c r="A2560" i="1" s="1"/>
  <c r="G2559" i="1"/>
  <c r="A2559" i="1" s="1"/>
  <c r="G2564" i="1"/>
  <c r="A2564" i="1" s="1"/>
  <c r="G2563" i="1"/>
  <c r="A2563" i="1" s="1"/>
  <c r="G2566" i="1"/>
  <c r="A2566" i="1" s="1"/>
  <c r="G2565" i="1"/>
  <c r="A2565" i="1" s="1"/>
  <c r="G2567" i="1"/>
  <c r="A2567" i="1" s="1"/>
  <c r="G2569" i="1"/>
  <c r="A2569" i="1" s="1"/>
  <c r="G2568" i="1"/>
  <c r="A2568" i="1" s="1"/>
  <c r="G2570" i="1"/>
  <c r="A2570" i="1" s="1"/>
  <c r="G2574" i="1"/>
  <c r="A2574" i="1" s="1"/>
  <c r="G2573" i="1"/>
  <c r="A2573" i="1" s="1"/>
  <c r="G2580" i="1"/>
  <c r="A2580" i="1" s="1"/>
  <c r="G2579" i="1"/>
  <c r="A2579" i="1" s="1"/>
  <c r="G2596" i="1"/>
  <c r="A2596" i="1" s="1"/>
  <c r="G2595" i="1"/>
  <c r="A2595" i="1" s="1"/>
  <c r="G2601" i="1"/>
  <c r="A2601" i="1" s="1"/>
  <c r="G2600" i="1"/>
  <c r="A2600" i="1" s="1"/>
  <c r="G2603" i="1"/>
  <c r="A2603" i="1" s="1"/>
  <c r="G2605" i="1"/>
  <c r="A2605" i="1" s="1"/>
  <c r="G2608" i="1"/>
  <c r="A2608" i="1" s="1"/>
  <c r="G2607" i="1"/>
  <c r="A2607" i="1" s="1"/>
  <c r="G2606" i="1"/>
  <c r="A2606" i="1" s="1"/>
  <c r="G2610" i="1"/>
  <c r="A2610" i="1" s="1"/>
  <c r="G2615" i="1"/>
  <c r="A2615" i="1" s="1"/>
  <c r="G2617" i="1"/>
  <c r="A2617" i="1" s="1"/>
  <c r="G2623" i="1"/>
  <c r="A2623" i="1" s="1"/>
  <c r="G2622" i="1"/>
  <c r="A2622" i="1" s="1"/>
  <c r="G2621" i="1"/>
  <c r="A2621" i="1" s="1"/>
  <c r="G2620" i="1"/>
  <c r="A2620" i="1" s="1"/>
  <c r="G2619" i="1"/>
  <c r="A2619" i="1" s="1"/>
  <c r="G2625" i="1"/>
  <c r="A2625" i="1" s="1"/>
  <c r="G2632" i="1"/>
  <c r="A2632" i="1" s="1"/>
  <c r="G2631" i="1"/>
  <c r="A2631" i="1" s="1"/>
  <c r="G2630" i="1"/>
  <c r="A2630" i="1" s="1"/>
  <c r="G2629" i="1"/>
  <c r="A2629" i="1" s="1"/>
  <c r="G2628" i="1"/>
  <c r="A2628" i="1" s="1"/>
  <c r="G2627" i="1"/>
  <c r="A2627" i="1" s="1"/>
  <c r="G2635" i="1"/>
  <c r="A2635" i="1" s="1"/>
  <c r="G2634" i="1"/>
  <c r="A2634" i="1" s="1"/>
  <c r="G2633" i="1"/>
  <c r="A2633" i="1" s="1"/>
  <c r="G2637" i="1"/>
  <c r="A2637" i="1" s="1"/>
  <c r="G2641" i="1"/>
  <c r="A2641" i="1" s="1"/>
  <c r="G2640" i="1"/>
  <c r="A2640" i="1" s="1"/>
  <c r="G2639" i="1"/>
  <c r="A2639" i="1" s="1"/>
  <c r="G2644" i="1"/>
  <c r="A2644" i="1" s="1"/>
  <c r="G2643" i="1"/>
  <c r="A2643" i="1" s="1"/>
  <c r="G2652" i="1"/>
  <c r="A2652" i="1" s="1"/>
  <c r="G2651" i="1"/>
  <c r="A2651" i="1" s="1"/>
  <c r="G2650" i="1"/>
  <c r="A2650" i="1" s="1"/>
  <c r="G2649" i="1"/>
  <c r="A2649" i="1" s="1"/>
  <c r="G2648" i="1"/>
  <c r="A2648" i="1" s="1"/>
  <c r="G2654" i="1"/>
  <c r="A2654" i="1" s="1"/>
  <c r="G2653" i="1"/>
  <c r="A2653" i="1" s="1"/>
  <c r="G2656" i="1"/>
  <c r="A2656" i="1" s="1"/>
  <c r="G2655" i="1"/>
  <c r="A2655" i="1" s="1"/>
  <c r="G2661" i="1"/>
  <c r="A2661" i="1" s="1"/>
  <c r="G2660" i="1"/>
  <c r="A2660" i="1" s="1"/>
  <c r="G2659" i="1"/>
  <c r="A2659" i="1" s="1"/>
  <c r="G2658" i="1"/>
  <c r="A2658" i="1" s="1"/>
  <c r="G2668" i="1"/>
  <c r="A2668" i="1" s="1"/>
  <c r="G2667" i="1"/>
  <c r="A2667" i="1" s="1"/>
  <c r="G2666" i="1"/>
  <c r="A2666" i="1" s="1"/>
  <c r="G2665" i="1"/>
  <c r="A2665" i="1" s="1"/>
  <c r="G2664" i="1"/>
  <c r="A2664" i="1" s="1"/>
  <c r="G2663" i="1"/>
  <c r="A2663" i="1" s="1"/>
  <c r="G2662" i="1"/>
  <c r="A2662" i="1" s="1"/>
  <c r="G2675" i="1"/>
  <c r="A2675" i="1" s="1"/>
  <c r="G2674" i="1"/>
  <c r="A2674" i="1" s="1"/>
  <c r="G2673" i="1"/>
  <c r="A2673" i="1" s="1"/>
  <c r="G2672" i="1"/>
  <c r="A2672" i="1" s="1"/>
  <c r="G2671" i="1"/>
  <c r="A2671" i="1" s="1"/>
  <c r="G2676" i="1"/>
  <c r="G2681" i="1"/>
  <c r="G2680" i="1"/>
  <c r="G2679" i="1"/>
  <c r="G2678" i="1"/>
  <c r="G2677" i="1"/>
  <c r="G2670" i="1"/>
  <c r="A2670" i="1" s="1"/>
  <c r="G2647" i="1"/>
  <c r="A2647" i="1" s="1"/>
  <c r="G2642" i="1"/>
  <c r="A2642" i="1" s="1"/>
  <c r="G2638" i="1"/>
  <c r="A2638" i="1" s="1"/>
  <c r="G2636" i="1"/>
  <c r="A2636" i="1" s="1"/>
  <c r="G2626" i="1"/>
  <c r="A2626" i="1" s="1"/>
  <c r="G2624" i="1"/>
  <c r="A2624" i="1" s="1"/>
  <c r="G2616" i="1"/>
  <c r="A2616" i="1" s="1"/>
  <c r="G2614" i="1"/>
  <c r="A2614" i="1" s="1"/>
  <c r="G2609" i="1"/>
  <c r="A2609" i="1" s="1"/>
  <c r="G2604" i="1"/>
  <c r="A2604" i="1" s="1"/>
  <c r="G2602" i="1"/>
  <c r="A2602" i="1" s="1"/>
  <c r="G2599" i="1"/>
  <c r="A2599" i="1" s="1"/>
  <c r="G2593" i="1"/>
  <c r="A2593" i="1" s="1"/>
  <c r="G2594" i="1"/>
  <c r="A2594" i="1" s="1"/>
  <c r="G2582" i="1"/>
  <c r="A2582" i="1" s="1"/>
  <c r="G2578" i="1"/>
  <c r="A2578" i="1" s="1"/>
  <c r="G2571" i="1"/>
  <c r="A2571" i="1" s="1"/>
  <c r="G2572" i="1"/>
  <c r="A2572" i="1" s="1"/>
  <c r="G2562" i="1"/>
  <c r="A2562" i="1" s="1"/>
  <c r="G2558" i="1"/>
  <c r="A2558" i="1" s="1"/>
  <c r="G2553" i="1"/>
  <c r="A2553" i="1" s="1"/>
  <c r="G2554" i="1"/>
  <c r="A2554" i="1" s="1"/>
  <c r="G2547" i="1"/>
  <c r="A2547" i="1" s="1"/>
  <c r="G2542" i="1"/>
  <c r="A2542" i="1" s="1"/>
  <c r="G2535" i="1"/>
  <c r="A2535" i="1" s="1"/>
  <c r="G2536" i="1"/>
  <c r="A2536" i="1" s="1"/>
  <c r="G2533" i="1"/>
  <c r="A2533" i="1" s="1"/>
  <c r="G2534" i="1"/>
  <c r="A2534" i="1" s="1"/>
  <c r="G2529" i="1"/>
  <c r="A2529" i="1" s="1"/>
  <c r="G2530" i="1"/>
  <c r="A2530" i="1" s="1"/>
  <c r="G2521" i="1"/>
  <c r="A2521" i="1" s="1"/>
  <c r="G2520" i="1"/>
  <c r="A2520" i="1" s="1"/>
  <c r="G2517" i="1"/>
  <c r="A2517" i="1" s="1"/>
  <c r="G2518" i="1"/>
  <c r="A2518" i="1" s="1"/>
  <c r="G2515" i="1"/>
  <c r="A2515" i="1" s="1"/>
  <c r="G2513" i="1"/>
  <c r="A2513" i="1" s="1"/>
  <c r="G2506" i="1"/>
  <c r="A2506" i="1" s="1"/>
  <c r="G2499" i="1"/>
  <c r="A2499" i="1" s="1"/>
  <c r="G2500" i="1"/>
  <c r="A2500" i="1" s="1"/>
  <c r="G2492" i="1"/>
  <c r="A2492" i="1" s="1"/>
  <c r="G2487" i="1"/>
  <c r="A2487" i="1" s="1"/>
  <c r="G2484" i="1"/>
  <c r="A2484" i="1" s="1"/>
  <c r="G2473" i="1"/>
  <c r="A2473" i="1" s="1"/>
  <c r="G2461" i="1"/>
  <c r="A2461" i="1" s="1"/>
  <c r="G2453" i="1"/>
  <c r="A2453" i="1" s="1"/>
  <c r="G2446" i="1"/>
  <c r="A2446" i="1" s="1"/>
  <c r="G2669" i="1"/>
  <c r="A2669" i="1" s="1"/>
  <c r="G2532" i="1"/>
  <c r="A2532" i="1" s="1"/>
  <c r="G2551" i="1"/>
  <c r="A2551" i="1" s="1"/>
  <c r="G2577" i="1"/>
  <c r="A2577" i="1" s="1"/>
  <c r="G2576" i="1"/>
  <c r="A2576" i="1" s="1"/>
  <c r="G2575" i="1"/>
  <c r="A2575" i="1" s="1"/>
  <c r="G2590" i="1"/>
  <c r="A2590" i="1" s="1"/>
  <c r="G2589" i="1"/>
  <c r="A2589" i="1" s="1"/>
  <c r="G2588" i="1"/>
  <c r="A2588" i="1" s="1"/>
  <c r="G2587" i="1"/>
  <c r="A2587" i="1" s="1"/>
  <c r="G2586" i="1"/>
  <c r="A2586" i="1" s="1"/>
  <c r="G2585" i="1"/>
  <c r="A2585" i="1" s="1"/>
  <c r="G2584" i="1"/>
  <c r="A2584" i="1" s="1"/>
  <c r="G2592" i="1"/>
  <c r="A2592" i="1" s="1"/>
  <c r="G2591" i="1"/>
  <c r="A2591" i="1" s="1"/>
  <c r="G2598" i="1"/>
  <c r="A2598" i="1" s="1"/>
  <c r="G2597" i="1"/>
  <c r="A2597" i="1" s="1"/>
  <c r="G2613" i="1"/>
  <c r="A2613" i="1" s="1"/>
  <c r="G2612" i="1"/>
  <c r="A2612" i="1" s="1"/>
  <c r="G2611" i="1"/>
  <c r="A2611" i="1" s="1"/>
  <c r="G2618" i="1"/>
  <c r="A2618" i="1" s="1"/>
  <c r="G2646" i="1"/>
  <c r="A2646" i="1" s="1"/>
  <c r="G2645" i="1"/>
  <c r="A2645" i="1" s="1"/>
  <c r="G2657" i="1"/>
  <c r="A2657" i="1" s="1"/>
  <c r="G2474" i="1"/>
  <c r="A2474" i="1" s="1"/>
  <c r="G2471" i="1"/>
  <c r="A2471" i="1" s="1"/>
  <c r="G2472" i="1"/>
  <c r="A2472" i="1" s="1"/>
  <c r="G2468" i="1"/>
  <c r="A2468" i="1" s="1"/>
  <c r="G2469" i="1"/>
  <c r="A2469" i="1" s="1"/>
  <c r="C2524" i="1"/>
  <c r="N2524" i="1" s="1"/>
  <c r="C2525" i="1"/>
  <c r="C2526" i="1"/>
  <c r="C2527" i="1"/>
  <c r="C2522" i="1"/>
  <c r="C2523" i="1"/>
  <c r="N2519" i="1"/>
  <c r="N2516" i="1"/>
  <c r="N2510" i="1"/>
  <c r="N2511" i="1"/>
  <c r="N2508" i="1"/>
  <c r="N2505" i="1"/>
  <c r="N2474" i="1"/>
  <c r="N2471" i="1"/>
  <c r="N2472" i="1"/>
  <c r="N2468" i="1"/>
  <c r="N2469" i="1"/>
  <c r="N2463" i="1"/>
  <c r="N2464" i="1"/>
  <c r="N2456" i="1"/>
  <c r="N2457" i="1"/>
  <c r="N2458" i="1"/>
  <c r="N2459" i="1"/>
  <c r="N2460" i="1"/>
  <c r="N2449" i="1"/>
  <c r="N2450" i="1"/>
  <c r="N2451" i="1"/>
  <c r="N2452" i="1"/>
  <c r="N2447" i="1"/>
  <c r="N2448" i="1"/>
  <c r="N2443" i="1"/>
  <c r="N2444" i="1"/>
  <c r="N2445" i="1"/>
  <c r="N2440" i="1"/>
  <c r="N2441" i="1"/>
  <c r="N2438" i="1"/>
  <c r="N2432" i="1"/>
  <c r="N2433" i="1"/>
  <c r="N2434" i="1"/>
  <c r="N2435" i="1"/>
  <c r="N2436" i="1"/>
  <c r="N2430" i="1"/>
  <c r="N2431" i="1"/>
  <c r="N2427" i="1"/>
  <c r="N2425" i="1"/>
  <c r="N2420" i="1"/>
  <c r="N2421" i="1"/>
  <c r="N2422" i="1"/>
  <c r="G2422" i="1"/>
  <c r="A2422" i="1" s="1"/>
  <c r="G2421" i="1"/>
  <c r="A2421" i="1" s="1"/>
  <c r="G2420" i="1"/>
  <c r="A2420" i="1" s="1"/>
  <c r="G2426" i="1"/>
  <c r="A2426" i="1" s="1"/>
  <c r="G2425" i="1"/>
  <c r="A2425" i="1" s="1"/>
  <c r="G2427" i="1"/>
  <c r="A2427" i="1" s="1"/>
  <c r="G2431" i="1"/>
  <c r="A2431" i="1" s="1"/>
  <c r="G2430" i="1"/>
  <c r="A2430" i="1" s="1"/>
  <c r="G2436" i="1"/>
  <c r="A2436" i="1" s="1"/>
  <c r="G2435" i="1"/>
  <c r="A2435" i="1" s="1"/>
  <c r="G2434" i="1"/>
  <c r="A2434" i="1" s="1"/>
  <c r="G2433" i="1"/>
  <c r="A2433" i="1" s="1"/>
  <c r="G2432" i="1"/>
  <c r="A2432" i="1" s="1"/>
  <c r="G2438" i="1"/>
  <c r="A2438" i="1" s="1"/>
  <c r="G2441" i="1"/>
  <c r="A2441" i="1" s="1"/>
  <c r="G2440" i="1"/>
  <c r="A2440" i="1" s="1"/>
  <c r="G2445" i="1"/>
  <c r="A2445" i="1" s="1"/>
  <c r="G2444" i="1"/>
  <c r="A2444" i="1" s="1"/>
  <c r="G2443" i="1"/>
  <c r="A2443" i="1" s="1"/>
  <c r="G2448" i="1"/>
  <c r="A2448" i="1" s="1"/>
  <c r="G2447" i="1"/>
  <c r="A2447" i="1" s="1"/>
  <c r="G2452" i="1"/>
  <c r="A2452" i="1" s="1"/>
  <c r="G2451" i="1"/>
  <c r="A2451" i="1" s="1"/>
  <c r="G2450" i="1"/>
  <c r="A2450" i="1" s="1"/>
  <c r="G2449" i="1"/>
  <c r="A2449" i="1" s="1"/>
  <c r="G2460" i="1"/>
  <c r="A2460" i="1" s="1"/>
  <c r="G2459" i="1"/>
  <c r="A2459" i="1" s="1"/>
  <c r="G2458" i="1"/>
  <c r="A2458" i="1" s="1"/>
  <c r="G2457" i="1"/>
  <c r="A2457" i="1" s="1"/>
  <c r="G2456" i="1"/>
  <c r="A2456" i="1" s="1"/>
  <c r="G2464" i="1"/>
  <c r="A2464" i="1" s="1"/>
  <c r="G2463" i="1"/>
  <c r="A2463" i="1" s="1"/>
  <c r="G2505" i="1"/>
  <c r="A2505" i="1" s="1"/>
  <c r="G2509" i="1"/>
  <c r="A2509" i="1" s="1"/>
  <c r="G2508" i="1"/>
  <c r="A2508" i="1" s="1"/>
  <c r="G2507" i="1"/>
  <c r="A2507" i="1" s="1"/>
  <c r="G2511" i="1"/>
  <c r="A2511" i="1" s="1"/>
  <c r="G2510" i="1"/>
  <c r="A2510" i="1" s="1"/>
  <c r="G2514" i="1"/>
  <c r="A2514" i="1" s="1"/>
  <c r="G2516" i="1"/>
  <c r="A2516" i="1" s="1"/>
  <c r="G2519" i="1"/>
  <c r="A2519" i="1" s="1"/>
  <c r="G2522" i="1"/>
  <c r="G2527" i="1"/>
  <c r="G2526" i="1"/>
  <c r="G2525" i="1"/>
  <c r="G2524" i="1"/>
  <c r="G2523" i="1"/>
  <c r="N2429" i="1"/>
  <c r="N2428" i="1"/>
  <c r="N2437" i="1"/>
  <c r="N2439" i="1"/>
  <c r="N2442" i="1"/>
  <c r="N2455" i="1"/>
  <c r="N2454" i="1"/>
  <c r="N2462" i="1"/>
  <c r="N2465" i="1"/>
  <c r="N2467" i="1"/>
  <c r="N2466" i="1"/>
  <c r="N2470" i="1"/>
  <c r="N2483" i="1"/>
  <c r="N2482" i="1"/>
  <c r="N2481" i="1"/>
  <c r="N2480" i="1"/>
  <c r="N2479" i="1"/>
  <c r="N2478" i="1"/>
  <c r="N2477" i="1"/>
  <c r="N2476" i="1"/>
  <c r="N2475" i="1"/>
  <c r="N2486" i="1"/>
  <c r="N2485" i="1"/>
  <c r="N2491" i="1"/>
  <c r="N2490" i="1"/>
  <c r="N2489" i="1"/>
  <c r="N2488" i="1"/>
  <c r="N2498" i="1"/>
  <c r="N2497" i="1"/>
  <c r="N2496" i="1"/>
  <c r="N2495" i="1"/>
  <c r="N2494" i="1"/>
  <c r="N2504" i="1"/>
  <c r="N2503" i="1"/>
  <c r="N2502" i="1"/>
  <c r="N2501" i="1"/>
  <c r="N2512" i="1"/>
  <c r="N2528" i="1"/>
  <c r="G2429" i="1"/>
  <c r="A2429" i="1" s="1"/>
  <c r="G2428" i="1"/>
  <c r="A2428" i="1" s="1"/>
  <c r="G2437" i="1"/>
  <c r="A2437" i="1" s="1"/>
  <c r="G2439" i="1"/>
  <c r="A2439" i="1" s="1"/>
  <c r="G2442" i="1"/>
  <c r="A2442" i="1" s="1"/>
  <c r="G2455" i="1"/>
  <c r="A2455" i="1" s="1"/>
  <c r="G2454" i="1"/>
  <c r="A2454" i="1" s="1"/>
  <c r="G2462" i="1"/>
  <c r="A2462" i="1" s="1"/>
  <c r="G2465" i="1"/>
  <c r="A2465" i="1" s="1"/>
  <c r="G2467" i="1"/>
  <c r="A2467" i="1" s="1"/>
  <c r="G2466" i="1"/>
  <c r="A2466" i="1" s="1"/>
  <c r="G2470" i="1"/>
  <c r="A2470" i="1" s="1"/>
  <c r="G2483" i="1"/>
  <c r="A2483" i="1" s="1"/>
  <c r="G2482" i="1"/>
  <c r="A2482" i="1" s="1"/>
  <c r="G2481" i="1"/>
  <c r="A2481" i="1" s="1"/>
  <c r="G2480" i="1"/>
  <c r="A2480" i="1" s="1"/>
  <c r="G2479" i="1"/>
  <c r="A2479" i="1" s="1"/>
  <c r="G2478" i="1"/>
  <c r="A2478" i="1" s="1"/>
  <c r="G2477" i="1"/>
  <c r="A2477" i="1" s="1"/>
  <c r="G2476" i="1"/>
  <c r="A2476" i="1" s="1"/>
  <c r="G2475" i="1"/>
  <c r="A2475" i="1" s="1"/>
  <c r="G2486" i="1"/>
  <c r="A2486" i="1" s="1"/>
  <c r="G2485" i="1"/>
  <c r="A2485" i="1" s="1"/>
  <c r="G2491" i="1"/>
  <c r="A2491" i="1" s="1"/>
  <c r="G2490" i="1"/>
  <c r="A2490" i="1" s="1"/>
  <c r="G2489" i="1"/>
  <c r="A2489" i="1" s="1"/>
  <c r="G2488" i="1"/>
  <c r="A2488" i="1" s="1"/>
  <c r="G2498" i="1"/>
  <c r="A2498" i="1" s="1"/>
  <c r="G2497" i="1"/>
  <c r="A2497" i="1" s="1"/>
  <c r="G2496" i="1"/>
  <c r="A2496" i="1" s="1"/>
  <c r="G2495" i="1"/>
  <c r="A2495" i="1" s="1"/>
  <c r="G2494" i="1"/>
  <c r="A2494" i="1" s="1"/>
  <c r="G2504" i="1"/>
  <c r="A2504" i="1" s="1"/>
  <c r="G2503" i="1"/>
  <c r="A2503" i="1" s="1"/>
  <c r="G2502" i="1"/>
  <c r="A2502" i="1" s="1"/>
  <c r="G2501" i="1"/>
  <c r="A2501" i="1" s="1"/>
  <c r="G2512" i="1"/>
  <c r="A2512" i="1" s="1"/>
  <c r="G2528" i="1"/>
  <c r="A2528" i="1" s="1"/>
  <c r="N2376" i="1"/>
  <c r="N2370" i="1"/>
  <c r="N2368" i="1"/>
  <c r="N2343" i="1"/>
  <c r="N2339" i="1"/>
  <c r="N2337" i="1"/>
  <c r="N2424" i="1"/>
  <c r="N2423" i="1"/>
  <c r="N2419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5" i="1"/>
  <c r="N2374" i="1"/>
  <c r="N2373" i="1"/>
  <c r="N2372" i="1"/>
  <c r="N2371" i="1"/>
  <c r="N2369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2" i="1"/>
  <c r="N2341" i="1"/>
  <c r="N2338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G2333" i="1"/>
  <c r="A2333" i="1" s="1"/>
  <c r="G2342" i="1"/>
  <c r="A2342" i="1" s="1"/>
  <c r="G2382" i="1"/>
  <c r="A2382" i="1" s="1"/>
  <c r="G2381" i="1"/>
  <c r="A2381" i="1" s="1"/>
  <c r="G2405" i="1"/>
  <c r="A2405" i="1" s="1"/>
  <c r="G2318" i="1"/>
  <c r="A2318" i="1" s="1"/>
  <c r="N2307" i="1"/>
  <c r="G2309" i="1"/>
  <c r="A2309" i="1" s="1"/>
  <c r="G2308" i="1"/>
  <c r="A2308" i="1" s="1"/>
  <c r="G2307" i="1"/>
  <c r="A2307" i="1" s="1"/>
  <c r="G2322" i="1"/>
  <c r="A2322" i="1" s="1"/>
  <c r="G2328" i="1"/>
  <c r="A2328" i="1" s="1"/>
  <c r="G2327" i="1"/>
  <c r="A2327" i="1" s="1"/>
  <c r="G2332" i="1"/>
  <c r="A2332" i="1" s="1"/>
  <c r="G2331" i="1"/>
  <c r="A2331" i="1" s="1"/>
  <c r="G2330" i="1"/>
  <c r="A2330" i="1" s="1"/>
  <c r="G2341" i="1"/>
  <c r="A2341" i="1" s="1"/>
  <c r="G2340" i="1"/>
  <c r="A2340" i="1" s="1"/>
  <c r="G2339" i="1"/>
  <c r="A2339" i="1" s="1"/>
  <c r="G2338" i="1"/>
  <c r="A2338" i="1" s="1"/>
  <c r="G2337" i="1"/>
  <c r="A2337" i="1" s="1"/>
  <c r="G2346" i="1"/>
  <c r="A2346" i="1" s="1"/>
  <c r="G2345" i="1"/>
  <c r="A2345" i="1" s="1"/>
  <c r="G2344" i="1"/>
  <c r="A2344" i="1" s="1"/>
  <c r="G2343" i="1"/>
  <c r="A2343" i="1" s="1"/>
  <c r="G2348" i="1"/>
  <c r="A2348" i="1" s="1"/>
  <c r="G2347" i="1"/>
  <c r="A2347" i="1" s="1"/>
  <c r="G2353" i="1"/>
  <c r="A2353" i="1" s="1"/>
  <c r="G2352" i="1"/>
  <c r="A2352" i="1" s="1"/>
  <c r="G2355" i="1"/>
  <c r="A2355" i="1" s="1"/>
  <c r="G2360" i="1"/>
  <c r="A2360" i="1" s="1"/>
  <c r="G2359" i="1"/>
  <c r="A2359" i="1" s="1"/>
  <c r="G2358" i="1"/>
  <c r="A2358" i="1" s="1"/>
  <c r="G2357" i="1"/>
  <c r="A2357" i="1" s="1"/>
  <c r="G2364" i="1"/>
  <c r="A2364" i="1" s="1"/>
  <c r="G2363" i="1"/>
  <c r="A2363" i="1" s="1"/>
  <c r="G2362" i="1"/>
  <c r="A2362" i="1" s="1"/>
  <c r="G2365" i="1"/>
  <c r="A2365" i="1" s="1"/>
  <c r="G2370" i="1"/>
  <c r="A2370" i="1" s="1"/>
  <c r="G2369" i="1"/>
  <c r="A2369" i="1" s="1"/>
  <c r="G2368" i="1"/>
  <c r="A2368" i="1" s="1"/>
  <c r="G2367" i="1"/>
  <c r="A2367" i="1" s="1"/>
  <c r="G2366" i="1"/>
  <c r="A2366" i="1" s="1"/>
  <c r="G2373" i="1"/>
  <c r="A2373" i="1" s="1"/>
  <c r="G2378" i="1"/>
  <c r="A2378" i="1" s="1"/>
  <c r="G2377" i="1"/>
  <c r="A2377" i="1" s="1"/>
  <c r="G2376" i="1"/>
  <c r="A2376" i="1" s="1"/>
  <c r="G2375" i="1"/>
  <c r="A2375" i="1" s="1"/>
  <c r="G2380" i="1"/>
  <c r="A2380" i="1" s="1"/>
  <c r="G2385" i="1"/>
  <c r="A2385" i="1" s="1"/>
  <c r="G2384" i="1"/>
  <c r="A2384" i="1" s="1"/>
  <c r="G2383" i="1"/>
  <c r="A2383" i="1" s="1"/>
  <c r="G2388" i="1"/>
  <c r="A2388" i="1" s="1"/>
  <c r="G2387" i="1"/>
  <c r="A2387" i="1" s="1"/>
  <c r="G2389" i="1"/>
  <c r="A2389" i="1" s="1"/>
  <c r="G2395" i="1"/>
  <c r="A2395" i="1" s="1"/>
  <c r="G2401" i="1"/>
  <c r="A2401" i="1" s="1"/>
  <c r="G2400" i="1"/>
  <c r="A2400" i="1" s="1"/>
  <c r="G2399" i="1"/>
  <c r="A2399" i="1" s="1"/>
  <c r="G2402" i="1"/>
  <c r="A2402" i="1" s="1"/>
  <c r="G2404" i="1"/>
  <c r="A2404" i="1" s="1"/>
  <c r="G2403" i="1"/>
  <c r="A2403" i="1" s="1"/>
  <c r="G2406" i="1"/>
  <c r="A2406" i="1" s="1"/>
  <c r="G2413" i="1"/>
  <c r="A2413" i="1" s="1"/>
  <c r="G2412" i="1"/>
  <c r="A2412" i="1" s="1"/>
  <c r="G2411" i="1"/>
  <c r="A2411" i="1" s="1"/>
  <c r="G2410" i="1"/>
  <c r="A2410" i="1" s="1"/>
  <c r="G2414" i="1"/>
  <c r="A2414" i="1" s="1"/>
  <c r="G2419" i="1"/>
  <c r="A2419" i="1" s="1"/>
  <c r="G2418" i="1"/>
  <c r="G2417" i="1"/>
  <c r="C2418" i="1"/>
  <c r="C2417" i="1"/>
  <c r="G2311" i="1"/>
  <c r="A2311" i="1" s="1"/>
  <c r="G2312" i="1"/>
  <c r="A2312" i="1" s="1"/>
  <c r="G2313" i="1"/>
  <c r="A2313" i="1" s="1"/>
  <c r="G2317" i="1"/>
  <c r="A2317" i="1" s="1"/>
  <c r="G2316" i="1"/>
  <c r="A2316" i="1" s="1"/>
  <c r="G2315" i="1"/>
  <c r="A2315" i="1" s="1"/>
  <c r="G2314" i="1"/>
  <c r="A2314" i="1" s="1"/>
  <c r="G2319" i="1"/>
  <c r="A2319" i="1" s="1"/>
  <c r="G2321" i="1"/>
  <c r="A2321" i="1" s="1"/>
  <c r="G2320" i="1"/>
  <c r="A2320" i="1" s="1"/>
  <c r="G2326" i="1"/>
  <c r="A2326" i="1" s="1"/>
  <c r="G2325" i="1"/>
  <c r="A2325" i="1" s="1"/>
  <c r="G2324" i="1"/>
  <c r="A2324" i="1" s="1"/>
  <c r="G2323" i="1"/>
  <c r="A2323" i="1" s="1"/>
  <c r="G2329" i="1"/>
  <c r="A2329" i="1" s="1"/>
  <c r="G2336" i="1"/>
  <c r="A2336" i="1" s="1"/>
  <c r="G2335" i="1"/>
  <c r="A2335" i="1" s="1"/>
  <c r="G2334" i="1"/>
  <c r="A2334" i="1" s="1"/>
  <c r="G2351" i="1"/>
  <c r="A2351" i="1" s="1"/>
  <c r="G2350" i="1"/>
  <c r="A2350" i="1" s="1"/>
  <c r="G2349" i="1"/>
  <c r="A2349" i="1" s="1"/>
  <c r="G2354" i="1"/>
  <c r="A2354" i="1" s="1"/>
  <c r="G2356" i="1"/>
  <c r="A2356" i="1" s="1"/>
  <c r="G2361" i="1"/>
  <c r="A2361" i="1" s="1"/>
  <c r="G2372" i="1"/>
  <c r="A2372" i="1" s="1"/>
  <c r="G2371" i="1"/>
  <c r="A2371" i="1" s="1"/>
  <c r="G2374" i="1"/>
  <c r="A2374" i="1" s="1"/>
  <c r="G2379" i="1"/>
  <c r="A2379" i="1" s="1"/>
  <c r="G2386" i="1"/>
  <c r="A2386" i="1" s="1"/>
  <c r="G2391" i="1"/>
  <c r="A2391" i="1" s="1"/>
  <c r="G2390" i="1"/>
  <c r="A2390" i="1" s="1"/>
  <c r="G2394" i="1"/>
  <c r="A2394" i="1" s="1"/>
  <c r="G2393" i="1"/>
  <c r="A2393" i="1" s="1"/>
  <c r="G2392" i="1"/>
  <c r="A2392" i="1" s="1"/>
  <c r="G2396" i="1"/>
  <c r="A2396" i="1" s="1"/>
  <c r="G2398" i="1"/>
  <c r="A2398" i="1" s="1"/>
  <c r="G2397" i="1"/>
  <c r="A2397" i="1" s="1"/>
  <c r="G2409" i="1"/>
  <c r="A2409" i="1" s="1"/>
  <c r="G2408" i="1"/>
  <c r="A2408" i="1" s="1"/>
  <c r="G2407" i="1"/>
  <c r="A2407" i="1" s="1"/>
  <c r="G2415" i="1"/>
  <c r="A2415" i="1" s="1"/>
  <c r="G2416" i="1"/>
  <c r="A2416" i="1" s="1"/>
  <c r="G2424" i="1"/>
  <c r="A2424" i="1" s="1"/>
  <c r="G2423" i="1"/>
  <c r="A2423" i="1" s="1"/>
  <c r="K26" i="11"/>
  <c r="O26" i="11"/>
  <c r="Q26" i="11" s="1"/>
  <c r="R26" i="11" s="1"/>
  <c r="N26" i="11"/>
  <c r="K25" i="11"/>
  <c r="O25" i="11"/>
  <c r="N25" i="11"/>
  <c r="E2295" i="1"/>
  <c r="G2295" i="1" s="1"/>
  <c r="A2295" i="1" s="1"/>
  <c r="N2295" i="1"/>
  <c r="N2232" i="1"/>
  <c r="N2227" i="1"/>
  <c r="N2300" i="1"/>
  <c r="N2263" i="1"/>
  <c r="N2256" i="1"/>
  <c r="N2255" i="1"/>
  <c r="N2226" i="1"/>
  <c r="N2234" i="1"/>
  <c r="N2233" i="1"/>
  <c r="N2221" i="1"/>
  <c r="N2281" i="1"/>
  <c r="N2275" i="1"/>
  <c r="N2236" i="1"/>
  <c r="N2220" i="1"/>
  <c r="N2229" i="1"/>
  <c r="N2240" i="1"/>
  <c r="N2228" i="1"/>
  <c r="N2272" i="1"/>
  <c r="N2292" i="1"/>
  <c r="N2306" i="1"/>
  <c r="N2304" i="1"/>
  <c r="N2303" i="1"/>
  <c r="N2302" i="1"/>
  <c r="N2301" i="1"/>
  <c r="N2299" i="1"/>
  <c r="N2298" i="1"/>
  <c r="N2297" i="1"/>
  <c r="N2296" i="1"/>
  <c r="N2294" i="1"/>
  <c r="N2293" i="1"/>
  <c r="N2291" i="1"/>
  <c r="N2290" i="1"/>
  <c r="N2289" i="1"/>
  <c r="N2288" i="1"/>
  <c r="N2287" i="1"/>
  <c r="N2286" i="1"/>
  <c r="N2285" i="1"/>
  <c r="N2284" i="1"/>
  <c r="N2283" i="1"/>
  <c r="N2282" i="1"/>
  <c r="N2280" i="1"/>
  <c r="N2279" i="1"/>
  <c r="N2278" i="1"/>
  <c r="N2277" i="1"/>
  <c r="N2276" i="1"/>
  <c r="N2274" i="1"/>
  <c r="N2273" i="1"/>
  <c r="N2271" i="1"/>
  <c r="N2270" i="1"/>
  <c r="N2269" i="1"/>
  <c r="N2268" i="1"/>
  <c r="N2267" i="1"/>
  <c r="N2266" i="1"/>
  <c r="N2265" i="1"/>
  <c r="N2264" i="1"/>
  <c r="N2262" i="1"/>
  <c r="N2261" i="1"/>
  <c r="N2260" i="1"/>
  <c r="N2259" i="1"/>
  <c r="N2258" i="1"/>
  <c r="N2257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39" i="1"/>
  <c r="N2238" i="1"/>
  <c r="N2237" i="1"/>
  <c r="N2235" i="1"/>
  <c r="N2231" i="1"/>
  <c r="N2230" i="1"/>
  <c r="N2225" i="1"/>
  <c r="N2224" i="1"/>
  <c r="N2223" i="1"/>
  <c r="N2222" i="1"/>
  <c r="N2219" i="1"/>
  <c r="N2218" i="1"/>
  <c r="N2217" i="1"/>
  <c r="G2226" i="1"/>
  <c r="A2226" i="1" s="1"/>
  <c r="G2225" i="1"/>
  <c r="A2225" i="1" s="1"/>
  <c r="G2224" i="1"/>
  <c r="A2224" i="1" s="1"/>
  <c r="G2223" i="1"/>
  <c r="A2223" i="1" s="1"/>
  <c r="G2222" i="1"/>
  <c r="A2222" i="1" s="1"/>
  <c r="G2221" i="1"/>
  <c r="A2221" i="1" s="1"/>
  <c r="G2220" i="1"/>
  <c r="A2220" i="1" s="1"/>
  <c r="G2219" i="1"/>
  <c r="A2219" i="1" s="1"/>
  <c r="G2218" i="1"/>
  <c r="A2218" i="1" s="1"/>
  <c r="G2217" i="1"/>
  <c r="A2217" i="1" s="1"/>
  <c r="G2231" i="1"/>
  <c r="A2231" i="1" s="1"/>
  <c r="G2230" i="1"/>
  <c r="A2230" i="1" s="1"/>
  <c r="G2229" i="1"/>
  <c r="A2229" i="1" s="1"/>
  <c r="G2228" i="1"/>
  <c r="A2228" i="1" s="1"/>
  <c r="G2242" i="1"/>
  <c r="A2242" i="1" s="1"/>
  <c r="G2241" i="1"/>
  <c r="A2241" i="1" s="1"/>
  <c r="G2240" i="1"/>
  <c r="A2240" i="1" s="1"/>
  <c r="G2239" i="1"/>
  <c r="A2239" i="1" s="1"/>
  <c r="G2238" i="1"/>
  <c r="A2238" i="1" s="1"/>
  <c r="G2237" i="1"/>
  <c r="A2237" i="1" s="1"/>
  <c r="G2236" i="1"/>
  <c r="A2236" i="1" s="1"/>
  <c r="G2245" i="1"/>
  <c r="A2245" i="1" s="1"/>
  <c r="G2244" i="1"/>
  <c r="A2244" i="1" s="1"/>
  <c r="G2243" i="1"/>
  <c r="A2243" i="1" s="1"/>
  <c r="G2249" i="1"/>
  <c r="A2249" i="1" s="1"/>
  <c r="G2248" i="1"/>
  <c r="A2248" i="1" s="1"/>
  <c r="G2260" i="1"/>
  <c r="A2260" i="1" s="1"/>
  <c r="G2259" i="1"/>
  <c r="A2259" i="1" s="1"/>
  <c r="G2258" i="1"/>
  <c r="A2258" i="1" s="1"/>
  <c r="G2257" i="1"/>
  <c r="A2257" i="1" s="1"/>
  <c r="G2267" i="1"/>
  <c r="A2267" i="1" s="1"/>
  <c r="G2266" i="1"/>
  <c r="A2266" i="1" s="1"/>
  <c r="G2265" i="1"/>
  <c r="A2265" i="1" s="1"/>
  <c r="G2273" i="1"/>
  <c r="A2273" i="1" s="1"/>
  <c r="G2282" i="1"/>
  <c r="A2282" i="1" s="1"/>
  <c r="G2281" i="1"/>
  <c r="A2281" i="1" s="1"/>
  <c r="G2280" i="1"/>
  <c r="A2280" i="1" s="1"/>
  <c r="G2279" i="1"/>
  <c r="A2279" i="1" s="1"/>
  <c r="G2278" i="1"/>
  <c r="A2278" i="1" s="1"/>
  <c r="G2283" i="1"/>
  <c r="A2283" i="1" s="1"/>
  <c r="G2285" i="1"/>
  <c r="A2285" i="1" s="1"/>
  <c r="G2287" i="1"/>
  <c r="A2287" i="1" s="1"/>
  <c r="G2296" i="1"/>
  <c r="A2296" i="1" s="1"/>
  <c r="G2294" i="1"/>
  <c r="A2294" i="1" s="1"/>
  <c r="G2293" i="1"/>
  <c r="A2293" i="1" s="1"/>
  <c r="G2302" i="1"/>
  <c r="A2302" i="1" s="1"/>
  <c r="G2301" i="1"/>
  <c r="A2301" i="1" s="1"/>
  <c r="G2303" i="1"/>
  <c r="A2303" i="1" s="1"/>
  <c r="G2304" i="1"/>
  <c r="A2304" i="1" s="1"/>
  <c r="G2306" i="1"/>
  <c r="A2306" i="1" s="1"/>
  <c r="G2310" i="1"/>
  <c r="A2310" i="1" s="1"/>
  <c r="G2235" i="1"/>
  <c r="A2235" i="1" s="1"/>
  <c r="G2256" i="1"/>
  <c r="A2256" i="1" s="1"/>
  <c r="G2255" i="1"/>
  <c r="A2255" i="1" s="1"/>
  <c r="G2263" i="1"/>
  <c r="A2263" i="1" s="1"/>
  <c r="G2264" i="1"/>
  <c r="A2264" i="1" s="1"/>
  <c r="G2272" i="1"/>
  <c r="A2272" i="1" s="1"/>
  <c r="G2286" i="1"/>
  <c r="A2286" i="1" s="1"/>
  <c r="G2292" i="1"/>
  <c r="A2292" i="1" s="1"/>
  <c r="G2247" i="1"/>
  <c r="A2247" i="1" s="1"/>
  <c r="G2246" i="1"/>
  <c r="A2246" i="1" s="1"/>
  <c r="G2251" i="1"/>
  <c r="A2251" i="1" s="1"/>
  <c r="G2250" i="1"/>
  <c r="A2250" i="1" s="1"/>
  <c r="G2253" i="1"/>
  <c r="A2253" i="1" s="1"/>
  <c r="G2252" i="1"/>
  <c r="A2252" i="1" s="1"/>
  <c r="G2254" i="1"/>
  <c r="A2254" i="1" s="1"/>
  <c r="G2262" i="1"/>
  <c r="A2262" i="1" s="1"/>
  <c r="G2261" i="1"/>
  <c r="A2261" i="1" s="1"/>
  <c r="G2271" i="1"/>
  <c r="A2271" i="1" s="1"/>
  <c r="G2270" i="1"/>
  <c r="A2270" i="1" s="1"/>
  <c r="G2269" i="1"/>
  <c r="A2269" i="1" s="1"/>
  <c r="G2268" i="1"/>
  <c r="A2268" i="1" s="1"/>
  <c r="G2274" i="1"/>
  <c r="A2274" i="1" s="1"/>
  <c r="G2277" i="1"/>
  <c r="A2277" i="1" s="1"/>
  <c r="G2276" i="1"/>
  <c r="A2276" i="1" s="1"/>
  <c r="G2275" i="1"/>
  <c r="A2275" i="1" s="1"/>
  <c r="G2284" i="1"/>
  <c r="A2284" i="1" s="1"/>
  <c r="G2289" i="1"/>
  <c r="A2289" i="1" s="1"/>
  <c r="G2288" i="1"/>
  <c r="A2288" i="1" s="1"/>
  <c r="G2290" i="1"/>
  <c r="A2290" i="1" s="1"/>
  <c r="G2291" i="1"/>
  <c r="A2291" i="1" s="1"/>
  <c r="G2300" i="1"/>
  <c r="A2300" i="1" s="1"/>
  <c r="G2299" i="1"/>
  <c r="A2299" i="1" s="1"/>
  <c r="G2298" i="1"/>
  <c r="A2298" i="1" s="1"/>
  <c r="G2305" i="1"/>
  <c r="C2305" i="1"/>
  <c r="G2227" i="1"/>
  <c r="A2227" i="1" s="1"/>
  <c r="G2234" i="1"/>
  <c r="A2234" i="1" s="1"/>
  <c r="G2233" i="1"/>
  <c r="A2233" i="1" s="1"/>
  <c r="G2232" i="1"/>
  <c r="A2232" i="1" s="1"/>
  <c r="G2297" i="1"/>
  <c r="A2297" i="1" s="1"/>
  <c r="N2188" i="1"/>
  <c r="G2188" i="1"/>
  <c r="A2188" i="1" s="1"/>
  <c r="N2203" i="1"/>
  <c r="G2203" i="1"/>
  <c r="A2203" i="1" s="1"/>
  <c r="N2202" i="1"/>
  <c r="G2202" i="1"/>
  <c r="A2202" i="1" s="1"/>
  <c r="N2201" i="1"/>
  <c r="G2201" i="1"/>
  <c r="A2201" i="1" s="1"/>
  <c r="N2200" i="1"/>
  <c r="G2200" i="1"/>
  <c r="A2200" i="1" s="1"/>
  <c r="G2214" i="1"/>
  <c r="A2214" i="1" s="1"/>
  <c r="G2145" i="1"/>
  <c r="A2145" i="1" s="1"/>
  <c r="N2216" i="1"/>
  <c r="N2215" i="1"/>
  <c r="N2211" i="1"/>
  <c r="N2210" i="1"/>
  <c r="N2209" i="1"/>
  <c r="N2208" i="1"/>
  <c r="N2207" i="1"/>
  <c r="N2205" i="1"/>
  <c r="N2204" i="1"/>
  <c r="N2199" i="1"/>
  <c r="N2198" i="1"/>
  <c r="N2197" i="1"/>
  <c r="N2196" i="1"/>
  <c r="N2195" i="1"/>
  <c r="N2194" i="1"/>
  <c r="N2193" i="1"/>
  <c r="N2192" i="1"/>
  <c r="N2191" i="1"/>
  <c r="N2190" i="1"/>
  <c r="N2189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214" i="1"/>
  <c r="N2213" i="1"/>
  <c r="N2212" i="1"/>
  <c r="G2154" i="1"/>
  <c r="A2154" i="1" s="1"/>
  <c r="G2151" i="1"/>
  <c r="A2151" i="1" s="1"/>
  <c r="G2153" i="1"/>
  <c r="A2153" i="1" s="1"/>
  <c r="G2159" i="1"/>
  <c r="A2159" i="1" s="1"/>
  <c r="G2158" i="1"/>
  <c r="A2158" i="1" s="1"/>
  <c r="G2157" i="1"/>
  <c r="A2157" i="1" s="1"/>
  <c r="G2161" i="1"/>
  <c r="A2161" i="1" s="1"/>
  <c r="G2160" i="1"/>
  <c r="A2160" i="1" s="1"/>
  <c r="G2166" i="1"/>
  <c r="A2166" i="1" s="1"/>
  <c r="G2165" i="1"/>
  <c r="A2165" i="1" s="1"/>
  <c r="G2164" i="1"/>
  <c r="A2164" i="1" s="1"/>
  <c r="G2163" i="1"/>
  <c r="A2163" i="1" s="1"/>
  <c r="G2167" i="1"/>
  <c r="A2167" i="1" s="1"/>
  <c r="G2170" i="1"/>
  <c r="A2170" i="1" s="1"/>
  <c r="G2169" i="1"/>
  <c r="A2169" i="1" s="1"/>
  <c r="G2177" i="1"/>
  <c r="A2177" i="1" s="1"/>
  <c r="G2176" i="1"/>
  <c r="A2176" i="1" s="1"/>
  <c r="G2175" i="1"/>
  <c r="A2175" i="1" s="1"/>
  <c r="G2174" i="1"/>
  <c r="A2174" i="1" s="1"/>
  <c r="G2173" i="1"/>
  <c r="A2173" i="1" s="1"/>
  <c r="G2172" i="1"/>
  <c r="A2172" i="1" s="1"/>
  <c r="G2179" i="1"/>
  <c r="A2179" i="1" s="1"/>
  <c r="G2178" i="1"/>
  <c r="A2178" i="1" s="1"/>
  <c r="G2187" i="1"/>
  <c r="A2187" i="1" s="1"/>
  <c r="G2186" i="1"/>
  <c r="A2186" i="1" s="1"/>
  <c r="G2189" i="1"/>
  <c r="A2189" i="1" s="1"/>
  <c r="G2190" i="1"/>
  <c r="A2190" i="1" s="1"/>
  <c r="G2193" i="1"/>
  <c r="A2193" i="1" s="1"/>
  <c r="G2192" i="1"/>
  <c r="A2192" i="1" s="1"/>
  <c r="G2195" i="1"/>
  <c r="A2195" i="1" s="1"/>
  <c r="G2194" i="1"/>
  <c r="A2194" i="1" s="1"/>
  <c r="G2207" i="1"/>
  <c r="A2207" i="1" s="1"/>
  <c r="G2206" i="1"/>
  <c r="A2206" i="1" s="1"/>
  <c r="G2209" i="1"/>
  <c r="A2209" i="1" s="1"/>
  <c r="G2213" i="1"/>
  <c r="A2213" i="1" s="1"/>
  <c r="G2212" i="1"/>
  <c r="A2212" i="1" s="1"/>
  <c r="G2156" i="1"/>
  <c r="A2156" i="1" s="1"/>
  <c r="G2155" i="1"/>
  <c r="A2155" i="1" s="1"/>
  <c r="G2162" i="1"/>
  <c r="A2162" i="1" s="1"/>
  <c r="G2168" i="1"/>
  <c r="A2168" i="1" s="1"/>
  <c r="G2171" i="1"/>
  <c r="A2171" i="1" s="1"/>
  <c r="G2185" i="1"/>
  <c r="A2185" i="1" s="1"/>
  <c r="G2184" i="1"/>
  <c r="A2184" i="1" s="1"/>
  <c r="G2183" i="1"/>
  <c r="A2183" i="1" s="1"/>
  <c r="G2182" i="1"/>
  <c r="A2182" i="1" s="1"/>
  <c r="G2181" i="1"/>
  <c r="A2181" i="1" s="1"/>
  <c r="G2191" i="1"/>
  <c r="A2191" i="1" s="1"/>
  <c r="G2204" i="1"/>
  <c r="A2204" i="1" s="1"/>
  <c r="G2199" i="1"/>
  <c r="A2199" i="1" s="1"/>
  <c r="G2198" i="1"/>
  <c r="A2198" i="1" s="1"/>
  <c r="G2197" i="1"/>
  <c r="A2197" i="1" s="1"/>
  <c r="G2196" i="1"/>
  <c r="A2196" i="1" s="1"/>
  <c r="G2205" i="1"/>
  <c r="A2205" i="1" s="1"/>
  <c r="G2208" i="1"/>
  <c r="A2208" i="1" s="1"/>
  <c r="G2210" i="1"/>
  <c r="A2210" i="1" s="1"/>
  <c r="G2211" i="1"/>
  <c r="A2211" i="1" s="1"/>
  <c r="G2216" i="1"/>
  <c r="A2216" i="1" s="1"/>
  <c r="G2215" i="1"/>
  <c r="A2215" i="1" s="1"/>
  <c r="G2180" i="1"/>
  <c r="A2180" i="1" s="1"/>
  <c r="G2149" i="1"/>
  <c r="A2149" i="1" s="1"/>
  <c r="G2148" i="1"/>
  <c r="A2148" i="1" s="1"/>
  <c r="G2150" i="1"/>
  <c r="A2150" i="1" s="1"/>
  <c r="G2152" i="1"/>
  <c r="A2152" i="1" s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G2127" i="1"/>
  <c r="A2127" i="1" s="1"/>
  <c r="G2128" i="1"/>
  <c r="A2128" i="1" s="1"/>
  <c r="G2129" i="1"/>
  <c r="A2129" i="1" s="1"/>
  <c r="G2130" i="1"/>
  <c r="A2130" i="1" s="1"/>
  <c r="G2131" i="1"/>
  <c r="A2131" i="1" s="1"/>
  <c r="G2132" i="1"/>
  <c r="A2132" i="1" s="1"/>
  <c r="G2133" i="1"/>
  <c r="A2133" i="1" s="1"/>
  <c r="G2134" i="1"/>
  <c r="A2134" i="1" s="1"/>
  <c r="G2135" i="1"/>
  <c r="A2135" i="1" s="1"/>
  <c r="G2136" i="1"/>
  <c r="A2136" i="1" s="1"/>
  <c r="G2137" i="1"/>
  <c r="A2137" i="1" s="1"/>
  <c r="G2138" i="1"/>
  <c r="A2138" i="1" s="1"/>
  <c r="G2139" i="1"/>
  <c r="A2139" i="1" s="1"/>
  <c r="G2140" i="1"/>
  <c r="A2140" i="1" s="1"/>
  <c r="G2141" i="1"/>
  <c r="A2141" i="1" s="1"/>
  <c r="G2142" i="1"/>
  <c r="A2142" i="1" s="1"/>
  <c r="G2143" i="1"/>
  <c r="A2143" i="1" s="1"/>
  <c r="G2144" i="1"/>
  <c r="A2144" i="1" s="1"/>
  <c r="G2146" i="1"/>
  <c r="A2146" i="1" s="1"/>
  <c r="G2147" i="1"/>
  <c r="A2147" i="1" s="1"/>
  <c r="G2093" i="1"/>
  <c r="A2093" i="1" s="1"/>
  <c r="G2094" i="1"/>
  <c r="A2094" i="1" s="1"/>
  <c r="G2095" i="1"/>
  <c r="A2095" i="1" s="1"/>
  <c r="G2096" i="1"/>
  <c r="A2096" i="1" s="1"/>
  <c r="G2097" i="1"/>
  <c r="A2097" i="1" s="1"/>
  <c r="G2098" i="1"/>
  <c r="A2098" i="1" s="1"/>
  <c r="G2099" i="1"/>
  <c r="A2099" i="1" s="1"/>
  <c r="G2100" i="1"/>
  <c r="A2100" i="1" s="1"/>
  <c r="G2101" i="1"/>
  <c r="A2101" i="1" s="1"/>
  <c r="G2102" i="1"/>
  <c r="A2102" i="1" s="1"/>
  <c r="G2103" i="1"/>
  <c r="A2103" i="1" s="1"/>
  <c r="G2104" i="1"/>
  <c r="A2104" i="1" s="1"/>
  <c r="G2105" i="1"/>
  <c r="A2105" i="1" s="1"/>
  <c r="G2106" i="1"/>
  <c r="A2106" i="1" s="1"/>
  <c r="G2107" i="1"/>
  <c r="A2107" i="1" s="1"/>
  <c r="G2108" i="1"/>
  <c r="A2108" i="1" s="1"/>
  <c r="G2109" i="1"/>
  <c r="A2109" i="1" s="1"/>
  <c r="G2110" i="1"/>
  <c r="A2110" i="1" s="1"/>
  <c r="G2111" i="1"/>
  <c r="A2111" i="1" s="1"/>
  <c r="G2112" i="1"/>
  <c r="A2112" i="1" s="1"/>
  <c r="G2113" i="1"/>
  <c r="A2113" i="1" s="1"/>
  <c r="G2114" i="1"/>
  <c r="A2114" i="1" s="1"/>
  <c r="G2115" i="1"/>
  <c r="A2115" i="1" s="1"/>
  <c r="G2116" i="1"/>
  <c r="A2116" i="1" s="1"/>
  <c r="G2117" i="1"/>
  <c r="A2117" i="1" s="1"/>
  <c r="G2118" i="1"/>
  <c r="A2118" i="1" s="1"/>
  <c r="G2119" i="1"/>
  <c r="A2119" i="1" s="1"/>
  <c r="G2120" i="1"/>
  <c r="A2120" i="1" s="1"/>
  <c r="G2121" i="1"/>
  <c r="A2121" i="1" s="1"/>
  <c r="G2122" i="1"/>
  <c r="A2122" i="1" s="1"/>
  <c r="G2123" i="1"/>
  <c r="A2123" i="1" s="1"/>
  <c r="G2124" i="1"/>
  <c r="A2124" i="1" s="1"/>
  <c r="G2125" i="1"/>
  <c r="A2125" i="1" s="1"/>
  <c r="G2126" i="1"/>
  <c r="A2126" i="1" s="1"/>
  <c r="K10" i="6"/>
  <c r="K4" i="6"/>
  <c r="K4" i="13"/>
  <c r="I4" i="13"/>
  <c r="L4" i="13"/>
  <c r="J4" i="13"/>
  <c r="H4" i="13"/>
  <c r="G4" i="13"/>
  <c r="E4" i="13"/>
  <c r="G2092" i="1"/>
  <c r="A2092" i="1" s="1"/>
  <c r="N2092" i="1"/>
  <c r="N2073" i="1"/>
  <c r="G2073" i="1"/>
  <c r="A2073" i="1" s="1"/>
  <c r="N2084" i="1"/>
  <c r="N2083" i="1"/>
  <c r="G2084" i="1"/>
  <c r="A2084" i="1" s="1"/>
  <c r="G2083" i="1"/>
  <c r="A2083" i="1" s="1"/>
  <c r="G2082" i="1"/>
  <c r="A2082" i="1" s="1"/>
  <c r="G2081" i="1"/>
  <c r="A2081" i="1" s="1"/>
  <c r="G2086" i="1"/>
  <c r="A2086" i="1" s="1"/>
  <c r="G2091" i="1"/>
  <c r="A2091" i="1" s="1"/>
  <c r="G2090" i="1"/>
  <c r="A2090" i="1" s="1"/>
  <c r="G2089" i="1"/>
  <c r="A2089" i="1" s="1"/>
  <c r="G2088" i="1"/>
  <c r="A2088" i="1" s="1"/>
  <c r="G2087" i="1"/>
  <c r="A2087" i="1" s="1"/>
  <c r="N2082" i="1"/>
  <c r="N2081" i="1"/>
  <c r="N2090" i="1"/>
  <c r="N2089" i="1"/>
  <c r="N2085" i="1"/>
  <c r="G2085" i="1"/>
  <c r="A2085" i="1" s="1"/>
  <c r="G2076" i="1"/>
  <c r="A2076" i="1" s="1"/>
  <c r="G2077" i="1"/>
  <c r="A2077" i="1" s="1"/>
  <c r="G2078" i="1"/>
  <c r="A2078" i="1" s="1"/>
  <c r="G2079" i="1"/>
  <c r="A2079" i="1" s="1"/>
  <c r="G2080" i="1"/>
  <c r="A2080" i="1" s="1"/>
  <c r="J2" i="7"/>
  <c r="N12" i="1"/>
  <c r="N13" i="1"/>
  <c r="N18" i="1"/>
  <c r="N19" i="1"/>
  <c r="N20" i="1"/>
  <c r="N21" i="1"/>
  <c r="N22" i="1"/>
  <c r="N23" i="1"/>
  <c r="N24" i="1"/>
  <c r="N25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9" i="1"/>
  <c r="N50" i="1"/>
  <c r="N54" i="1"/>
  <c r="N55" i="1"/>
  <c r="N56" i="1"/>
  <c r="N57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80" i="1"/>
  <c r="N81" i="1"/>
  <c r="N82" i="1"/>
  <c r="N83" i="1"/>
  <c r="N84" i="1"/>
  <c r="N85" i="1"/>
  <c r="N88" i="1"/>
  <c r="N90" i="1"/>
  <c r="N91" i="1"/>
  <c r="N95" i="1"/>
  <c r="N96" i="1"/>
  <c r="N97" i="1"/>
  <c r="N98" i="1"/>
  <c r="N99" i="1"/>
  <c r="N100" i="1"/>
  <c r="N101" i="1"/>
  <c r="N102" i="1"/>
  <c r="N110" i="1"/>
  <c r="N111" i="1"/>
  <c r="N112" i="1"/>
  <c r="N113" i="1"/>
  <c r="N114" i="1"/>
  <c r="N115" i="1"/>
  <c r="N116" i="1"/>
  <c r="N117" i="1"/>
  <c r="N119" i="1"/>
  <c r="N120" i="1"/>
  <c r="N121" i="1"/>
  <c r="N122" i="1"/>
  <c r="N123" i="1"/>
  <c r="N124" i="1"/>
  <c r="N125" i="1"/>
  <c r="N128" i="1"/>
  <c r="N129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8" i="1"/>
  <c r="N149" i="1"/>
  <c r="N150" i="1"/>
  <c r="N151" i="1"/>
  <c r="N155" i="1"/>
  <c r="N157" i="1"/>
  <c r="N161" i="1"/>
  <c r="N162" i="1"/>
  <c r="N163" i="1"/>
  <c r="N165" i="1"/>
  <c r="N166" i="1"/>
  <c r="N167" i="1"/>
  <c r="N168" i="1"/>
  <c r="N169" i="1"/>
  <c r="N170" i="1"/>
  <c r="N171" i="1"/>
  <c r="N172" i="1"/>
  <c r="N177" i="1"/>
  <c r="N178" i="1"/>
  <c r="N179" i="1"/>
  <c r="N182" i="1"/>
  <c r="N183" i="1"/>
  <c r="N184" i="1"/>
  <c r="N185" i="1"/>
  <c r="N186" i="1"/>
  <c r="N187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3" i="1"/>
  <c r="N254" i="1"/>
  <c r="N260" i="1"/>
  <c r="N261" i="1"/>
  <c r="N262" i="1"/>
  <c r="N263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40" i="1"/>
  <c r="N1741" i="1"/>
  <c r="N1742" i="1"/>
  <c r="N1744" i="1"/>
  <c r="N1745" i="1"/>
  <c r="N1746" i="1"/>
  <c r="N1747" i="1"/>
  <c r="N1748" i="1"/>
  <c r="N1749" i="1"/>
  <c r="N1750" i="1"/>
  <c r="N1754" i="1"/>
  <c r="N1755" i="1"/>
  <c r="N1756" i="1"/>
  <c r="N1757" i="1"/>
  <c r="N1758" i="1"/>
  <c r="N1760" i="1"/>
  <c r="N1761" i="1"/>
  <c r="N1777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1" i="1"/>
  <c r="N1882" i="1"/>
  <c r="N1883" i="1"/>
  <c r="N1884" i="1"/>
  <c r="N1885" i="1"/>
  <c r="N1886" i="1"/>
  <c r="N1887" i="1"/>
  <c r="N1888" i="1"/>
  <c r="N1889" i="1"/>
  <c r="N1890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4" i="1"/>
  <c r="N2079" i="1"/>
  <c r="N2080" i="1"/>
  <c r="G2062" i="1"/>
  <c r="A2062" i="1" s="1"/>
  <c r="G2060" i="1"/>
  <c r="A2060" i="1" s="1"/>
  <c r="G2075" i="1"/>
  <c r="A2075" i="1" s="1"/>
  <c r="G2069" i="1"/>
  <c r="A2069" i="1" s="1"/>
  <c r="G2064" i="1"/>
  <c r="A2064" i="1" s="1"/>
  <c r="G2061" i="1"/>
  <c r="A2061" i="1" s="1"/>
  <c r="G2046" i="1"/>
  <c r="A2046" i="1" s="1"/>
  <c r="G2047" i="1"/>
  <c r="A2047" i="1" s="1"/>
  <c r="G2048" i="1"/>
  <c r="A2048" i="1" s="1"/>
  <c r="G2049" i="1"/>
  <c r="A2049" i="1" s="1"/>
  <c r="G2050" i="1"/>
  <c r="A2050" i="1" s="1"/>
  <c r="G2045" i="1"/>
  <c r="A2045" i="1" s="1"/>
  <c r="G2051" i="1"/>
  <c r="A2051" i="1" s="1"/>
  <c r="G2052" i="1"/>
  <c r="A2052" i="1" s="1"/>
  <c r="N2076" i="1"/>
  <c r="N2077" i="1"/>
  <c r="N2078" i="1"/>
  <c r="N2075" i="1"/>
  <c r="G2059" i="1"/>
  <c r="A2059" i="1" s="1"/>
  <c r="G2058" i="1"/>
  <c r="A2058" i="1" s="1"/>
  <c r="G2057" i="1"/>
  <c r="A2057" i="1" s="1"/>
  <c r="G2056" i="1"/>
  <c r="A2056" i="1" s="1"/>
  <c r="G2055" i="1"/>
  <c r="A2055" i="1" s="1"/>
  <c r="G2054" i="1"/>
  <c r="A2054" i="1" s="1"/>
  <c r="G2053" i="1"/>
  <c r="A2053" i="1" s="1"/>
  <c r="G2063" i="1"/>
  <c r="A2063" i="1" s="1"/>
  <c r="G2067" i="1"/>
  <c r="A2067" i="1" s="1"/>
  <c r="G2066" i="1"/>
  <c r="A2066" i="1" s="1"/>
  <c r="G2065" i="1"/>
  <c r="A2065" i="1" s="1"/>
  <c r="G2068" i="1"/>
  <c r="A2068" i="1" s="1"/>
  <c r="G2074" i="1"/>
  <c r="A2074" i="1" s="1"/>
  <c r="G2072" i="1"/>
  <c r="A2072" i="1" s="1"/>
  <c r="G2071" i="1"/>
  <c r="A2071" i="1" s="1"/>
  <c r="G2070" i="1"/>
  <c r="A2070" i="1" s="1"/>
  <c r="AQ2" i="16"/>
  <c r="AQ21" i="16" s="1"/>
  <c r="AQ23" i="16" s="1"/>
  <c r="AR2" i="16"/>
  <c r="AR21" i="16" s="1"/>
  <c r="AR23" i="16" s="1"/>
  <c r="AS2" i="16"/>
  <c r="AS21" i="16" s="1"/>
  <c r="AS23" i="16" s="1"/>
  <c r="AT2" i="16"/>
  <c r="AT21" i="16" s="1"/>
  <c r="AT23" i="16" s="1"/>
  <c r="AU2" i="16"/>
  <c r="AU21" i="16" s="1"/>
  <c r="AU23" i="16" s="1"/>
  <c r="AV2" i="16"/>
  <c r="AV21" i="16" s="1"/>
  <c r="AV23" i="16" s="1"/>
  <c r="AW2" i="16"/>
  <c r="AW21" i="16" s="1"/>
  <c r="AW23" i="16" s="1"/>
  <c r="AX2" i="16"/>
  <c r="AX21" i="16" s="1"/>
  <c r="AX23" i="16" s="1"/>
  <c r="AY2" i="16"/>
  <c r="AY21" i="16" s="1"/>
  <c r="AY23" i="16" s="1"/>
  <c r="AZ2" i="16"/>
  <c r="AZ21" i="16" s="1"/>
  <c r="AZ23" i="16" s="1"/>
  <c r="BA2" i="16"/>
  <c r="BA21" i="16" s="1"/>
  <c r="BA23" i="16" s="1"/>
  <c r="BB2" i="16"/>
  <c r="BB21" i="16" s="1"/>
  <c r="BB23" i="16" s="1"/>
  <c r="AR3" i="15"/>
  <c r="AS3" i="15"/>
  <c r="AT3" i="15"/>
  <c r="AU3" i="15"/>
  <c r="AV3" i="15"/>
  <c r="AW3" i="15"/>
  <c r="AX3" i="15"/>
  <c r="AY3" i="15"/>
  <c r="AZ3" i="15"/>
  <c r="BA3" i="15"/>
  <c r="BB3" i="15"/>
  <c r="BC3" i="15"/>
  <c r="AR4" i="15"/>
  <c r="AS4" i="15"/>
  <c r="AT4" i="15"/>
  <c r="AU4" i="15"/>
  <c r="AV4" i="15"/>
  <c r="AW4" i="15"/>
  <c r="AX4" i="15"/>
  <c r="AY4" i="15"/>
  <c r="AZ4" i="15"/>
  <c r="BA4" i="15"/>
  <c r="BB4" i="15"/>
  <c r="BC4" i="15"/>
  <c r="AR5" i="15"/>
  <c r="AS5" i="15"/>
  <c r="AT5" i="15"/>
  <c r="AU5" i="15"/>
  <c r="AV5" i="15"/>
  <c r="AW5" i="15"/>
  <c r="AX5" i="15"/>
  <c r="AY5" i="15"/>
  <c r="AZ5" i="15"/>
  <c r="BA5" i="15"/>
  <c r="BB5" i="15"/>
  <c r="BC5" i="15"/>
  <c r="AR6" i="15"/>
  <c r="AS6" i="15"/>
  <c r="AT6" i="15"/>
  <c r="AU6" i="15"/>
  <c r="AV6" i="15"/>
  <c r="AW6" i="15"/>
  <c r="AX6" i="15"/>
  <c r="AY6" i="15"/>
  <c r="AZ6" i="15"/>
  <c r="BA6" i="15"/>
  <c r="BB6" i="15"/>
  <c r="BC6" i="15"/>
  <c r="AR7" i="15"/>
  <c r="AS7" i="15"/>
  <c r="AT7" i="15"/>
  <c r="AU7" i="15"/>
  <c r="AV7" i="15"/>
  <c r="AW7" i="15"/>
  <c r="AX7" i="15"/>
  <c r="AY7" i="15"/>
  <c r="AZ7" i="15"/>
  <c r="BA7" i="15"/>
  <c r="BB7" i="15"/>
  <c r="BC7" i="15"/>
  <c r="AR8" i="15"/>
  <c r="AS8" i="15"/>
  <c r="AT8" i="15"/>
  <c r="AU8" i="15"/>
  <c r="AV8" i="15"/>
  <c r="AW8" i="15"/>
  <c r="AX8" i="15"/>
  <c r="AY8" i="15"/>
  <c r="AZ8" i="15"/>
  <c r="BA8" i="15"/>
  <c r="BB8" i="15"/>
  <c r="BC8" i="15"/>
  <c r="AR9" i="15"/>
  <c r="AS9" i="15"/>
  <c r="AT9" i="15"/>
  <c r="AU9" i="15"/>
  <c r="AV9" i="15"/>
  <c r="AW9" i="15"/>
  <c r="AX9" i="15"/>
  <c r="AY9" i="15"/>
  <c r="AZ9" i="15"/>
  <c r="BA9" i="15"/>
  <c r="BB9" i="15"/>
  <c r="BC9" i="15"/>
  <c r="AR10" i="15"/>
  <c r="AS10" i="15"/>
  <c r="AT10" i="15"/>
  <c r="AU10" i="15"/>
  <c r="AV10" i="15"/>
  <c r="AW10" i="15"/>
  <c r="AX10" i="15"/>
  <c r="AY10" i="15"/>
  <c r="AZ10" i="15"/>
  <c r="BA10" i="15"/>
  <c r="BB10" i="15"/>
  <c r="BC10" i="15"/>
  <c r="AR11" i="15"/>
  <c r="AS11" i="15"/>
  <c r="AT11" i="15"/>
  <c r="AU11" i="15"/>
  <c r="AV11" i="15"/>
  <c r="AW11" i="15"/>
  <c r="AX11" i="15"/>
  <c r="AY11" i="15"/>
  <c r="AZ11" i="15"/>
  <c r="BA11" i="15"/>
  <c r="BB11" i="15"/>
  <c r="BC11" i="15"/>
  <c r="AR12" i="15"/>
  <c r="AS12" i="15"/>
  <c r="AT12" i="15"/>
  <c r="AU12" i="15"/>
  <c r="AV12" i="15"/>
  <c r="AW12" i="15"/>
  <c r="AX12" i="15"/>
  <c r="AY12" i="15"/>
  <c r="AZ12" i="15"/>
  <c r="BA12" i="15"/>
  <c r="BB12" i="15"/>
  <c r="BC12" i="15"/>
  <c r="AR13" i="15"/>
  <c r="AS13" i="15"/>
  <c r="AT13" i="15"/>
  <c r="AU13" i="15"/>
  <c r="AV13" i="15"/>
  <c r="AW13" i="15"/>
  <c r="AX13" i="15"/>
  <c r="AY13" i="15"/>
  <c r="AZ13" i="15"/>
  <c r="BA13" i="15"/>
  <c r="BB13" i="15"/>
  <c r="BC13" i="15"/>
  <c r="AR14" i="15"/>
  <c r="AS14" i="15"/>
  <c r="AT14" i="15"/>
  <c r="AU14" i="15"/>
  <c r="AV14" i="15"/>
  <c r="AW14" i="15"/>
  <c r="AX14" i="15"/>
  <c r="AY14" i="15"/>
  <c r="AZ14" i="15"/>
  <c r="BA14" i="15"/>
  <c r="BB14" i="15"/>
  <c r="BC14" i="15"/>
  <c r="AR15" i="15"/>
  <c r="AS15" i="15"/>
  <c r="AT15" i="15"/>
  <c r="AU15" i="15"/>
  <c r="AV15" i="15"/>
  <c r="AW15" i="15"/>
  <c r="AX15" i="15"/>
  <c r="AY15" i="15"/>
  <c r="AZ15" i="15"/>
  <c r="BA15" i="15"/>
  <c r="BB15" i="15"/>
  <c r="BC15" i="15"/>
  <c r="AR16" i="15"/>
  <c r="AS16" i="15"/>
  <c r="AT16" i="15"/>
  <c r="AU16" i="15"/>
  <c r="AV16" i="15"/>
  <c r="AW16" i="15"/>
  <c r="AX16" i="15"/>
  <c r="AY16" i="15"/>
  <c r="AZ16" i="15"/>
  <c r="BA16" i="15"/>
  <c r="BB16" i="15"/>
  <c r="BC16" i="15"/>
  <c r="AR17" i="15"/>
  <c r="AS17" i="15"/>
  <c r="AT17" i="15"/>
  <c r="AU17" i="15"/>
  <c r="AV17" i="15"/>
  <c r="AW17" i="15"/>
  <c r="AX17" i="15"/>
  <c r="AY17" i="15"/>
  <c r="AZ17" i="15"/>
  <c r="BA17" i="15"/>
  <c r="BB17" i="15"/>
  <c r="BC17" i="15"/>
  <c r="AR18" i="15"/>
  <c r="AS18" i="15"/>
  <c r="AT18" i="15"/>
  <c r="AU18" i="15"/>
  <c r="AV18" i="15"/>
  <c r="AW18" i="15"/>
  <c r="AX18" i="15"/>
  <c r="AY18" i="15"/>
  <c r="AZ18" i="15"/>
  <c r="BA18" i="15"/>
  <c r="BB18" i="15"/>
  <c r="BC18" i="15"/>
  <c r="AQ9" i="15"/>
  <c r="AP9" i="15"/>
  <c r="AO9" i="15"/>
  <c r="AN9" i="15"/>
  <c r="AM9" i="15"/>
  <c r="G2028" i="1"/>
  <c r="A2028" i="1" s="1"/>
  <c r="G2027" i="1"/>
  <c r="A2027" i="1" s="1"/>
  <c r="G2026" i="1"/>
  <c r="A2026" i="1" s="1"/>
  <c r="G2025" i="1"/>
  <c r="A2025" i="1" s="1"/>
  <c r="G2030" i="1"/>
  <c r="A2030" i="1" s="1"/>
  <c r="G2040" i="1"/>
  <c r="A2040" i="1" s="1"/>
  <c r="G2039" i="1"/>
  <c r="A2039" i="1" s="1"/>
  <c r="G2024" i="1"/>
  <c r="A2024" i="1" s="1"/>
  <c r="G2023" i="1"/>
  <c r="A2023" i="1" s="1"/>
  <c r="G2029" i="1"/>
  <c r="A2029" i="1" s="1"/>
  <c r="G2032" i="1"/>
  <c r="A2032" i="1" s="1"/>
  <c r="G2031" i="1"/>
  <c r="A2031" i="1" s="1"/>
  <c r="G2038" i="1"/>
  <c r="A2038" i="1" s="1"/>
  <c r="G2037" i="1"/>
  <c r="A2037" i="1" s="1"/>
  <c r="G2036" i="1"/>
  <c r="A2036" i="1" s="1"/>
  <c r="G2035" i="1"/>
  <c r="A2035" i="1" s="1"/>
  <c r="G2034" i="1"/>
  <c r="A2034" i="1" s="1"/>
  <c r="G2033" i="1"/>
  <c r="A2033" i="1" s="1"/>
  <c r="G2044" i="1"/>
  <c r="A2044" i="1" s="1"/>
  <c r="G2043" i="1"/>
  <c r="A2043" i="1" s="1"/>
  <c r="G2042" i="1"/>
  <c r="A2042" i="1" s="1"/>
  <c r="G2041" i="1"/>
  <c r="A2041" i="1" s="1"/>
  <c r="G1981" i="1"/>
  <c r="A1981" i="1" s="1"/>
  <c r="G1918" i="1"/>
  <c r="A1918" i="1" s="1"/>
  <c r="G1917" i="1"/>
  <c r="A1917" i="1" s="1"/>
  <c r="G1916" i="1"/>
  <c r="A1916" i="1" s="1"/>
  <c r="G1923" i="1"/>
  <c r="A1923" i="1" s="1"/>
  <c r="G1922" i="1"/>
  <c r="A1922" i="1" s="1"/>
  <c r="G1940" i="1"/>
  <c r="A1940" i="1" s="1"/>
  <c r="G1939" i="1"/>
  <c r="A1939" i="1" s="1"/>
  <c r="G1938" i="1"/>
  <c r="A1938" i="1" s="1"/>
  <c r="G1937" i="1"/>
  <c r="A1937" i="1" s="1"/>
  <c r="G1936" i="1"/>
  <c r="A1936" i="1" s="1"/>
  <c r="G1935" i="1"/>
  <c r="A1935" i="1" s="1"/>
  <c r="G1934" i="1"/>
  <c r="A1934" i="1" s="1"/>
  <c r="G1933" i="1"/>
  <c r="A1933" i="1" s="1"/>
  <c r="G1944" i="1"/>
  <c r="A1944" i="1" s="1"/>
  <c r="G1943" i="1"/>
  <c r="A1943" i="1" s="1"/>
  <c r="G1949" i="1"/>
  <c r="A1949" i="1" s="1"/>
  <c r="G1948" i="1"/>
  <c r="A1948" i="1" s="1"/>
  <c r="G1953" i="1"/>
  <c r="A1953" i="1" s="1"/>
  <c r="G1957" i="1"/>
  <c r="A1957" i="1" s="1"/>
  <c r="G1964" i="1"/>
  <c r="A1964" i="1" s="1"/>
  <c r="G1963" i="1"/>
  <c r="A1963" i="1" s="1"/>
  <c r="G1962" i="1"/>
  <c r="A1962" i="1" s="1"/>
  <c r="G1972" i="1"/>
  <c r="A1972" i="1" s="1"/>
  <c r="G1971" i="1"/>
  <c r="A1971" i="1" s="1"/>
  <c r="G1970" i="1"/>
  <c r="A1970" i="1" s="1"/>
  <c r="G1980" i="1"/>
  <c r="A1980" i="1" s="1"/>
  <c r="G1979" i="1"/>
  <c r="A1979" i="1" s="1"/>
  <c r="G1978" i="1"/>
  <c r="A1978" i="1" s="1"/>
  <c r="G1990" i="1"/>
  <c r="A1990" i="1" s="1"/>
  <c r="G1989" i="1"/>
  <c r="A1989" i="1" s="1"/>
  <c r="G1988" i="1"/>
  <c r="A1988" i="1" s="1"/>
  <c r="G1987" i="1"/>
  <c r="A1987" i="1" s="1"/>
  <c r="G1986" i="1"/>
  <c r="A1986" i="1" s="1"/>
  <c r="G2003" i="1"/>
  <c r="A2003" i="1" s="1"/>
  <c r="G2002" i="1"/>
  <c r="A2002" i="1" s="1"/>
  <c r="G2001" i="1"/>
  <c r="A2001" i="1" s="1"/>
  <c r="G2013" i="1"/>
  <c r="A2013" i="1" s="1"/>
  <c r="G2012" i="1"/>
  <c r="A2012" i="1" s="1"/>
  <c r="G2011" i="1"/>
  <c r="A2011" i="1" s="1"/>
  <c r="G2010" i="1"/>
  <c r="A2010" i="1" s="1"/>
  <c r="G2018" i="1"/>
  <c r="A2018" i="1" s="1"/>
  <c r="G2017" i="1"/>
  <c r="A2017" i="1" s="1"/>
  <c r="G2022" i="1"/>
  <c r="A2022" i="1" s="1"/>
  <c r="G2021" i="1"/>
  <c r="A2021" i="1" s="1"/>
  <c r="G2020" i="1"/>
  <c r="A2020" i="1" s="1"/>
  <c r="G1911" i="1"/>
  <c r="A1911" i="1" s="1"/>
  <c r="G1910" i="1"/>
  <c r="A1910" i="1" s="1"/>
  <c r="G1915" i="1"/>
  <c r="A1915" i="1" s="1"/>
  <c r="G1914" i="1"/>
  <c r="A1914" i="1" s="1"/>
  <c r="G1921" i="1"/>
  <c r="A1921" i="1" s="1"/>
  <c r="G1920" i="1"/>
  <c r="A1920" i="1" s="1"/>
  <c r="G1919" i="1"/>
  <c r="A1919" i="1" s="1"/>
  <c r="G1926" i="1"/>
  <c r="A1926" i="1" s="1"/>
  <c r="G1925" i="1"/>
  <c r="A1925" i="1" s="1"/>
  <c r="G1924" i="1"/>
  <c r="A1924" i="1" s="1"/>
  <c r="G1932" i="1"/>
  <c r="A1932" i="1" s="1"/>
  <c r="G1931" i="1"/>
  <c r="A1931" i="1" s="1"/>
  <c r="G1930" i="1"/>
  <c r="A1930" i="1" s="1"/>
  <c r="G1929" i="1"/>
  <c r="A1929" i="1" s="1"/>
  <c r="G1928" i="1"/>
  <c r="A1928" i="1" s="1"/>
  <c r="G1942" i="1"/>
  <c r="A1942" i="1" s="1"/>
  <c r="G1941" i="1"/>
  <c r="A1941" i="1" s="1"/>
  <c r="G1947" i="1"/>
  <c r="A1947" i="1" s="1"/>
  <c r="G1946" i="1"/>
  <c r="A1946" i="1" s="1"/>
  <c r="G1952" i="1"/>
  <c r="A1952" i="1" s="1"/>
  <c r="G1951" i="1"/>
  <c r="A1951" i="1" s="1"/>
  <c r="G1950" i="1"/>
  <c r="A1950" i="1" s="1"/>
  <c r="G1956" i="1"/>
  <c r="A1956" i="1" s="1"/>
  <c r="G1958" i="1"/>
  <c r="A1958" i="1" s="1"/>
  <c r="G1959" i="1"/>
  <c r="A1959" i="1" s="1"/>
  <c r="G1961" i="1"/>
  <c r="A1961" i="1" s="1"/>
  <c r="G1967" i="1"/>
  <c r="A1967" i="1" s="1"/>
  <c r="G1966" i="1"/>
  <c r="A1966" i="1" s="1"/>
  <c r="G1965" i="1"/>
  <c r="A1965" i="1" s="1"/>
  <c r="G1969" i="1"/>
  <c r="A1969" i="1" s="1"/>
  <c r="G1977" i="1"/>
  <c r="A1977" i="1" s="1"/>
  <c r="G1976" i="1"/>
  <c r="A1976" i="1" s="1"/>
  <c r="G1975" i="1"/>
  <c r="A1975" i="1" s="1"/>
  <c r="G1974" i="1"/>
  <c r="A1974" i="1" s="1"/>
  <c r="G1985" i="1"/>
  <c r="A1985" i="1" s="1"/>
  <c r="G1995" i="1"/>
  <c r="A1995" i="1" s="1"/>
  <c r="G1994" i="1"/>
  <c r="A1994" i="1" s="1"/>
  <c r="G2000" i="1"/>
  <c r="A2000" i="1" s="1"/>
  <c r="G1973" i="1"/>
  <c r="A1973" i="1" s="1"/>
  <c r="G1993" i="1"/>
  <c r="A1993" i="1" s="1"/>
  <c r="G1992" i="1"/>
  <c r="A1992" i="1" s="1"/>
  <c r="G1991" i="1"/>
  <c r="A1991" i="1" s="1"/>
  <c r="G1999" i="1"/>
  <c r="A1999" i="1" s="1"/>
  <c r="G1998" i="1"/>
  <c r="A1998" i="1" s="1"/>
  <c r="G1997" i="1"/>
  <c r="A1997" i="1" s="1"/>
  <c r="G1996" i="1"/>
  <c r="A1996" i="1" s="1"/>
  <c r="G2005" i="1"/>
  <c r="A2005" i="1" s="1"/>
  <c r="G2004" i="1"/>
  <c r="A2004" i="1" s="1"/>
  <c r="G2009" i="1"/>
  <c r="A2009" i="1" s="1"/>
  <c r="G2008" i="1"/>
  <c r="A2008" i="1" s="1"/>
  <c r="G2016" i="1"/>
  <c r="A2016" i="1" s="1"/>
  <c r="G2015" i="1"/>
  <c r="A2015" i="1" s="1"/>
  <c r="G2014" i="1"/>
  <c r="A2014" i="1" s="1"/>
  <c r="G2019" i="1"/>
  <c r="A2019" i="1" s="1"/>
  <c r="G1968" i="1"/>
  <c r="A1968" i="1" s="1"/>
  <c r="C1907" i="1"/>
  <c r="G1913" i="1"/>
  <c r="A1913" i="1" s="1"/>
  <c r="G1912" i="1"/>
  <c r="A1912" i="1" s="1"/>
  <c r="G1927" i="1"/>
  <c r="A1927" i="1" s="1"/>
  <c r="G1945" i="1"/>
  <c r="A1945" i="1" s="1"/>
  <c r="G1955" i="1"/>
  <c r="A1955" i="1" s="1"/>
  <c r="G1954" i="1"/>
  <c r="A1954" i="1" s="1"/>
  <c r="G1960" i="1"/>
  <c r="A1960" i="1" s="1"/>
  <c r="G1984" i="1"/>
  <c r="A1984" i="1" s="1"/>
  <c r="G1983" i="1"/>
  <c r="A1983" i="1" s="1"/>
  <c r="G1982" i="1"/>
  <c r="A1982" i="1" s="1"/>
  <c r="G2007" i="1"/>
  <c r="A2007" i="1" s="1"/>
  <c r="G2006" i="1"/>
  <c r="A2006" i="1" s="1"/>
  <c r="G1738" i="1"/>
  <c r="A1738" i="1" s="1"/>
  <c r="G1737" i="1"/>
  <c r="A1737" i="1" s="1"/>
  <c r="G1736" i="1"/>
  <c r="A1736" i="1" s="1"/>
  <c r="G1813" i="1"/>
  <c r="A1813" i="1" s="1"/>
  <c r="G1839" i="1"/>
  <c r="A1839" i="1" s="1"/>
  <c r="G1838" i="1"/>
  <c r="A1838" i="1" s="1"/>
  <c r="G1837" i="1"/>
  <c r="A1837" i="1" s="1"/>
  <c r="G1836" i="1"/>
  <c r="A1836" i="1" s="1"/>
  <c r="G1902" i="1"/>
  <c r="A1902" i="1" s="1"/>
  <c r="G1795" i="1"/>
  <c r="A1795" i="1" s="1"/>
  <c r="G1901" i="1"/>
  <c r="A1901" i="1" s="1"/>
  <c r="G1794" i="1"/>
  <c r="A1794" i="1" s="1"/>
  <c r="G1793" i="1"/>
  <c r="A1793" i="1" s="1"/>
  <c r="G1797" i="1"/>
  <c r="A1797" i="1" s="1"/>
  <c r="G1796" i="1"/>
  <c r="A1796" i="1" s="1"/>
  <c r="G1810" i="1"/>
  <c r="A1810" i="1" s="1"/>
  <c r="G1809" i="1"/>
  <c r="A1809" i="1" s="1"/>
  <c r="G1812" i="1"/>
  <c r="A1812" i="1" s="1"/>
  <c r="G1811" i="1"/>
  <c r="A1811" i="1" s="1"/>
  <c r="G1820" i="1"/>
  <c r="A1820" i="1" s="1"/>
  <c r="G1819" i="1"/>
  <c r="A1819" i="1" s="1"/>
  <c r="G1818" i="1"/>
  <c r="A1818" i="1" s="1"/>
  <c r="G1825" i="1"/>
  <c r="A1825" i="1" s="1"/>
  <c r="G1824" i="1"/>
  <c r="A1824" i="1" s="1"/>
  <c r="G1835" i="1"/>
  <c r="A1835" i="1" s="1"/>
  <c r="G1834" i="1"/>
  <c r="A1834" i="1" s="1"/>
  <c r="G1833" i="1"/>
  <c r="A1833" i="1" s="1"/>
  <c r="G1832" i="1"/>
  <c r="A1832" i="1" s="1"/>
  <c r="G1831" i="1"/>
  <c r="A1831" i="1" s="1"/>
  <c r="G1830" i="1"/>
  <c r="A1830" i="1" s="1"/>
  <c r="G1848" i="1"/>
  <c r="A1848" i="1" s="1"/>
  <c r="G1865" i="1"/>
  <c r="A1865" i="1" s="1"/>
  <c r="G1864" i="1"/>
  <c r="A1864" i="1" s="1"/>
  <c r="G1869" i="1"/>
  <c r="A1869" i="1" s="1"/>
  <c r="G1868" i="1"/>
  <c r="A1868" i="1" s="1"/>
  <c r="G1878" i="1"/>
  <c r="A1878" i="1" s="1"/>
  <c r="G1883" i="1"/>
  <c r="A1883" i="1" s="1"/>
  <c r="G1900" i="1"/>
  <c r="A1900" i="1" s="1"/>
  <c r="G1896" i="1"/>
  <c r="A1896" i="1" s="1"/>
  <c r="G1895" i="1"/>
  <c r="A1895" i="1" s="1"/>
  <c r="G1894" i="1"/>
  <c r="A1894" i="1" s="1"/>
  <c r="G1893" i="1"/>
  <c r="A1893" i="1" s="1"/>
  <c r="G1899" i="1"/>
  <c r="A1899" i="1" s="1"/>
  <c r="G1898" i="1"/>
  <c r="A1898" i="1" s="1"/>
  <c r="G1897" i="1"/>
  <c r="A1897" i="1" s="1"/>
  <c r="G1905" i="1"/>
  <c r="A1905" i="1" s="1"/>
  <c r="G1904" i="1"/>
  <c r="A1904" i="1" s="1"/>
  <c r="G1909" i="1"/>
  <c r="A1909" i="1" s="1"/>
  <c r="G1782" i="1"/>
  <c r="A1782" i="1" s="1"/>
  <c r="G1781" i="1"/>
  <c r="A1781" i="1" s="1"/>
  <c r="G1786" i="1"/>
  <c r="A1786" i="1" s="1"/>
  <c r="G1787" i="1"/>
  <c r="A1787" i="1" s="1"/>
  <c r="G1799" i="1"/>
  <c r="A1799" i="1" s="1"/>
  <c r="G1798" i="1"/>
  <c r="A1798" i="1" s="1"/>
  <c r="G1800" i="1"/>
  <c r="A1800" i="1" s="1"/>
  <c r="G1805" i="1"/>
  <c r="A1805" i="1" s="1"/>
  <c r="G1814" i="1"/>
  <c r="A1814" i="1" s="1"/>
  <c r="G1815" i="1"/>
  <c r="A1815" i="1" s="1"/>
  <c r="G1828" i="1"/>
  <c r="A1828" i="1" s="1"/>
  <c r="G1840" i="1"/>
  <c r="A1840" i="1" s="1"/>
  <c r="G1851" i="1"/>
  <c r="A1851" i="1" s="1"/>
  <c r="G1849" i="1"/>
  <c r="A1849" i="1" s="1"/>
  <c r="G1850" i="1"/>
  <c r="A1850" i="1" s="1"/>
  <c r="G1857" i="1"/>
  <c r="A1857" i="1" s="1"/>
  <c r="G1856" i="1"/>
  <c r="A1856" i="1" s="1"/>
  <c r="G1861" i="1"/>
  <c r="A1861" i="1" s="1"/>
  <c r="G1863" i="1"/>
  <c r="A1863" i="1" s="1"/>
  <c r="G1862" i="1"/>
  <c r="A1862" i="1" s="1"/>
  <c r="G1866" i="1"/>
  <c r="A1866" i="1" s="1"/>
  <c r="G1867" i="1"/>
  <c r="A1867" i="1" s="1"/>
  <c r="G1872" i="1"/>
  <c r="A1872" i="1" s="1"/>
  <c r="G1871" i="1"/>
  <c r="A1871" i="1" s="1"/>
  <c r="G1870" i="1"/>
  <c r="A1870" i="1" s="1"/>
  <c r="G1876" i="1"/>
  <c r="A1876" i="1" s="1"/>
  <c r="G1875" i="1"/>
  <c r="A1875" i="1" s="1"/>
  <c r="G1874" i="1"/>
  <c r="A1874" i="1" s="1"/>
  <c r="G1877" i="1"/>
  <c r="A1877" i="1" s="1"/>
  <c r="G1873" i="1"/>
  <c r="A1873" i="1" s="1"/>
  <c r="G1879" i="1"/>
  <c r="A1879" i="1" s="1"/>
  <c r="G1881" i="1"/>
  <c r="A1881" i="1" s="1"/>
  <c r="G1880" i="1"/>
  <c r="G1885" i="1"/>
  <c r="A1885" i="1" s="1"/>
  <c r="G1884" i="1"/>
  <c r="A1884" i="1" s="1"/>
  <c r="G1888" i="1"/>
  <c r="A1888" i="1" s="1"/>
  <c r="G1890" i="1"/>
  <c r="A1890" i="1" s="1"/>
  <c r="G1889" i="1"/>
  <c r="A1889" i="1" s="1"/>
  <c r="G1903" i="1"/>
  <c r="A1903" i="1" s="1"/>
  <c r="G1907" i="1"/>
  <c r="G1906" i="1"/>
  <c r="C1880" i="1"/>
  <c r="C1906" i="1"/>
  <c r="G1780" i="1"/>
  <c r="A1780" i="1" s="1"/>
  <c r="G1784" i="1"/>
  <c r="A1784" i="1" s="1"/>
  <c r="G1783" i="1"/>
  <c r="A1783" i="1" s="1"/>
  <c r="G1785" i="1"/>
  <c r="A1785" i="1" s="1"/>
  <c r="G1792" i="1"/>
  <c r="A1792" i="1" s="1"/>
  <c r="G1791" i="1"/>
  <c r="A1791" i="1" s="1"/>
  <c r="G1790" i="1"/>
  <c r="A1790" i="1" s="1"/>
  <c r="G1789" i="1"/>
  <c r="A1789" i="1" s="1"/>
  <c r="G1788" i="1"/>
  <c r="A1788" i="1" s="1"/>
  <c r="G1804" i="1"/>
  <c r="A1804" i="1" s="1"/>
  <c r="G1803" i="1"/>
  <c r="A1803" i="1" s="1"/>
  <c r="G1802" i="1"/>
  <c r="A1802" i="1" s="1"/>
  <c r="G1801" i="1"/>
  <c r="A1801" i="1" s="1"/>
  <c r="G1808" i="1"/>
  <c r="A1808" i="1" s="1"/>
  <c r="G1807" i="1"/>
  <c r="A1807" i="1" s="1"/>
  <c r="G1806" i="1"/>
  <c r="A1806" i="1" s="1"/>
  <c r="G1817" i="1"/>
  <c r="A1817" i="1" s="1"/>
  <c r="G1816" i="1"/>
  <c r="A1816" i="1" s="1"/>
  <c r="G1823" i="1"/>
  <c r="A1823" i="1" s="1"/>
  <c r="G1822" i="1"/>
  <c r="A1822" i="1" s="1"/>
  <c r="G1821" i="1"/>
  <c r="A1821" i="1" s="1"/>
  <c r="G1826" i="1"/>
  <c r="A1826" i="1" s="1"/>
  <c r="G1827" i="1"/>
  <c r="A1827" i="1" s="1"/>
  <c r="G1829" i="1"/>
  <c r="A1829" i="1" s="1"/>
  <c r="G1844" i="1"/>
  <c r="A1844" i="1" s="1"/>
  <c r="G1843" i="1"/>
  <c r="A1843" i="1" s="1"/>
  <c r="G1842" i="1"/>
  <c r="A1842" i="1" s="1"/>
  <c r="G1841" i="1"/>
  <c r="A1841" i="1" s="1"/>
  <c r="G1847" i="1"/>
  <c r="A1847" i="1" s="1"/>
  <c r="G1846" i="1"/>
  <c r="A1846" i="1" s="1"/>
  <c r="G1845" i="1"/>
  <c r="A1845" i="1" s="1"/>
  <c r="G1855" i="1"/>
  <c r="A1855" i="1" s="1"/>
  <c r="G1854" i="1"/>
  <c r="A1854" i="1" s="1"/>
  <c r="G1853" i="1"/>
  <c r="A1853" i="1" s="1"/>
  <c r="G1852" i="1"/>
  <c r="A1852" i="1" s="1"/>
  <c r="G1860" i="1"/>
  <c r="A1860" i="1" s="1"/>
  <c r="G1859" i="1"/>
  <c r="A1859" i="1" s="1"/>
  <c r="G1858" i="1"/>
  <c r="A1858" i="1" s="1"/>
  <c r="G1882" i="1"/>
  <c r="A1882" i="1" s="1"/>
  <c r="G1887" i="1"/>
  <c r="A1887" i="1" s="1"/>
  <c r="G1886" i="1"/>
  <c r="A1886" i="1" s="1"/>
  <c r="G1892" i="1"/>
  <c r="A1892" i="1" s="1"/>
  <c r="G1891" i="1"/>
  <c r="G1908" i="1"/>
  <c r="A1908" i="1" s="1"/>
  <c r="C1891" i="1"/>
  <c r="O22" i="11"/>
  <c r="K24" i="11"/>
  <c r="K23" i="11"/>
  <c r="K22" i="11"/>
  <c r="O24" i="11"/>
  <c r="O23" i="11"/>
  <c r="N22" i="11"/>
  <c r="G1779" i="1"/>
  <c r="A1779" i="1" s="1"/>
  <c r="G1749" i="1"/>
  <c r="A1749" i="1" s="1"/>
  <c r="G1748" i="1"/>
  <c r="A1748" i="1" s="1"/>
  <c r="G1735" i="1"/>
  <c r="A1735" i="1" s="1"/>
  <c r="G1734" i="1"/>
  <c r="A1734" i="1" s="1"/>
  <c r="G1631" i="1"/>
  <c r="A1631" i="1" s="1"/>
  <c r="G1629" i="1"/>
  <c r="A1629" i="1" s="1"/>
  <c r="G1625" i="1"/>
  <c r="A1625" i="1" s="1"/>
  <c r="G1633" i="1"/>
  <c r="A1633" i="1" s="1"/>
  <c r="G1627" i="1"/>
  <c r="A1627" i="1" s="1"/>
  <c r="G1642" i="1"/>
  <c r="A1642" i="1" s="1"/>
  <c r="G1650" i="1"/>
  <c r="A1650" i="1" s="1"/>
  <c r="G1647" i="1"/>
  <c r="A1647" i="1" s="1"/>
  <c r="G1648" i="1"/>
  <c r="A1648" i="1" s="1"/>
  <c r="G1649" i="1"/>
  <c r="A1649" i="1" s="1"/>
  <c r="G1656" i="1"/>
  <c r="A1656" i="1" s="1"/>
  <c r="G1653" i="1"/>
  <c r="A1653" i="1" s="1"/>
  <c r="G1651" i="1"/>
  <c r="A1651" i="1" s="1"/>
  <c r="G1655" i="1"/>
  <c r="A1655" i="1" s="1"/>
  <c r="G1652" i="1"/>
  <c r="A1652" i="1" s="1"/>
  <c r="G1654" i="1"/>
  <c r="A1654" i="1" s="1"/>
  <c r="G1665" i="1"/>
  <c r="A1665" i="1" s="1"/>
  <c r="G1663" i="1"/>
  <c r="A1663" i="1" s="1"/>
  <c r="G1662" i="1"/>
  <c r="A1662" i="1" s="1"/>
  <c r="G1664" i="1"/>
  <c r="A1664" i="1" s="1"/>
  <c r="G1670" i="1"/>
  <c r="A1670" i="1" s="1"/>
  <c r="G1673" i="1"/>
  <c r="A1673" i="1" s="1"/>
  <c r="G1678" i="1"/>
  <c r="A1678" i="1" s="1"/>
  <c r="G1681" i="1"/>
  <c r="A1681" i="1" s="1"/>
  <c r="G1682" i="1"/>
  <c r="A1682" i="1" s="1"/>
  <c r="G1683" i="1"/>
  <c r="A1683" i="1" s="1"/>
  <c r="G1688" i="1"/>
  <c r="A1688" i="1" s="1"/>
  <c r="G1692" i="1"/>
  <c r="A1692" i="1" s="1"/>
  <c r="G1691" i="1"/>
  <c r="A1691" i="1" s="1"/>
  <c r="G1689" i="1"/>
  <c r="A1689" i="1" s="1"/>
  <c r="G1690" i="1"/>
  <c r="A1690" i="1" s="1"/>
  <c r="G1695" i="1"/>
  <c r="A1695" i="1" s="1"/>
  <c r="G1696" i="1"/>
  <c r="A1696" i="1" s="1"/>
  <c r="G1694" i="1"/>
  <c r="A1694" i="1" s="1"/>
  <c r="G1700" i="1"/>
  <c r="A1700" i="1" s="1"/>
  <c r="G1699" i="1"/>
  <c r="A1699" i="1" s="1"/>
  <c r="G1705" i="1"/>
  <c r="A1705" i="1" s="1"/>
  <c r="G1706" i="1"/>
  <c r="A1706" i="1" s="1"/>
  <c r="G1701" i="1"/>
  <c r="A1701" i="1" s="1"/>
  <c r="G1707" i="1"/>
  <c r="A1707" i="1" s="1"/>
  <c r="G1710" i="1"/>
  <c r="A1710" i="1" s="1"/>
  <c r="G1709" i="1"/>
  <c r="A1709" i="1" s="1"/>
  <c r="G1708" i="1"/>
  <c r="A1708" i="1" s="1"/>
  <c r="G1713" i="1"/>
  <c r="A1713" i="1" s="1"/>
  <c r="G1721" i="1"/>
  <c r="A1721" i="1" s="1"/>
  <c r="G1724" i="1"/>
  <c r="A1724" i="1" s="1"/>
  <c r="G1725" i="1"/>
  <c r="A1725" i="1" s="1"/>
  <c r="G1730" i="1"/>
  <c r="A1730" i="1" s="1"/>
  <c r="G1727" i="1"/>
  <c r="A1727" i="1" s="1"/>
  <c r="G1728" i="1"/>
  <c r="A1728" i="1" s="1"/>
  <c r="G1726" i="1"/>
  <c r="A1726" i="1" s="1"/>
  <c r="G1729" i="1"/>
  <c r="A1729" i="1" s="1"/>
  <c r="G1744" i="1"/>
  <c r="A1744" i="1" s="1"/>
  <c r="G1740" i="1"/>
  <c r="A1740" i="1" s="1"/>
  <c r="G1742" i="1"/>
  <c r="A1742" i="1" s="1"/>
  <c r="G1750" i="1"/>
  <c r="A1750" i="1" s="1"/>
  <c r="G1741" i="1"/>
  <c r="A1741" i="1" s="1"/>
  <c r="G1743" i="1"/>
  <c r="G1739" i="1"/>
  <c r="G1761" i="1"/>
  <c r="A1761" i="1" s="1"/>
  <c r="G1755" i="1"/>
  <c r="A1755" i="1" s="1"/>
  <c r="G1760" i="1"/>
  <c r="A1760" i="1" s="1"/>
  <c r="G1754" i="1"/>
  <c r="A1754" i="1" s="1"/>
  <c r="G1756" i="1"/>
  <c r="A1756" i="1" s="1"/>
  <c r="G1757" i="1"/>
  <c r="A1757" i="1" s="1"/>
  <c r="G1758" i="1"/>
  <c r="A1758" i="1" s="1"/>
  <c r="G1751" i="1"/>
  <c r="G1759" i="1"/>
  <c r="G1763" i="1"/>
  <c r="G1764" i="1"/>
  <c r="G1765" i="1"/>
  <c r="G1762" i="1"/>
  <c r="G1753" i="1"/>
  <c r="G1752" i="1"/>
  <c r="G1769" i="1"/>
  <c r="G1766" i="1"/>
  <c r="G1770" i="1"/>
  <c r="G1768" i="1"/>
  <c r="G1767" i="1"/>
  <c r="G1771" i="1"/>
  <c r="G1773" i="1"/>
  <c r="G1772" i="1"/>
  <c r="G1775" i="1"/>
  <c r="G1776" i="1"/>
  <c r="G1774" i="1"/>
  <c r="C1743" i="1"/>
  <c r="C1739" i="1"/>
  <c r="C1751" i="1"/>
  <c r="C1759" i="1"/>
  <c r="C1763" i="1"/>
  <c r="C1764" i="1"/>
  <c r="C1765" i="1"/>
  <c r="C1762" i="1"/>
  <c r="C1753" i="1"/>
  <c r="C1752" i="1"/>
  <c r="C1769" i="1"/>
  <c r="C1766" i="1"/>
  <c r="C1770" i="1"/>
  <c r="C1768" i="1"/>
  <c r="C1767" i="1"/>
  <c r="C1771" i="1"/>
  <c r="C1773" i="1"/>
  <c r="C1772" i="1"/>
  <c r="C1775" i="1"/>
  <c r="C1776" i="1"/>
  <c r="C1774" i="1"/>
  <c r="C1778" i="1"/>
  <c r="G1635" i="1"/>
  <c r="A1635" i="1" s="1"/>
  <c r="G1638" i="1"/>
  <c r="A1638" i="1" s="1"/>
  <c r="G1637" i="1"/>
  <c r="A1637" i="1" s="1"/>
  <c r="G1644" i="1"/>
  <c r="A1644" i="1" s="1"/>
  <c r="G1646" i="1"/>
  <c r="A1646" i="1" s="1"/>
  <c r="G1657" i="1"/>
  <c r="A1657" i="1" s="1"/>
  <c r="G1661" i="1"/>
  <c r="A1661" i="1" s="1"/>
  <c r="G1660" i="1"/>
  <c r="A1660" i="1" s="1"/>
  <c r="G1659" i="1"/>
  <c r="A1659" i="1" s="1"/>
  <c r="G1658" i="1"/>
  <c r="A1658" i="1" s="1"/>
  <c r="G1669" i="1"/>
  <c r="A1669" i="1" s="1"/>
  <c r="G1668" i="1"/>
  <c r="A1668" i="1" s="1"/>
  <c r="G1667" i="1"/>
  <c r="A1667" i="1" s="1"/>
  <c r="G1666" i="1"/>
  <c r="A1666" i="1" s="1"/>
  <c r="G1672" i="1"/>
  <c r="A1672" i="1" s="1"/>
  <c r="G1676" i="1"/>
  <c r="A1676" i="1" s="1"/>
  <c r="G1675" i="1"/>
  <c r="A1675" i="1" s="1"/>
  <c r="G1674" i="1"/>
  <c r="A1674" i="1" s="1"/>
  <c r="G1677" i="1"/>
  <c r="A1677" i="1" s="1"/>
  <c r="G1680" i="1"/>
  <c r="A1680" i="1" s="1"/>
  <c r="G1679" i="1"/>
  <c r="A1679" i="1" s="1"/>
  <c r="G1687" i="1"/>
  <c r="A1687" i="1" s="1"/>
  <c r="G1686" i="1"/>
  <c r="A1686" i="1" s="1"/>
  <c r="G1693" i="1"/>
  <c r="A1693" i="1" s="1"/>
  <c r="G1698" i="1"/>
  <c r="A1698" i="1" s="1"/>
  <c r="G1697" i="1"/>
  <c r="A1697" i="1" s="1"/>
  <c r="G1704" i="1"/>
  <c r="A1704" i="1" s="1"/>
  <c r="G1703" i="1"/>
  <c r="A1703" i="1" s="1"/>
  <c r="G1702" i="1"/>
  <c r="A1702" i="1" s="1"/>
  <c r="G1712" i="1"/>
  <c r="A1712" i="1" s="1"/>
  <c r="G1711" i="1"/>
  <c r="A1711" i="1" s="1"/>
  <c r="G1720" i="1"/>
  <c r="A1720" i="1" s="1"/>
  <c r="G1733" i="1"/>
  <c r="A1733" i="1" s="1"/>
  <c r="G1778" i="1"/>
  <c r="G1747" i="1"/>
  <c r="A1747" i="1" s="1"/>
  <c r="G1777" i="1"/>
  <c r="A1777" i="1" s="1"/>
  <c r="G1643" i="1"/>
  <c r="A1643" i="1" s="1"/>
  <c r="G1645" i="1"/>
  <c r="A1645" i="1" s="1"/>
  <c r="G1671" i="1"/>
  <c r="A1671" i="1" s="1"/>
  <c r="G1685" i="1"/>
  <c r="A1685" i="1" s="1"/>
  <c r="G1684" i="1"/>
  <c r="A1684" i="1" s="1"/>
  <c r="G1716" i="1"/>
  <c r="A1716" i="1" s="1"/>
  <c r="G1715" i="1"/>
  <c r="A1715" i="1" s="1"/>
  <c r="G1714" i="1"/>
  <c r="A1714" i="1" s="1"/>
  <c r="G1719" i="1"/>
  <c r="A1719" i="1" s="1"/>
  <c r="G1718" i="1"/>
  <c r="A1718" i="1" s="1"/>
  <c r="G1717" i="1"/>
  <c r="A1717" i="1" s="1"/>
  <c r="G1723" i="1"/>
  <c r="A1723" i="1" s="1"/>
  <c r="G1722" i="1"/>
  <c r="A1722" i="1" s="1"/>
  <c r="G1732" i="1"/>
  <c r="A1732" i="1" s="1"/>
  <c r="G1731" i="1"/>
  <c r="A1731" i="1" s="1"/>
  <c r="G1746" i="1"/>
  <c r="A1746" i="1" s="1"/>
  <c r="G1745" i="1"/>
  <c r="A1745" i="1" s="1"/>
  <c r="S32" i="11" l="1"/>
  <c r="S31" i="11"/>
  <c r="S30" i="11"/>
  <c r="R29" i="11"/>
  <c r="S29" i="11" s="1"/>
  <c r="S28" i="11"/>
  <c r="Q27" i="11"/>
  <c r="R27" i="11" s="1"/>
  <c r="S27" i="11" s="1"/>
  <c r="A4150" i="1"/>
  <c r="A4180" i="1"/>
  <c r="N4180" i="1"/>
  <c r="A4087" i="1"/>
  <c r="A4084" i="1"/>
  <c r="A4088" i="1"/>
  <c r="A4086" i="1"/>
  <c r="N4088" i="1"/>
  <c r="N4087" i="1"/>
  <c r="A4085" i="1"/>
  <c r="A3863" i="1"/>
  <c r="A3899" i="1"/>
  <c r="A3898" i="1"/>
  <c r="N3898" i="1"/>
  <c r="A3897" i="1"/>
  <c r="A3862" i="1"/>
  <c r="A3861" i="1"/>
  <c r="A3929" i="1"/>
  <c r="A3921" i="1"/>
  <c r="A3864" i="1"/>
  <c r="A3808" i="1"/>
  <c r="A3806" i="1"/>
  <c r="A3788" i="1"/>
  <c r="A3805" i="1"/>
  <c r="A3804" i="1"/>
  <c r="A3807" i="1"/>
  <c r="A2679" i="1"/>
  <c r="A2993" i="1"/>
  <c r="N1907" i="1"/>
  <c r="A1907" i="1"/>
  <c r="N1772" i="1"/>
  <c r="A1772" i="1"/>
  <c r="N1752" i="1"/>
  <c r="A1752" i="1"/>
  <c r="N1739" i="1"/>
  <c r="A1739" i="1"/>
  <c r="N1906" i="1"/>
  <c r="A1906" i="1"/>
  <c r="N2417" i="1"/>
  <c r="A2417" i="1"/>
  <c r="N2525" i="1"/>
  <c r="A2525" i="1"/>
  <c r="A3131" i="1"/>
  <c r="A2678" i="1"/>
  <c r="N1775" i="1"/>
  <c r="A1775" i="1"/>
  <c r="A3132" i="1"/>
  <c r="N1773" i="1"/>
  <c r="A1773" i="1"/>
  <c r="N1753" i="1"/>
  <c r="A1753" i="1"/>
  <c r="N1743" i="1"/>
  <c r="A1743" i="1"/>
  <c r="N1880" i="1"/>
  <c r="A1880" i="1"/>
  <c r="N2418" i="1"/>
  <c r="A2418" i="1"/>
  <c r="A3529" i="1"/>
  <c r="A2997" i="1"/>
  <c r="A2677" i="1"/>
  <c r="N1751" i="1"/>
  <c r="A1751" i="1"/>
  <c r="N1762" i="1"/>
  <c r="A1762" i="1"/>
  <c r="A3528" i="1"/>
  <c r="A2676" i="1"/>
  <c r="N2526" i="1"/>
  <c r="A2526" i="1"/>
  <c r="N1771" i="1"/>
  <c r="A1771" i="1"/>
  <c r="N1767" i="1"/>
  <c r="A1767" i="1"/>
  <c r="N1765" i="1"/>
  <c r="A1765" i="1"/>
  <c r="N1891" i="1"/>
  <c r="A1891" i="1"/>
  <c r="A3534" i="1"/>
  <c r="A3487" i="1"/>
  <c r="A2971" i="1"/>
  <c r="N1769" i="1"/>
  <c r="A1769" i="1"/>
  <c r="N1778" i="1"/>
  <c r="A1778" i="1"/>
  <c r="N2523" i="1"/>
  <c r="A2523" i="1"/>
  <c r="N1768" i="1"/>
  <c r="A1768" i="1"/>
  <c r="N1763" i="1"/>
  <c r="A1763" i="1"/>
  <c r="N2522" i="1"/>
  <c r="A2522" i="1"/>
  <c r="A3533" i="1"/>
  <c r="A3493" i="1"/>
  <c r="A3141" i="1"/>
  <c r="A3134" i="1"/>
  <c r="A2681" i="1"/>
  <c r="A2524" i="1"/>
  <c r="N1764" i="1"/>
  <c r="A1764" i="1"/>
  <c r="N1774" i="1"/>
  <c r="A1774" i="1"/>
  <c r="N1770" i="1"/>
  <c r="A1770" i="1"/>
  <c r="N1776" i="1"/>
  <c r="A1776" i="1"/>
  <c r="N1766" i="1"/>
  <c r="A1766" i="1"/>
  <c r="N1759" i="1"/>
  <c r="A1759" i="1"/>
  <c r="N2305" i="1"/>
  <c r="A2305" i="1"/>
  <c r="N2527" i="1"/>
  <c r="A2527" i="1"/>
  <c r="A3532" i="1"/>
  <c r="A3500" i="1"/>
  <c r="A3492" i="1"/>
  <c r="A3133" i="1"/>
  <c r="A2680" i="1"/>
  <c r="S26" i="11"/>
  <c r="Q25" i="11"/>
  <c r="R25" i="11" s="1"/>
  <c r="S25" i="11" s="1"/>
  <c r="N2088" i="1"/>
  <c r="N2091" i="1"/>
  <c r="N2086" i="1"/>
  <c r="N2087" i="1"/>
  <c r="Q24" i="11"/>
  <c r="R24" i="11" s="1"/>
  <c r="S24" i="11" s="1"/>
  <c r="N24" i="11"/>
  <c r="R22" i="11"/>
  <c r="R23" i="11"/>
  <c r="K14" i="6"/>
  <c r="I14" i="6"/>
  <c r="S22" i="11" l="1"/>
  <c r="G1609" i="1"/>
  <c r="A1609" i="1" s="1"/>
  <c r="G1607" i="1"/>
  <c r="A1607" i="1" s="1"/>
  <c r="G1612" i="1"/>
  <c r="A1612" i="1" s="1"/>
  <c r="G1621" i="1"/>
  <c r="A1621" i="1" s="1"/>
  <c r="G1630" i="1"/>
  <c r="A1630" i="1" s="1"/>
  <c r="G1626" i="1"/>
  <c r="A1626" i="1" s="1"/>
  <c r="G1628" i="1"/>
  <c r="A1628" i="1" s="1"/>
  <c r="G1624" i="1"/>
  <c r="A1624" i="1" s="1"/>
  <c r="G1632" i="1"/>
  <c r="A1632" i="1" s="1"/>
  <c r="G1620" i="1"/>
  <c r="A1620" i="1" s="1"/>
  <c r="G1634" i="1"/>
  <c r="A1634" i="1" s="1"/>
  <c r="G1636" i="1"/>
  <c r="A1636" i="1" s="1"/>
  <c r="G1614" i="1"/>
  <c r="A1614" i="1" s="1"/>
  <c r="G1613" i="1"/>
  <c r="A1613" i="1" s="1"/>
  <c r="G1617" i="1"/>
  <c r="A1617" i="1" s="1"/>
  <c r="G1616" i="1"/>
  <c r="A1616" i="1" s="1"/>
  <c r="G1615" i="1"/>
  <c r="A1615" i="1" s="1"/>
  <c r="G1619" i="1"/>
  <c r="A1619" i="1" s="1"/>
  <c r="G1618" i="1"/>
  <c r="A1618" i="1" s="1"/>
  <c r="G1623" i="1"/>
  <c r="A1623" i="1" s="1"/>
  <c r="G1622" i="1"/>
  <c r="A1622" i="1" s="1"/>
  <c r="G1641" i="1"/>
  <c r="A1641" i="1" s="1"/>
  <c r="G1640" i="1"/>
  <c r="A1640" i="1" s="1"/>
  <c r="G1639" i="1"/>
  <c r="A1639" i="1" s="1"/>
  <c r="G1564" i="1" l="1"/>
  <c r="A1564" i="1" s="1"/>
  <c r="G1565" i="1"/>
  <c r="A1565" i="1" s="1"/>
  <c r="G1568" i="1"/>
  <c r="A1568" i="1" s="1"/>
  <c r="G1566" i="1"/>
  <c r="A1566" i="1" s="1"/>
  <c r="G1567" i="1"/>
  <c r="A1567" i="1" s="1"/>
  <c r="G1569" i="1"/>
  <c r="A1569" i="1" s="1"/>
  <c r="G1577" i="1"/>
  <c r="A1577" i="1" s="1"/>
  <c r="G1576" i="1"/>
  <c r="A1576" i="1" s="1"/>
  <c r="G1579" i="1"/>
  <c r="A1579" i="1" s="1"/>
  <c r="G1578" i="1"/>
  <c r="A1578" i="1" s="1"/>
  <c r="G1582" i="1"/>
  <c r="A1582" i="1" s="1"/>
  <c r="G1581" i="1"/>
  <c r="A1581" i="1" s="1"/>
  <c r="G1584" i="1"/>
  <c r="A1584" i="1" s="1"/>
  <c r="G1585" i="1"/>
  <c r="A1585" i="1" s="1"/>
  <c r="G1589" i="1"/>
  <c r="A1589" i="1" s="1"/>
  <c r="G1590" i="1"/>
  <c r="A1590" i="1" s="1"/>
  <c r="G1591" i="1"/>
  <c r="A1591" i="1" s="1"/>
  <c r="G1594" i="1"/>
  <c r="A1594" i="1" s="1"/>
  <c r="G1593" i="1"/>
  <c r="A1593" i="1" s="1"/>
  <c r="G1596" i="1"/>
  <c r="A1596" i="1" s="1"/>
  <c r="G1597" i="1"/>
  <c r="A1597" i="1" s="1"/>
  <c r="G1600" i="1"/>
  <c r="A1600" i="1" s="1"/>
  <c r="G1601" i="1"/>
  <c r="A1601" i="1" s="1"/>
  <c r="G1602" i="1"/>
  <c r="A1602" i="1" s="1"/>
  <c r="G1599" i="1"/>
  <c r="A1599" i="1" s="1"/>
  <c r="G1605" i="1"/>
  <c r="A1605" i="1" s="1"/>
  <c r="G1606" i="1"/>
  <c r="A1606" i="1" s="1"/>
  <c r="G1608" i="1"/>
  <c r="A1608" i="1" s="1"/>
  <c r="G1610" i="1"/>
  <c r="A1610" i="1" s="1"/>
  <c r="G1611" i="1"/>
  <c r="A1611" i="1" s="1"/>
  <c r="G1575" i="1"/>
  <c r="A1575" i="1" s="1"/>
  <c r="G1574" i="1"/>
  <c r="A1574" i="1" s="1"/>
  <c r="G1588" i="1"/>
  <c r="A1588" i="1" s="1"/>
  <c r="G1587" i="1"/>
  <c r="A1587" i="1" s="1"/>
  <c r="G1595" i="1"/>
  <c r="A1595" i="1" s="1"/>
  <c r="G1598" i="1"/>
  <c r="A1598" i="1" s="1"/>
  <c r="G1604" i="1"/>
  <c r="A1604" i="1" s="1"/>
  <c r="G1603" i="1"/>
  <c r="A1603" i="1" s="1"/>
  <c r="G1573" i="1"/>
  <c r="A1573" i="1" s="1"/>
  <c r="G1572" i="1"/>
  <c r="A1572" i="1" s="1"/>
  <c r="G1571" i="1"/>
  <c r="A1571" i="1" s="1"/>
  <c r="G1570" i="1"/>
  <c r="A1570" i="1" s="1"/>
  <c r="G1580" i="1"/>
  <c r="A1580" i="1" s="1"/>
  <c r="G1583" i="1"/>
  <c r="A1583" i="1" s="1"/>
  <c r="G1586" i="1"/>
  <c r="A1586" i="1" s="1"/>
  <c r="G1592" i="1"/>
  <c r="A1592" i="1" s="1"/>
  <c r="I15" i="6" l="1"/>
  <c r="I13" i="6" l="1"/>
  <c r="G1526" i="1" l="1"/>
  <c r="A1526" i="1" s="1"/>
  <c r="G1525" i="1"/>
  <c r="A1525" i="1" s="1"/>
  <c r="G1533" i="1"/>
  <c r="A1533" i="1" s="1"/>
  <c r="G1560" i="1"/>
  <c r="A1560" i="1" s="1"/>
  <c r="G1559" i="1"/>
  <c r="A1559" i="1" s="1"/>
  <c r="G1562" i="1"/>
  <c r="A1562" i="1" s="1"/>
  <c r="G1540" i="1"/>
  <c r="A1540" i="1" s="1"/>
  <c r="G1539" i="1"/>
  <c r="A1539" i="1" s="1"/>
  <c r="G1558" i="1"/>
  <c r="A1558" i="1" s="1"/>
  <c r="G1534" i="1"/>
  <c r="A1534" i="1" s="1"/>
  <c r="G1538" i="1"/>
  <c r="A1538" i="1" s="1"/>
  <c r="G1537" i="1"/>
  <c r="A1537" i="1" s="1"/>
  <c r="G1536" i="1"/>
  <c r="A1536" i="1" s="1"/>
  <c r="G1535" i="1"/>
  <c r="A1535" i="1" s="1"/>
  <c r="G1549" i="1"/>
  <c r="A1549" i="1" s="1"/>
  <c r="G1548" i="1"/>
  <c r="A1548" i="1" s="1"/>
  <c r="G1547" i="1"/>
  <c r="A1547" i="1" s="1"/>
  <c r="G1546" i="1"/>
  <c r="A1546" i="1" s="1"/>
  <c r="G1545" i="1"/>
  <c r="A1545" i="1" s="1"/>
  <c r="G1544" i="1"/>
  <c r="A1544" i="1" s="1"/>
  <c r="G1543" i="1"/>
  <c r="A1543" i="1" s="1"/>
  <c r="G1542" i="1"/>
  <c r="A1542" i="1" s="1"/>
  <c r="G1541" i="1"/>
  <c r="A1541" i="1" s="1"/>
  <c r="G1552" i="1"/>
  <c r="A1552" i="1" s="1"/>
  <c r="G1551" i="1"/>
  <c r="A1551" i="1" s="1"/>
  <c r="G1550" i="1"/>
  <c r="A1550" i="1" s="1"/>
  <c r="G1557" i="1"/>
  <c r="A1557" i="1" s="1"/>
  <c r="G1556" i="1"/>
  <c r="A1556" i="1" s="1"/>
  <c r="G1555" i="1"/>
  <c r="A1555" i="1" s="1"/>
  <c r="G1554" i="1"/>
  <c r="A1554" i="1" s="1"/>
  <c r="G1553" i="1"/>
  <c r="A1553" i="1" s="1"/>
  <c r="G1561" i="1"/>
  <c r="A1561" i="1" s="1"/>
  <c r="G1563" i="1"/>
  <c r="A1563" i="1" s="1"/>
  <c r="G1447" i="1" l="1"/>
  <c r="A1447" i="1" s="1"/>
  <c r="G1450" i="1"/>
  <c r="A1450" i="1" s="1"/>
  <c r="G1458" i="1"/>
  <c r="A1458" i="1" s="1"/>
  <c r="G1469" i="1"/>
  <c r="A1469" i="1" s="1"/>
  <c r="G1472" i="1"/>
  <c r="A1472" i="1" s="1"/>
  <c r="G1476" i="1"/>
  <c r="A1476" i="1" s="1"/>
  <c r="G1507" i="1"/>
  <c r="A1507" i="1" s="1"/>
  <c r="G1506" i="1"/>
  <c r="A1506" i="1" s="1"/>
  <c r="G1510" i="1"/>
  <c r="A1510" i="1" s="1"/>
  <c r="G1512" i="1"/>
  <c r="A1512" i="1" s="1"/>
  <c r="G1515" i="1"/>
  <c r="A1515" i="1" s="1"/>
  <c r="G1514" i="1"/>
  <c r="A1514" i="1" s="1"/>
  <c r="G1513" i="1"/>
  <c r="A1513" i="1" s="1"/>
  <c r="G1517" i="1"/>
  <c r="A1517" i="1" s="1"/>
  <c r="G1520" i="1"/>
  <c r="A1520" i="1" s="1"/>
  <c r="G1519" i="1"/>
  <c r="A1519" i="1" s="1"/>
  <c r="G1518" i="1"/>
  <c r="A1518" i="1" s="1"/>
  <c r="G1524" i="1"/>
  <c r="A1524" i="1" s="1"/>
  <c r="G1522" i="1"/>
  <c r="A1522" i="1" s="1"/>
  <c r="G1523" i="1"/>
  <c r="A1523" i="1" s="1"/>
  <c r="G1530" i="1"/>
  <c r="A1530" i="1" s="1"/>
  <c r="G1529" i="1"/>
  <c r="A1529" i="1" s="1"/>
  <c r="G1446" i="1"/>
  <c r="A1446" i="1" s="1"/>
  <c r="G1445" i="1"/>
  <c r="A1445" i="1" s="1"/>
  <c r="G1452" i="1"/>
  <c r="A1452" i="1" s="1"/>
  <c r="G1451" i="1"/>
  <c r="A1451" i="1" s="1"/>
  <c r="G1453" i="1"/>
  <c r="A1453" i="1" s="1"/>
  <c r="G1457" i="1"/>
  <c r="A1457" i="1" s="1"/>
  <c r="G1459" i="1"/>
  <c r="A1459" i="1" s="1"/>
  <c r="G1460" i="1"/>
  <c r="A1460" i="1" s="1"/>
  <c r="G1465" i="1"/>
  <c r="A1465" i="1" s="1"/>
  <c r="G1464" i="1"/>
  <c r="A1464" i="1" s="1"/>
  <c r="G1463" i="1"/>
  <c r="A1463" i="1" s="1"/>
  <c r="G1466" i="1"/>
  <c r="A1466" i="1" s="1"/>
  <c r="G1468" i="1"/>
  <c r="A1468" i="1" s="1"/>
  <c r="G1471" i="1"/>
  <c r="A1471" i="1" s="1"/>
  <c r="G1470" i="1"/>
  <c r="A1470" i="1" s="1"/>
  <c r="G1475" i="1"/>
  <c r="A1475" i="1" s="1"/>
  <c r="G1479" i="1"/>
  <c r="A1479" i="1" s="1"/>
  <c r="G1494" i="1"/>
  <c r="A1494" i="1" s="1"/>
  <c r="G1502" i="1"/>
  <c r="A1502" i="1" s="1"/>
  <c r="G1505" i="1"/>
  <c r="A1505" i="1" s="1"/>
  <c r="G1504" i="1"/>
  <c r="A1504" i="1" s="1"/>
  <c r="G1509" i="1"/>
  <c r="A1509" i="1" s="1"/>
  <c r="G1508" i="1"/>
  <c r="A1508" i="1" s="1"/>
  <c r="G1511" i="1"/>
  <c r="A1511" i="1" s="1"/>
  <c r="G1528" i="1"/>
  <c r="A1528" i="1" s="1"/>
  <c r="G1527" i="1"/>
  <c r="A1527" i="1" s="1"/>
  <c r="G1532" i="1"/>
  <c r="A1532" i="1" s="1"/>
  <c r="G1531" i="1"/>
  <c r="A1531" i="1" s="1"/>
  <c r="G1462" i="1"/>
  <c r="A1462" i="1" s="1"/>
  <c r="G1461" i="1"/>
  <c r="A1461" i="1" s="1"/>
  <c r="G1474" i="1"/>
  <c r="A1474" i="1" s="1"/>
  <c r="G1478" i="1"/>
  <c r="A1478" i="1" s="1"/>
  <c r="G1456" i="1"/>
  <c r="A1456" i="1" s="1"/>
  <c r="G1467" i="1"/>
  <c r="A1467" i="1" s="1"/>
  <c r="G1473" i="1"/>
  <c r="A1473" i="1" s="1"/>
  <c r="G1477" i="1"/>
  <c r="A1477" i="1" s="1"/>
  <c r="G1489" i="1"/>
  <c r="A1489" i="1" s="1"/>
  <c r="G1488" i="1"/>
  <c r="A1488" i="1" s="1"/>
  <c r="G1487" i="1"/>
  <c r="A1487" i="1" s="1"/>
  <c r="G1486" i="1"/>
  <c r="A1486" i="1" s="1"/>
  <c r="G1485" i="1"/>
  <c r="A1485" i="1" s="1"/>
  <c r="G1484" i="1"/>
  <c r="A1484" i="1" s="1"/>
  <c r="G1483" i="1"/>
  <c r="A1483" i="1" s="1"/>
  <c r="G1482" i="1"/>
  <c r="A1482" i="1" s="1"/>
  <c r="G1481" i="1"/>
  <c r="A1481" i="1" s="1"/>
  <c r="G1480" i="1"/>
  <c r="A1480" i="1" s="1"/>
  <c r="G1490" i="1"/>
  <c r="A1490" i="1" s="1"/>
  <c r="G1493" i="1"/>
  <c r="A1493" i="1" s="1"/>
  <c r="G1492" i="1"/>
  <c r="A1492" i="1" s="1"/>
  <c r="G1491" i="1"/>
  <c r="A1491" i="1" s="1"/>
  <c r="G1496" i="1"/>
  <c r="A1496" i="1" s="1"/>
  <c r="G1495" i="1"/>
  <c r="A1495" i="1" s="1"/>
  <c r="G1500" i="1"/>
  <c r="A1500" i="1" s="1"/>
  <c r="G1499" i="1"/>
  <c r="A1499" i="1" s="1"/>
  <c r="G1498" i="1"/>
  <c r="A1498" i="1" s="1"/>
  <c r="G1497" i="1"/>
  <c r="A1497" i="1" s="1"/>
  <c r="G1501" i="1"/>
  <c r="A1501" i="1" s="1"/>
  <c r="G1503" i="1"/>
  <c r="A1503" i="1" s="1"/>
  <c r="G1516" i="1"/>
  <c r="A1516" i="1" s="1"/>
  <c r="G1521" i="1"/>
  <c r="A1521" i="1" s="1"/>
  <c r="G1412" i="1" l="1"/>
  <c r="A1412" i="1" s="1"/>
  <c r="G1411" i="1"/>
  <c r="A1411" i="1" s="1"/>
  <c r="G1410" i="1"/>
  <c r="A1410" i="1" s="1"/>
  <c r="G1414" i="1"/>
  <c r="A1414" i="1" s="1"/>
  <c r="G1418" i="1"/>
  <c r="A1418" i="1" s="1"/>
  <c r="G1422" i="1"/>
  <c r="A1422" i="1" s="1"/>
  <c r="G1421" i="1"/>
  <c r="A1421" i="1" s="1"/>
  <c r="G1435" i="1"/>
  <c r="A1435" i="1" s="1"/>
  <c r="G1455" i="1"/>
  <c r="A1455" i="1" s="1"/>
  <c r="G1454" i="1"/>
  <c r="A1454" i="1" s="1"/>
  <c r="G1416" i="1"/>
  <c r="A1416" i="1" s="1"/>
  <c r="G1415" i="1"/>
  <c r="A1415" i="1" s="1"/>
  <c r="G1420" i="1"/>
  <c r="A1420" i="1" s="1"/>
  <c r="G1419" i="1"/>
  <c r="A1419" i="1" s="1"/>
  <c r="G1423" i="1"/>
  <c r="A1423" i="1" s="1"/>
  <c r="G1434" i="1"/>
  <c r="A1434" i="1" s="1"/>
  <c r="G1433" i="1"/>
  <c r="A1433" i="1" s="1"/>
  <c r="G1439" i="1"/>
  <c r="A1439" i="1" s="1"/>
  <c r="G1443" i="1"/>
  <c r="A1443" i="1" s="1"/>
  <c r="G1440" i="1"/>
  <c r="A1440" i="1" s="1"/>
  <c r="G1444" i="1"/>
  <c r="A1444" i="1" s="1"/>
  <c r="G1442" i="1"/>
  <c r="A1442" i="1" s="1"/>
  <c r="G1441" i="1"/>
  <c r="A1441" i="1" s="1"/>
  <c r="G1437" i="1"/>
  <c r="A1437" i="1" s="1"/>
  <c r="G1438" i="1"/>
  <c r="A1438" i="1" s="1"/>
  <c r="G1449" i="1"/>
  <c r="A1449" i="1" s="1"/>
  <c r="G1396" i="1"/>
  <c r="A1396" i="1" s="1"/>
  <c r="G1395" i="1"/>
  <c r="A1395" i="1" s="1"/>
  <c r="G1400" i="1"/>
  <c r="A1400" i="1" s="1"/>
  <c r="G1406" i="1"/>
  <c r="A1406" i="1" s="1"/>
  <c r="G1413" i="1"/>
  <c r="A1413" i="1" s="1"/>
  <c r="G1417" i="1"/>
  <c r="A1417" i="1" s="1"/>
  <c r="G1425" i="1"/>
  <c r="A1425" i="1" s="1"/>
  <c r="G1424" i="1"/>
  <c r="A1424" i="1" s="1"/>
  <c r="G1431" i="1"/>
  <c r="A1431" i="1" s="1"/>
  <c r="G1430" i="1"/>
  <c r="A1430" i="1" s="1"/>
  <c r="G1429" i="1"/>
  <c r="A1429" i="1" s="1"/>
  <c r="G1428" i="1"/>
  <c r="A1428" i="1" s="1"/>
  <c r="G1427" i="1"/>
  <c r="A1427" i="1" s="1"/>
  <c r="G1426" i="1"/>
  <c r="A1426" i="1" s="1"/>
  <c r="G1432" i="1"/>
  <c r="A1432" i="1" s="1"/>
  <c r="G1436" i="1"/>
  <c r="A1436" i="1" s="1"/>
  <c r="G1448" i="1"/>
  <c r="A1448" i="1" s="1"/>
  <c r="K6" i="6" l="1"/>
  <c r="G1399" i="1" l="1"/>
  <c r="A1399" i="1" s="1"/>
  <c r="G1405" i="1"/>
  <c r="A1405" i="1" s="1"/>
  <c r="G1398" i="1"/>
  <c r="A1398" i="1" s="1"/>
  <c r="G1397" i="1"/>
  <c r="A1397" i="1" s="1"/>
  <c r="G1404" i="1"/>
  <c r="A1404" i="1" s="1"/>
  <c r="G1403" i="1"/>
  <c r="A1403" i="1" s="1"/>
  <c r="G1402" i="1"/>
  <c r="A1402" i="1" s="1"/>
  <c r="G1409" i="1"/>
  <c r="A1409" i="1" s="1"/>
  <c r="G1408" i="1"/>
  <c r="A1408" i="1" s="1"/>
  <c r="G1407" i="1"/>
  <c r="A1407" i="1" s="1"/>
  <c r="G1401" i="1"/>
  <c r="A1401" i="1" s="1"/>
  <c r="C7" i="17" l="1"/>
  <c r="D7" i="17"/>
  <c r="E7" i="17"/>
  <c r="F7" i="17"/>
  <c r="G7" i="17"/>
  <c r="H7" i="17"/>
  <c r="I7" i="17"/>
  <c r="J7" i="17"/>
  <c r="K7" i="17"/>
  <c r="L7" i="17"/>
  <c r="M7" i="17"/>
  <c r="C8" i="17"/>
  <c r="D8" i="17"/>
  <c r="E8" i="17"/>
  <c r="F8" i="17"/>
  <c r="G8" i="17"/>
  <c r="H8" i="17"/>
  <c r="I8" i="17"/>
  <c r="J8" i="17"/>
  <c r="K8" i="17"/>
  <c r="L8" i="17"/>
  <c r="M8" i="17"/>
  <c r="C9" i="17"/>
  <c r="D9" i="17"/>
  <c r="E9" i="17"/>
  <c r="F9" i="17"/>
  <c r="G9" i="17"/>
  <c r="H9" i="17"/>
  <c r="I9" i="17"/>
  <c r="J9" i="17"/>
  <c r="K9" i="17"/>
  <c r="L9" i="17"/>
  <c r="M9" i="17"/>
  <c r="C10" i="17"/>
  <c r="D10" i="17"/>
  <c r="E10" i="17"/>
  <c r="F10" i="17"/>
  <c r="G10" i="17"/>
  <c r="H10" i="17"/>
  <c r="I10" i="17"/>
  <c r="J10" i="17"/>
  <c r="K10" i="17"/>
  <c r="L10" i="17"/>
  <c r="M10" i="17"/>
  <c r="C11" i="17"/>
  <c r="D11" i="17"/>
  <c r="E11" i="17"/>
  <c r="F11" i="17"/>
  <c r="G11" i="17"/>
  <c r="H11" i="17"/>
  <c r="I11" i="17"/>
  <c r="J11" i="17"/>
  <c r="K11" i="17"/>
  <c r="L11" i="17"/>
  <c r="M11" i="17"/>
  <c r="C12" i="17"/>
  <c r="D12" i="17"/>
  <c r="E12" i="17"/>
  <c r="F12" i="17"/>
  <c r="G12" i="17"/>
  <c r="H12" i="17"/>
  <c r="I12" i="17"/>
  <c r="J12" i="17"/>
  <c r="K12" i="17"/>
  <c r="L12" i="17"/>
  <c r="M12" i="17"/>
  <c r="C13" i="17"/>
  <c r="D13" i="17"/>
  <c r="E13" i="17"/>
  <c r="F13" i="17"/>
  <c r="G13" i="17"/>
  <c r="H13" i="17"/>
  <c r="I13" i="17"/>
  <c r="J13" i="17"/>
  <c r="K13" i="17"/>
  <c r="L13" i="17"/>
  <c r="M13" i="17"/>
  <c r="C14" i="17"/>
  <c r="D14" i="17"/>
  <c r="E14" i="17"/>
  <c r="F14" i="17"/>
  <c r="G14" i="17"/>
  <c r="H14" i="17"/>
  <c r="I14" i="17"/>
  <c r="J14" i="17"/>
  <c r="K14" i="17"/>
  <c r="L14" i="17"/>
  <c r="M14" i="17"/>
  <c r="C15" i="17"/>
  <c r="D15" i="17"/>
  <c r="E15" i="17"/>
  <c r="F15" i="17"/>
  <c r="G15" i="17"/>
  <c r="H15" i="17"/>
  <c r="I15" i="17"/>
  <c r="J15" i="17"/>
  <c r="K15" i="17"/>
  <c r="L15" i="17"/>
  <c r="M15" i="17"/>
  <c r="C16" i="17"/>
  <c r="D16" i="17"/>
  <c r="E16" i="17"/>
  <c r="F16" i="17"/>
  <c r="G16" i="17"/>
  <c r="H16" i="17"/>
  <c r="I16" i="17"/>
  <c r="J16" i="17"/>
  <c r="K16" i="17"/>
  <c r="L16" i="17"/>
  <c r="M16" i="17"/>
  <c r="C17" i="17"/>
  <c r="D17" i="17"/>
  <c r="E17" i="17"/>
  <c r="F17" i="17"/>
  <c r="G17" i="17"/>
  <c r="H17" i="17"/>
  <c r="I17" i="17"/>
  <c r="J17" i="17"/>
  <c r="K17" i="17"/>
  <c r="L17" i="17"/>
  <c r="M17" i="17"/>
  <c r="C18" i="17"/>
  <c r="D18" i="17"/>
  <c r="E18" i="17"/>
  <c r="F18" i="17"/>
  <c r="G18" i="17"/>
  <c r="H18" i="17"/>
  <c r="I18" i="17"/>
  <c r="J18" i="17"/>
  <c r="K18" i="17"/>
  <c r="L18" i="17"/>
  <c r="M18" i="17"/>
  <c r="C19" i="17"/>
  <c r="D19" i="17"/>
  <c r="E19" i="17"/>
  <c r="F19" i="17"/>
  <c r="G19" i="17"/>
  <c r="H19" i="17"/>
  <c r="I19" i="17"/>
  <c r="J19" i="17"/>
  <c r="K19" i="17"/>
  <c r="L19" i="17"/>
  <c r="M19" i="17"/>
  <c r="C20" i="17"/>
  <c r="D20" i="17"/>
  <c r="E20" i="17"/>
  <c r="F20" i="17"/>
  <c r="G20" i="17"/>
  <c r="H20" i="17"/>
  <c r="I20" i="17"/>
  <c r="J20" i="17"/>
  <c r="K20" i="17"/>
  <c r="L20" i="17"/>
  <c r="M20" i="17"/>
  <c r="C21" i="17"/>
  <c r="D21" i="17"/>
  <c r="E21" i="17"/>
  <c r="F21" i="17"/>
  <c r="G21" i="17"/>
  <c r="H21" i="17"/>
  <c r="I21" i="17"/>
  <c r="J21" i="17"/>
  <c r="K21" i="17"/>
  <c r="L21" i="17"/>
  <c r="M21" i="17"/>
  <c r="C22" i="17"/>
  <c r="D22" i="17"/>
  <c r="E22" i="17"/>
  <c r="F22" i="17"/>
  <c r="G22" i="17"/>
  <c r="H22" i="17"/>
  <c r="I22" i="17"/>
  <c r="J22" i="17"/>
  <c r="K22" i="17"/>
  <c r="L22" i="17"/>
  <c r="M22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7" i="17"/>
  <c r="A24" i="17"/>
  <c r="E1388" i="1" l="1"/>
  <c r="G1388" i="1" s="1"/>
  <c r="A1388" i="1" s="1"/>
  <c r="G1387" i="1"/>
  <c r="A1387" i="1" s="1"/>
  <c r="G1386" i="1"/>
  <c r="A1386" i="1" s="1"/>
  <c r="G1391" i="1"/>
  <c r="A1391" i="1" s="1"/>
  <c r="G1389" i="1"/>
  <c r="A1389" i="1" s="1"/>
  <c r="G1390" i="1"/>
  <c r="A1390" i="1" s="1"/>
  <c r="G1393" i="1"/>
  <c r="A1393" i="1" s="1"/>
  <c r="G1392" i="1"/>
  <c r="A1392" i="1" s="1"/>
  <c r="G1394" i="1"/>
  <c r="A1394" i="1" s="1"/>
  <c r="G1330" i="1" l="1"/>
  <c r="A1330" i="1" s="1"/>
  <c r="G1329" i="1"/>
  <c r="A1329" i="1" s="1"/>
  <c r="G1328" i="1"/>
  <c r="A1328" i="1" s="1"/>
  <c r="G1364" i="1"/>
  <c r="A1364" i="1" s="1"/>
  <c r="G1363" i="1"/>
  <c r="A1363" i="1" s="1"/>
  <c r="G1362" i="1"/>
  <c r="A1362" i="1" s="1"/>
  <c r="G1317" i="1"/>
  <c r="A1317" i="1" s="1"/>
  <c r="G1316" i="1"/>
  <c r="A1316" i="1" s="1"/>
  <c r="G1321" i="1"/>
  <c r="A1321" i="1" s="1"/>
  <c r="G1322" i="1"/>
  <c r="A1322" i="1" s="1"/>
  <c r="G1324" i="1"/>
  <c r="A1324" i="1" s="1"/>
  <c r="G1331" i="1"/>
  <c r="A1331" i="1" s="1"/>
  <c r="G1332" i="1"/>
  <c r="A1332" i="1" s="1"/>
  <c r="G1335" i="1"/>
  <c r="A1335" i="1" s="1"/>
  <c r="G1340" i="1"/>
  <c r="A1340" i="1" s="1"/>
  <c r="G1341" i="1"/>
  <c r="A1341" i="1" s="1"/>
  <c r="G1342" i="1"/>
  <c r="A1342" i="1" s="1"/>
  <c r="G1347" i="1"/>
  <c r="A1347" i="1" s="1"/>
  <c r="G1348" i="1"/>
  <c r="A1348" i="1" s="1"/>
  <c r="G1354" i="1"/>
  <c r="A1354" i="1" s="1"/>
  <c r="G1355" i="1"/>
  <c r="A1355" i="1" s="1"/>
  <c r="G1358" i="1"/>
  <c r="A1358" i="1" s="1"/>
  <c r="G1370" i="1"/>
  <c r="A1370" i="1" s="1"/>
  <c r="G1378" i="1"/>
  <c r="A1378" i="1" s="1"/>
  <c r="G1377" i="1"/>
  <c r="A1377" i="1" s="1"/>
  <c r="G1379" i="1"/>
  <c r="A1379" i="1" s="1"/>
  <c r="G1381" i="1"/>
  <c r="A1381" i="1" s="1"/>
  <c r="G1382" i="1"/>
  <c r="A1382" i="1" s="1"/>
  <c r="G1314" i="1"/>
  <c r="A1314" i="1" s="1"/>
  <c r="G1315" i="1"/>
  <c r="A1315" i="1" s="1"/>
  <c r="G1320" i="1"/>
  <c r="A1320" i="1" s="1"/>
  <c r="G1319" i="1"/>
  <c r="A1319" i="1" s="1"/>
  <c r="G1318" i="1"/>
  <c r="A1318" i="1" s="1"/>
  <c r="G1323" i="1"/>
  <c r="A1323" i="1" s="1"/>
  <c r="G1327" i="1"/>
  <c r="A1327" i="1" s="1"/>
  <c r="G1326" i="1"/>
  <c r="A1326" i="1" s="1"/>
  <c r="G1334" i="1"/>
  <c r="A1334" i="1" s="1"/>
  <c r="G1333" i="1"/>
  <c r="A1333" i="1" s="1"/>
  <c r="G1339" i="1"/>
  <c r="A1339" i="1" s="1"/>
  <c r="G1338" i="1"/>
  <c r="A1338" i="1" s="1"/>
  <c r="G1337" i="1"/>
  <c r="A1337" i="1" s="1"/>
  <c r="G1336" i="1"/>
  <c r="A1336" i="1" s="1"/>
  <c r="G1346" i="1"/>
  <c r="A1346" i="1" s="1"/>
  <c r="G1345" i="1"/>
  <c r="A1345" i="1" s="1"/>
  <c r="G1344" i="1"/>
  <c r="A1344" i="1" s="1"/>
  <c r="G1343" i="1"/>
  <c r="A1343" i="1" s="1"/>
  <c r="G1353" i="1"/>
  <c r="A1353" i="1" s="1"/>
  <c r="G1352" i="1"/>
  <c r="A1352" i="1" s="1"/>
  <c r="G1351" i="1"/>
  <c r="A1351" i="1" s="1"/>
  <c r="G1357" i="1"/>
  <c r="A1357" i="1" s="1"/>
  <c r="G1356" i="1"/>
  <c r="A1356" i="1" s="1"/>
  <c r="G1360" i="1"/>
  <c r="A1360" i="1" s="1"/>
  <c r="G1361" i="1"/>
  <c r="A1361" i="1" s="1"/>
  <c r="G1369" i="1"/>
  <c r="A1369" i="1" s="1"/>
  <c r="G1368" i="1"/>
  <c r="A1368" i="1" s="1"/>
  <c r="G1367" i="1"/>
  <c r="A1367" i="1" s="1"/>
  <c r="G1366" i="1"/>
  <c r="A1366" i="1" s="1"/>
  <c r="G1373" i="1"/>
  <c r="A1373" i="1" s="1"/>
  <c r="G1372" i="1"/>
  <c r="A1372" i="1" s="1"/>
  <c r="G1371" i="1"/>
  <c r="A1371" i="1" s="1"/>
  <c r="G1375" i="1"/>
  <c r="A1375" i="1" s="1"/>
  <c r="G1376" i="1"/>
  <c r="A1376" i="1" s="1"/>
  <c r="G1380" i="1"/>
  <c r="A1380" i="1" s="1"/>
  <c r="G1385" i="1"/>
  <c r="A1385" i="1" s="1"/>
  <c r="G1384" i="1"/>
  <c r="A1384" i="1" s="1"/>
  <c r="G1383" i="1"/>
  <c r="A1383" i="1" s="1"/>
  <c r="G1350" i="1" l="1"/>
  <c r="A1350" i="1" s="1"/>
  <c r="G1349" i="1"/>
  <c r="A1349" i="1" s="1"/>
  <c r="G1359" i="1"/>
  <c r="A1359" i="1" s="1"/>
  <c r="G1374" i="1"/>
  <c r="A1374" i="1" s="1"/>
  <c r="G1308" i="1" l="1"/>
  <c r="A1308" i="1" s="1"/>
  <c r="G1313" i="1"/>
  <c r="A1313" i="1" s="1"/>
  <c r="G1312" i="1"/>
  <c r="A1312" i="1" s="1"/>
  <c r="G1305" i="1"/>
  <c r="A1305" i="1" s="1"/>
  <c r="G1304" i="1"/>
  <c r="A1304" i="1" s="1"/>
  <c r="G1307" i="1"/>
  <c r="A1307" i="1" s="1"/>
  <c r="G1306" i="1"/>
  <c r="A1306" i="1" s="1"/>
  <c r="G1311" i="1"/>
  <c r="A1311" i="1" s="1"/>
  <c r="G1310" i="1"/>
  <c r="A1310" i="1" s="1"/>
  <c r="G1309" i="1"/>
  <c r="A1309" i="1" s="1"/>
  <c r="G1325" i="1"/>
  <c r="A1325" i="1" s="1"/>
  <c r="G1303" i="1" l="1"/>
  <c r="A1303" i="1" s="1"/>
  <c r="G1295" i="1" l="1"/>
  <c r="A1295" i="1" s="1"/>
  <c r="G1298" i="1"/>
  <c r="A1298" i="1" s="1"/>
  <c r="G1299" i="1"/>
  <c r="A1299" i="1" s="1"/>
  <c r="G1283" i="1"/>
  <c r="A1283" i="1" s="1"/>
  <c r="G1282" i="1"/>
  <c r="A1282" i="1" s="1"/>
  <c r="G1297" i="1"/>
  <c r="A1297" i="1" s="1"/>
  <c r="G1296" i="1"/>
  <c r="A1296" i="1" s="1"/>
  <c r="G1302" i="1"/>
  <c r="A1302" i="1" s="1"/>
  <c r="G1301" i="1"/>
  <c r="A1301" i="1" s="1"/>
  <c r="G1300" i="1"/>
  <c r="A1300" i="1" s="1"/>
  <c r="G1242" i="1" l="1"/>
  <c r="A1242" i="1" s="1"/>
  <c r="G1243" i="1"/>
  <c r="A1243" i="1" s="1"/>
  <c r="G1244" i="1"/>
  <c r="A1244" i="1" s="1"/>
  <c r="G1255" i="1"/>
  <c r="A1255" i="1" s="1"/>
  <c r="G1254" i="1"/>
  <c r="A1254" i="1" s="1"/>
  <c r="G1253" i="1"/>
  <c r="A1253" i="1" s="1"/>
  <c r="G1260" i="1"/>
  <c r="A1260" i="1" s="1"/>
  <c r="G1263" i="1"/>
  <c r="A1263" i="1" s="1"/>
  <c r="G1267" i="1"/>
  <c r="A1267" i="1" s="1"/>
  <c r="G1266" i="1"/>
  <c r="A1266" i="1" s="1"/>
  <c r="G1272" i="1"/>
  <c r="A1272" i="1" s="1"/>
  <c r="G1280" i="1"/>
  <c r="A1280" i="1" s="1"/>
  <c r="G1279" i="1"/>
  <c r="A1279" i="1" s="1"/>
  <c r="G1281" i="1"/>
  <c r="A1281" i="1" s="1"/>
  <c r="G1289" i="1"/>
  <c r="A1289" i="1" s="1"/>
  <c r="G1286" i="1"/>
  <c r="A1286" i="1" s="1"/>
  <c r="G1287" i="1"/>
  <c r="A1287" i="1" s="1"/>
  <c r="G1288" i="1"/>
  <c r="A1288" i="1" s="1"/>
  <c r="G1290" i="1"/>
  <c r="A1290" i="1" s="1"/>
  <c r="G1252" i="1"/>
  <c r="A1252" i="1" s="1"/>
  <c r="G1251" i="1"/>
  <c r="A1251" i="1" s="1"/>
  <c r="G1259" i="1"/>
  <c r="A1259" i="1" s="1"/>
  <c r="G1258" i="1"/>
  <c r="A1258" i="1" s="1"/>
  <c r="G1265" i="1"/>
  <c r="A1265" i="1" s="1"/>
  <c r="G1264" i="1"/>
  <c r="A1264" i="1" s="1"/>
  <c r="G1271" i="1"/>
  <c r="A1271" i="1" s="1"/>
  <c r="G1270" i="1"/>
  <c r="A1270" i="1" s="1"/>
  <c r="G1269" i="1"/>
  <c r="A1269" i="1" s="1"/>
  <c r="G1268" i="1"/>
  <c r="A1268" i="1" s="1"/>
  <c r="G1278" i="1"/>
  <c r="A1278" i="1" s="1"/>
  <c r="G1277" i="1"/>
  <c r="A1277" i="1" s="1"/>
  <c r="G1276" i="1"/>
  <c r="A1276" i="1" s="1"/>
  <c r="G1275" i="1"/>
  <c r="A1275" i="1" s="1"/>
  <c r="G1274" i="1"/>
  <c r="A1274" i="1" s="1"/>
  <c r="G1285" i="1"/>
  <c r="A1285" i="1" s="1"/>
  <c r="G1284" i="1"/>
  <c r="A1284" i="1" s="1"/>
  <c r="G1294" i="1"/>
  <c r="A1294" i="1" s="1"/>
  <c r="G1293" i="1"/>
  <c r="A1293" i="1" s="1"/>
  <c r="G1292" i="1"/>
  <c r="A1292" i="1" s="1"/>
  <c r="G1291" i="1"/>
  <c r="A1291" i="1" s="1"/>
  <c r="G1250" i="1"/>
  <c r="A1250" i="1" s="1"/>
  <c r="G1249" i="1"/>
  <c r="A1249" i="1" s="1"/>
  <c r="G1248" i="1"/>
  <c r="A1248" i="1" s="1"/>
  <c r="G1247" i="1"/>
  <c r="A1247" i="1" s="1"/>
  <c r="G1257" i="1"/>
  <c r="A1257" i="1" s="1"/>
  <c r="G1256" i="1"/>
  <c r="A1256" i="1" s="1"/>
  <c r="G1261" i="1"/>
  <c r="A1261" i="1" s="1"/>
  <c r="G1262" i="1"/>
  <c r="A1262" i="1" s="1"/>
  <c r="G1273" i="1"/>
  <c r="A1273" i="1" s="1"/>
  <c r="J21" i="11" l="1"/>
  <c r="O21" i="11" s="1"/>
  <c r="Q21" i="11" s="1"/>
  <c r="R21" i="11" s="1"/>
  <c r="S21" i="11" s="1"/>
  <c r="N21" i="11" l="1"/>
  <c r="G1245" i="1"/>
  <c r="A1245" i="1" s="1"/>
  <c r="G1246" i="1"/>
  <c r="A1246" i="1" s="1"/>
  <c r="G1238" i="1" l="1"/>
  <c r="A1238" i="1" s="1"/>
  <c r="G1239" i="1"/>
  <c r="A1239" i="1" s="1"/>
  <c r="G1240" i="1"/>
  <c r="A1240" i="1" s="1"/>
  <c r="G1236" i="1"/>
  <c r="A1236" i="1" s="1"/>
  <c r="G1237" i="1"/>
  <c r="A1237" i="1" s="1"/>
  <c r="G1241" i="1"/>
  <c r="A1241" i="1" s="1"/>
  <c r="G1171" i="1" l="1"/>
  <c r="A1171" i="1" s="1"/>
  <c r="G1172" i="1"/>
  <c r="A1172" i="1" s="1"/>
  <c r="G1226" i="1" l="1"/>
  <c r="A1226" i="1" s="1"/>
  <c r="G1228" i="1"/>
  <c r="A1228" i="1" s="1"/>
  <c r="G1227" i="1"/>
  <c r="A1227" i="1" s="1"/>
  <c r="G1231" i="1"/>
  <c r="A1231" i="1" s="1"/>
  <c r="G1230" i="1"/>
  <c r="A1230" i="1" s="1"/>
  <c r="G1235" i="1"/>
  <c r="A1235" i="1" s="1"/>
  <c r="G1233" i="1"/>
  <c r="A1233" i="1" s="1"/>
  <c r="G1232" i="1"/>
  <c r="A1232" i="1" s="1"/>
  <c r="G1234" i="1"/>
  <c r="A1234" i="1" s="1"/>
  <c r="G1229" i="1"/>
  <c r="A1229" i="1" s="1"/>
  <c r="G1203" i="1" l="1"/>
  <c r="A1203" i="1" s="1"/>
  <c r="G1205" i="1"/>
  <c r="A1205" i="1" s="1"/>
  <c r="G1210" i="1"/>
  <c r="A1210" i="1" s="1"/>
  <c r="G1212" i="1"/>
  <c r="A1212" i="1" s="1"/>
  <c r="G1216" i="1"/>
  <c r="A1216" i="1" s="1"/>
  <c r="G1219" i="1"/>
  <c r="A1219" i="1" s="1"/>
  <c r="G1220" i="1"/>
  <c r="A1220" i="1" s="1"/>
  <c r="G1223" i="1"/>
  <c r="A1223" i="1" s="1"/>
  <c r="G1224" i="1"/>
  <c r="A1224" i="1" s="1"/>
  <c r="G1225" i="1"/>
  <c r="A1225" i="1" s="1"/>
  <c r="G1204" i="1"/>
  <c r="A1204" i="1" s="1"/>
  <c r="G1211" i="1"/>
  <c r="A1211" i="1" s="1"/>
  <c r="G1213" i="1"/>
  <c r="A1213" i="1" s="1"/>
  <c r="G1215" i="1"/>
  <c r="A1215" i="1" s="1"/>
  <c r="G1214" i="1"/>
  <c r="A1214" i="1" s="1"/>
  <c r="G1218" i="1"/>
  <c r="A1218" i="1" s="1"/>
  <c r="G1217" i="1"/>
  <c r="A1217" i="1" s="1"/>
  <c r="G1222" i="1"/>
  <c r="A1222" i="1" s="1"/>
  <c r="G1221" i="1"/>
  <c r="A1221" i="1" s="1"/>
  <c r="G1209" i="1" l="1"/>
  <c r="A1209" i="1" s="1"/>
  <c r="G1208" i="1"/>
  <c r="A1208" i="1" s="1"/>
  <c r="G1207" i="1"/>
  <c r="A1207" i="1" s="1"/>
  <c r="G1169" i="1" l="1"/>
  <c r="A1169" i="1" s="1"/>
  <c r="G1193" i="1"/>
  <c r="A1193" i="1" s="1"/>
  <c r="G1195" i="1"/>
  <c r="A1195" i="1" s="1"/>
  <c r="G1196" i="1"/>
  <c r="A1196" i="1" s="1"/>
  <c r="G1197" i="1"/>
  <c r="A1197" i="1" s="1"/>
  <c r="G1198" i="1"/>
  <c r="A1198" i="1" s="1"/>
  <c r="G1202" i="1"/>
  <c r="A1202" i="1" s="1"/>
  <c r="G1201" i="1"/>
  <c r="A1201" i="1" s="1"/>
  <c r="G1200" i="1"/>
  <c r="A1200" i="1" s="1"/>
  <c r="G1190" i="1"/>
  <c r="A1190" i="1" s="1"/>
  <c r="G1191" i="1"/>
  <c r="A1191" i="1" s="1"/>
  <c r="G1189" i="1"/>
  <c r="A1189" i="1" s="1"/>
  <c r="G1188" i="1"/>
  <c r="A1188" i="1" s="1"/>
  <c r="G1192" i="1"/>
  <c r="A1192" i="1" s="1"/>
  <c r="G1194" i="1"/>
  <c r="A1194" i="1" s="1"/>
  <c r="G1199" i="1"/>
  <c r="A1199" i="1" s="1"/>
  <c r="G1206" i="1"/>
  <c r="A1206" i="1" s="1"/>
  <c r="K7" i="6" l="1"/>
  <c r="G1165" i="1" l="1"/>
  <c r="A1165" i="1" s="1"/>
  <c r="G1166" i="1"/>
  <c r="A1166" i="1" s="1"/>
  <c r="G1168" i="1"/>
  <c r="A1168" i="1" s="1"/>
  <c r="G1174" i="1"/>
  <c r="A1174" i="1" s="1"/>
  <c r="G1173" i="1"/>
  <c r="A1173" i="1" s="1"/>
  <c r="G1175" i="1"/>
  <c r="A1175" i="1" s="1"/>
  <c r="G1176" i="1"/>
  <c r="A1176" i="1" s="1"/>
  <c r="G1177" i="1"/>
  <c r="A1177" i="1" s="1"/>
  <c r="G1178" i="1"/>
  <c r="A1178" i="1" s="1"/>
  <c r="G1180" i="1"/>
  <c r="A1180" i="1" s="1"/>
  <c r="G1164" i="1"/>
  <c r="A1164" i="1" s="1"/>
  <c r="G1163" i="1"/>
  <c r="A1163" i="1" s="1"/>
  <c r="G1167" i="1"/>
  <c r="A1167" i="1" s="1"/>
  <c r="G1179" i="1"/>
  <c r="A1179" i="1" s="1"/>
  <c r="G1184" i="1"/>
  <c r="A1184" i="1" s="1"/>
  <c r="G1183" i="1"/>
  <c r="A1183" i="1" s="1"/>
  <c r="G1182" i="1"/>
  <c r="A1182" i="1" s="1"/>
  <c r="G1181" i="1"/>
  <c r="A1181" i="1" s="1"/>
  <c r="G1185" i="1"/>
  <c r="A1185" i="1" s="1"/>
  <c r="G1186" i="1"/>
  <c r="A1186" i="1" s="1"/>
  <c r="G1187" i="1"/>
  <c r="A1187" i="1" s="1"/>
  <c r="K15" i="6" l="1"/>
  <c r="K13" i="6"/>
  <c r="G1170" i="1" l="1"/>
  <c r="A1170" i="1" s="1"/>
  <c r="G1160" i="1" l="1"/>
  <c r="A1160" i="1" s="1"/>
  <c r="G1162" i="1"/>
  <c r="A1162" i="1" s="1"/>
  <c r="G1161" i="1"/>
  <c r="A1161" i="1" s="1"/>
  <c r="G1143" i="1" l="1"/>
  <c r="A1143" i="1" s="1"/>
  <c r="G1148" i="1"/>
  <c r="A1148" i="1" s="1"/>
  <c r="G1154" i="1"/>
  <c r="A1154" i="1" s="1"/>
  <c r="G1147" i="1"/>
  <c r="A1147" i="1" s="1"/>
  <c r="G1146" i="1"/>
  <c r="A1146" i="1" s="1"/>
  <c r="G1145" i="1"/>
  <c r="A1145" i="1" s="1"/>
  <c r="G1144" i="1"/>
  <c r="A1144" i="1" s="1"/>
  <c r="G1152" i="1"/>
  <c r="A1152" i="1" s="1"/>
  <c r="G1153" i="1"/>
  <c r="A1153" i="1" s="1"/>
  <c r="G1151" i="1"/>
  <c r="A1151" i="1" s="1"/>
  <c r="G1150" i="1"/>
  <c r="A1150" i="1" s="1"/>
  <c r="G1149" i="1"/>
  <c r="A1149" i="1" s="1"/>
  <c r="G1157" i="1"/>
  <c r="A1157" i="1" s="1"/>
  <c r="G1156" i="1"/>
  <c r="A1156" i="1" s="1"/>
  <c r="G1155" i="1"/>
  <c r="A1155" i="1" s="1"/>
  <c r="G1159" i="1"/>
  <c r="A1159" i="1" s="1"/>
  <c r="AG3" i="15" l="1"/>
  <c r="AH3" i="15"/>
  <c r="AM3" i="15"/>
  <c r="AN3" i="15"/>
  <c r="AO3" i="15"/>
  <c r="AP3" i="15"/>
  <c r="AQ3" i="15"/>
  <c r="AG4" i="15"/>
  <c r="AH4" i="15"/>
  <c r="AI4" i="15"/>
  <c r="AJ4" i="15"/>
  <c r="AK4" i="15"/>
  <c r="AL4" i="15"/>
  <c r="AM4" i="15"/>
  <c r="AN4" i="15"/>
  <c r="AO4" i="15"/>
  <c r="AP4" i="15"/>
  <c r="AQ4" i="15"/>
  <c r="AG5" i="15"/>
  <c r="AH5" i="15"/>
  <c r="AI5" i="15"/>
  <c r="AJ5" i="15"/>
  <c r="AK5" i="15"/>
  <c r="AL5" i="15"/>
  <c r="AM5" i="15"/>
  <c r="AN5" i="15"/>
  <c r="AO5" i="15"/>
  <c r="AP5" i="15"/>
  <c r="AQ5" i="15"/>
  <c r="AG6" i="15"/>
  <c r="AH6" i="15"/>
  <c r="AI6" i="15"/>
  <c r="AJ6" i="15"/>
  <c r="AK6" i="15"/>
  <c r="AL6" i="15"/>
  <c r="AM6" i="15"/>
  <c r="AN6" i="15"/>
  <c r="AO6" i="15"/>
  <c r="AP6" i="15"/>
  <c r="AQ6" i="15"/>
  <c r="AG7" i="15"/>
  <c r="AH7" i="15"/>
  <c r="AI7" i="15"/>
  <c r="AJ7" i="15"/>
  <c r="AK7" i="15"/>
  <c r="AL7" i="15"/>
  <c r="AM7" i="15"/>
  <c r="AN7" i="15"/>
  <c r="AO7" i="15"/>
  <c r="AP7" i="15"/>
  <c r="AQ7" i="15"/>
  <c r="AG8" i="15"/>
  <c r="AH8" i="15"/>
  <c r="AI8" i="15"/>
  <c r="AJ8" i="15"/>
  <c r="AK8" i="15"/>
  <c r="AL8" i="15"/>
  <c r="AM8" i="15"/>
  <c r="AN8" i="15"/>
  <c r="AO8" i="15"/>
  <c r="AP8" i="15"/>
  <c r="AQ8" i="15"/>
  <c r="AG9" i="15"/>
  <c r="AH9" i="15"/>
  <c r="AI9" i="15"/>
  <c r="AJ9" i="15"/>
  <c r="AK9" i="15"/>
  <c r="AL9" i="15"/>
  <c r="AG10" i="15"/>
  <c r="AH10" i="15"/>
  <c r="AI10" i="15"/>
  <c r="AJ10" i="15"/>
  <c r="AK10" i="15"/>
  <c r="AL10" i="15"/>
  <c r="AM10" i="15"/>
  <c r="AN10" i="15"/>
  <c r="AO10" i="15"/>
  <c r="AP10" i="15"/>
  <c r="AQ10" i="15"/>
  <c r="AG11" i="15"/>
  <c r="AH11" i="15"/>
  <c r="AI11" i="15"/>
  <c r="AJ11" i="15"/>
  <c r="AK11" i="15"/>
  <c r="AL11" i="15"/>
  <c r="AM11" i="15"/>
  <c r="AN11" i="15"/>
  <c r="AO11" i="15"/>
  <c r="AP11" i="15"/>
  <c r="AQ11" i="15"/>
  <c r="AG12" i="15"/>
  <c r="AH12" i="15"/>
  <c r="AI12" i="15"/>
  <c r="AJ12" i="15"/>
  <c r="AK12" i="15"/>
  <c r="AL12" i="15"/>
  <c r="AM12" i="15"/>
  <c r="AN12" i="15"/>
  <c r="AO12" i="15"/>
  <c r="AP12" i="15"/>
  <c r="AQ12" i="15"/>
  <c r="AG13" i="15"/>
  <c r="AH13" i="15"/>
  <c r="AI13" i="15"/>
  <c r="AJ13" i="15"/>
  <c r="AK13" i="15"/>
  <c r="AL13" i="15"/>
  <c r="AM13" i="15"/>
  <c r="AN13" i="15"/>
  <c r="AO13" i="15"/>
  <c r="AP13" i="15"/>
  <c r="AQ13" i="15"/>
  <c r="AG14" i="15"/>
  <c r="AH14" i="15"/>
  <c r="AI14" i="15"/>
  <c r="AJ14" i="15"/>
  <c r="AK14" i="15"/>
  <c r="AL14" i="15"/>
  <c r="AM14" i="15"/>
  <c r="AN14" i="15"/>
  <c r="AO14" i="15"/>
  <c r="AP14" i="15"/>
  <c r="AQ14" i="15"/>
  <c r="AG15" i="15"/>
  <c r="AH15" i="15"/>
  <c r="AI15" i="15"/>
  <c r="AJ15" i="15"/>
  <c r="AK15" i="15"/>
  <c r="AL15" i="15"/>
  <c r="AM15" i="15"/>
  <c r="AN15" i="15"/>
  <c r="AO15" i="15"/>
  <c r="AP15" i="15"/>
  <c r="AQ15" i="15"/>
  <c r="AG16" i="15"/>
  <c r="AH16" i="15"/>
  <c r="AI16" i="15"/>
  <c r="AJ16" i="15"/>
  <c r="AK16" i="15"/>
  <c r="AL16" i="15"/>
  <c r="AM16" i="15"/>
  <c r="AN16" i="15"/>
  <c r="AO16" i="15"/>
  <c r="AP16" i="15"/>
  <c r="AQ16" i="15"/>
  <c r="AG17" i="15"/>
  <c r="AH17" i="15"/>
  <c r="AI17" i="15"/>
  <c r="AJ17" i="15"/>
  <c r="AK17" i="15"/>
  <c r="AL17" i="15"/>
  <c r="AM17" i="15"/>
  <c r="AN17" i="15"/>
  <c r="AO17" i="15"/>
  <c r="AP17" i="15"/>
  <c r="AQ17" i="15"/>
  <c r="AG18" i="15"/>
  <c r="AH18" i="15"/>
  <c r="AI18" i="15"/>
  <c r="AJ18" i="15"/>
  <c r="AK18" i="15"/>
  <c r="AL18" i="15"/>
  <c r="AM18" i="15"/>
  <c r="AN18" i="15"/>
  <c r="AO18" i="15"/>
  <c r="AP18" i="15"/>
  <c r="AQ18" i="15"/>
  <c r="AF2" i="16"/>
  <c r="AG2" i="16"/>
  <c r="AG21" i="16" s="1"/>
  <c r="AL2" i="16"/>
  <c r="AL21" i="16" s="1"/>
  <c r="AM2" i="16"/>
  <c r="AM21" i="16" s="1"/>
  <c r="AN2" i="16"/>
  <c r="AN21" i="16" s="1"/>
  <c r="AO2" i="16"/>
  <c r="AO21" i="16" s="1"/>
  <c r="AP2" i="16"/>
  <c r="AP21" i="16" s="1"/>
  <c r="G1125" i="1"/>
  <c r="A1125" i="1" s="1"/>
  <c r="G1126" i="1"/>
  <c r="A1126" i="1" s="1"/>
  <c r="G1129" i="1"/>
  <c r="A1129" i="1" s="1"/>
  <c r="G1133" i="1"/>
  <c r="A1133" i="1" s="1"/>
  <c r="G1134" i="1"/>
  <c r="A1134" i="1" s="1"/>
  <c r="G1137" i="1"/>
  <c r="A1137" i="1" s="1"/>
  <c r="G1138" i="1"/>
  <c r="A1138" i="1" s="1"/>
  <c r="G1141" i="1"/>
  <c r="A1141" i="1" s="1"/>
  <c r="G1128" i="1"/>
  <c r="A1128" i="1" s="1"/>
  <c r="G1132" i="1"/>
  <c r="A1132" i="1" s="1"/>
  <c r="G1131" i="1"/>
  <c r="A1131" i="1" s="1"/>
  <c r="G1130" i="1"/>
  <c r="A1130" i="1" s="1"/>
  <c r="G1140" i="1"/>
  <c r="A1140" i="1" s="1"/>
  <c r="G1139" i="1"/>
  <c r="A1139" i="1" s="1"/>
  <c r="G1142" i="1"/>
  <c r="A1142" i="1" s="1"/>
  <c r="G1136" i="1"/>
  <c r="A1136" i="1" s="1"/>
  <c r="G1158" i="1"/>
  <c r="A1158" i="1" s="1"/>
  <c r="AM23" i="16" l="1"/>
  <c r="AL23" i="16"/>
  <c r="AN23" i="16"/>
  <c r="AP23" i="16"/>
  <c r="AF21" i="16"/>
  <c r="AF23" i="16" s="1"/>
  <c r="AO23" i="16"/>
  <c r="AG23" i="16"/>
  <c r="K8" i="6"/>
  <c r="G1124" i="1"/>
  <c r="A1124" i="1" s="1"/>
  <c r="G1123" i="1"/>
  <c r="A1123" i="1" s="1"/>
  <c r="G1122" i="1"/>
  <c r="A1122" i="1" s="1"/>
  <c r="G1127" i="1"/>
  <c r="A1127" i="1" s="1"/>
  <c r="G1135" i="1"/>
  <c r="A1135" i="1" s="1"/>
  <c r="G1115" i="1" l="1"/>
  <c r="A1115" i="1" s="1"/>
  <c r="G1117" i="1"/>
  <c r="A1117" i="1" s="1"/>
  <c r="G1119" i="1"/>
  <c r="A1119" i="1" s="1"/>
  <c r="G1120" i="1"/>
  <c r="A1120" i="1" s="1"/>
  <c r="G1118" i="1"/>
  <c r="A1118" i="1" s="1"/>
  <c r="G1121" i="1"/>
  <c r="A1121" i="1" s="1"/>
  <c r="G1087" i="1" l="1"/>
  <c r="A1087" i="1" s="1"/>
  <c r="G1089" i="1"/>
  <c r="A1089" i="1" s="1"/>
  <c r="G1088" i="1"/>
  <c r="A1088" i="1" s="1"/>
  <c r="G1090" i="1"/>
  <c r="A1090" i="1" s="1"/>
  <c r="G1092" i="1"/>
  <c r="A1092" i="1" s="1"/>
  <c r="G1099" i="1"/>
  <c r="A1099" i="1" s="1"/>
  <c r="G1098" i="1"/>
  <c r="A1098" i="1" s="1"/>
  <c r="G1097" i="1"/>
  <c r="A1097" i="1" s="1"/>
  <c r="G1096" i="1"/>
  <c r="A1096" i="1" s="1"/>
  <c r="G1101" i="1"/>
  <c r="A1101" i="1" s="1"/>
  <c r="G1100" i="1"/>
  <c r="A1100" i="1" s="1"/>
  <c r="G1102" i="1"/>
  <c r="A1102" i="1" s="1"/>
  <c r="G1106" i="1"/>
  <c r="A1106" i="1" s="1"/>
  <c r="G1107" i="1"/>
  <c r="A1107" i="1" s="1"/>
  <c r="G1111" i="1"/>
  <c r="A1111" i="1" s="1"/>
  <c r="G1113" i="1"/>
  <c r="A1113" i="1" s="1"/>
  <c r="G1112" i="1"/>
  <c r="A1112" i="1" s="1"/>
  <c r="G1114" i="1"/>
  <c r="A1114" i="1" s="1"/>
  <c r="G1091" i="1"/>
  <c r="A1091" i="1" s="1"/>
  <c r="G1094" i="1"/>
  <c r="A1094" i="1" s="1"/>
  <c r="G1093" i="1"/>
  <c r="A1093" i="1" s="1"/>
  <c r="G1105" i="1"/>
  <c r="A1105" i="1" s="1"/>
  <c r="G1104" i="1"/>
  <c r="A1104" i="1" s="1"/>
  <c r="G1103" i="1"/>
  <c r="A1103" i="1" s="1"/>
  <c r="G1108" i="1"/>
  <c r="A1108" i="1" s="1"/>
  <c r="G1116" i="1"/>
  <c r="A1116" i="1" s="1"/>
  <c r="G1109" i="1"/>
  <c r="A1109" i="1" s="1"/>
  <c r="G1095" i="1"/>
  <c r="A1095" i="1" s="1"/>
  <c r="G1110" i="1"/>
  <c r="A1110" i="1" s="1"/>
  <c r="G1069" i="1" l="1"/>
  <c r="A1069" i="1" s="1"/>
  <c r="G1074" i="1"/>
  <c r="A1074" i="1" s="1"/>
  <c r="G1075" i="1"/>
  <c r="A1075" i="1" s="1"/>
  <c r="G1071" i="1"/>
  <c r="A1071" i="1" s="1"/>
  <c r="G1078" i="1"/>
  <c r="A1078" i="1" s="1"/>
  <c r="G1076" i="1"/>
  <c r="A1076" i="1" s="1"/>
  <c r="G1079" i="1"/>
  <c r="A1079" i="1" s="1"/>
  <c r="G1080" i="1"/>
  <c r="A1080" i="1" s="1"/>
  <c r="G1084" i="1"/>
  <c r="A1084" i="1" s="1"/>
  <c r="G1085" i="1"/>
  <c r="A1085" i="1" s="1"/>
  <c r="G1086" i="1"/>
  <c r="A1086" i="1" s="1"/>
  <c r="G1070" i="1"/>
  <c r="A1070" i="1" s="1"/>
  <c r="G1072" i="1"/>
  <c r="A1072" i="1" s="1"/>
  <c r="G1077" i="1"/>
  <c r="A1077" i="1" s="1"/>
  <c r="G1081" i="1"/>
  <c r="A1081" i="1" s="1"/>
  <c r="G1073" i="1"/>
  <c r="A1073" i="1" s="1"/>
  <c r="G1082" i="1"/>
  <c r="A1082" i="1" s="1"/>
  <c r="G1083" i="1"/>
  <c r="A1083" i="1" s="1"/>
  <c r="G1065" i="1" l="1"/>
  <c r="A1065" i="1" s="1"/>
  <c r="G1066" i="1"/>
  <c r="A1066" i="1" s="1"/>
  <c r="G1067" i="1"/>
  <c r="A1067" i="1" s="1"/>
  <c r="G1068" i="1"/>
  <c r="A1068" i="1" s="1"/>
  <c r="G1063" i="1" l="1"/>
  <c r="A1063" i="1" s="1"/>
  <c r="G1064" i="1"/>
  <c r="A1064" i="1" s="1"/>
  <c r="G1050" i="1" l="1"/>
  <c r="A1050" i="1" s="1"/>
  <c r="G1051" i="1"/>
  <c r="A1051" i="1" s="1"/>
  <c r="G1016" i="1"/>
  <c r="A1016" i="1" s="1"/>
  <c r="G1015" i="1"/>
  <c r="A1015" i="1" s="1"/>
  <c r="G1045" i="1"/>
  <c r="A1045" i="1" s="1"/>
  <c r="G1047" i="1"/>
  <c r="A1047" i="1" s="1"/>
  <c r="G1057" i="1"/>
  <c r="A1057" i="1" s="1"/>
  <c r="G1054" i="1"/>
  <c r="A1054" i="1" s="1"/>
  <c r="G1053" i="1"/>
  <c r="A1053" i="1" s="1"/>
  <c r="G1052" i="1"/>
  <c r="A1052" i="1" s="1"/>
  <c r="G1056" i="1"/>
  <c r="A1056" i="1" s="1"/>
  <c r="G1055" i="1"/>
  <c r="A1055" i="1" s="1"/>
  <c r="G1060" i="1"/>
  <c r="A1060" i="1" s="1"/>
  <c r="G1059" i="1"/>
  <c r="A1059" i="1" s="1"/>
  <c r="G1058" i="1"/>
  <c r="A1058" i="1" s="1"/>
  <c r="G1062" i="1"/>
  <c r="A1062" i="1" s="1"/>
  <c r="G1061" i="1"/>
  <c r="A1061" i="1" s="1"/>
  <c r="G1036" i="1" l="1"/>
  <c r="A1036" i="1" s="1"/>
  <c r="G1040" i="1"/>
  <c r="A1040" i="1" s="1"/>
  <c r="G1044" i="1"/>
  <c r="A1044" i="1" s="1"/>
  <c r="G1048" i="1"/>
  <c r="A1048" i="1" s="1"/>
  <c r="G1049" i="1"/>
  <c r="A1049" i="1" s="1"/>
  <c r="G1039" i="1"/>
  <c r="A1039" i="1" s="1"/>
  <c r="G1038" i="1"/>
  <c r="A1038" i="1" s="1"/>
  <c r="G1037" i="1"/>
  <c r="A1037" i="1" s="1"/>
  <c r="G1042" i="1"/>
  <c r="A1042" i="1" s="1"/>
  <c r="G1041" i="1"/>
  <c r="A1041" i="1" s="1"/>
  <c r="G1046" i="1"/>
  <c r="A1046" i="1" s="1"/>
  <c r="G1034" i="1"/>
  <c r="A1034" i="1" s="1"/>
  <c r="G1033" i="1"/>
  <c r="A1033" i="1" s="1"/>
  <c r="G1032" i="1"/>
  <c r="A1032" i="1" s="1"/>
  <c r="G1043" i="1"/>
  <c r="A1043" i="1" s="1"/>
  <c r="G1035" i="1" l="1"/>
  <c r="A1035" i="1" s="1"/>
  <c r="G1020" i="1" l="1"/>
  <c r="A1020" i="1" s="1"/>
  <c r="G1021" i="1"/>
  <c r="A1021" i="1" s="1"/>
  <c r="G1027" i="1"/>
  <c r="A1027" i="1" s="1"/>
  <c r="G1028" i="1"/>
  <c r="A1028" i="1" s="1"/>
  <c r="G1025" i="1"/>
  <c r="A1025" i="1" s="1"/>
  <c r="G1026" i="1"/>
  <c r="A1026" i="1" s="1"/>
  <c r="G1031" i="1"/>
  <c r="A1031" i="1" s="1"/>
  <c r="G1030" i="1"/>
  <c r="A1030" i="1" s="1"/>
  <c r="G1029" i="1"/>
  <c r="A1029" i="1" s="1"/>
  <c r="G1013" i="1" l="1"/>
  <c r="A1013" i="1" s="1"/>
  <c r="G1014" i="1"/>
  <c r="A1014" i="1" s="1"/>
  <c r="G1019" i="1"/>
  <c r="A1019" i="1" s="1"/>
  <c r="G1018" i="1"/>
  <c r="A1018" i="1" s="1"/>
  <c r="G1017" i="1"/>
  <c r="A1017" i="1" s="1"/>
  <c r="G1024" i="1"/>
  <c r="A1024" i="1" s="1"/>
  <c r="G1022" i="1"/>
  <c r="A1022" i="1" s="1"/>
  <c r="G1023" i="1"/>
  <c r="A1023" i="1" s="1"/>
  <c r="G1011" i="1" l="1"/>
  <c r="A1011" i="1" s="1"/>
  <c r="G1012" i="1"/>
  <c r="A1012" i="1" s="1"/>
  <c r="G1001" i="1"/>
  <c r="A1001" i="1" s="1"/>
  <c r="G1003" i="1"/>
  <c r="A1003" i="1" s="1"/>
  <c r="G1004" i="1"/>
  <c r="A1004" i="1" s="1"/>
  <c r="G1008" i="1"/>
  <c r="A1008" i="1" s="1"/>
  <c r="G1000" i="1"/>
  <c r="A1000" i="1" s="1"/>
  <c r="G999" i="1"/>
  <c r="A999" i="1" s="1"/>
  <c r="G998" i="1"/>
  <c r="A998" i="1" s="1"/>
  <c r="G1002" i="1"/>
  <c r="A1002" i="1" s="1"/>
  <c r="G1006" i="1"/>
  <c r="A1006" i="1" s="1"/>
  <c r="G1007" i="1"/>
  <c r="A1007" i="1" s="1"/>
  <c r="G1010" i="1"/>
  <c r="A1010" i="1" s="1"/>
  <c r="G1009" i="1"/>
  <c r="A1009" i="1" s="1"/>
  <c r="G1005" i="1" l="1"/>
  <c r="A1005" i="1" s="1"/>
  <c r="G997" i="1"/>
  <c r="A997" i="1" s="1"/>
  <c r="G991" i="1"/>
  <c r="A991" i="1" s="1"/>
  <c r="G990" i="1"/>
  <c r="A990" i="1" s="1"/>
  <c r="G992" i="1"/>
  <c r="A992" i="1" s="1"/>
  <c r="G994" i="1"/>
  <c r="A994" i="1" s="1"/>
  <c r="G978" i="1" l="1"/>
  <c r="A978" i="1" s="1"/>
  <c r="G979" i="1"/>
  <c r="A979" i="1" s="1"/>
  <c r="G980" i="1"/>
  <c r="A980" i="1" s="1"/>
  <c r="G981" i="1"/>
  <c r="A981" i="1" s="1"/>
  <c r="G984" i="1"/>
  <c r="A984" i="1" s="1"/>
  <c r="G983" i="1"/>
  <c r="A983" i="1" s="1"/>
  <c r="G982" i="1"/>
  <c r="A982" i="1" s="1"/>
  <c r="G987" i="1"/>
  <c r="A987" i="1" s="1"/>
  <c r="G986" i="1"/>
  <c r="A986" i="1" s="1"/>
  <c r="G988" i="1"/>
  <c r="A988" i="1" s="1"/>
  <c r="G989" i="1"/>
  <c r="A989" i="1" s="1"/>
  <c r="G996" i="1"/>
  <c r="A996" i="1" s="1"/>
  <c r="G995" i="1"/>
  <c r="A995" i="1" s="1"/>
  <c r="G977" i="1"/>
  <c r="A977" i="1" s="1"/>
  <c r="G985" i="1"/>
  <c r="A985" i="1" s="1"/>
  <c r="G993" i="1"/>
  <c r="A993" i="1" s="1"/>
  <c r="K2" i="6" l="1"/>
  <c r="I2" i="6"/>
  <c r="G974" i="1" l="1"/>
  <c r="A974" i="1" s="1"/>
  <c r="G976" i="1"/>
  <c r="A976" i="1" s="1"/>
  <c r="G975" i="1"/>
  <c r="A975" i="1" s="1"/>
  <c r="G973" i="1" l="1"/>
  <c r="A973" i="1" s="1"/>
  <c r="G969" i="1" l="1"/>
  <c r="A969" i="1" s="1"/>
  <c r="G971" i="1"/>
  <c r="A971" i="1" s="1"/>
  <c r="G970" i="1"/>
  <c r="A970" i="1" s="1"/>
  <c r="G972" i="1"/>
  <c r="A972" i="1" s="1"/>
  <c r="G961" i="1" l="1"/>
  <c r="A961" i="1" s="1"/>
  <c r="G967" i="1"/>
  <c r="A967" i="1" s="1"/>
  <c r="G966" i="1"/>
  <c r="A966" i="1" s="1"/>
  <c r="G965" i="1"/>
  <c r="A965" i="1" s="1"/>
  <c r="G968" i="1"/>
  <c r="A968" i="1" s="1"/>
  <c r="G955" i="1" l="1"/>
  <c r="A955" i="1" s="1"/>
  <c r="G964" i="1"/>
  <c r="A964" i="1" s="1"/>
  <c r="G962" i="1"/>
  <c r="A962" i="1" s="1"/>
  <c r="G963" i="1"/>
  <c r="A963" i="1" s="1"/>
  <c r="G959" i="1" l="1"/>
  <c r="A959" i="1" s="1"/>
  <c r="G960" i="1"/>
  <c r="A960" i="1" s="1"/>
  <c r="G957" i="1"/>
  <c r="A957" i="1" s="1"/>
  <c r="G954" i="1"/>
  <c r="A954" i="1" s="1"/>
  <c r="G953" i="1"/>
  <c r="A953" i="1" s="1"/>
  <c r="G958" i="1"/>
  <c r="A958" i="1" s="1"/>
  <c r="G950" i="1" l="1"/>
  <c r="A950" i="1" s="1"/>
  <c r="G951" i="1"/>
  <c r="A951" i="1" s="1"/>
  <c r="G952" i="1"/>
  <c r="A952" i="1" s="1"/>
  <c r="G956" i="1"/>
  <c r="A956" i="1" s="1"/>
  <c r="G942" i="1" l="1"/>
  <c r="A942" i="1" s="1"/>
  <c r="G943" i="1"/>
  <c r="A943" i="1" s="1"/>
  <c r="G949" i="1"/>
  <c r="A949" i="1" s="1"/>
  <c r="G948" i="1"/>
  <c r="A948" i="1" s="1"/>
  <c r="G947" i="1"/>
  <c r="A947" i="1" s="1"/>
  <c r="G946" i="1"/>
  <c r="A946" i="1" s="1"/>
  <c r="G945" i="1"/>
  <c r="A945" i="1" s="1"/>
  <c r="G944" i="1"/>
  <c r="A944" i="1" s="1"/>
  <c r="G932" i="1" l="1"/>
  <c r="A932" i="1" s="1"/>
  <c r="G941" i="1" l="1"/>
  <c r="A941" i="1" s="1"/>
  <c r="G940" i="1"/>
  <c r="A940" i="1" s="1"/>
  <c r="K12" i="6" l="1"/>
  <c r="K11" i="6"/>
  <c r="K9" i="6"/>
  <c r="K3" i="6"/>
  <c r="G939" i="1"/>
  <c r="A939" i="1" s="1"/>
  <c r="G938" i="1" l="1"/>
  <c r="A938" i="1" s="1"/>
  <c r="G909" i="1" l="1"/>
  <c r="A909" i="1" s="1"/>
  <c r="G906" i="1"/>
  <c r="A906" i="1" s="1"/>
  <c r="G908" i="1"/>
  <c r="A908" i="1" s="1"/>
  <c r="G907" i="1"/>
  <c r="A907" i="1" s="1"/>
  <c r="G912" i="1"/>
  <c r="A912" i="1" s="1"/>
  <c r="G915" i="1"/>
  <c r="A915" i="1" s="1"/>
  <c r="G914" i="1"/>
  <c r="A914" i="1" s="1"/>
  <c r="G917" i="1"/>
  <c r="A917" i="1" s="1"/>
  <c r="G919" i="1"/>
  <c r="A919" i="1" s="1"/>
  <c r="G926" i="1"/>
  <c r="A926" i="1" s="1"/>
  <c r="G924" i="1"/>
  <c r="A924" i="1" s="1"/>
  <c r="G923" i="1"/>
  <c r="A923" i="1" s="1"/>
  <c r="G925" i="1"/>
  <c r="A925" i="1" s="1"/>
  <c r="G928" i="1"/>
  <c r="A928" i="1" s="1"/>
  <c r="G931" i="1"/>
  <c r="A931" i="1" s="1"/>
  <c r="G935" i="1"/>
  <c r="A935" i="1" s="1"/>
  <c r="G910" i="1"/>
  <c r="A910" i="1" s="1"/>
  <c r="G913" i="1"/>
  <c r="A913" i="1" s="1"/>
  <c r="G916" i="1"/>
  <c r="A916" i="1" s="1"/>
  <c r="G918" i="1"/>
  <c r="A918" i="1" s="1"/>
  <c r="G922" i="1"/>
  <c r="A922" i="1" s="1"/>
  <c r="G921" i="1"/>
  <c r="A921" i="1" s="1"/>
  <c r="G927" i="1"/>
  <c r="A927" i="1" s="1"/>
  <c r="G930" i="1"/>
  <c r="A930" i="1" s="1"/>
  <c r="G933" i="1"/>
  <c r="A933" i="1" s="1"/>
  <c r="G911" i="1"/>
  <c r="A911" i="1" s="1"/>
  <c r="G929" i="1"/>
  <c r="A929" i="1" s="1"/>
  <c r="G937" i="1"/>
  <c r="A937" i="1" s="1"/>
  <c r="G934" i="1"/>
  <c r="A934" i="1" s="1"/>
  <c r="G936" i="1"/>
  <c r="A936" i="1" s="1"/>
  <c r="G920" i="1" l="1"/>
  <c r="A920" i="1" s="1"/>
  <c r="G900" i="1" l="1"/>
  <c r="A900" i="1" s="1"/>
  <c r="G905" i="1"/>
  <c r="A905" i="1" s="1"/>
  <c r="G904" i="1"/>
  <c r="A904" i="1" s="1"/>
  <c r="G903" i="1"/>
  <c r="A903" i="1" s="1"/>
  <c r="G896" i="1" l="1"/>
  <c r="A896" i="1" s="1"/>
  <c r="G895" i="1"/>
  <c r="A895" i="1" s="1"/>
  <c r="G894" i="1"/>
  <c r="A894" i="1" s="1"/>
  <c r="G899" i="1"/>
  <c r="A899" i="1" s="1"/>
  <c r="G893" i="1"/>
  <c r="A893" i="1" s="1"/>
  <c r="G898" i="1"/>
  <c r="A898" i="1" s="1"/>
  <c r="G897" i="1"/>
  <c r="A897" i="1" s="1"/>
  <c r="G901" i="1"/>
  <c r="A901" i="1" s="1"/>
  <c r="G902" i="1"/>
  <c r="A902" i="1" s="1"/>
  <c r="G892" i="1" l="1"/>
  <c r="A892" i="1" s="1"/>
  <c r="G890" i="1"/>
  <c r="A890" i="1" s="1"/>
  <c r="W18" i="15"/>
  <c r="W17" i="15"/>
  <c r="W16" i="15"/>
  <c r="W15" i="15"/>
  <c r="W14" i="15"/>
  <c r="W13" i="15"/>
  <c r="W12" i="15"/>
  <c r="W11" i="15"/>
  <c r="W10" i="15"/>
  <c r="W9" i="15"/>
  <c r="W8" i="15"/>
  <c r="W7" i="15"/>
  <c r="W6" i="15"/>
  <c r="W5" i="15"/>
  <c r="W4" i="15"/>
  <c r="W3" i="15"/>
  <c r="G884" i="1"/>
  <c r="A884" i="1" s="1"/>
  <c r="G883" i="1"/>
  <c r="A883" i="1" s="1"/>
  <c r="G891" i="1"/>
  <c r="A891" i="1" s="1"/>
  <c r="G888" i="1"/>
  <c r="A888" i="1" s="1"/>
  <c r="G887" i="1"/>
  <c r="A887" i="1" s="1"/>
  <c r="G889" i="1"/>
  <c r="A889" i="1" s="1"/>
  <c r="G886" i="1"/>
  <c r="A886" i="1" s="1"/>
  <c r="G885" i="1"/>
  <c r="A885" i="1" s="1"/>
  <c r="G873" i="1" l="1"/>
  <c r="A873" i="1" s="1"/>
  <c r="G872" i="1"/>
  <c r="A872" i="1" s="1"/>
  <c r="G871" i="1"/>
  <c r="A871" i="1" s="1"/>
  <c r="G877" i="1"/>
  <c r="A877" i="1" s="1"/>
  <c r="G876" i="1"/>
  <c r="A876" i="1" s="1"/>
  <c r="G874" i="1"/>
  <c r="A874" i="1" s="1"/>
  <c r="G878" i="1"/>
  <c r="A878" i="1" s="1"/>
  <c r="G881" i="1"/>
  <c r="A881" i="1" s="1"/>
  <c r="G868" i="1"/>
  <c r="A868" i="1" s="1"/>
  <c r="G870" i="1"/>
  <c r="A870" i="1" s="1"/>
  <c r="G869" i="1"/>
  <c r="A869" i="1" s="1"/>
  <c r="G875" i="1"/>
  <c r="A875" i="1" s="1"/>
  <c r="G879" i="1"/>
  <c r="A879" i="1" s="1"/>
  <c r="G880" i="1"/>
  <c r="A880" i="1" s="1"/>
  <c r="G882" i="1"/>
  <c r="A882" i="1" s="1"/>
  <c r="G821" i="1" l="1"/>
  <c r="A821" i="1" s="1"/>
  <c r="G842" i="1"/>
  <c r="A842" i="1" s="1"/>
  <c r="G843" i="1"/>
  <c r="A843" i="1" s="1"/>
  <c r="G847" i="1"/>
  <c r="A847" i="1" s="1"/>
  <c r="G845" i="1"/>
  <c r="A845" i="1" s="1"/>
  <c r="G844" i="1"/>
  <c r="A844" i="1" s="1"/>
  <c r="G856" i="1"/>
  <c r="A856" i="1" s="1"/>
  <c r="G857" i="1"/>
  <c r="A857" i="1" s="1"/>
  <c r="G860" i="1"/>
  <c r="A860" i="1" s="1"/>
  <c r="G859" i="1"/>
  <c r="A859" i="1" s="1"/>
  <c r="G863" i="1"/>
  <c r="A863" i="1" s="1"/>
  <c r="G861" i="1"/>
  <c r="A861" i="1" s="1"/>
  <c r="G865" i="1"/>
  <c r="A865" i="1" s="1"/>
  <c r="G867" i="1"/>
  <c r="A867" i="1" s="1"/>
  <c r="G852" i="1"/>
  <c r="A852" i="1" s="1"/>
  <c r="G855" i="1"/>
  <c r="A855" i="1" s="1"/>
  <c r="G853" i="1"/>
  <c r="A853" i="1" s="1"/>
  <c r="G854" i="1"/>
  <c r="A854" i="1" s="1"/>
  <c r="G858" i="1"/>
  <c r="A858" i="1" s="1"/>
  <c r="G862" i="1"/>
  <c r="A862" i="1" s="1"/>
  <c r="G864" i="1"/>
  <c r="A864" i="1" s="1"/>
  <c r="G866" i="1"/>
  <c r="A866" i="1" s="1"/>
  <c r="G850" i="1"/>
  <c r="A850" i="1" s="1"/>
  <c r="G849" i="1"/>
  <c r="A849" i="1" s="1"/>
  <c r="G848" i="1"/>
  <c r="A848" i="1" s="1"/>
  <c r="G851" i="1"/>
  <c r="A851" i="1" s="1"/>
  <c r="G838" i="1" l="1"/>
  <c r="A838" i="1" s="1"/>
  <c r="G837" i="1"/>
  <c r="A837" i="1" s="1"/>
  <c r="G841" i="1"/>
  <c r="A841" i="1" s="1"/>
  <c r="G846" i="1"/>
  <c r="A846" i="1" s="1"/>
  <c r="G829" i="1" l="1"/>
  <c r="A829" i="1" s="1"/>
  <c r="G830" i="1"/>
  <c r="A830" i="1" s="1"/>
  <c r="G835" i="1"/>
  <c r="A835" i="1" s="1"/>
  <c r="G836" i="1"/>
  <c r="A836" i="1" s="1"/>
  <c r="G834" i="1"/>
  <c r="A834" i="1" s="1"/>
  <c r="G828" i="1"/>
  <c r="A828" i="1" s="1"/>
  <c r="G832" i="1"/>
  <c r="A832" i="1" s="1"/>
  <c r="G833" i="1"/>
  <c r="A833" i="1" s="1"/>
  <c r="G826" i="1"/>
  <c r="A826" i="1" s="1"/>
  <c r="G831" i="1"/>
  <c r="A831" i="1" s="1"/>
  <c r="G839" i="1"/>
  <c r="A839" i="1" s="1"/>
  <c r="G840" i="1"/>
  <c r="A840" i="1" s="1"/>
  <c r="G825" i="1" l="1"/>
  <c r="A825" i="1" s="1"/>
  <c r="G827" i="1"/>
  <c r="A827" i="1" s="1"/>
  <c r="G823" i="1" l="1"/>
  <c r="A823" i="1" s="1"/>
  <c r="G810" i="1"/>
  <c r="A810" i="1" s="1"/>
  <c r="G815" i="1"/>
  <c r="A815" i="1" s="1"/>
  <c r="G814" i="1"/>
  <c r="A814" i="1" s="1"/>
  <c r="G816" i="1"/>
  <c r="A816" i="1" s="1"/>
  <c r="G818" i="1"/>
  <c r="A818" i="1" s="1"/>
  <c r="G817" i="1"/>
  <c r="A817" i="1" s="1"/>
  <c r="G819" i="1"/>
  <c r="A819" i="1" s="1"/>
  <c r="G820" i="1"/>
  <c r="A820" i="1" s="1"/>
  <c r="G822" i="1"/>
  <c r="A822" i="1" s="1"/>
  <c r="G802" i="1"/>
  <c r="A802" i="1" s="1"/>
  <c r="G812" i="1"/>
  <c r="A812" i="1" s="1"/>
  <c r="G813" i="1"/>
  <c r="A813" i="1" s="1"/>
  <c r="G811" i="1"/>
  <c r="A811" i="1" s="1"/>
  <c r="G824" i="1"/>
  <c r="A824" i="1" s="1"/>
  <c r="G808" i="1" l="1"/>
  <c r="A808" i="1" s="1"/>
  <c r="G809" i="1"/>
  <c r="A809" i="1" s="1"/>
  <c r="AB3" i="15" l="1"/>
  <c r="AC3" i="15"/>
  <c r="AD3" i="15"/>
  <c r="AE3" i="15"/>
  <c r="AF3" i="15"/>
  <c r="AB4" i="15"/>
  <c r="AC4" i="15"/>
  <c r="AD4" i="15"/>
  <c r="AE4" i="15"/>
  <c r="AF4" i="15"/>
  <c r="AB5" i="15"/>
  <c r="AC5" i="15"/>
  <c r="AD5" i="15"/>
  <c r="AE5" i="15"/>
  <c r="AF5" i="15"/>
  <c r="AB6" i="15"/>
  <c r="AC6" i="15"/>
  <c r="AD6" i="15"/>
  <c r="AE6" i="15"/>
  <c r="AF6" i="15"/>
  <c r="AB7" i="15"/>
  <c r="AC7" i="15"/>
  <c r="AD7" i="15"/>
  <c r="AE7" i="15"/>
  <c r="AF7" i="15"/>
  <c r="AB8" i="15"/>
  <c r="AC8" i="15"/>
  <c r="AD8" i="15"/>
  <c r="AE8" i="15"/>
  <c r="AF8" i="15"/>
  <c r="AB9" i="15"/>
  <c r="AC9" i="15"/>
  <c r="AD9" i="15"/>
  <c r="AE9" i="15"/>
  <c r="AF9" i="15"/>
  <c r="AB10" i="15"/>
  <c r="AC10" i="15"/>
  <c r="AD10" i="15"/>
  <c r="AE10" i="15"/>
  <c r="AF10" i="15"/>
  <c r="AB11" i="15"/>
  <c r="AC11" i="15"/>
  <c r="AD11" i="15"/>
  <c r="AE11" i="15"/>
  <c r="AF11" i="15"/>
  <c r="AB12" i="15"/>
  <c r="AC12" i="15"/>
  <c r="AD12" i="15"/>
  <c r="AE12" i="15"/>
  <c r="AF12" i="15"/>
  <c r="AB13" i="15"/>
  <c r="AC13" i="15"/>
  <c r="AD13" i="15"/>
  <c r="AE13" i="15"/>
  <c r="AF13" i="15"/>
  <c r="AB14" i="15"/>
  <c r="AC14" i="15"/>
  <c r="AD14" i="15"/>
  <c r="AE14" i="15"/>
  <c r="AF14" i="15"/>
  <c r="AB15" i="15"/>
  <c r="AC15" i="15"/>
  <c r="AD15" i="15"/>
  <c r="AE15" i="15"/>
  <c r="AF15" i="15"/>
  <c r="AB16" i="15"/>
  <c r="AC16" i="15"/>
  <c r="AD16" i="15"/>
  <c r="AE16" i="15"/>
  <c r="AF16" i="15"/>
  <c r="AB17" i="15"/>
  <c r="AC17" i="15"/>
  <c r="AD17" i="15"/>
  <c r="AE17" i="15"/>
  <c r="AF17" i="15"/>
  <c r="AB18" i="15"/>
  <c r="AC18" i="15"/>
  <c r="AD18" i="15"/>
  <c r="AE18" i="15"/>
  <c r="AF18" i="15"/>
  <c r="AA2" i="16"/>
  <c r="AB2" i="16"/>
  <c r="AB21" i="16" s="1"/>
  <c r="AB23" i="16" s="1"/>
  <c r="AC2" i="16"/>
  <c r="AC21" i="16" s="1"/>
  <c r="AC23" i="16" s="1"/>
  <c r="AD2" i="16"/>
  <c r="AE2" i="16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D21" i="16" l="1"/>
  <c r="AD23" i="16" s="1"/>
  <c r="AE21" i="16"/>
  <c r="AE23" i="16" s="1"/>
  <c r="AA21" i="16"/>
  <c r="AA23" i="16" s="1"/>
  <c r="K20" i="11"/>
  <c r="O20" i="11"/>
  <c r="Q20" i="11" s="1"/>
  <c r="R20" i="11" s="1"/>
  <c r="N20" i="11"/>
  <c r="S20" i="11" l="1"/>
  <c r="G805" i="1"/>
  <c r="A805" i="1" s="1"/>
  <c r="G806" i="1"/>
  <c r="A806" i="1" s="1"/>
  <c r="G801" i="1"/>
  <c r="A801" i="1" s="1"/>
  <c r="G800" i="1"/>
  <c r="A800" i="1" s="1"/>
  <c r="G804" i="1"/>
  <c r="A804" i="1" s="1"/>
  <c r="G803" i="1"/>
  <c r="A803" i="1" s="1"/>
  <c r="G798" i="1" l="1"/>
  <c r="A798" i="1" s="1"/>
  <c r="G799" i="1"/>
  <c r="A799" i="1" s="1"/>
  <c r="G796" i="1"/>
  <c r="A796" i="1" s="1"/>
  <c r="G797" i="1"/>
  <c r="A797" i="1" s="1"/>
  <c r="G795" i="1"/>
  <c r="A795" i="1" s="1"/>
  <c r="G807" i="1"/>
  <c r="A807" i="1" s="1"/>
  <c r="G793" i="1" l="1"/>
  <c r="A793" i="1" s="1"/>
  <c r="G794" i="1"/>
  <c r="A794" i="1" s="1"/>
  <c r="G783" i="1"/>
  <c r="A783" i="1" s="1"/>
  <c r="G790" i="1"/>
  <c r="A790" i="1" s="1"/>
  <c r="G789" i="1"/>
  <c r="A789" i="1" s="1"/>
  <c r="G791" i="1"/>
  <c r="A791" i="1" s="1"/>
  <c r="G792" i="1"/>
  <c r="A792" i="1" s="1"/>
  <c r="G784" i="1" l="1"/>
  <c r="A784" i="1" s="1"/>
  <c r="G785" i="1"/>
  <c r="A785" i="1" s="1"/>
  <c r="G782" i="1" l="1"/>
  <c r="A782" i="1" s="1"/>
  <c r="G788" i="1"/>
  <c r="A788" i="1" s="1"/>
  <c r="G787" i="1"/>
  <c r="A787" i="1" s="1"/>
  <c r="G786" i="1"/>
  <c r="A786" i="1" s="1"/>
  <c r="G772" i="1" l="1"/>
  <c r="A772" i="1" s="1"/>
  <c r="G780" i="1"/>
  <c r="A780" i="1" s="1"/>
  <c r="G779" i="1"/>
  <c r="A779" i="1" s="1"/>
  <c r="G761" i="1"/>
  <c r="A761" i="1" s="1"/>
  <c r="G767" i="1"/>
  <c r="A767" i="1" s="1"/>
  <c r="G765" i="1"/>
  <c r="A765" i="1" s="1"/>
  <c r="G768" i="1"/>
  <c r="A768" i="1" s="1"/>
  <c r="G770" i="1"/>
  <c r="A770" i="1" s="1"/>
  <c r="G771" i="1"/>
  <c r="A771" i="1" s="1"/>
  <c r="G775" i="1"/>
  <c r="A775" i="1" s="1"/>
  <c r="G781" i="1"/>
  <c r="A781" i="1" s="1"/>
  <c r="G766" i="1"/>
  <c r="A766" i="1" s="1"/>
  <c r="G773" i="1"/>
  <c r="A773" i="1" s="1"/>
  <c r="G774" i="1"/>
  <c r="A774" i="1" s="1"/>
  <c r="G776" i="1"/>
  <c r="A776" i="1" s="1"/>
  <c r="G777" i="1"/>
  <c r="A777" i="1" s="1"/>
  <c r="G769" i="1" l="1"/>
  <c r="A769" i="1" s="1"/>
  <c r="G762" i="1" l="1"/>
  <c r="A762" i="1" s="1"/>
  <c r="G764" i="1" l="1"/>
  <c r="A764" i="1" s="1"/>
  <c r="G742" i="1" l="1"/>
  <c r="A742" i="1" s="1"/>
  <c r="G743" i="1"/>
  <c r="A743" i="1" s="1"/>
  <c r="G753" i="1"/>
  <c r="A753" i="1" s="1"/>
  <c r="G755" i="1"/>
  <c r="A755" i="1" s="1"/>
  <c r="G760" i="1"/>
  <c r="A760" i="1" s="1"/>
  <c r="G759" i="1"/>
  <c r="A759" i="1" s="1"/>
  <c r="G756" i="1"/>
  <c r="A756" i="1" s="1"/>
  <c r="G758" i="1"/>
  <c r="A758" i="1" s="1"/>
  <c r="C757" i="1"/>
  <c r="G744" i="1"/>
  <c r="A744" i="1" s="1"/>
  <c r="G752" i="1"/>
  <c r="A752" i="1" s="1"/>
  <c r="G757" i="1"/>
  <c r="G748" i="1"/>
  <c r="A748" i="1" s="1"/>
  <c r="G751" i="1"/>
  <c r="A751" i="1" s="1"/>
  <c r="G754" i="1"/>
  <c r="A754" i="1" s="1"/>
  <c r="G763" i="1"/>
  <c r="A763" i="1" s="1"/>
  <c r="N757" i="1" l="1"/>
  <c r="A757" i="1"/>
  <c r="G749" i="1"/>
  <c r="A749" i="1" s="1"/>
  <c r="G747" i="1"/>
  <c r="A747" i="1" s="1"/>
  <c r="G746" i="1"/>
  <c r="A746" i="1" s="1"/>
  <c r="G750" i="1"/>
  <c r="A750" i="1" s="1"/>
  <c r="G745" i="1"/>
  <c r="A745" i="1" s="1"/>
  <c r="G740" i="1" l="1"/>
  <c r="A740" i="1" s="1"/>
  <c r="G733" i="1"/>
  <c r="A733" i="1" s="1"/>
  <c r="G734" i="1"/>
  <c r="A734" i="1" s="1"/>
  <c r="G741" i="1"/>
  <c r="A741" i="1" s="1"/>
  <c r="G739" i="1"/>
  <c r="A739" i="1" s="1"/>
  <c r="G735" i="1"/>
  <c r="A735" i="1" s="1"/>
  <c r="G737" i="1"/>
  <c r="A737" i="1" s="1"/>
  <c r="G738" i="1"/>
  <c r="A738" i="1" s="1"/>
  <c r="G736" i="1"/>
  <c r="A736" i="1" s="1"/>
  <c r="G702" i="1" l="1"/>
  <c r="A702" i="1" s="1"/>
  <c r="G706" i="1"/>
  <c r="A706" i="1" s="1"/>
  <c r="G705" i="1"/>
  <c r="A705" i="1" s="1"/>
  <c r="G709" i="1"/>
  <c r="A709" i="1" s="1"/>
  <c r="G712" i="1"/>
  <c r="A712" i="1" s="1"/>
  <c r="G714" i="1"/>
  <c r="A714" i="1" s="1"/>
  <c r="G711" i="1"/>
  <c r="A711" i="1" s="1"/>
  <c r="G713" i="1"/>
  <c r="A713" i="1" s="1"/>
  <c r="G715" i="1"/>
  <c r="A715" i="1" s="1"/>
  <c r="G721" i="1"/>
  <c r="A721" i="1" s="1"/>
  <c r="G717" i="1"/>
  <c r="A717" i="1" s="1"/>
  <c r="G723" i="1"/>
  <c r="A723" i="1" s="1"/>
  <c r="G729" i="1"/>
  <c r="A729" i="1" s="1"/>
  <c r="G730" i="1"/>
  <c r="A730" i="1" s="1"/>
  <c r="G731" i="1"/>
  <c r="A731" i="1" s="1"/>
  <c r="G704" i="1"/>
  <c r="A704" i="1" s="1"/>
  <c r="G707" i="1"/>
  <c r="A707" i="1" s="1"/>
  <c r="G708" i="1"/>
  <c r="A708" i="1" s="1"/>
  <c r="G716" i="1"/>
  <c r="A716" i="1" s="1"/>
  <c r="G719" i="1"/>
  <c r="A719" i="1" s="1"/>
  <c r="G718" i="1"/>
  <c r="A718" i="1" s="1"/>
  <c r="G720" i="1"/>
  <c r="A720" i="1" s="1"/>
  <c r="G722" i="1"/>
  <c r="A722" i="1" s="1"/>
  <c r="G727" i="1"/>
  <c r="A727" i="1" s="1"/>
  <c r="G728" i="1"/>
  <c r="A728" i="1" s="1"/>
  <c r="G732" i="1"/>
  <c r="A732" i="1" s="1"/>
  <c r="G710" i="1"/>
  <c r="A710" i="1" s="1"/>
  <c r="G725" i="1"/>
  <c r="A725" i="1" s="1"/>
  <c r="G726" i="1"/>
  <c r="A726" i="1" s="1"/>
  <c r="G724" i="1"/>
  <c r="A724" i="1" s="1"/>
  <c r="G696" i="1" l="1"/>
  <c r="A696" i="1" s="1"/>
  <c r="G701" i="1"/>
  <c r="A701" i="1" s="1"/>
  <c r="G700" i="1"/>
  <c r="A700" i="1" s="1"/>
  <c r="G703" i="1"/>
  <c r="A703" i="1" s="1"/>
  <c r="A43" i="17" l="1"/>
  <c r="G697" i="1" l="1"/>
  <c r="A697" i="1" s="1"/>
  <c r="G695" i="1"/>
  <c r="A695" i="1" s="1"/>
  <c r="G694" i="1"/>
  <c r="A694" i="1" s="1"/>
  <c r="G690" i="1"/>
  <c r="A690" i="1" s="1"/>
  <c r="G683" i="1"/>
  <c r="A683" i="1" s="1"/>
  <c r="G678" i="1"/>
  <c r="A678" i="1" s="1"/>
  <c r="G682" i="1"/>
  <c r="A682" i="1" s="1"/>
  <c r="G693" i="1"/>
  <c r="A693" i="1" s="1"/>
  <c r="G698" i="1"/>
  <c r="A698" i="1" s="1"/>
  <c r="G699" i="1"/>
  <c r="A699" i="1" s="1"/>
  <c r="G692" i="1"/>
  <c r="A692" i="1" s="1"/>
  <c r="G691" i="1"/>
  <c r="A691" i="1" s="1"/>
  <c r="G689" i="1"/>
  <c r="A689" i="1" s="1"/>
  <c r="G687" i="1"/>
  <c r="A687" i="1" s="1"/>
  <c r="G688" i="1"/>
  <c r="A688" i="1" s="1"/>
  <c r="G684" i="1"/>
  <c r="A684" i="1" s="1"/>
  <c r="G686" i="1"/>
  <c r="A686" i="1" s="1"/>
  <c r="G685" i="1"/>
  <c r="A685" i="1" s="1"/>
  <c r="G680" i="1"/>
  <c r="A680" i="1" s="1"/>
  <c r="G679" i="1"/>
  <c r="A679" i="1" s="1"/>
  <c r="G681" i="1" l="1"/>
  <c r="A681" i="1" s="1"/>
  <c r="G677" i="1"/>
  <c r="A677" i="1" s="1"/>
  <c r="G676" i="1"/>
  <c r="A676" i="1" s="1"/>
  <c r="G675" i="1"/>
  <c r="A675" i="1" s="1"/>
  <c r="G674" i="1"/>
  <c r="A674" i="1" s="1"/>
  <c r="G673" i="1"/>
  <c r="A673" i="1" s="1"/>
  <c r="G672" i="1"/>
  <c r="A672" i="1" s="1"/>
  <c r="G671" i="1"/>
  <c r="A671" i="1" s="1"/>
  <c r="G670" i="1"/>
  <c r="A670" i="1" s="1"/>
  <c r="G669" i="1"/>
  <c r="A669" i="1" s="1"/>
  <c r="G668" i="1"/>
  <c r="A668" i="1" s="1"/>
  <c r="G666" i="1"/>
  <c r="A666" i="1" s="1"/>
  <c r="G665" i="1"/>
  <c r="A665" i="1" s="1"/>
  <c r="G664" i="1"/>
  <c r="A664" i="1" s="1"/>
  <c r="G663" i="1"/>
  <c r="A663" i="1" s="1"/>
  <c r="G660" i="1"/>
  <c r="A660" i="1" s="1"/>
  <c r="G662" i="1"/>
  <c r="A662" i="1" s="1"/>
  <c r="G661" i="1"/>
  <c r="A661" i="1" s="1"/>
  <c r="G667" i="1"/>
  <c r="A667" i="1" s="1"/>
  <c r="G652" i="1" l="1"/>
  <c r="A652" i="1" s="1"/>
  <c r="G657" i="1"/>
  <c r="A657" i="1" s="1"/>
  <c r="G656" i="1"/>
  <c r="A656" i="1" s="1"/>
  <c r="G655" i="1"/>
  <c r="A655" i="1" s="1"/>
  <c r="G650" i="1"/>
  <c r="A650" i="1" s="1"/>
  <c r="G648" i="1"/>
  <c r="A648" i="1" s="1"/>
  <c r="G649" i="1"/>
  <c r="A649" i="1" s="1"/>
  <c r="G653" i="1"/>
  <c r="A653" i="1" s="1"/>
  <c r="G654" i="1"/>
  <c r="A654" i="1" s="1"/>
  <c r="G658" i="1"/>
  <c r="A658" i="1" s="1"/>
  <c r="G659" i="1"/>
  <c r="A659" i="1" s="1"/>
  <c r="G637" i="1" l="1"/>
  <c r="A637" i="1" s="1"/>
  <c r="G636" i="1"/>
  <c r="A636" i="1" s="1"/>
  <c r="G635" i="1"/>
  <c r="A635" i="1" s="1"/>
  <c r="G643" i="1"/>
  <c r="A643" i="1" s="1"/>
  <c r="G641" i="1"/>
  <c r="A641" i="1" s="1"/>
  <c r="G642" i="1"/>
  <c r="A642" i="1" s="1"/>
  <c r="G645" i="1"/>
  <c r="A645" i="1" s="1"/>
  <c r="G646" i="1"/>
  <c r="A646" i="1" s="1"/>
  <c r="G651" i="1"/>
  <c r="A651" i="1" s="1"/>
  <c r="G634" i="1"/>
  <c r="A634" i="1" s="1"/>
  <c r="G640" i="1"/>
  <c r="A640" i="1" s="1"/>
  <c r="G639" i="1"/>
  <c r="A639" i="1" s="1"/>
  <c r="G633" i="1"/>
  <c r="A633" i="1" s="1"/>
  <c r="G638" i="1"/>
  <c r="A638" i="1" s="1"/>
  <c r="G644" i="1"/>
  <c r="A644" i="1" s="1"/>
  <c r="G647" i="1"/>
  <c r="A647" i="1" s="1"/>
  <c r="G631" i="1" l="1"/>
  <c r="A631" i="1" s="1"/>
  <c r="G627" i="1"/>
  <c r="A627" i="1" s="1"/>
  <c r="G623" i="1"/>
  <c r="A623" i="1" s="1"/>
  <c r="G622" i="1"/>
  <c r="A622" i="1" s="1"/>
  <c r="G614" i="1"/>
  <c r="A614" i="1" s="1"/>
  <c r="G613" i="1"/>
  <c r="A613" i="1" s="1"/>
  <c r="G619" i="1"/>
  <c r="A619" i="1" s="1"/>
  <c r="G617" i="1"/>
  <c r="A617" i="1" s="1"/>
  <c r="G618" i="1"/>
  <c r="A618" i="1" s="1"/>
  <c r="G621" i="1"/>
  <c r="A621" i="1" s="1"/>
  <c r="G624" i="1"/>
  <c r="A624" i="1" s="1"/>
  <c r="G625" i="1"/>
  <c r="A625" i="1" s="1"/>
  <c r="G626" i="1"/>
  <c r="A626" i="1" s="1"/>
  <c r="G628" i="1"/>
  <c r="A628" i="1" s="1"/>
  <c r="G630" i="1"/>
  <c r="A630" i="1" s="1"/>
  <c r="G629" i="1"/>
  <c r="A629" i="1" s="1"/>
  <c r="G632" i="1"/>
  <c r="A632" i="1" s="1"/>
  <c r="G598" i="1" l="1"/>
  <c r="A598" i="1" s="1"/>
  <c r="G602" i="1"/>
  <c r="A602" i="1" s="1"/>
  <c r="G600" i="1"/>
  <c r="A600" i="1" s="1"/>
  <c r="G601" i="1"/>
  <c r="A601" i="1" s="1"/>
  <c r="G604" i="1"/>
  <c r="A604" i="1" s="1"/>
  <c r="G605" i="1"/>
  <c r="A605" i="1" s="1"/>
  <c r="G611" i="1"/>
  <c r="A611" i="1" s="1"/>
  <c r="G615" i="1"/>
  <c r="A615" i="1" s="1"/>
  <c r="G616" i="1"/>
  <c r="A616" i="1" s="1"/>
  <c r="G603" i="1"/>
  <c r="A603" i="1" s="1"/>
  <c r="G608" i="1"/>
  <c r="A608" i="1" s="1"/>
  <c r="G606" i="1"/>
  <c r="A606" i="1" s="1"/>
  <c r="G607" i="1"/>
  <c r="A607" i="1" s="1"/>
  <c r="G610" i="1"/>
  <c r="A610" i="1" s="1"/>
  <c r="G609" i="1"/>
  <c r="A609" i="1" s="1"/>
  <c r="G620" i="1"/>
  <c r="A620" i="1" s="1"/>
  <c r="G612" i="1"/>
  <c r="A612" i="1" s="1"/>
  <c r="G596" i="1" l="1"/>
  <c r="A596" i="1" s="1"/>
  <c r="G599" i="1"/>
  <c r="A599" i="1" s="1"/>
  <c r="G597" i="1"/>
  <c r="A597" i="1" s="1"/>
  <c r="G584" i="1" l="1"/>
  <c r="A584" i="1" s="1"/>
  <c r="G585" i="1"/>
  <c r="A585" i="1" s="1"/>
  <c r="G589" i="1"/>
  <c r="A589" i="1" s="1"/>
  <c r="G590" i="1"/>
  <c r="A590" i="1" s="1"/>
  <c r="G593" i="1"/>
  <c r="A593" i="1" s="1"/>
  <c r="G583" i="1"/>
  <c r="A583" i="1" s="1"/>
  <c r="G586" i="1"/>
  <c r="A586" i="1" s="1"/>
  <c r="G588" i="1"/>
  <c r="A588" i="1" s="1"/>
  <c r="G587" i="1"/>
  <c r="A587" i="1" s="1"/>
  <c r="G591" i="1"/>
  <c r="A591" i="1" s="1"/>
  <c r="G592" i="1"/>
  <c r="A592" i="1" s="1"/>
  <c r="G594" i="1"/>
  <c r="A594" i="1" s="1"/>
  <c r="G595" i="1"/>
  <c r="A595" i="1" s="1"/>
  <c r="G578" i="1" l="1"/>
  <c r="A578" i="1" s="1"/>
  <c r="G580" i="1"/>
  <c r="A580" i="1" s="1"/>
  <c r="G579" i="1"/>
  <c r="A579" i="1" s="1"/>
  <c r="G577" i="1"/>
  <c r="A577" i="1" s="1"/>
  <c r="G581" i="1"/>
  <c r="A581" i="1" s="1"/>
  <c r="G582" i="1"/>
  <c r="A582" i="1" s="1"/>
  <c r="G576" i="1"/>
  <c r="A576" i="1" s="1"/>
  <c r="G573" i="1" l="1"/>
  <c r="A573" i="1" s="1"/>
  <c r="G568" i="1"/>
  <c r="A568" i="1" s="1"/>
  <c r="G567" i="1"/>
  <c r="A567" i="1" s="1"/>
  <c r="G565" i="1"/>
  <c r="A565" i="1" s="1"/>
  <c r="G570" i="1"/>
  <c r="A570" i="1" s="1"/>
  <c r="G569" i="1"/>
  <c r="A569" i="1" s="1"/>
  <c r="G571" i="1"/>
  <c r="A571" i="1" s="1"/>
  <c r="G563" i="1"/>
  <c r="A563" i="1" s="1"/>
  <c r="G562" i="1"/>
  <c r="A562" i="1" s="1"/>
  <c r="G560" i="1"/>
  <c r="A560" i="1" s="1"/>
  <c r="G552" i="1"/>
  <c r="A552" i="1" s="1"/>
  <c r="G553" i="1"/>
  <c r="A553" i="1" s="1"/>
  <c r="G575" i="1"/>
  <c r="A575" i="1" s="1"/>
  <c r="G574" i="1"/>
  <c r="A574" i="1" s="1"/>
  <c r="G572" i="1"/>
  <c r="A572" i="1" s="1"/>
  <c r="G566" i="1"/>
  <c r="A566" i="1" s="1"/>
  <c r="G561" i="1"/>
  <c r="A561" i="1" s="1"/>
  <c r="G559" i="1"/>
  <c r="A559" i="1" s="1"/>
  <c r="G557" i="1"/>
  <c r="A557" i="1" s="1"/>
  <c r="G555" i="1"/>
  <c r="A555" i="1" s="1"/>
  <c r="G554" i="1"/>
  <c r="A554" i="1" s="1"/>
  <c r="G556" i="1"/>
  <c r="A556" i="1" s="1"/>
  <c r="G550" i="1"/>
  <c r="A550" i="1" s="1"/>
  <c r="G551" i="1"/>
  <c r="A551" i="1" s="1"/>
  <c r="G558" i="1"/>
  <c r="A558" i="1" s="1"/>
  <c r="G564" i="1"/>
  <c r="A564" i="1" s="1"/>
  <c r="G539" i="1" l="1"/>
  <c r="A539" i="1" s="1"/>
  <c r="G546" i="1"/>
  <c r="A546" i="1" s="1"/>
  <c r="G544" i="1"/>
  <c r="A544" i="1" s="1"/>
  <c r="G542" i="1"/>
  <c r="A542" i="1" s="1"/>
  <c r="G545" i="1"/>
  <c r="A545" i="1" s="1"/>
  <c r="G541" i="1"/>
  <c r="A541" i="1" s="1"/>
  <c r="G543" i="1"/>
  <c r="A543" i="1" s="1"/>
  <c r="G540" i="1"/>
  <c r="A540" i="1" s="1"/>
  <c r="G548" i="1"/>
  <c r="A548" i="1" s="1"/>
  <c r="G547" i="1"/>
  <c r="A547" i="1" s="1"/>
  <c r="G549" i="1"/>
  <c r="A549" i="1" s="1"/>
  <c r="G538" i="1" l="1"/>
  <c r="A538" i="1" s="1"/>
  <c r="G537" i="1"/>
  <c r="A537" i="1" s="1"/>
  <c r="G536" i="1"/>
  <c r="A536" i="1" s="1"/>
  <c r="G535" i="1" l="1"/>
  <c r="A535" i="1" s="1"/>
  <c r="G534" i="1"/>
  <c r="A534" i="1" s="1"/>
  <c r="G533" i="1"/>
  <c r="A533" i="1" s="1"/>
  <c r="G532" i="1"/>
  <c r="A532" i="1" s="1"/>
  <c r="G524" i="1" l="1"/>
  <c r="A524" i="1" s="1"/>
  <c r="G529" i="1" l="1"/>
  <c r="A529" i="1" s="1"/>
  <c r="G530" i="1"/>
  <c r="A530" i="1" s="1"/>
  <c r="G527" i="1"/>
  <c r="A527" i="1" s="1"/>
  <c r="G528" i="1"/>
  <c r="A528" i="1" s="1"/>
  <c r="G522" i="1"/>
  <c r="A522" i="1" s="1"/>
  <c r="G526" i="1"/>
  <c r="A526" i="1" s="1"/>
  <c r="G523" i="1"/>
  <c r="A523" i="1" s="1"/>
  <c r="G525" i="1"/>
  <c r="A525" i="1" s="1"/>
  <c r="G531" i="1"/>
  <c r="A531" i="1" s="1"/>
  <c r="G520" i="1" l="1"/>
  <c r="A520" i="1" s="1"/>
  <c r="G521" i="1"/>
  <c r="A521" i="1" s="1"/>
  <c r="G518" i="1"/>
  <c r="A518" i="1" s="1"/>
  <c r="G517" i="1"/>
  <c r="A517" i="1" s="1"/>
  <c r="G519" i="1"/>
  <c r="A519" i="1" s="1"/>
  <c r="I11" i="6"/>
  <c r="G514" i="1" l="1"/>
  <c r="A514" i="1" s="1"/>
  <c r="G515" i="1"/>
  <c r="A515" i="1" s="1"/>
  <c r="N19" i="11" l="1"/>
  <c r="O19" i="11"/>
  <c r="Q19" i="11" s="1"/>
  <c r="R19" i="11" s="1"/>
  <c r="N18" i="11"/>
  <c r="O18" i="11"/>
  <c r="Q18" i="11" s="1"/>
  <c r="R18" i="11" s="1"/>
  <c r="K19" i="11"/>
  <c r="K18" i="11"/>
  <c r="S19" i="11" l="1"/>
  <c r="S18" i="11"/>
  <c r="G513" i="1"/>
  <c r="A513" i="1" s="1"/>
  <c r="G516" i="1"/>
  <c r="A516" i="1" s="1"/>
  <c r="G510" i="1" l="1"/>
  <c r="A510" i="1" s="1"/>
  <c r="G503" i="1"/>
  <c r="A503" i="1" s="1"/>
  <c r="G512" i="1"/>
  <c r="A512" i="1" s="1"/>
  <c r="G500" i="1"/>
  <c r="A500" i="1" s="1"/>
  <c r="G507" i="1"/>
  <c r="A507" i="1" s="1"/>
  <c r="G509" i="1"/>
  <c r="A509" i="1" s="1"/>
  <c r="G506" i="1"/>
  <c r="A506" i="1" s="1"/>
  <c r="G511" i="1"/>
  <c r="A511" i="1" s="1"/>
  <c r="G508" i="1"/>
  <c r="A508" i="1" s="1"/>
  <c r="G505" i="1" l="1"/>
  <c r="A505" i="1" s="1"/>
  <c r="G504" i="1"/>
  <c r="A504" i="1" s="1"/>
  <c r="G501" i="1"/>
  <c r="A501" i="1" s="1"/>
  <c r="G502" i="1"/>
  <c r="A502" i="1" s="1"/>
  <c r="G499" i="1" l="1"/>
  <c r="A499" i="1" s="1"/>
  <c r="G498" i="1" l="1"/>
  <c r="A498" i="1" s="1"/>
  <c r="G497" i="1"/>
  <c r="A497" i="1" s="1"/>
  <c r="G494" i="1" l="1"/>
  <c r="A494" i="1" s="1"/>
  <c r="G496" i="1"/>
  <c r="A496" i="1" s="1"/>
  <c r="G493" i="1" l="1"/>
  <c r="A493" i="1" s="1"/>
  <c r="G491" i="1"/>
  <c r="A491" i="1" s="1"/>
  <c r="G495" i="1"/>
  <c r="A495" i="1" s="1"/>
  <c r="G387" i="1" l="1"/>
  <c r="A387" i="1" s="1"/>
  <c r="G492" i="1"/>
  <c r="A492" i="1" s="1"/>
  <c r="G490" i="1" l="1"/>
  <c r="A490" i="1" s="1"/>
  <c r="G488" i="1" l="1"/>
  <c r="A488" i="1" s="1"/>
  <c r="G489" i="1"/>
  <c r="A489" i="1" s="1"/>
  <c r="I9" i="6" l="1"/>
  <c r="I3" i="6"/>
  <c r="I10" i="6"/>
  <c r="I12" i="6"/>
  <c r="G484" i="1" l="1"/>
  <c r="A484" i="1" s="1"/>
  <c r="G487" i="1"/>
  <c r="A487" i="1" s="1"/>
  <c r="G486" i="1"/>
  <c r="A486" i="1" s="1"/>
  <c r="G485" i="1"/>
  <c r="A485" i="1" s="1"/>
  <c r="G483" i="1"/>
  <c r="A483" i="1" s="1"/>
  <c r="I2" i="7"/>
  <c r="G482" i="1" l="1"/>
  <c r="A482" i="1" s="1"/>
  <c r="G481" i="1"/>
  <c r="A481" i="1" s="1"/>
  <c r="AD6" i="17" l="1"/>
  <c r="V16" i="17"/>
  <c r="X16" i="17"/>
  <c r="R19" i="17"/>
  <c r="S19" i="17"/>
  <c r="T19" i="17"/>
  <c r="U19" i="17"/>
  <c r="V19" i="17"/>
  <c r="W19" i="17"/>
  <c r="Y19" i="17"/>
  <c r="Z19" i="17"/>
  <c r="AA19" i="17"/>
  <c r="AB19" i="17"/>
  <c r="R21" i="17"/>
  <c r="S21" i="17"/>
  <c r="T21" i="17"/>
  <c r="U21" i="17"/>
  <c r="V21" i="17"/>
  <c r="W21" i="17"/>
  <c r="X21" i="17"/>
  <c r="Z21" i="17"/>
  <c r="AB21" i="17"/>
  <c r="Q16" i="17"/>
  <c r="N7" i="17"/>
  <c r="W7" i="17" s="1"/>
  <c r="N8" i="17"/>
  <c r="U8" i="17" s="1"/>
  <c r="N9" i="17"/>
  <c r="Y9" i="17" s="1"/>
  <c r="N10" i="17"/>
  <c r="Y10" i="17" s="1"/>
  <c r="N11" i="17"/>
  <c r="S11" i="17" s="1"/>
  <c r="N12" i="17"/>
  <c r="AA12" i="17" s="1"/>
  <c r="N13" i="17"/>
  <c r="U13" i="17" s="1"/>
  <c r="N14" i="17"/>
  <c r="AA14" i="17" s="1"/>
  <c r="N15" i="17"/>
  <c r="W15" i="17" s="1"/>
  <c r="N16" i="17"/>
  <c r="S16" i="17" s="1"/>
  <c r="N17" i="17"/>
  <c r="R17" i="17" s="1"/>
  <c r="N18" i="17"/>
  <c r="Y18" i="17" s="1"/>
  <c r="N19" i="17"/>
  <c r="X19" i="17" s="1"/>
  <c r="N20" i="17"/>
  <c r="AA20" i="17" s="1"/>
  <c r="N21" i="17"/>
  <c r="Y21" i="17" s="1"/>
  <c r="N22" i="17"/>
  <c r="S22" i="17" s="1"/>
  <c r="N6" i="17"/>
  <c r="R6" i="17" s="1"/>
  <c r="X4" i="15"/>
  <c r="Y4" i="15"/>
  <c r="Z4" i="15"/>
  <c r="AA4" i="15"/>
  <c r="X5" i="15"/>
  <c r="Y5" i="15"/>
  <c r="Z5" i="15"/>
  <c r="AA5" i="15"/>
  <c r="X6" i="15"/>
  <c r="Y6" i="15"/>
  <c r="Z6" i="15"/>
  <c r="AA6" i="15"/>
  <c r="X7" i="15"/>
  <c r="Y7" i="15"/>
  <c r="Z7" i="15"/>
  <c r="AA7" i="15"/>
  <c r="X8" i="15"/>
  <c r="Y8" i="15"/>
  <c r="Z8" i="15"/>
  <c r="AA8" i="15"/>
  <c r="X9" i="15"/>
  <c r="Y9" i="15"/>
  <c r="Z9" i="15"/>
  <c r="AA9" i="15"/>
  <c r="X10" i="15"/>
  <c r="Y10" i="15"/>
  <c r="Z10" i="15"/>
  <c r="AA10" i="15"/>
  <c r="X11" i="15"/>
  <c r="Y11" i="15"/>
  <c r="Z11" i="15"/>
  <c r="AA11" i="15"/>
  <c r="X12" i="15"/>
  <c r="Y12" i="15"/>
  <c r="Z12" i="15"/>
  <c r="AA12" i="15"/>
  <c r="X13" i="15"/>
  <c r="Y13" i="15"/>
  <c r="Z13" i="15"/>
  <c r="AA13" i="15"/>
  <c r="X14" i="15"/>
  <c r="Y14" i="15"/>
  <c r="Z14" i="15"/>
  <c r="AA14" i="15"/>
  <c r="X15" i="15"/>
  <c r="Y15" i="15"/>
  <c r="Z15" i="15"/>
  <c r="AA15" i="15"/>
  <c r="X16" i="15"/>
  <c r="Y16" i="15"/>
  <c r="Z16" i="15"/>
  <c r="AA16" i="15"/>
  <c r="X17" i="15"/>
  <c r="Y17" i="15"/>
  <c r="Z17" i="15"/>
  <c r="AA17" i="15"/>
  <c r="X18" i="15"/>
  <c r="Y18" i="15"/>
  <c r="Z18" i="15"/>
  <c r="AA18" i="15"/>
  <c r="V2" i="16"/>
  <c r="V21" i="16" s="1"/>
  <c r="V23" i="16" s="1"/>
  <c r="W2" i="16"/>
  <c r="W21" i="16" s="1"/>
  <c r="W23" i="16" s="1"/>
  <c r="X2" i="16"/>
  <c r="X21" i="16" s="1"/>
  <c r="X23" i="16" s="1"/>
  <c r="Y2" i="16"/>
  <c r="Y21" i="16" s="1"/>
  <c r="Y23" i="16" s="1"/>
  <c r="Z2" i="16"/>
  <c r="Z21" i="16" s="1"/>
  <c r="Z23" i="16" s="1"/>
  <c r="Q3" i="15"/>
  <c r="R3" i="15"/>
  <c r="S3" i="15"/>
  <c r="T3" i="15"/>
  <c r="U3" i="15"/>
  <c r="V3" i="15"/>
  <c r="X3" i="15"/>
  <c r="Y3" i="15"/>
  <c r="Z3" i="15"/>
  <c r="AA3" i="15"/>
  <c r="P3" i="15"/>
  <c r="AB16" i="17" l="1"/>
  <c r="Y16" i="17"/>
  <c r="Y12" i="17"/>
  <c r="W12" i="17"/>
  <c r="T14" i="17"/>
  <c r="V12" i="17"/>
  <c r="U20" i="17"/>
  <c r="Y13" i="17"/>
  <c r="U12" i="17"/>
  <c r="X13" i="17"/>
  <c r="T12" i="17"/>
  <c r="W13" i="17"/>
  <c r="S12" i="17"/>
  <c r="V13" i="17"/>
  <c r="T10" i="17"/>
  <c r="AB12" i="17"/>
  <c r="Q19" i="17"/>
  <c r="Q21" i="17"/>
  <c r="W18" i="17"/>
  <c r="V18" i="17"/>
  <c r="U16" i="17"/>
  <c r="T18" i="17"/>
  <c r="T16" i="17"/>
  <c r="U10" i="17"/>
  <c r="V14" i="17"/>
  <c r="Z16" i="17"/>
  <c r="U14" i="17"/>
  <c r="V9" i="17"/>
  <c r="S20" i="17"/>
  <c r="U9" i="17"/>
  <c r="S14" i="17"/>
  <c r="T9" i="17"/>
  <c r="W16" i="17"/>
  <c r="Q20" i="17"/>
  <c r="R20" i="17"/>
  <c r="AB9" i="17"/>
  <c r="Q12" i="17"/>
  <c r="Q9" i="17"/>
  <c r="R9" i="17"/>
  <c r="AB10" i="17"/>
  <c r="X11" i="17"/>
  <c r="X12" i="17"/>
  <c r="Z10" i="17"/>
  <c r="Y20" i="17"/>
  <c r="W10" i="17"/>
  <c r="AA8" i="17"/>
  <c r="X20" i="17"/>
  <c r="Z8" i="17"/>
  <c r="X17" i="17"/>
  <c r="Y8" i="17"/>
  <c r="X15" i="17"/>
  <c r="X8" i="17"/>
  <c r="X14" i="17"/>
  <c r="T20" i="17"/>
  <c r="AB8" i="17"/>
  <c r="Q10" i="17"/>
  <c r="R16" i="17"/>
  <c r="Q8" i="17"/>
  <c r="U15" i="17"/>
  <c r="V8" i="17"/>
  <c r="R8" i="17"/>
  <c r="Q22" i="17"/>
  <c r="Q18" i="17"/>
  <c r="X22" i="17"/>
  <c r="AB18" i="17"/>
  <c r="Q14" i="17"/>
  <c r="V22" i="17"/>
  <c r="V20" i="17"/>
  <c r="Z18" i="17"/>
  <c r="Y15" i="17"/>
  <c r="Z12" i="17"/>
  <c r="R12" i="17"/>
  <c r="Z22" i="17"/>
  <c r="V10" i="17"/>
  <c r="T22" i="17"/>
  <c r="X18" i="17"/>
  <c r="R10" i="17"/>
  <c r="AB14" i="17"/>
  <c r="AB20" i="17"/>
  <c r="Z14" i="17"/>
  <c r="X10" i="17"/>
  <c r="R22" i="17"/>
  <c r="R14" i="17"/>
  <c r="AB22" i="17"/>
  <c r="Z20" i="17"/>
  <c r="R18" i="17"/>
  <c r="T8" i="17"/>
  <c r="Y17" i="17"/>
  <c r="Q11" i="17"/>
  <c r="Y22" i="17"/>
  <c r="W20" i="17"/>
  <c r="U18" i="17"/>
  <c r="AA16" i="17"/>
  <c r="V15" i="17"/>
  <c r="Y14" i="17"/>
  <c r="AB13" i="17"/>
  <c r="T13" i="17"/>
  <c r="Z11" i="17"/>
  <c r="R11" i="17"/>
  <c r="X9" i="17"/>
  <c r="S8" i="17"/>
  <c r="V7" i="17"/>
  <c r="Y6" i="17"/>
  <c r="AA21" i="17"/>
  <c r="W17" i="17"/>
  <c r="AA13" i="17"/>
  <c r="S13" i="17"/>
  <c r="Y11" i="17"/>
  <c r="W9" i="17"/>
  <c r="U7" i="17"/>
  <c r="X6" i="17"/>
  <c r="Q17" i="17"/>
  <c r="W22" i="17"/>
  <c r="AA18" i="17"/>
  <c r="S18" i="17"/>
  <c r="V17" i="17"/>
  <c r="AB15" i="17"/>
  <c r="T15" i="17"/>
  <c r="W14" i="17"/>
  <c r="Z13" i="17"/>
  <c r="R13" i="17"/>
  <c r="AA10" i="17"/>
  <c r="S10" i="17"/>
  <c r="AB7" i="17"/>
  <c r="T7" i="17"/>
  <c r="W6" i="17"/>
  <c r="U17" i="17"/>
  <c r="AA15" i="17"/>
  <c r="W11" i="17"/>
  <c r="AA7" i="17"/>
  <c r="S7" i="17"/>
  <c r="V6" i="17"/>
  <c r="S15" i="17"/>
  <c r="Q6" i="17"/>
  <c r="Q15" i="17"/>
  <c r="Q7" i="17"/>
  <c r="U22" i="17"/>
  <c r="AB17" i="17"/>
  <c r="T17" i="17"/>
  <c r="Z15" i="17"/>
  <c r="R15" i="17"/>
  <c r="V11" i="17"/>
  <c r="W8" i="17"/>
  <c r="Z7" i="17"/>
  <c r="R7" i="17"/>
  <c r="U6" i="17"/>
  <c r="AA17" i="17"/>
  <c r="S17" i="17"/>
  <c r="U11" i="17"/>
  <c r="AA9" i="17"/>
  <c r="S9" i="17"/>
  <c r="Y7" i="17"/>
  <c r="AB6" i="17"/>
  <c r="T6" i="17"/>
  <c r="Q13" i="17"/>
  <c r="AA22" i="17"/>
  <c r="Z17" i="17"/>
  <c r="AB11" i="17"/>
  <c r="T11" i="17"/>
  <c r="Z9" i="17"/>
  <c r="X7" i="17"/>
  <c r="AA6" i="17"/>
  <c r="S6" i="17"/>
  <c r="AA11" i="17"/>
  <c r="Z6" i="17"/>
  <c r="G460" i="1"/>
  <c r="A460" i="1" s="1"/>
  <c r="G470" i="1"/>
  <c r="A470" i="1" s="1"/>
  <c r="G471" i="1"/>
  <c r="A471" i="1" s="1"/>
  <c r="G472" i="1"/>
  <c r="A472" i="1" s="1"/>
  <c r="G473" i="1"/>
  <c r="A473" i="1" s="1"/>
  <c r="G480" i="1"/>
  <c r="A480" i="1" s="1"/>
  <c r="G465" i="1"/>
  <c r="A465" i="1" s="1"/>
  <c r="G466" i="1"/>
  <c r="A466" i="1" s="1"/>
  <c r="G478" i="1"/>
  <c r="A478" i="1" s="1"/>
  <c r="G479" i="1"/>
  <c r="A479" i="1" s="1"/>
  <c r="G475" i="1"/>
  <c r="A475" i="1" s="1"/>
  <c r="G477" i="1"/>
  <c r="A477" i="1" s="1"/>
  <c r="G476" i="1"/>
  <c r="A476" i="1" s="1"/>
  <c r="G474" i="1"/>
  <c r="A474" i="1" s="1"/>
  <c r="G467" i="1"/>
  <c r="A467" i="1" s="1"/>
  <c r="G468" i="1"/>
  <c r="A468" i="1" s="1"/>
  <c r="G469" i="1"/>
  <c r="A469" i="1" s="1"/>
  <c r="G463" i="1"/>
  <c r="A463" i="1" s="1"/>
  <c r="G464" i="1"/>
  <c r="A464" i="1" s="1"/>
  <c r="AC21" i="17" l="1"/>
  <c r="AD21" i="17" s="1"/>
  <c r="AC18" i="17"/>
  <c r="AD18" i="17" s="1"/>
  <c r="AC13" i="17"/>
  <c r="AD13" i="17" s="1"/>
  <c r="AC17" i="17"/>
  <c r="AD17" i="17" s="1"/>
  <c r="AC10" i="17"/>
  <c r="AD10" i="17" s="1"/>
  <c r="AC14" i="17"/>
  <c r="AD14" i="17" s="1"/>
  <c r="AC9" i="17"/>
  <c r="AD9" i="17" s="1"/>
  <c r="AC22" i="17"/>
  <c r="AD22" i="17" s="1"/>
  <c r="AC15" i="17"/>
  <c r="AD15" i="17" s="1"/>
  <c r="AC20" i="17"/>
  <c r="AD20" i="17" s="1"/>
  <c r="AC7" i="17"/>
  <c r="AC12" i="17"/>
  <c r="AD12" i="17" s="1"/>
  <c r="AC19" i="17"/>
  <c r="AD19" i="17" s="1"/>
  <c r="AC8" i="17"/>
  <c r="AD8" i="17" s="1"/>
  <c r="AC11" i="17"/>
  <c r="AD11" i="17" s="1"/>
  <c r="AC6" i="17"/>
  <c r="AC16" i="17"/>
  <c r="AD16" i="17" s="1"/>
  <c r="F2" i="16"/>
  <c r="G2" i="16"/>
  <c r="H2" i="16"/>
  <c r="I2" i="16"/>
  <c r="J2" i="16"/>
  <c r="K2" i="16"/>
  <c r="O2" i="16"/>
  <c r="O21" i="16" s="1"/>
  <c r="O23" i="16" s="1"/>
  <c r="P2" i="16"/>
  <c r="P21" i="16" s="1"/>
  <c r="P23" i="16" s="1"/>
  <c r="Q2" i="16"/>
  <c r="Q21" i="16" s="1"/>
  <c r="Q23" i="16" s="1"/>
  <c r="R2" i="16"/>
  <c r="R21" i="16" s="1"/>
  <c r="R23" i="16" s="1"/>
  <c r="S2" i="16"/>
  <c r="S21" i="16" s="1"/>
  <c r="S23" i="16" s="1"/>
  <c r="T2" i="16"/>
  <c r="T21" i="16" s="1"/>
  <c r="T23" i="16" s="1"/>
  <c r="U2" i="16"/>
  <c r="U21" i="16" s="1"/>
  <c r="U23" i="16" s="1"/>
  <c r="O3" i="15"/>
  <c r="D3" i="15"/>
  <c r="E3" i="15"/>
  <c r="F3" i="15"/>
  <c r="G3" i="15"/>
  <c r="H3" i="15"/>
  <c r="I3" i="15"/>
  <c r="J3" i="15"/>
  <c r="K3" i="15"/>
  <c r="L3" i="15"/>
  <c r="D4" i="15"/>
  <c r="E4" i="15"/>
  <c r="F4" i="15"/>
  <c r="G4" i="15"/>
  <c r="H4" i="15"/>
  <c r="I4" i="15"/>
  <c r="J4" i="15"/>
  <c r="K4" i="15"/>
  <c r="L4" i="15"/>
  <c r="M4" i="15"/>
  <c r="N4" i="15"/>
  <c r="P4" i="15"/>
  <c r="Q4" i="15"/>
  <c r="R4" i="15"/>
  <c r="S4" i="15"/>
  <c r="T4" i="15"/>
  <c r="U4" i="15"/>
  <c r="V4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U17" i="15"/>
  <c r="V17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T18" i="15"/>
  <c r="U18" i="15"/>
  <c r="V18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AC3" i="17" l="1"/>
  <c r="AD7" i="17"/>
  <c r="G462" i="1"/>
  <c r="A462" i="1" s="1"/>
  <c r="AC2" i="17" l="1"/>
  <c r="AD2" i="17" s="1"/>
  <c r="AD3" i="17"/>
  <c r="G458" i="1"/>
  <c r="A458" i="1" s="1"/>
  <c r="G459" i="1"/>
  <c r="A459" i="1" s="1"/>
  <c r="G461" i="1"/>
  <c r="A461" i="1" s="1"/>
  <c r="G457" i="1" l="1"/>
  <c r="A457" i="1" s="1"/>
  <c r="G454" i="1"/>
  <c r="A454" i="1" s="1"/>
  <c r="G455" i="1"/>
  <c r="A455" i="1" s="1"/>
  <c r="G456" i="1"/>
  <c r="A456" i="1" s="1"/>
  <c r="AB3" i="17" l="1"/>
  <c r="Y3" i="17" l="1"/>
  <c r="Y2" i="17" s="1"/>
  <c r="X3" i="17"/>
  <c r="X2" i="17" s="1"/>
  <c r="U3" i="17"/>
  <c r="U2" i="17" s="1"/>
  <c r="Q3" i="17"/>
  <c r="Q2" i="17" s="1"/>
  <c r="W3" i="17"/>
  <c r="W2" i="17" s="1"/>
  <c r="AB2" i="17"/>
  <c r="R3" i="17"/>
  <c r="R2" i="17" s="1"/>
  <c r="T3" i="17"/>
  <c r="Z3" i="17"/>
  <c r="Z2" i="17" s="1"/>
  <c r="AA3" i="17"/>
  <c r="AA2" i="17" s="1"/>
  <c r="V3" i="17"/>
  <c r="V2" i="17" s="1"/>
  <c r="S3" i="17"/>
  <c r="S2" i="17" s="1"/>
  <c r="C2" i="17"/>
  <c r="C3" i="17" s="1"/>
  <c r="D2" i="17"/>
  <c r="D3" i="17" s="1"/>
  <c r="E2" i="17"/>
  <c r="E3" i="17" s="1"/>
  <c r="F2" i="17"/>
  <c r="F3" i="17" s="1"/>
  <c r="G2" i="17"/>
  <c r="G3" i="17" s="1"/>
  <c r="H2" i="17"/>
  <c r="H3" i="17" s="1"/>
  <c r="I2" i="17"/>
  <c r="I3" i="17" s="1"/>
  <c r="J2" i="17"/>
  <c r="J3" i="17" s="1"/>
  <c r="K2" i="17"/>
  <c r="K3" i="17" s="1"/>
  <c r="L2" i="17"/>
  <c r="L3" i="17" s="1"/>
  <c r="M2" i="17"/>
  <c r="M3" i="17" s="1"/>
  <c r="B2" i="17"/>
  <c r="B3" i="17" s="1"/>
  <c r="C1" i="17"/>
  <c r="D1" i="17"/>
  <c r="E1" i="17"/>
  <c r="F1" i="17"/>
  <c r="G1" i="17"/>
  <c r="H1" i="17"/>
  <c r="I1" i="17"/>
  <c r="J1" i="17"/>
  <c r="K1" i="17"/>
  <c r="L1" i="17"/>
  <c r="M1" i="17"/>
  <c r="B1" i="17"/>
  <c r="T2" i="17" l="1"/>
  <c r="C449" i="1"/>
  <c r="G449" i="1"/>
  <c r="N449" i="1" l="1"/>
  <c r="A449" i="1"/>
  <c r="G447" i="1"/>
  <c r="A447" i="1" s="1"/>
  <c r="G453" i="1"/>
  <c r="A453" i="1" s="1"/>
  <c r="G452" i="1"/>
  <c r="A452" i="1" s="1"/>
  <c r="G451" i="1"/>
  <c r="A451" i="1" s="1"/>
  <c r="G450" i="1"/>
  <c r="A450" i="1" s="1"/>
  <c r="G448" i="1"/>
  <c r="A448" i="1" s="1"/>
  <c r="G446" i="1"/>
  <c r="A446" i="1" s="1"/>
  <c r="G444" i="1" l="1"/>
  <c r="A444" i="1" s="1"/>
  <c r="G443" i="1"/>
  <c r="A443" i="1" s="1"/>
  <c r="G445" i="1"/>
  <c r="A445" i="1" s="1"/>
  <c r="G440" i="1"/>
  <c r="A440" i="1" s="1"/>
  <c r="G441" i="1"/>
  <c r="A441" i="1" s="1"/>
  <c r="G442" i="1"/>
  <c r="A442" i="1" s="1"/>
  <c r="G438" i="1" l="1"/>
  <c r="A438" i="1" s="1"/>
  <c r="G439" i="1"/>
  <c r="A439" i="1" s="1"/>
  <c r="G435" i="1" l="1"/>
  <c r="A435" i="1" s="1"/>
  <c r="G436" i="1"/>
  <c r="A436" i="1" s="1"/>
  <c r="G437" i="1"/>
  <c r="A437" i="1" s="1"/>
  <c r="G434" i="1" l="1"/>
  <c r="A434" i="1" s="1"/>
  <c r="G432" i="1" l="1"/>
  <c r="A432" i="1" s="1"/>
  <c r="G433" i="1"/>
  <c r="A433" i="1" s="1"/>
  <c r="G431" i="1"/>
  <c r="A431" i="1" s="1"/>
  <c r="G429" i="1" l="1"/>
  <c r="A429" i="1" s="1"/>
  <c r="G428" i="1"/>
  <c r="A428" i="1" s="1"/>
  <c r="G430" i="1"/>
  <c r="A430" i="1" s="1"/>
  <c r="G420" i="1" l="1"/>
  <c r="A420" i="1" s="1"/>
  <c r="G422" i="1"/>
  <c r="A422" i="1" s="1"/>
  <c r="G423" i="1"/>
  <c r="A423" i="1" s="1"/>
  <c r="G421" i="1"/>
  <c r="A421" i="1" s="1"/>
  <c r="G426" i="1"/>
  <c r="A426" i="1" s="1"/>
  <c r="G427" i="1"/>
  <c r="A427" i="1" s="1"/>
  <c r="G425" i="1"/>
  <c r="A425" i="1" s="1"/>
  <c r="G424" i="1"/>
  <c r="A424" i="1" s="1"/>
  <c r="G419" i="1" l="1"/>
  <c r="A419" i="1" s="1"/>
  <c r="G417" i="1" l="1"/>
  <c r="A417" i="1" s="1"/>
  <c r="G416" i="1"/>
  <c r="A416" i="1" s="1"/>
  <c r="G418" i="1"/>
  <c r="A418" i="1" s="1"/>
  <c r="G413" i="1" l="1"/>
  <c r="A413" i="1" s="1"/>
  <c r="G414" i="1"/>
  <c r="A414" i="1" s="1"/>
  <c r="G415" i="1"/>
  <c r="A415" i="1" s="1"/>
  <c r="G412" i="1" l="1"/>
  <c r="A412" i="1" s="1"/>
  <c r="G409" i="1" l="1"/>
  <c r="A409" i="1" s="1"/>
  <c r="G410" i="1"/>
  <c r="A410" i="1" s="1"/>
  <c r="G411" i="1"/>
  <c r="A411" i="1" s="1"/>
  <c r="G405" i="1" l="1"/>
  <c r="A405" i="1" s="1"/>
  <c r="G404" i="1"/>
  <c r="A404" i="1" s="1"/>
  <c r="G406" i="1"/>
  <c r="A406" i="1" s="1"/>
  <c r="G401" i="1"/>
  <c r="A401" i="1" s="1"/>
  <c r="G402" i="1"/>
  <c r="A402" i="1" s="1"/>
  <c r="G403" i="1"/>
  <c r="A403" i="1" s="1"/>
  <c r="G407" i="1"/>
  <c r="A407" i="1" s="1"/>
  <c r="G408" i="1"/>
  <c r="A408" i="1" s="1"/>
  <c r="G399" i="1" l="1"/>
  <c r="A399" i="1" s="1"/>
  <c r="G398" i="1"/>
  <c r="A398" i="1" s="1"/>
  <c r="G400" i="1"/>
  <c r="A400" i="1" s="1"/>
  <c r="G393" i="1" l="1"/>
  <c r="A393" i="1" s="1"/>
  <c r="G397" i="1"/>
  <c r="A397" i="1" s="1"/>
  <c r="G395" i="1"/>
  <c r="A395" i="1" s="1"/>
  <c r="G394" i="1"/>
  <c r="A394" i="1" s="1"/>
  <c r="G396" i="1"/>
  <c r="A396" i="1" s="1"/>
  <c r="G392" i="1" l="1"/>
  <c r="A392" i="1" s="1"/>
  <c r="G391" i="1"/>
  <c r="A391" i="1" s="1"/>
  <c r="G390" i="1" l="1"/>
  <c r="A390" i="1" s="1"/>
  <c r="G389" i="1" l="1"/>
  <c r="A389" i="1" s="1"/>
  <c r="G388" i="1"/>
  <c r="A388" i="1" s="1"/>
  <c r="G386" i="1" l="1"/>
  <c r="A386" i="1" s="1"/>
  <c r="G381" i="1" l="1"/>
  <c r="A381" i="1" s="1"/>
  <c r="G382" i="1"/>
  <c r="A382" i="1" s="1"/>
  <c r="G383" i="1"/>
  <c r="A383" i="1" s="1"/>
  <c r="G385" i="1"/>
  <c r="A385" i="1" s="1"/>
  <c r="G384" i="1"/>
  <c r="A384" i="1" s="1"/>
  <c r="B22" i="16" l="1"/>
  <c r="K21" i="16"/>
  <c r="K23" i="16" s="1"/>
  <c r="J21" i="16"/>
  <c r="J23" i="16" s="1"/>
  <c r="I21" i="16"/>
  <c r="I23" i="16" s="1"/>
  <c r="H21" i="16"/>
  <c r="H23" i="16" s="1"/>
  <c r="G21" i="16"/>
  <c r="G23" i="16" s="1"/>
  <c r="F21" i="16"/>
  <c r="F23" i="16" s="1"/>
  <c r="E2" i="16"/>
  <c r="E21" i="16" s="1"/>
  <c r="E23" i="16" s="1"/>
  <c r="D2" i="16"/>
  <c r="D21" i="16" s="1"/>
  <c r="D23" i="16" s="1"/>
  <c r="C2" i="16"/>
  <c r="C21" i="16" s="1"/>
  <c r="C23" i="16" s="1"/>
  <c r="B2" i="16"/>
  <c r="C3" i="15"/>
  <c r="G364" i="1" l="1"/>
  <c r="A364" i="1" s="1"/>
  <c r="G380" i="1"/>
  <c r="A380" i="1" s="1"/>
  <c r="G377" i="1" l="1"/>
  <c r="A377" i="1" s="1"/>
  <c r="G378" i="1"/>
  <c r="A378" i="1" s="1"/>
  <c r="G375" i="1" l="1"/>
  <c r="A375" i="1" s="1"/>
  <c r="G373" i="1"/>
  <c r="A373" i="1" s="1"/>
  <c r="G376" i="1"/>
  <c r="A376" i="1" s="1"/>
  <c r="J2" i="13" l="1"/>
  <c r="G2" i="13"/>
  <c r="G3" i="13" s="1"/>
  <c r="H3" i="13" s="1"/>
  <c r="J3" i="13" s="1"/>
  <c r="E3" i="13"/>
  <c r="C2" i="13"/>
  <c r="L2" i="13"/>
  <c r="L3" i="13" s="1"/>
  <c r="G363" i="1"/>
  <c r="A363" i="1" s="1"/>
  <c r="G374" i="1"/>
  <c r="A374" i="1" s="1"/>
  <c r="C3" i="13" l="1"/>
  <c r="G371" i="1"/>
  <c r="A371" i="1" s="1"/>
  <c r="G369" i="1"/>
  <c r="A369" i="1" s="1"/>
  <c r="G365" i="1" l="1"/>
  <c r="A365" i="1" s="1"/>
  <c r="G372" i="1"/>
  <c r="A372" i="1" s="1"/>
  <c r="G366" i="1"/>
  <c r="A366" i="1" s="1"/>
  <c r="G368" i="1"/>
  <c r="A368" i="1" s="1"/>
  <c r="G367" i="1"/>
  <c r="A367" i="1" s="1"/>
  <c r="G370" i="1"/>
  <c r="A370" i="1" s="1"/>
  <c r="G361" i="1" l="1"/>
  <c r="A361" i="1" s="1"/>
  <c r="G362" i="1"/>
  <c r="A362" i="1" s="1"/>
  <c r="G358" i="1" l="1"/>
  <c r="A358" i="1" s="1"/>
  <c r="G360" i="1"/>
  <c r="A360" i="1" s="1"/>
  <c r="G359" i="1"/>
  <c r="A359" i="1" s="1"/>
  <c r="G355" i="1"/>
  <c r="A355" i="1" s="1"/>
  <c r="G356" i="1"/>
  <c r="A356" i="1" s="1"/>
  <c r="G353" i="1" l="1"/>
  <c r="A353" i="1" s="1"/>
  <c r="G354" i="1"/>
  <c r="A354" i="1" s="1"/>
  <c r="G350" i="1" l="1"/>
  <c r="A350" i="1" s="1"/>
  <c r="G349" i="1"/>
  <c r="A349" i="1" s="1"/>
  <c r="G352" i="1" l="1"/>
  <c r="A352" i="1" s="1"/>
  <c r="G351" i="1"/>
  <c r="A351" i="1" s="1"/>
  <c r="G347" i="1" l="1"/>
  <c r="A347" i="1" s="1"/>
  <c r="G348" i="1"/>
  <c r="A348" i="1" s="1"/>
  <c r="G345" i="1" l="1"/>
  <c r="A345" i="1" s="1"/>
  <c r="G344" i="1"/>
  <c r="A344" i="1" s="1"/>
  <c r="G343" i="1"/>
  <c r="A343" i="1" s="1"/>
  <c r="G346" i="1"/>
  <c r="A346" i="1" s="1"/>
  <c r="G342" i="1" l="1"/>
  <c r="A342" i="1" s="1"/>
  <c r="G338" i="1"/>
  <c r="A338" i="1" s="1"/>
  <c r="G341" i="1"/>
  <c r="A341" i="1" s="1"/>
  <c r="G339" i="1" l="1"/>
  <c r="A339" i="1" s="1"/>
  <c r="G340" i="1" l="1"/>
  <c r="A340" i="1" s="1"/>
  <c r="G333" i="1"/>
  <c r="A333" i="1" s="1"/>
  <c r="G334" i="1"/>
  <c r="A334" i="1" s="1"/>
  <c r="G335" i="1"/>
  <c r="A335" i="1" s="1"/>
  <c r="G336" i="1"/>
  <c r="A336" i="1" s="1"/>
  <c r="G310" i="1"/>
  <c r="A310" i="1" s="1"/>
  <c r="G337" i="1"/>
  <c r="A337" i="1" s="1"/>
  <c r="G316" i="1" l="1"/>
  <c r="A316" i="1" s="1"/>
  <c r="G324" i="1"/>
  <c r="A324" i="1" s="1"/>
  <c r="G323" i="1"/>
  <c r="A323" i="1" s="1"/>
  <c r="G326" i="1"/>
  <c r="A326" i="1" s="1"/>
  <c r="G325" i="1"/>
  <c r="A325" i="1" s="1"/>
  <c r="G328" i="1"/>
  <c r="A328" i="1" s="1"/>
  <c r="G327" i="1"/>
  <c r="A327" i="1" s="1"/>
  <c r="G330" i="1"/>
  <c r="A330" i="1" s="1"/>
  <c r="G331" i="1"/>
  <c r="A331" i="1" s="1"/>
  <c r="G332" i="1"/>
  <c r="A332" i="1" s="1"/>
  <c r="G318" i="1" l="1"/>
  <c r="A318" i="1" s="1"/>
  <c r="G317" i="1"/>
  <c r="A317" i="1" s="1"/>
  <c r="G319" i="1"/>
  <c r="A319" i="1" s="1"/>
  <c r="G320" i="1"/>
  <c r="A320" i="1" s="1"/>
  <c r="G329" i="1"/>
  <c r="A329" i="1" s="1"/>
  <c r="G315" i="1"/>
  <c r="A315" i="1" s="1"/>
  <c r="G322" i="1"/>
  <c r="A322" i="1" s="1"/>
  <c r="G321" i="1"/>
  <c r="A321" i="1" s="1"/>
  <c r="G313" i="1" l="1"/>
  <c r="A313" i="1" s="1"/>
  <c r="G312" i="1"/>
  <c r="A312" i="1" s="1"/>
  <c r="G314" i="1"/>
  <c r="A314" i="1" s="1"/>
  <c r="G311" i="1" l="1"/>
  <c r="A311" i="1" s="1"/>
  <c r="G309" i="1"/>
  <c r="A309" i="1" s="1"/>
  <c r="K17" i="11" l="1"/>
  <c r="K16" i="11"/>
  <c r="N17" i="11"/>
  <c r="O17" i="11"/>
  <c r="Q17" i="11" s="1"/>
  <c r="R17" i="11" s="1"/>
  <c r="N16" i="11"/>
  <c r="O16" i="11"/>
  <c r="Q16" i="11" s="1"/>
  <c r="R16" i="11" s="1"/>
  <c r="S17" i="11" l="1"/>
  <c r="S16" i="11"/>
  <c r="G308" i="1"/>
  <c r="A308" i="1" s="1"/>
  <c r="G307" i="1"/>
  <c r="A307" i="1" s="1"/>
  <c r="K11" i="11" l="1"/>
  <c r="K15" i="11"/>
  <c r="K13" i="11"/>
  <c r="K14" i="11"/>
  <c r="L11" i="11" l="1"/>
  <c r="O11" i="11"/>
  <c r="Q11" i="11" s="1"/>
  <c r="N11" i="11"/>
  <c r="O15" i="11"/>
  <c r="Q15" i="11" s="1"/>
  <c r="R15" i="11" s="1"/>
  <c r="S15" i="11" s="1"/>
  <c r="N15" i="11"/>
  <c r="L15" i="11"/>
  <c r="O13" i="11"/>
  <c r="Q13" i="11" s="1"/>
  <c r="N13" i="11"/>
  <c r="N14" i="11"/>
  <c r="L13" i="11"/>
  <c r="O14" i="11"/>
  <c r="Q14" i="11" s="1"/>
  <c r="R14" i="11" s="1"/>
  <c r="S14" i="11" s="1"/>
  <c r="G301" i="1"/>
  <c r="A301" i="1" s="1"/>
  <c r="G304" i="1"/>
  <c r="A304" i="1" s="1"/>
  <c r="G305" i="1"/>
  <c r="A305" i="1" s="1"/>
  <c r="G303" i="1"/>
  <c r="A303" i="1" s="1"/>
  <c r="G302" i="1"/>
  <c r="A302" i="1" s="1"/>
  <c r="G306" i="1"/>
  <c r="A306" i="1" s="1"/>
  <c r="R13" i="11" l="1"/>
  <c r="S13" i="11" s="1"/>
  <c r="R11" i="11"/>
  <c r="S11" i="11" s="1"/>
  <c r="G295" i="1"/>
  <c r="A295" i="1" s="1"/>
  <c r="G299" i="1"/>
  <c r="A299" i="1" s="1"/>
  <c r="G294" i="1"/>
  <c r="A294" i="1" s="1"/>
  <c r="G293" i="1"/>
  <c r="A293" i="1" s="1"/>
  <c r="G300" i="1"/>
  <c r="A300" i="1" s="1"/>
  <c r="G292" i="1" l="1"/>
  <c r="A292" i="1" s="1"/>
  <c r="G297" i="1"/>
  <c r="A297" i="1" s="1"/>
  <c r="G296" i="1"/>
  <c r="A296" i="1" s="1"/>
  <c r="G298" i="1"/>
  <c r="A298" i="1" s="1"/>
  <c r="G11" i="1" l="1"/>
  <c r="C11" i="1"/>
  <c r="N11" i="1" l="1"/>
  <c r="A11" i="1"/>
  <c r="G288" i="1"/>
  <c r="A288" i="1" s="1"/>
  <c r="G287" i="1"/>
  <c r="A287" i="1" s="1"/>
  <c r="G290" i="1"/>
  <c r="A290" i="1" s="1"/>
  <c r="G289" i="1"/>
  <c r="A289" i="1" s="1"/>
  <c r="G291" i="1"/>
  <c r="A291" i="1" s="1"/>
  <c r="G286" i="1" l="1"/>
  <c r="A286" i="1" s="1"/>
  <c r="G285" i="1" l="1"/>
  <c r="A285" i="1" s="1"/>
  <c r="G139" i="1" l="1"/>
  <c r="A139" i="1" s="1"/>
  <c r="G281" i="1"/>
  <c r="A281" i="1" s="1"/>
  <c r="G280" i="1"/>
  <c r="A280" i="1" s="1"/>
  <c r="I7" i="6" l="1"/>
  <c r="I8" i="6"/>
  <c r="I6" i="6"/>
  <c r="I4" i="6"/>
  <c r="G2" i="8" l="1"/>
  <c r="G3" i="8" s="1"/>
  <c r="G4" i="8" s="1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2" i="8" s="1"/>
  <c r="G83" i="8" s="1"/>
  <c r="G84" i="8" s="1"/>
  <c r="G85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G123" i="8" s="1"/>
  <c r="G124" i="8" s="1"/>
  <c r="G125" i="8" s="1"/>
  <c r="G126" i="8" s="1"/>
  <c r="G127" i="8" s="1"/>
  <c r="G284" i="1" l="1"/>
  <c r="A284" i="1" s="1"/>
  <c r="G283" i="1" l="1"/>
  <c r="A283" i="1" s="1"/>
  <c r="G282" i="1"/>
  <c r="A282" i="1" s="1"/>
  <c r="E12" i="10"/>
  <c r="B3" i="10"/>
  <c r="E3" i="10" s="1"/>
  <c r="B4" i="10"/>
  <c r="E4" i="10" s="1"/>
  <c r="B5" i="10"/>
  <c r="E5" i="10" s="1"/>
  <c r="B6" i="10"/>
  <c r="E6" i="10" s="1"/>
  <c r="B7" i="10"/>
  <c r="E7" i="10" s="1"/>
  <c r="B8" i="10"/>
  <c r="E8" i="10" s="1"/>
  <c r="B9" i="10"/>
  <c r="E9" i="10" s="1"/>
  <c r="B10" i="10"/>
  <c r="E10" i="10" s="1"/>
  <c r="B11" i="10"/>
  <c r="E11" i="10" s="1"/>
  <c r="B2" i="10"/>
  <c r="E2" i="10" s="1"/>
  <c r="D4" i="10" l="1"/>
  <c r="D5" i="10"/>
  <c r="D6" i="10"/>
  <c r="D7" i="10"/>
  <c r="D8" i="10"/>
  <c r="D9" i="10"/>
  <c r="D10" i="10"/>
  <c r="D11" i="10"/>
  <c r="D12" i="10"/>
  <c r="D3" i="10"/>
  <c r="G278" i="1" l="1"/>
  <c r="A278" i="1" s="1"/>
  <c r="G279" i="1"/>
  <c r="A279" i="1" s="1"/>
  <c r="G277" i="1" l="1"/>
  <c r="A277" i="1" s="1"/>
  <c r="G271" i="1" l="1"/>
  <c r="A271" i="1" s="1"/>
  <c r="G275" i="1"/>
  <c r="A275" i="1" s="1"/>
  <c r="G276" i="1"/>
  <c r="A276" i="1" s="1"/>
  <c r="G273" i="1" l="1"/>
  <c r="A273" i="1" s="1"/>
  <c r="G274" i="1"/>
  <c r="A274" i="1" s="1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132" i="5"/>
  <c r="C53" i="4" l="1"/>
  <c r="D53" i="4"/>
  <c r="C54" i="4"/>
  <c r="D54" i="4"/>
  <c r="C55" i="4"/>
  <c r="D55" i="4"/>
  <c r="C56" i="4"/>
  <c r="D56" i="4"/>
  <c r="C57" i="4"/>
  <c r="D57" i="4"/>
  <c r="C58" i="4"/>
  <c r="D58" i="4"/>
  <c r="C59" i="4"/>
  <c r="D59" i="4"/>
  <c r="C60" i="4"/>
  <c r="D60" i="4"/>
  <c r="C61" i="4"/>
  <c r="D61" i="4"/>
  <c r="C62" i="4"/>
  <c r="D62" i="4"/>
  <c r="C63" i="4"/>
  <c r="D63" i="4"/>
  <c r="C64" i="4"/>
  <c r="D64" i="4"/>
  <c r="C65" i="4"/>
  <c r="D65" i="4"/>
  <c r="C66" i="4"/>
  <c r="D66" i="4"/>
  <c r="C67" i="4"/>
  <c r="D67" i="4"/>
  <c r="C68" i="4"/>
  <c r="D68" i="4"/>
  <c r="C69" i="4"/>
  <c r="D69" i="4"/>
  <c r="C70" i="4"/>
  <c r="D70" i="4"/>
  <c r="C71" i="4"/>
  <c r="D71" i="4"/>
  <c r="C72" i="4"/>
  <c r="D72" i="4"/>
  <c r="C73" i="4"/>
  <c r="D73" i="4"/>
  <c r="C74" i="4"/>
  <c r="D74" i="4"/>
  <c r="C75" i="4"/>
  <c r="D75" i="4"/>
  <c r="C76" i="4"/>
  <c r="D76" i="4"/>
  <c r="C77" i="4"/>
  <c r="D77" i="4"/>
  <c r="C78" i="4"/>
  <c r="D78" i="4"/>
  <c r="C3" i="4"/>
  <c r="D3" i="4"/>
  <c r="C4" i="4"/>
  <c r="D4" i="4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C50" i="4"/>
  <c r="D50" i="4"/>
  <c r="C51" i="4"/>
  <c r="D51" i="4"/>
  <c r="C52" i="4"/>
  <c r="D52" i="4"/>
  <c r="D2" i="4"/>
  <c r="C2" i="4"/>
  <c r="G267" i="1"/>
  <c r="A267" i="1" s="1"/>
  <c r="E2" i="4" l="1"/>
  <c r="E49" i="4"/>
  <c r="E33" i="4"/>
  <c r="E17" i="4"/>
  <c r="E77" i="4"/>
  <c r="E44" i="4"/>
  <c r="E12" i="4"/>
  <c r="E8" i="4"/>
  <c r="E76" i="4"/>
  <c r="E64" i="4"/>
  <c r="E34" i="4"/>
  <c r="E42" i="4"/>
  <c r="E9" i="4"/>
  <c r="E56" i="4"/>
  <c r="E15" i="4"/>
  <c r="E50" i="4"/>
  <c r="E10" i="4"/>
  <c r="E54" i="4"/>
  <c r="E29" i="4"/>
  <c r="E28" i="4"/>
  <c r="E41" i="4"/>
  <c r="E18" i="4"/>
  <c r="E63" i="4"/>
  <c r="E36" i="4"/>
  <c r="E25" i="4"/>
  <c r="E52" i="4"/>
  <c r="E47" i="4"/>
  <c r="E20" i="4"/>
  <c r="E65" i="4"/>
  <c r="E72" i="4"/>
  <c r="E61" i="4"/>
  <c r="E45" i="4"/>
  <c r="E31" i="4"/>
  <c r="E13" i="4"/>
  <c r="E67" i="4"/>
  <c r="E60" i="4"/>
  <c r="E37" i="4"/>
  <c r="E23" i="4"/>
  <c r="E70" i="4"/>
  <c r="E26" i="4"/>
  <c r="E73" i="4"/>
  <c r="E69" i="4"/>
  <c r="E66" i="4"/>
  <c r="E39" i="4"/>
  <c r="E21" i="4"/>
  <c r="E7" i="4"/>
  <c r="E3" i="4"/>
  <c r="E68" i="4"/>
  <c r="E57" i="4"/>
  <c r="E53" i="4"/>
  <c r="E35" i="4"/>
  <c r="E19" i="4"/>
  <c r="E5" i="4"/>
  <c r="E78" i="4"/>
  <c r="E75" i="4"/>
  <c r="E62" i="4"/>
  <c r="E59" i="4"/>
  <c r="E43" i="4"/>
  <c r="E27" i="4"/>
  <c r="E24" i="4"/>
  <c r="E11" i="4"/>
  <c r="E4" i="4"/>
  <c r="E74" i="4"/>
  <c r="E71" i="4"/>
  <c r="E58" i="4"/>
  <c r="E55" i="4"/>
  <c r="E46" i="4"/>
  <c r="E30" i="4"/>
  <c r="E14" i="4"/>
  <c r="E40" i="4"/>
  <c r="E51" i="4"/>
  <c r="E16" i="4"/>
  <c r="E6" i="4"/>
  <c r="E48" i="4"/>
  <c r="E32" i="4"/>
  <c r="E38" i="4"/>
  <c r="E22" i="4"/>
  <c r="G270" i="1"/>
  <c r="A270" i="1" s="1"/>
  <c r="G268" i="1"/>
  <c r="A268" i="1" s="1"/>
  <c r="G269" i="1"/>
  <c r="A269" i="1" s="1"/>
  <c r="G272" i="1"/>
  <c r="A272" i="1" s="1"/>
  <c r="G266" i="1"/>
  <c r="A266" i="1" s="1"/>
  <c r="G265" i="1" l="1"/>
  <c r="A265" i="1" s="1"/>
  <c r="G264" i="1"/>
  <c r="C264" i="1"/>
  <c r="N264" i="1" l="1"/>
  <c r="A264" i="1"/>
  <c r="G263" i="1"/>
  <c r="A263" i="1" s="1"/>
  <c r="G262" i="1"/>
  <c r="A262" i="1" s="1"/>
  <c r="G261" i="1"/>
  <c r="A261" i="1" s="1"/>
  <c r="G6" i="1" l="1"/>
  <c r="G2" i="1"/>
  <c r="G4" i="1"/>
  <c r="G5" i="1"/>
  <c r="G7" i="1"/>
  <c r="G8" i="1"/>
  <c r="G9" i="1"/>
  <c r="G14" i="1"/>
  <c r="G15" i="1"/>
  <c r="G17" i="1"/>
  <c r="G16" i="1"/>
  <c r="G19" i="1"/>
  <c r="A19" i="1" s="1"/>
  <c r="G18" i="1"/>
  <c r="A18" i="1" s="1"/>
  <c r="G20" i="1"/>
  <c r="A20" i="1" s="1"/>
  <c r="G21" i="1"/>
  <c r="A21" i="1" s="1"/>
  <c r="G22" i="1"/>
  <c r="A22" i="1" s="1"/>
  <c r="G23" i="1"/>
  <c r="A23" i="1" s="1"/>
  <c r="G24" i="1"/>
  <c r="A24" i="1" s="1"/>
  <c r="G25" i="1"/>
  <c r="A25" i="1" s="1"/>
  <c r="G30" i="1"/>
  <c r="A30" i="1" s="1"/>
  <c r="G28" i="1"/>
  <c r="A28" i="1" s="1"/>
  <c r="G27" i="1"/>
  <c r="A27" i="1" s="1"/>
  <c r="G29" i="1"/>
  <c r="A29" i="1" s="1"/>
  <c r="G26" i="1"/>
  <c r="G31" i="1"/>
  <c r="A31" i="1" s="1"/>
  <c r="G32" i="1"/>
  <c r="A32" i="1" s="1"/>
  <c r="G33" i="1"/>
  <c r="A33" i="1" s="1"/>
  <c r="G34" i="1"/>
  <c r="A34" i="1" s="1"/>
  <c r="G35" i="1"/>
  <c r="A35" i="1" s="1"/>
  <c r="G36" i="1"/>
  <c r="A36" i="1" s="1"/>
  <c r="G37" i="1"/>
  <c r="A37" i="1" s="1"/>
  <c r="G38" i="1"/>
  <c r="A38" i="1" s="1"/>
  <c r="G40" i="1"/>
  <c r="A40" i="1" s="1"/>
  <c r="G39" i="1"/>
  <c r="A39" i="1" s="1"/>
  <c r="G41" i="1"/>
  <c r="A41" i="1" s="1"/>
  <c r="G43" i="1"/>
  <c r="A43" i="1" s="1"/>
  <c r="G42" i="1"/>
  <c r="A42" i="1" s="1"/>
  <c r="G44" i="1"/>
  <c r="A44" i="1" s="1"/>
  <c r="G45" i="1"/>
  <c r="A45" i="1" s="1"/>
  <c r="G46" i="1"/>
  <c r="A46" i="1" s="1"/>
  <c r="G47" i="1"/>
  <c r="A47" i="1" s="1"/>
  <c r="G48" i="1"/>
  <c r="G50" i="1"/>
  <c r="A50" i="1" s="1"/>
  <c r="G49" i="1"/>
  <c r="A49" i="1" s="1"/>
  <c r="G54" i="1"/>
  <c r="A54" i="1" s="1"/>
  <c r="G55" i="1"/>
  <c r="A55" i="1" s="1"/>
  <c r="G51" i="1"/>
  <c r="G52" i="1"/>
  <c r="G53" i="1"/>
  <c r="G56" i="1"/>
  <c r="A56" i="1" s="1"/>
  <c r="G57" i="1"/>
  <c r="A57" i="1" s="1"/>
  <c r="G63" i="1"/>
  <c r="A63" i="1" s="1"/>
  <c r="G62" i="1"/>
  <c r="A62" i="1" s="1"/>
  <c r="G64" i="1"/>
  <c r="A64" i="1" s="1"/>
  <c r="G61" i="1"/>
  <c r="G60" i="1"/>
  <c r="G59" i="1"/>
  <c r="G58" i="1"/>
  <c r="G65" i="1"/>
  <c r="A65" i="1" s="1"/>
  <c r="G66" i="1"/>
  <c r="A66" i="1" s="1"/>
  <c r="G68" i="1"/>
  <c r="A68" i="1" s="1"/>
  <c r="G69" i="1"/>
  <c r="A69" i="1" s="1"/>
  <c r="G70" i="1"/>
  <c r="A70" i="1" s="1"/>
  <c r="G71" i="1"/>
  <c r="A71" i="1" s="1"/>
  <c r="G67" i="1"/>
  <c r="A67" i="1" s="1"/>
  <c r="G72" i="1"/>
  <c r="A72" i="1" s="1"/>
  <c r="G73" i="1"/>
  <c r="A73" i="1" s="1"/>
  <c r="G74" i="1"/>
  <c r="A74" i="1" s="1"/>
  <c r="G75" i="1"/>
  <c r="A75" i="1" s="1"/>
  <c r="G76" i="1"/>
  <c r="A76" i="1" s="1"/>
  <c r="G77" i="1"/>
  <c r="A77" i="1" s="1"/>
  <c r="G80" i="1"/>
  <c r="A80" i="1" s="1"/>
  <c r="G78" i="1"/>
  <c r="G79" i="1"/>
  <c r="G81" i="1"/>
  <c r="A81" i="1" s="1"/>
  <c r="G82" i="1"/>
  <c r="A82" i="1" s="1"/>
  <c r="G83" i="1"/>
  <c r="A83" i="1" s="1"/>
  <c r="G84" i="1"/>
  <c r="A84" i="1" s="1"/>
  <c r="G85" i="1"/>
  <c r="A85" i="1" s="1"/>
  <c r="G88" i="1"/>
  <c r="A88" i="1" s="1"/>
  <c r="G87" i="1"/>
  <c r="G86" i="1"/>
  <c r="G91" i="1"/>
  <c r="A91" i="1" s="1"/>
  <c r="G90" i="1"/>
  <c r="A90" i="1" s="1"/>
  <c r="G89" i="1"/>
  <c r="G95" i="1"/>
  <c r="A95" i="1" s="1"/>
  <c r="G96" i="1"/>
  <c r="A96" i="1" s="1"/>
  <c r="G92" i="1"/>
  <c r="G93" i="1"/>
  <c r="G94" i="1"/>
  <c r="G98" i="1"/>
  <c r="A98" i="1" s="1"/>
  <c r="G100" i="1"/>
  <c r="A100" i="1" s="1"/>
  <c r="G101" i="1"/>
  <c r="A101" i="1" s="1"/>
  <c r="G99" i="1"/>
  <c r="A99" i="1" s="1"/>
  <c r="G97" i="1"/>
  <c r="A97" i="1" s="1"/>
  <c r="G102" i="1"/>
  <c r="A102" i="1" s="1"/>
  <c r="G110" i="1"/>
  <c r="A110" i="1" s="1"/>
  <c r="G112" i="1"/>
  <c r="A112" i="1" s="1"/>
  <c r="G111" i="1"/>
  <c r="A111" i="1" s="1"/>
  <c r="G113" i="1"/>
  <c r="A113" i="1" s="1"/>
  <c r="G109" i="1"/>
  <c r="G105" i="1"/>
  <c r="G104" i="1"/>
  <c r="G106" i="1"/>
  <c r="G103" i="1"/>
  <c r="G108" i="1"/>
  <c r="G107" i="1"/>
  <c r="G116" i="1"/>
  <c r="A116" i="1" s="1"/>
  <c r="G117" i="1"/>
  <c r="A117" i="1" s="1"/>
  <c r="G115" i="1"/>
  <c r="A115" i="1" s="1"/>
  <c r="G114" i="1"/>
  <c r="A114" i="1" s="1"/>
  <c r="G120" i="1"/>
  <c r="A120" i="1" s="1"/>
  <c r="G119" i="1"/>
  <c r="A119" i="1" s="1"/>
  <c r="G118" i="1"/>
  <c r="G121" i="1"/>
  <c r="A121" i="1" s="1"/>
  <c r="G123" i="1"/>
  <c r="A123" i="1" s="1"/>
  <c r="G122" i="1"/>
  <c r="A122" i="1" s="1"/>
  <c r="G124" i="1"/>
  <c r="A124" i="1" s="1"/>
  <c r="G125" i="1"/>
  <c r="A125" i="1" s="1"/>
  <c r="G128" i="1"/>
  <c r="A128" i="1" s="1"/>
  <c r="G126" i="1"/>
  <c r="G127" i="1"/>
  <c r="G129" i="1"/>
  <c r="A129" i="1" s="1"/>
  <c r="G133" i="1"/>
  <c r="A133" i="1" s="1"/>
  <c r="G132" i="1"/>
  <c r="A132" i="1" s="1"/>
  <c r="G131" i="1"/>
  <c r="A131" i="1" s="1"/>
  <c r="G130" i="1"/>
  <c r="G134" i="1"/>
  <c r="A134" i="1" s="1"/>
  <c r="G136" i="1"/>
  <c r="A136" i="1" s="1"/>
  <c r="G135" i="1"/>
  <c r="A135" i="1" s="1"/>
  <c r="G138" i="1"/>
  <c r="A138" i="1" s="1"/>
  <c r="G137" i="1"/>
  <c r="A137" i="1" s="1"/>
  <c r="G143" i="1"/>
  <c r="A143" i="1" s="1"/>
  <c r="G140" i="1"/>
  <c r="A140" i="1" s="1"/>
  <c r="G141" i="1"/>
  <c r="A141" i="1" s="1"/>
  <c r="G142" i="1"/>
  <c r="A142" i="1" s="1"/>
  <c r="G144" i="1"/>
  <c r="A144" i="1" s="1"/>
  <c r="G145" i="1"/>
  <c r="A145" i="1" s="1"/>
  <c r="G147" i="1"/>
  <c r="G146" i="1"/>
  <c r="G150" i="1"/>
  <c r="A150" i="1" s="1"/>
  <c r="G151" i="1"/>
  <c r="A151" i="1" s="1"/>
  <c r="G148" i="1"/>
  <c r="A148" i="1" s="1"/>
  <c r="G149" i="1"/>
  <c r="A149" i="1" s="1"/>
  <c r="G152" i="1"/>
  <c r="G153" i="1"/>
  <c r="G154" i="1"/>
  <c r="G155" i="1"/>
  <c r="A155" i="1" s="1"/>
  <c r="G156" i="1"/>
  <c r="G157" i="1"/>
  <c r="A157" i="1" s="1"/>
  <c r="G159" i="1"/>
  <c r="G158" i="1"/>
  <c r="G161" i="1"/>
  <c r="A161" i="1" s="1"/>
  <c r="G160" i="1"/>
  <c r="G162" i="1"/>
  <c r="A162" i="1" s="1"/>
  <c r="G163" i="1"/>
  <c r="A163" i="1" s="1"/>
  <c r="G166" i="1"/>
  <c r="A166" i="1" s="1"/>
  <c r="G165" i="1"/>
  <c r="A165" i="1" s="1"/>
  <c r="G164" i="1"/>
  <c r="G167" i="1"/>
  <c r="A167" i="1" s="1"/>
  <c r="G171" i="1"/>
  <c r="A171" i="1" s="1"/>
  <c r="G168" i="1"/>
  <c r="A168" i="1" s="1"/>
  <c r="G172" i="1"/>
  <c r="A172" i="1" s="1"/>
  <c r="G170" i="1"/>
  <c r="A170" i="1" s="1"/>
  <c r="G169" i="1"/>
  <c r="A169" i="1" s="1"/>
  <c r="G174" i="1"/>
  <c r="G173" i="1"/>
  <c r="G175" i="1"/>
  <c r="G179" i="1"/>
  <c r="A179" i="1" s="1"/>
  <c r="G177" i="1"/>
  <c r="A177" i="1" s="1"/>
  <c r="G178" i="1"/>
  <c r="A178" i="1" s="1"/>
  <c r="G176" i="1"/>
  <c r="G182" i="1"/>
  <c r="A182" i="1" s="1"/>
  <c r="G181" i="1"/>
  <c r="G180" i="1"/>
  <c r="G183" i="1"/>
  <c r="A183" i="1" s="1"/>
  <c r="G184" i="1"/>
  <c r="A184" i="1" s="1"/>
  <c r="G185" i="1"/>
  <c r="A185" i="1" s="1"/>
  <c r="G189" i="1"/>
  <c r="A189" i="1" s="1"/>
  <c r="G190" i="1"/>
  <c r="A190" i="1" s="1"/>
  <c r="G187" i="1"/>
  <c r="A187" i="1" s="1"/>
  <c r="G186" i="1"/>
  <c r="A186" i="1" s="1"/>
  <c r="G188" i="1"/>
  <c r="G194" i="1"/>
  <c r="A194" i="1" s="1"/>
  <c r="G193" i="1"/>
  <c r="A193" i="1" s="1"/>
  <c r="G191" i="1"/>
  <c r="A191" i="1" s="1"/>
  <c r="G192" i="1"/>
  <c r="A192" i="1" s="1"/>
  <c r="G196" i="1"/>
  <c r="A196" i="1" s="1"/>
  <c r="G195" i="1"/>
  <c r="A195" i="1" s="1"/>
  <c r="G197" i="1"/>
  <c r="A197" i="1" s="1"/>
  <c r="G198" i="1"/>
  <c r="A198" i="1" s="1"/>
  <c r="G200" i="1"/>
  <c r="A200" i="1" s="1"/>
  <c r="G199" i="1"/>
  <c r="A199" i="1" s="1"/>
  <c r="G202" i="1"/>
  <c r="A202" i="1" s="1"/>
  <c r="G201" i="1"/>
  <c r="A201" i="1" s="1"/>
  <c r="G203" i="1"/>
  <c r="A203" i="1" s="1"/>
  <c r="G204" i="1"/>
  <c r="A204" i="1" s="1"/>
  <c r="G206" i="1"/>
  <c r="A206" i="1" s="1"/>
  <c r="G205" i="1"/>
  <c r="A205" i="1" s="1"/>
  <c r="G208" i="1"/>
  <c r="A208" i="1" s="1"/>
  <c r="G207" i="1"/>
  <c r="A207" i="1" s="1"/>
  <c r="G209" i="1"/>
  <c r="A209" i="1" s="1"/>
  <c r="G211" i="1"/>
  <c r="A211" i="1" s="1"/>
  <c r="G210" i="1"/>
  <c r="A210" i="1" s="1"/>
  <c r="G214" i="1"/>
  <c r="A214" i="1" s="1"/>
  <c r="G217" i="1"/>
  <c r="A217" i="1" s="1"/>
  <c r="G216" i="1"/>
  <c r="A216" i="1" s="1"/>
  <c r="G212" i="1"/>
  <c r="A212" i="1" s="1"/>
  <c r="G213" i="1"/>
  <c r="A213" i="1" s="1"/>
  <c r="G215" i="1"/>
  <c r="A215" i="1" s="1"/>
  <c r="G218" i="1"/>
  <c r="A218" i="1" s="1"/>
  <c r="G221" i="1"/>
  <c r="A221" i="1" s="1"/>
  <c r="G219" i="1"/>
  <c r="A219" i="1" s="1"/>
  <c r="G220" i="1"/>
  <c r="A220" i="1" s="1"/>
  <c r="G222" i="1"/>
  <c r="A222" i="1" s="1"/>
  <c r="G223" i="1"/>
  <c r="A223" i="1" s="1"/>
  <c r="G224" i="1"/>
  <c r="A224" i="1" s="1"/>
  <c r="G227" i="1"/>
  <c r="A227" i="1" s="1"/>
  <c r="G228" i="1"/>
  <c r="A228" i="1" s="1"/>
  <c r="G230" i="1"/>
  <c r="A230" i="1" s="1"/>
  <c r="G229" i="1"/>
  <c r="A229" i="1" s="1"/>
  <c r="G225" i="1"/>
  <c r="A225" i="1" s="1"/>
  <c r="G226" i="1"/>
  <c r="A226" i="1" s="1"/>
  <c r="G231" i="1"/>
  <c r="A231" i="1" s="1"/>
  <c r="G232" i="1"/>
  <c r="A232" i="1" s="1"/>
  <c r="G235" i="1"/>
  <c r="A235" i="1" s="1"/>
  <c r="G234" i="1"/>
  <c r="A234" i="1" s="1"/>
  <c r="G233" i="1"/>
  <c r="G238" i="1"/>
  <c r="A238" i="1" s="1"/>
  <c r="G236" i="1"/>
  <c r="A236" i="1" s="1"/>
  <c r="G237" i="1"/>
  <c r="A237" i="1" s="1"/>
  <c r="G239" i="1"/>
  <c r="A239" i="1" s="1"/>
  <c r="G242" i="1"/>
  <c r="A242" i="1" s="1"/>
  <c r="G240" i="1"/>
  <c r="A240" i="1" s="1"/>
  <c r="G241" i="1"/>
  <c r="A241" i="1" s="1"/>
  <c r="G243" i="1"/>
  <c r="A243" i="1" s="1"/>
  <c r="G244" i="1"/>
  <c r="A244" i="1" s="1"/>
  <c r="G246" i="1"/>
  <c r="A246" i="1" s="1"/>
  <c r="G248" i="1"/>
  <c r="A248" i="1" s="1"/>
  <c r="G245" i="1"/>
  <c r="A245" i="1" s="1"/>
  <c r="G247" i="1"/>
  <c r="A247" i="1" s="1"/>
  <c r="G249" i="1"/>
  <c r="A249" i="1" s="1"/>
  <c r="G251" i="1"/>
  <c r="A251" i="1" s="1"/>
  <c r="G250" i="1"/>
  <c r="A250" i="1" s="1"/>
  <c r="G254" i="1"/>
  <c r="A254" i="1" s="1"/>
  <c r="G253" i="1"/>
  <c r="A253" i="1" s="1"/>
  <c r="G252" i="1"/>
  <c r="G255" i="1"/>
  <c r="G256" i="1"/>
  <c r="G257" i="1"/>
  <c r="G260" i="1"/>
  <c r="A260" i="1" s="1"/>
  <c r="G258" i="1"/>
  <c r="G259" i="1"/>
  <c r="G3" i="1"/>
  <c r="C252" i="1"/>
  <c r="C257" i="1"/>
  <c r="C256" i="1"/>
  <c r="C255" i="1"/>
  <c r="C259" i="1"/>
  <c r="C258" i="1"/>
  <c r="C5" i="1"/>
  <c r="C4" i="1"/>
  <c r="C2" i="1"/>
  <c r="C6" i="1"/>
  <c r="C3" i="1"/>
  <c r="C10" i="1"/>
  <c r="A10" i="1" s="1"/>
  <c r="C14" i="1"/>
  <c r="C9" i="1"/>
  <c r="C8" i="1"/>
  <c r="C7" i="1"/>
  <c r="C15" i="1"/>
  <c r="C16" i="1"/>
  <c r="C17" i="1"/>
  <c r="C26" i="1"/>
  <c r="C48" i="1"/>
  <c r="C53" i="1"/>
  <c r="C52" i="1"/>
  <c r="C51" i="1"/>
  <c r="C58" i="1"/>
  <c r="C175" i="1"/>
  <c r="C59" i="1"/>
  <c r="C60" i="1"/>
  <c r="C79" i="1"/>
  <c r="C78" i="1"/>
  <c r="C86" i="1"/>
  <c r="C164" i="1"/>
  <c r="C94" i="1"/>
  <c r="C93" i="1"/>
  <c r="C92" i="1"/>
  <c r="C107" i="1"/>
  <c r="C108" i="1"/>
  <c r="C103" i="1"/>
  <c r="C106" i="1"/>
  <c r="C104" i="1"/>
  <c r="C105" i="1"/>
  <c r="C109" i="1"/>
  <c r="C118" i="1"/>
  <c r="C127" i="1"/>
  <c r="C126" i="1"/>
  <c r="C130" i="1"/>
  <c r="C146" i="1"/>
  <c r="C147" i="1"/>
  <c r="C152" i="1"/>
  <c r="C153" i="1"/>
  <c r="C154" i="1"/>
  <c r="C156" i="1"/>
  <c r="C158" i="1"/>
  <c r="C159" i="1"/>
  <c r="C160" i="1"/>
  <c r="C89" i="1"/>
  <c r="C173" i="1"/>
  <c r="C174" i="1"/>
  <c r="C176" i="1"/>
  <c r="C180" i="1"/>
  <c r="C181" i="1"/>
  <c r="C188" i="1"/>
  <c r="C233" i="1"/>
  <c r="C87" i="1"/>
  <c r="C61" i="1"/>
  <c r="A17" i="1" l="1"/>
  <c r="A118" i="1"/>
  <c r="A107" i="1"/>
  <c r="A8" i="1"/>
  <c r="A164" i="1"/>
  <c r="A51" i="1"/>
  <c r="A104" i="1"/>
  <c r="N146" i="1"/>
  <c r="A146" i="1"/>
  <c r="N130" i="1"/>
  <c r="A130" i="1"/>
  <c r="N258" i="1"/>
  <c r="A258" i="1"/>
  <c r="N158" i="1"/>
  <c r="A158" i="1"/>
  <c r="N79" i="1"/>
  <c r="A79" i="1"/>
  <c r="N48" i="1"/>
  <c r="A48" i="1"/>
  <c r="N174" i="1"/>
  <c r="A174" i="1"/>
  <c r="N109" i="1"/>
  <c r="A109" i="1"/>
  <c r="N93" i="1"/>
  <c r="A93" i="1"/>
  <c r="N175" i="1"/>
  <c r="A175" i="1"/>
  <c r="N16" i="1"/>
  <c r="A16" i="1"/>
  <c r="N6" i="1"/>
  <c r="A6" i="1"/>
  <c r="N257" i="1"/>
  <c r="A257" i="1"/>
  <c r="N106" i="1"/>
  <c r="A106" i="1"/>
  <c r="N103" i="1"/>
  <c r="A103" i="1"/>
  <c r="N53" i="1"/>
  <c r="A53" i="1"/>
  <c r="N181" i="1"/>
  <c r="A181" i="1"/>
  <c r="N108" i="1"/>
  <c r="A108" i="1"/>
  <c r="N259" i="1"/>
  <c r="A259" i="1"/>
  <c r="N153" i="1"/>
  <c r="A153" i="1"/>
  <c r="N61" i="1"/>
  <c r="A61" i="1"/>
  <c r="N173" i="1"/>
  <c r="A173" i="1"/>
  <c r="N152" i="1"/>
  <c r="A152" i="1"/>
  <c r="N105" i="1"/>
  <c r="A105" i="1"/>
  <c r="N94" i="1"/>
  <c r="A94" i="1"/>
  <c r="N58" i="1"/>
  <c r="A58" i="1"/>
  <c r="N15" i="1"/>
  <c r="A15" i="1"/>
  <c r="N252" i="1"/>
  <c r="A252" i="1"/>
  <c r="N87" i="1"/>
  <c r="A87" i="1"/>
  <c r="N7" i="1"/>
  <c r="A7" i="1"/>
  <c r="N147" i="1"/>
  <c r="A147" i="1"/>
  <c r="N86" i="1"/>
  <c r="A86" i="1"/>
  <c r="N52" i="1"/>
  <c r="A52" i="1"/>
  <c r="N5" i="1"/>
  <c r="A5" i="1"/>
  <c r="N233" i="1"/>
  <c r="A233" i="1"/>
  <c r="N78" i="1"/>
  <c r="A78" i="1"/>
  <c r="N89" i="1"/>
  <c r="A89" i="1"/>
  <c r="N4" i="1"/>
  <c r="A4" i="1"/>
  <c r="N159" i="1"/>
  <c r="A159" i="1"/>
  <c r="N9" i="1"/>
  <c r="A9" i="1"/>
  <c r="N126" i="1"/>
  <c r="A126" i="1"/>
  <c r="N14" i="1"/>
  <c r="A14" i="1"/>
  <c r="N160" i="1"/>
  <c r="A160" i="1"/>
  <c r="N188" i="1"/>
  <c r="A188" i="1"/>
  <c r="N180" i="1"/>
  <c r="A180" i="1"/>
  <c r="N156" i="1"/>
  <c r="A156" i="1"/>
  <c r="N127" i="1"/>
  <c r="A127" i="1"/>
  <c r="N60" i="1"/>
  <c r="A60" i="1"/>
  <c r="N26" i="1"/>
  <c r="A26" i="1"/>
  <c r="N255" i="1"/>
  <c r="A255" i="1"/>
  <c r="N176" i="1"/>
  <c r="A176" i="1"/>
  <c r="N154" i="1"/>
  <c r="A154" i="1"/>
  <c r="N92" i="1"/>
  <c r="A92" i="1"/>
  <c r="N59" i="1"/>
  <c r="A59" i="1"/>
  <c r="N3" i="1"/>
  <c r="A3" i="1"/>
  <c r="N256" i="1"/>
  <c r="A256" i="1"/>
  <c r="N104" i="1"/>
  <c r="N164" i="1"/>
  <c r="N51" i="1"/>
  <c r="N8" i="1"/>
  <c r="N107" i="1"/>
  <c r="N10" i="1"/>
  <c r="N118" i="1"/>
  <c r="N17" i="1"/>
  <c r="N2" i="1"/>
  <c r="A2" i="1"/>
  <c r="M3" i="15"/>
  <c r="L2" i="16"/>
  <c r="L21" i="16" s="1"/>
  <c r="L23" i="16" s="1"/>
  <c r="N3" i="15"/>
  <c r="M2" i="16"/>
  <c r="M21" i="16" s="1"/>
  <c r="M23" i="16" s="1"/>
  <c r="O4" i="15"/>
  <c r="N2" i="16"/>
  <c r="N21" i="16" s="1"/>
  <c r="N23" i="16" s="1"/>
  <c r="AI3" i="15" l="1"/>
  <c r="AH2" i="16"/>
  <c r="AH21" i="16" s="1"/>
  <c r="AK3" i="15"/>
  <c r="AJ3" i="15"/>
  <c r="AK2" i="16"/>
  <c r="AK21" i="16" s="1"/>
  <c r="AL3" i="15"/>
  <c r="AJ2" i="16"/>
  <c r="AJ21" i="16" s="1"/>
  <c r="AI2" i="16"/>
  <c r="AI21" i="16" s="1"/>
  <c r="AH23" i="16" l="1"/>
  <c r="AK23" i="16"/>
  <c r="AJ23" i="16"/>
  <c r="AI23" i="16"/>
  <c r="BG2" i="16"/>
  <c r="BG21" i="16" s="1"/>
  <c r="BG23" i="16" s="1"/>
  <c r="BH2" i="16"/>
  <c r="BH21" i="16" s="1"/>
  <c r="BH23" i="16" s="1"/>
  <c r="BI2" i="16"/>
  <c r="BI21" i="16" s="1"/>
  <c r="BI23" i="16" s="1"/>
  <c r="BJ2" i="16"/>
  <c r="BJ21" i="16" s="1"/>
  <c r="BJ23" i="16" s="1"/>
  <c r="BC2" i="16"/>
  <c r="BC21" i="16" s="1"/>
  <c r="BC23" i="16" s="1"/>
  <c r="BK2" i="16"/>
  <c r="BK21" i="16" s="1"/>
  <c r="BK23" i="16" s="1"/>
  <c r="BD2" i="16"/>
  <c r="BD21" i="16" s="1"/>
  <c r="BD23" i="16" s="1"/>
  <c r="BL2" i="16"/>
  <c r="BL21" i="16" s="1"/>
  <c r="BL23" i="16" s="1"/>
  <c r="BE2" i="16"/>
  <c r="BE21" i="16" s="1"/>
  <c r="BE23" i="16" s="1"/>
  <c r="BM2" i="16"/>
  <c r="BM21" i="16" s="1"/>
  <c r="BM23" i="16" s="1"/>
  <c r="BF2" i="16"/>
  <c r="BF21" i="16" s="1"/>
  <c r="BF23" i="16" s="1"/>
  <c r="BN2" i="16"/>
  <c r="BN21" i="16" s="1"/>
  <c r="BN23" i="16" s="1"/>
</calcChain>
</file>

<file path=xl/sharedStrings.xml><?xml version="1.0" encoding="utf-8"?>
<sst xmlns="http://schemas.openxmlformats.org/spreadsheetml/2006/main" count="28809" uniqueCount="4809">
  <si>
    <t>Card_type</t>
  </si>
  <si>
    <t>Fin_Type</t>
  </si>
  <si>
    <t>TRANSFER - CREDIT,260819113085,Transfer From 4010-512145-001,AKSHIT WALIA</t>
  </si>
  <si>
    <t>LOAN</t>
  </si>
  <si>
    <t>FRIEND</t>
  </si>
  <si>
    <t>TRANSFER - CREDIT,260819113069,Transfer From 4010-512145-001,AKSHIT WALIA</t>
  </si>
  <si>
    <t>SELF CHEQUE BOOK FEE,637024429596</t>
  </si>
  <si>
    <t>SERVICE</t>
  </si>
  <si>
    <t>BANK</t>
  </si>
  <si>
    <t>NAPS PURCHASE,000001049025,4018 016772 72240402,HAREESONA DOHA,4342041934720023 26/08 19.30,63409000000</t>
  </si>
  <si>
    <t>FOOD</t>
  </si>
  <si>
    <t>CAFÉ/REST.</t>
  </si>
  <si>
    <t>ATM CASH WITHDRAWAL,923816758781,4612 758781,COMM. BANK OF QATAR DOHA,4342041934720023 26/08 19.07</t>
  </si>
  <si>
    <t>WITHDRAW</t>
  </si>
  <si>
    <t>SELF</t>
  </si>
  <si>
    <t>TRANSFER - DEBIT,270819110844,helping amount,Akshit Walia</t>
  </si>
  <si>
    <t>TELEX CHARGE,270819013421,Telex Transfer Charges</t>
  </si>
  <si>
    <t>SALARY TRANSFER,CDD 90827H005601,QCH4487250990000 QAR,QATAR AIRWAYS,2/SALA</t>
  </si>
  <si>
    <t>SALARY</t>
  </si>
  <si>
    <t>QATAR AIR</t>
  </si>
  <si>
    <t>NAPS ATM,923907875302,4018 011576 IQ000136,IBQ QATAR AIRWAYS DOHA,4342041934720023 27/08 10.49,63402000000</t>
  </si>
  <si>
    <t>TELEX TRANSFER,270819013421,family,Vineet Kumar Saraswat</t>
  </si>
  <si>
    <t>TRANSFER</t>
  </si>
  <si>
    <t>INDIA</t>
  </si>
  <si>
    <t>COMMISSION/FEE,4700-193472-001,Re-Issuance of new cheque book-RIB</t>
  </si>
  <si>
    <t>NAPS PURCHASE,000001048059,4018 007412 82491201,THE COFFEE SHOP QR TOWDOHA,4342041934720023 01/09 11.47,63409000000</t>
  </si>
  <si>
    <t>CREDIT,270819013421,BAW-TT Charge Refund</t>
  </si>
  <si>
    <t>CAREEM NETWORKS FZ LLC DUBAI ARE AUTH NO. 091262</t>
  </si>
  <si>
    <t>MINISTER OF FOREIGN AF DOHA QAT AUTH NO. 047645</t>
  </si>
  <si>
    <t>VISA</t>
  </si>
  <si>
    <t>MINISTERY</t>
  </si>
  <si>
    <t>CAREEM NETWORKS FZ LLC DUBAI ARE AUTH NO. 071417</t>
  </si>
  <si>
    <t>CAFE TASSE -SOUQ WAQEF DOHA QAT AUTH NO. 024771</t>
  </si>
  <si>
    <t>CAREEM NETWORKS FZ LLC DUBAI ARE AUTH NO. 052270</t>
  </si>
  <si>
    <t>THE COFFEE SHOP QR TOW DOHA QAT AUTH NO. 098436</t>
  </si>
  <si>
    <t>QATAR AIR DOHA QAT AUTH NO. 018563</t>
  </si>
  <si>
    <t>THE COFFEE SHOP QR TOW DOHA QAT AUTH NO. 058426</t>
  </si>
  <si>
    <t>CAREEM NETWORKS FZ LLC DUBAI ARE AUTH NO. 036073</t>
  </si>
  <si>
    <t>THE COFFEE SHOP QR TOW DOHA QAT AUTH NO. 024301</t>
  </si>
  <si>
    <t>THE COFFEE SHOP QR TOW DOHA QAT AUTH NO. 089552</t>
  </si>
  <si>
    <t>QATAR AIR DOHA QAT AUTH NO. 005171</t>
  </si>
  <si>
    <t>NAPS ATM,925505987099,4018 013997 IQ000148,QATAR AIRWAYS BRANCH 2DOHA,4342041934720023 12/09 08.48,63402000000</t>
  </si>
  <si>
    <t>LULU EXPRESS TRADING COMP DOHA 634 AUTH NO. 028120</t>
  </si>
  <si>
    <t>GROCERY</t>
  </si>
  <si>
    <t>LULU</t>
  </si>
  <si>
    <t>KAILASH PARBAT RESTAURANT DOHA 634 AUTH NO. 067662</t>
  </si>
  <si>
    <t>THE COFFEE SHOP QR TOW DOHA QAT AUTH NO. 007288</t>
  </si>
  <si>
    <t>UBERBV UBER TRIP HELP.UBE HELP.UBER.COM 528 AUTH NO. 072654</t>
  </si>
  <si>
    <t>THE COFFEE SHOP QR TOW DOHA QAT AUTH NO. 064146</t>
  </si>
  <si>
    <t>GRAND MART SUPERMARKET DOHA QAT AUTH NO. 006245</t>
  </si>
  <si>
    <t>GRANDMART</t>
  </si>
  <si>
    <t>CAREEM NETWORKS FZ LLC DUBAI ARE AUTH NO. 047498</t>
  </si>
  <si>
    <t>CAREEM NETWORKS FZ LLC DUBAI ARE AUTH NO. 081642</t>
  </si>
  <si>
    <t>LULU HYPERMARKET DOHA 634 AUTH NO. 007898</t>
  </si>
  <si>
    <t>LULU HYPERMARKET DOHA 634 AUTH NO. 055996</t>
  </si>
  <si>
    <t>CAREEM NETWORKS FZ LLC DUBAI ARE AUTH NO. 026855</t>
  </si>
  <si>
    <t>THE COFFEE SHOP QR TOW DOHA QAT AUTH NO. 093522</t>
  </si>
  <si>
    <t>OOREDOO TOP-UP DOHA QAT AUTH NO. 097475</t>
  </si>
  <si>
    <t>TELECOM</t>
  </si>
  <si>
    <t>OOREDOO</t>
  </si>
  <si>
    <t>THE COFFEE SHOP QR TOW DOHA QAT AUTH NO. 042882</t>
  </si>
  <si>
    <t>NEW INDIAN SUP MARKET DOHA 634 AUTH NO. 037976</t>
  </si>
  <si>
    <t>NEW INDIAN SUP</t>
  </si>
  <si>
    <t>CAREEM NETWORKS FZ LLC DUBAI ARE AUTH NO. 034559</t>
  </si>
  <si>
    <t>FOOD SMART QATAR AIRWA DOHA QAT AUTH NO. 093312</t>
  </si>
  <si>
    <t>SALARY TRANSFER,CDD 90926H005160,QCH1104746094000 QAR,QATAR AIRWAYS,2/SALA</t>
  </si>
  <si>
    <t>CARREFOUR DOHA QAT AUTH NO. 066470</t>
  </si>
  <si>
    <t>CARREFOUR</t>
  </si>
  <si>
    <t>HAREESNA RESTAURANT DOHA QAT AUTH NO. 010670</t>
  </si>
  <si>
    <t>TELEX TRANSFER,270919013468,monthly,Vineet Kumar Saraswat</t>
  </si>
  <si>
    <t>TELEX CHARGE,270919013468,Telex Transfer Charges</t>
  </si>
  <si>
    <t>ATM CASH WITHDRAWAL,927115757728,4610 757728,COMM. BANK OF QATAR DOHA,4342041934720023 28/09 18.02</t>
  </si>
  <si>
    <t>NEW INDIAN SUP MARKET DOHA 634 AUTH NO. 065495</t>
  </si>
  <si>
    <t>CBQ REWARDS DOHA 634 AUTH NO. 057409</t>
  </si>
  <si>
    <t>THE COFFEE SHOP QR TOW DOHA QAT AUTH NO. 017863</t>
  </si>
  <si>
    <t>CREDIT SHIELD PLUS CHARGES</t>
  </si>
  <si>
    <t>CAREEM NETWORKS FZ LLC DUBAI ARE AUTH NO. 040772</t>
  </si>
  <si>
    <t>VODAFONE-MOBILE APP DOHA QAT AUTH NO. 018549</t>
  </si>
  <si>
    <t>VODAFONE</t>
  </si>
  <si>
    <t>TELEX CHARGE,ThirdParty Transfer Charges,011019113763</t>
  </si>
  <si>
    <t>PAID BY ACCOUNT</t>
  </si>
  <si>
    <t>CC BILL PAYMENT</t>
  </si>
  <si>
    <t>TELEX TRANSFER,011019113763,Capital One OCT 19,Capital One Trading Wll</t>
  </si>
  <si>
    <t>RENT</t>
  </si>
  <si>
    <t>CAP ONE</t>
  </si>
  <si>
    <t>CREDIT CARD COLLECTION,011019702485,CARD NO 5416 xxxx xxxx 9104,Paid using bankDirect</t>
  </si>
  <si>
    <t>CREDIT,270919013468,BAW-TT Charge Refund</t>
  </si>
  <si>
    <t>CAREEM NETWORKS FZ LLC DUBAI ARE AUTH NO. 058410</t>
  </si>
  <si>
    <t>CAREEM NETWORKS FZ LLC DUBAI ARE AUTH NO. 074604</t>
  </si>
  <si>
    <t>CAREEM NETWORKS FZ LLC DUBAI ARE AUTH NO. 004454</t>
  </si>
  <si>
    <t>THE COFFEE SHOP QR TOW DOHA QAT AUTH NO. 003656</t>
  </si>
  <si>
    <t>HOLOTEQ AL SAD DOHA QAT AUTH NO. 097298</t>
  </si>
  <si>
    <t>ALKHEBRA</t>
  </si>
  <si>
    <t>THE COFFEE SHOP QR TOW DOHA QAT AUTH NO. 043584</t>
  </si>
  <si>
    <t>AL-KHEBRA DRIVING SCHOOL DOHA 634 AUTH NO. 045455</t>
  </si>
  <si>
    <t>FAMILY FOOD CENTER DOHA QAT AUTH NO. 068418</t>
  </si>
  <si>
    <t>FFC</t>
  </si>
  <si>
    <t>THE COFFEE SHOP QR TOW DOHA QAT AUTH NO. 022469</t>
  </si>
  <si>
    <t>Credit for Transaction Instalment</t>
  </si>
  <si>
    <t>THE COFFEE SHOP QR TOW DOHA QAT AUTH NO. 073874</t>
  </si>
  <si>
    <t>LULU EXPRESS TRADING COMP DOHA 634 AUTH NO. 036882</t>
  </si>
  <si>
    <t>TELEX TRANSFER,141019012304,Arti Saraswat</t>
  </si>
  <si>
    <t>THE COFFEE SHOP QR TOW DOHA QAT AUTH NO. 051449</t>
  </si>
  <si>
    <t>TELEX CHARGE,141019012304,Telex Transfer Charges</t>
  </si>
  <si>
    <t>THE COFFEE SHOP QR TOW DOHA QAT AUTH NO. 062996</t>
  </si>
  <si>
    <t>MALABAR GOLD INT AL WA DOHA QAT AUTH NO. 094623</t>
  </si>
  <si>
    <t>GOLD</t>
  </si>
  <si>
    <t>MALABAR</t>
  </si>
  <si>
    <t>THE COFFEE SHOP QR TOW DOHA QAT AUTH NO. 038112</t>
  </si>
  <si>
    <t>BURGER KING - CITY CEN DOHA QAT AUTH NO. 072790</t>
  </si>
  <si>
    <t>SALARY TRANSFER,CDD 91029H005248,QCH4709518660000 QAR,QATAR AIRWAYS,2/SALA</t>
  </si>
  <si>
    <t>CREDIT CARD COLLECTION,291019701463,CARD NO 3643 xxxxxx 1825,Paid using bankDirect</t>
  </si>
  <si>
    <t>CAREEM NETWORKS FZ LLC DUBAI ARE AUTH NO. 011484</t>
  </si>
  <si>
    <t>CREDIT CARD COLLECTION,301019705383,CARD NO 5416 xxxx xxxx 9104,Paid using bankDirect</t>
  </si>
  <si>
    <t>CAREEM NETWORKS FZ LLC DUBAI ARE AUTH NO. 070422</t>
  </si>
  <si>
    <t>CAREEM NETWORKS FZ LLC DUBAI ARE AUTH NO. 044443</t>
  </si>
  <si>
    <t>NAPS PURCHASE,019304010696,4018 028969 31,QPay Payment Ooredoo3,4342041934720023 31/10 10.09,63493000000</t>
  </si>
  <si>
    <t>NAPS PURCHASE,000001215002,4018 031385 42811901,CARE N CURE PHARMACY DDOHA,4342041934720023 31/10 15.37,63409000000</t>
  </si>
  <si>
    <t>NAPS PURCHASE,000001117152,4018 026474 82491202,THE COFFEE SHOP QR TOWDOHA,4342041934720023 31/10 12.45,63409000000</t>
  </si>
  <si>
    <t>CAREEM NETWORKS FZ LLC DUBAI ARE AUTH NO. 075985</t>
  </si>
  <si>
    <t>CAREEM NETWORKS FZ LLC DUBAI ARE AUTH NO. 035019</t>
  </si>
  <si>
    <t>CAREEM NETWORKS FZ LLC DUBAI ARE AUTH NO. 094940</t>
  </si>
  <si>
    <t>VODAFONE-MOBILE APP DOHA QAT AUTH NO. 066332</t>
  </si>
  <si>
    <t>LULU EXPRESS TRADING COMP DOHA 634 AUTH NO. 079070</t>
  </si>
  <si>
    <t>CAREEM NETWORKS FZ LLC DUBAI ARE AUTH NO. 043893</t>
  </si>
  <si>
    <t>CAREEM NETWORKS FZ LLC DUBAI ARE AUTH NO. 096367</t>
  </si>
  <si>
    <t>CAREEM NETWORKS FZ LLC DUBAI ARE AUTH NO. 056572</t>
  </si>
  <si>
    <t>CAREEM NETWORKS FZ LLC DUBAI ARE AUTH NO. 089427</t>
  </si>
  <si>
    <t>CAREEM NETWORKS FZ LLC DUBAI ARE AUTH NO. 004131</t>
  </si>
  <si>
    <t>TELEX TRANSFER,021119012674,Vineet Kumar Saraswat</t>
  </si>
  <si>
    <t>TELEX CHARGE,ThirdParty Transfer Charges,011119110519</t>
  </si>
  <si>
    <t>TELEX CHARGE,021119012674,Telex Transfer Charges</t>
  </si>
  <si>
    <t>NAPS PURCHASE,000001198052,4018 009779 91600105,MEDICAL COMMISSION DOHA,4342041934720023 03/11 11.07,63409000000</t>
  </si>
  <si>
    <t>ATM CASH WITHDRAWAL,930515277456,4409 277456,COMM. BANK OF QATAR DOHA,4342041934720023 01/11 18.47</t>
  </si>
  <si>
    <t>TELEX TRANSFER,011119110519,Rent - Nov 2019,Capital One Trading Wll</t>
  </si>
  <si>
    <t>CREDIT,141019012304,BAW-TT Charge Refund</t>
  </si>
  <si>
    <t>CAREEM NETWORKS FZ LLC DUBAI ARE AUTH NO. 042095</t>
  </si>
  <si>
    <t>CAREEM NETWORKS FZ LLC DUBAI ARE AUTH NO. 096537</t>
  </si>
  <si>
    <t>UBERBV UBER TRIP HELP.UBE HELP.UBER.COM 528 AUTH NO. 011518</t>
  </si>
  <si>
    <t>UBERBV UBER TRIP HELP.UBE HELP.UBER.COM 528 AUTH NO. 042719</t>
  </si>
  <si>
    <t>ASTER MEDICAL CENTRE DOHA 634 AUTH NO. 092727</t>
  </si>
  <si>
    <t>AL OUSRA PHARMACY DOHA 634 AUTH NO. 023035</t>
  </si>
  <si>
    <t>NAPS PURCHASE,000001120015,4018 029690 82491202,THE COFFEE SHOP QR TOWDOHA,4342041934720023 04/11 07.37,63409000000</t>
  </si>
  <si>
    <t>CAREEM NETWORKS FZ LLC DUBAI ARE AUTH NO. 085296</t>
  </si>
  <si>
    <t>THE COFFEE SHOP QR TOW DOHA QAT AUTH NO. 045311</t>
  </si>
  <si>
    <t>UBERBV UBER TRIP HELP.UBE HELP.UBER.COM 528 AUTH NO. 037971</t>
  </si>
  <si>
    <t>UBERBV UBER TRIP HELP.UBE HELP.UBER.COM 528 AUTH NO. 082638</t>
  </si>
  <si>
    <t>UBERBV UBER TRIP HELP.UBE HELP.UBER.COM 528 AUTH NO. 070327</t>
  </si>
  <si>
    <t>FAMILY FOOD CENTER DOHA QAT AUTH NO. 003804</t>
  </si>
  <si>
    <t>NAPS PURCHASE,000001013009,4018 010062 90066825,MOI - SERVICES ( QATARDOHA,4342041934720023 06/11 09.00,63409000000</t>
  </si>
  <si>
    <t>NAPS PURCHASE,000001013008,4018 009677 90066825,MOI - SERVICES ( QATARDOHA,4342041934720023 06/11 08.56,63409000000</t>
  </si>
  <si>
    <t>CAREEM NETWORKS FZ LLC DUBAI ARE AUTH NO. 024963</t>
  </si>
  <si>
    <t>CAREEM NETWORKS FZ LLC DUBAI ARE AUTH NO. 069219</t>
  </si>
  <si>
    <t>ASTER MEDICAL CENTRE DOHA 634 AUTH NO. 092571</t>
  </si>
  <si>
    <t>NAPS PURCHASE,000001124065,4018 002017 82491202,THE COFFEE SHOP QR TOWDOHA,4342041934720023 07/11 08.58,63409000000</t>
  </si>
  <si>
    <t>OOREDOO TOP-UP DOHA QAT AUTH NO. 093814</t>
  </si>
  <si>
    <t>CAREEM NETWORKS FZ LLC DUBAI ARE AUTH NO. 023081</t>
  </si>
  <si>
    <t>CAREEM NETWORKS FZ LLC DUBAI ARE AUTH NO. 068095</t>
  </si>
  <si>
    <t>HMC - AL MUNTAZAH HEAL DOHA QAT AUTH NO. 031067</t>
  </si>
  <si>
    <t>HEALTH CENTER</t>
  </si>
  <si>
    <t>HMC - AL MUNTAZAH HEAL DOHA QAT AUTH NO. 099536</t>
  </si>
  <si>
    <t>CAREEM NETWORKS FZ LLC DUBAI ARE AUTH NO. 087182</t>
  </si>
  <si>
    <t>THE COFFEE SHOP QR TOW DOHA QAT AUTH NO. 094086</t>
  </si>
  <si>
    <t>AL OUSRA PHARMACY DOHA 634 AUTH NO. 003822</t>
  </si>
  <si>
    <t>UBERBV UBER TRIP HELP.UBE HELP.UBER.COM 528 AUTH NO. 057179</t>
  </si>
  <si>
    <t>UBERBV UBER TRIP HELP.UBE HELP.UBER.COM 528 AUTH NO. 092073</t>
  </si>
  <si>
    <t>UBERBV UBER TRIP HELP.UBE HELP.UBER.COM 528 AUTH NO. 003095</t>
  </si>
  <si>
    <t>NAPS PURCHASE,000001056049,4018 020334 73660301,BURGER KING - CITY CENDOHA,4342041934720023 13/11 19.26,63409000000</t>
  </si>
  <si>
    <t>NAPS PURCHASE,000001005059,4018 018394 59990174,CARREFOUR DOHA,4342041934720023 13/11 19.18,63409000000</t>
  </si>
  <si>
    <t>UBERBV UBER TRIP HELP.UBE HELP.UBER.COM 528 AUTH NO. 049864</t>
  </si>
  <si>
    <t>UBERBV UBER TRIP HELP.UBE HELP.UBER.COM 528 AUTH NO. 034254</t>
  </si>
  <si>
    <t>LULU HYPERMARKET DOHA 634 AUTH NO. 072215</t>
  </si>
  <si>
    <t>KALYAN JEWELLERS DOHA 634 AUTH NO. 022318</t>
  </si>
  <si>
    <t>KALYAN</t>
  </si>
  <si>
    <t>NAPS PURCHASE,000001111005,4018 006636 82491201,THE COFFEE SHOP QR TOWDOHA,4342041934720023 17/11 08.08,63409000000</t>
  </si>
  <si>
    <t>NAPS PURCHASE,000001133019,4018 009035 82491202,THE COFFEE SHOP QR TOWDOHA,4342041934720023 18/11 08.06,63409000000</t>
  </si>
  <si>
    <t>NAPS PURCHASE,000001135007,4018 014858 82491202,THE COFFEE SHOP QR TOWDOHA,4342041934720023 20/11 07.45,63409000000</t>
  </si>
  <si>
    <t>NAPS PURCHASE,000001115020,4018 026683 82491201,THE COFFEE SHOP QR TOWDOHA,4342041934720023 21/11 08.01,63409000000</t>
  </si>
  <si>
    <t>LULU HYPERMARKET DOHA 634 AUTH NO. 052992</t>
  </si>
  <si>
    <t>NAPS PURCHASE,000001112323,4018 003038 21290101,AZMEER INTERNATIONAL TDOHA,4342041934720023 23/11 11.03,63409000000</t>
  </si>
  <si>
    <t>CBQ PURCHASE,932714006393,4010 006393 78670849,LULU CENTRE TRAD. CO.-HYPDOHA,4342041934720023 23/11 17.44</t>
  </si>
  <si>
    <t>AZMEER INTERNATIONAL T DOHA QAT AUTH NO. 008038</t>
  </si>
  <si>
    <t>SALARY TRANSFER,CDD 91126H005408,QCH4668406570000 QAR,QATAR AIRWAYS,2/SALA</t>
  </si>
  <si>
    <t>NEW MADEENA HYPER-NEW DOHA QAT AUTH NO. 034217</t>
  </si>
  <si>
    <t>NEW MADEENA</t>
  </si>
  <si>
    <t>VODAFONE-MOBILE APP DOHA QAT AUTH NO. 044769</t>
  </si>
  <si>
    <t>CREDIT CARD COLLECTION,281119707054,CARD NO 3643 xxxxxx 1825,Paid using bankDirect</t>
  </si>
  <si>
    <t>OOREDOO TOP-UP DOHA QAT AUTH NO. 044790</t>
  </si>
  <si>
    <t>CAREEM NETWORKS FZ LLC DUBAI ARE AUTH NO. 059180</t>
  </si>
  <si>
    <t>CAREEM NETWORKS FZ LLC DUBAI ARE AUTH NO. 088681</t>
  </si>
  <si>
    <t>PLUS COFFEE DOHA QAT AUTH NO. 006176</t>
  </si>
  <si>
    <t>IKEA DOHA 634 AUTH NO. 009521</t>
  </si>
  <si>
    <t>IKEA</t>
  </si>
  <si>
    <t>APPAREL QATAR WLL 32 DOHA QAT AUTH NO. 024348</t>
  </si>
  <si>
    <t>SHOPPING</t>
  </si>
  <si>
    <t>R&amp;B</t>
  </si>
  <si>
    <t>CBQ PURCHASE,933414003239,4010 003239 78670857,LULU CENTRE TRAD. CO.-HYPDOHA,4342041934720023 30/11 17.11</t>
  </si>
  <si>
    <t>NAPS ATM,933310068845,4018 006924 00010054,ahlibank DOHA QATAR,4342041934720023 29/11 10.45,63401000000</t>
  </si>
  <si>
    <t>CREDIT CARD COLLECTION,291119705409,CARD NO 5416 xxxx xxxx 9104,Paid using bankDirect</t>
  </si>
  <si>
    <t>CAREEM NETWORKS FZ LLC DUBAI ARE AUTH NO. 045538</t>
  </si>
  <si>
    <t>CAREEM NETWORKS FZ LLC DUBAI ARE AUTH NO. 097582</t>
  </si>
  <si>
    <t>CAREEM NETWORKS FZ LLC DUBAI ARE AUTH NO. 094277</t>
  </si>
  <si>
    <t>CREDIT,021119012674,BAW-TT Charge Refund</t>
  </si>
  <si>
    <t>CAREEM NETWORKS FZ LLC DUBAI ARE AUTH NO. 045311</t>
  </si>
  <si>
    <t>TELEX CHARGE,ThirdParty Transfer Charges,021219111189</t>
  </si>
  <si>
    <t>TELEX TRANSFER,021219111189,DEC 19Rent,Capital One Trading Wll</t>
  </si>
  <si>
    <t>CAREEM NETWORKS FZ LLC DUBAI ARE AUTH NO. 068453</t>
  </si>
  <si>
    <t>CAREEM NETWORKS FZ LLC DUBAI ARE AUTH NO. 045844</t>
  </si>
  <si>
    <t>CAREEM NETWORKS FZ LLC DUBAI ARE AUTH NO. 047797</t>
  </si>
  <si>
    <t>CAREEM NETWORKS FZ LLC DUBAI ARE AUTH NO. 061319</t>
  </si>
  <si>
    <t>CAREEM NETWORKS FZ LLC DUBAI ARE AUTH NO. 026724</t>
  </si>
  <si>
    <t>UBERBV UBER TRIP HELP.UBE HELP.UBER.COM 528 AUTH NO. 030148</t>
  </si>
  <si>
    <t>UBERBV UBER TRIP HELP.UBE HELP.UBER.COM 528 AUTH NO. 064307</t>
  </si>
  <si>
    <t>NAPS PURCHASE,000001621055,4018 017940 91703107,PRIMARY HEALTH CARE CODOHA,4342041934720023 05/12 21.08,63409000000</t>
  </si>
  <si>
    <t>UBERDIRECTQAR_USD UBER TR HELP.UBER.COM 528 AUTH NO. 061412</t>
  </si>
  <si>
    <t>UBERBV UBER TRIP HELP.UBE HELP.UBER.COM 528 AUTH NO. 044549</t>
  </si>
  <si>
    <t>LULU HYPERMARKET DOHA 634 AUTH NO. 016094</t>
  </si>
  <si>
    <t>LULU HYPERMARKET DOHA 634 AUTH NO. 092630</t>
  </si>
  <si>
    <t>CAREEM NETWORKS FZ LLC DUBAI ARE AUTH NO. 079511</t>
  </si>
  <si>
    <t>CAREEM NETWORKS FZ LLC DUBAI ARE AUTH NO. 013198</t>
  </si>
  <si>
    <t>AL OUSRA PHARMACY DOHA 634 AUTH NO. 056661</t>
  </si>
  <si>
    <t>PICK-N-PACK DOHA 634 AUTH NO. 009867</t>
  </si>
  <si>
    <t>PICK-N-PACK</t>
  </si>
  <si>
    <t>CAREEM NETWORKS FZ LLC DUBAI ARE AUTH NO. 028071</t>
  </si>
  <si>
    <t>CAREEM NETWORKS FZ LLC DUBAI ARE AUTH NO. 085996</t>
  </si>
  <si>
    <t>UBERBV UBER TRIP HELP.UBE HELP.UBER.COM 528 AUTH NO. 064854</t>
  </si>
  <si>
    <t>CAREEM NETWORKS FZ LLC DUBAI ARE AUTH NO. 095282</t>
  </si>
  <si>
    <t>CAREEM NETWORKS FZ LLC DUBAI ARE AUTH NO. 039853</t>
  </si>
  <si>
    <t>CAREEM NETWORKS FZ LLC DUBAI ARE AUTH NO. 019149</t>
  </si>
  <si>
    <t>CAREEM NETWORKS FZ LLC DUBAI ARE AUTH NO. 047755</t>
  </si>
  <si>
    <t>BHARATH RESTAURANT-CRA DOHA QAT AUTH NO. 093621</t>
  </si>
  <si>
    <t>UBERBV UBER TRIP HELP.UBE HELP.UBER.COM 528 AUTH NO. 030830</t>
  </si>
  <si>
    <t>UBERBV UBER TRIP HELP.UBE HELP.UBER.COM 528 AUTH NO. 050050</t>
  </si>
  <si>
    <t>CAREEM NETWORKS FZ LLC DUBAI ARE AUTH NO. 048712</t>
  </si>
  <si>
    <t>CAREEM NETWORKS FZ LLC DUBAI ARE AUTH NO. 082096</t>
  </si>
  <si>
    <t>CAREEM NETWORKS FZ LLC DUBAI ARE AUTH NO. 025126</t>
  </si>
  <si>
    <t>CAREEM NETWORKS FZ LLC DUBAI ARE AUTH NO. 056955</t>
  </si>
  <si>
    <t>PRIMARY HEALTH CARE CO DOHA QAT AUTH NO. 048419</t>
  </si>
  <si>
    <t>UBERBV UBER TRIP HELP.UBE HELP.UBER.COM 528 AUTH NO. 091465</t>
  </si>
  <si>
    <t>UBERBV UBER TRIP HELP.UBE HELP.UBER.COM 528 AUTH NO. 026990</t>
  </si>
  <si>
    <t>LULU EXPRESS TRADING COMP DOHA 634 AUTH NO. 035023</t>
  </si>
  <si>
    <t>CAREEM NETWORKS FZ LLC DUBAI ARE AUTH NO. 001518</t>
  </si>
  <si>
    <t>CAREEM NETWORKS FZ LLC DUBAI ARE AUTH NO. 029907</t>
  </si>
  <si>
    <t>CAREEM NETWORKS FZ LLC DUBAI ARE AUTH NO. 097292</t>
  </si>
  <si>
    <t>CAREEM NETWORKS FZ LLC DUBAI ARE AUTH NO. 075552</t>
  </si>
  <si>
    <t>CAREEM NETWORKS FZ LLC DUBAI ARE AUTH NO. 013711</t>
  </si>
  <si>
    <t>CAREEM NETWORKS FZ LLC DUBAI ARE AUTH NO. 088429</t>
  </si>
  <si>
    <t>CAREEM NETWORKS FZ LLC DUBAI ARE AUTH NO. 076323</t>
  </si>
  <si>
    <t>CAREEM NETWORKS FZ LLC DUBAI ARE AUTH NO. 054289</t>
  </si>
  <si>
    <t>CAREEM NETWORKS FZ LLC DUBAI ARE AUTH NO. 086203</t>
  </si>
  <si>
    <t>T_date</t>
  </si>
  <si>
    <t>T_details</t>
  </si>
  <si>
    <t>T_amount</t>
  </si>
  <si>
    <t>T_amount_abs</t>
  </si>
  <si>
    <t>T_type</t>
  </si>
  <si>
    <t>T_agency</t>
  </si>
  <si>
    <t>CC_Bill_Status</t>
  </si>
  <si>
    <t>NA</t>
  </si>
  <si>
    <t>UBERBV UBER TRIP HELP.UBE HELP.UBER.COM 528 AUTH NO. 059391</t>
  </si>
  <si>
    <t>UBERBV UBER TRIP HELP.UBE HELP.UBER.COM 528 AUTH NO. 059990</t>
  </si>
  <si>
    <t>UBERBV UBER TRIP HELP.UBE HELP.UBER.COM 528 AUTH NO. 045045</t>
  </si>
  <si>
    <t>UBERBV UBER TRIP HELP.UBE HELP.UBER.COM 528 AUTH NO. 074778</t>
  </si>
  <si>
    <t>UBERBV UBER TRIP HELP.UBE HELP.UBER.COM 528 AUTH NO. 003401</t>
  </si>
  <si>
    <t>UBERBV UBER TRIP HELP.UBE HELP.UBER.COM 528 AUTH NO. 096009</t>
  </si>
  <si>
    <t>AL OUSRA PHARMACY DOHA 634 AUTH NO. 058143</t>
  </si>
  <si>
    <t>LULU HYPERMARKET DOHA 634 AUTH NO. 014815</t>
  </si>
  <si>
    <t>DINERS</t>
  </si>
  <si>
    <t>BILLED</t>
  </si>
  <si>
    <t>AL KHIBRA DIRVING SCHO DOHA QAT AUTH NO. 068206</t>
  </si>
  <si>
    <t>CAREEM NETWORKS FZ LLC DUBAI ARE AUTH NO. 086700</t>
  </si>
  <si>
    <t>CAREEM NETWORKS FZ LLC DUBAI ARE AUTH NO. 043201</t>
  </si>
  <si>
    <t>THE COFFEE SHOP QR TOW DOHA QAT AUTH NO. 044993</t>
  </si>
  <si>
    <t>CAREEM NETWORKS FZ LLC DUBAI ARE AUTH NO. 059974</t>
  </si>
  <si>
    <t>CAREEM NETWORKS FZ LLC DUBAI ARE AUTH NO. 022852</t>
  </si>
  <si>
    <t>OOREDOO TOP-UP DOHA QAT AUTH NO. 068314</t>
  </si>
  <si>
    <t>CAREEM NETWORKS FZ LLC DUBAI ARE AUTH NO. 057772</t>
  </si>
  <si>
    <t>CAREEM NETWORKS FZ LLC DUBAI ARE AUTH NO. 064239</t>
  </si>
  <si>
    <t>THE COFFEE SHOP QR TOW DOHA QAT AUTH NO. 063671</t>
  </si>
  <si>
    <t>CAREEM NETWORKS FZ LLC DUBAI ARE AUTH NO. 031831</t>
  </si>
  <si>
    <t>CAREEM NETWORKS FZ LLC DUBAI ARE AUTH NO. 086379</t>
  </si>
  <si>
    <t>CAREEM NETWORKS FZ LLC DUBAI ARE AUTH NO. 048894</t>
  </si>
  <si>
    <t>CAREEM NETWORKS FZ LLC DUBAI ARE AUTH NO. 004824</t>
  </si>
  <si>
    <t>CAREEM NETWORKS FZ LLC DUBAI ARE AUTH NO. 056340</t>
  </si>
  <si>
    <t>CAREEM NETWORKS FZ LLC DUBAI ARE AUTH NO. 014081</t>
  </si>
  <si>
    <t>CAREEM NETWORKS FZ LLC DUBAI ARE AUTH NO. 061306</t>
  </si>
  <si>
    <t>CARREFOUR DOHA QAT AUTH NO. 015991</t>
  </si>
  <si>
    <t>CAREEM NETWORKS FZ LLC DUBAI ARE AUTH NO. 078672</t>
  </si>
  <si>
    <t>CAREEM NETWORKS FZ LLC DUBAI ARE AUTH NO. 052368</t>
  </si>
  <si>
    <t>CAREEM NETWORKS FZ LLC DUBAI ARE AUTH NO. 003352</t>
  </si>
  <si>
    <t>CAREEM NETWORKS FZ LLC DUBAI ARE AUTH NO. 053230</t>
  </si>
  <si>
    <t>OOREDOO TOP-UP DOHA QAT AUTH NO. 033427</t>
  </si>
  <si>
    <t>MASTER CC</t>
  </si>
  <si>
    <t>TRANSFER - DEBIT,181219040244,Saving,VINEET KUMAR SARASWAT</t>
  </si>
  <si>
    <t>CURRENT</t>
  </si>
  <si>
    <t>P_date</t>
  </si>
  <si>
    <t>KEY</t>
  </si>
  <si>
    <t>TRANSPORT</t>
  </si>
  <si>
    <t>CAREEM</t>
  </si>
  <si>
    <t>DEBIT</t>
  </si>
  <si>
    <t>UBER</t>
  </si>
  <si>
    <t>CREDIT</t>
  </si>
  <si>
    <t>MEDICAL</t>
  </si>
  <si>
    <t>SAVING</t>
  </si>
  <si>
    <t>ASTER</t>
  </si>
  <si>
    <t>PHARMACY</t>
  </si>
  <si>
    <t>MEDICAL COMM.</t>
  </si>
  <si>
    <t>Cal_ind</t>
  </si>
  <si>
    <t>NAPS PURCHASE,019363018502,4018 017312 31,QPay Payment Ooredoo3,4342041934720023 29/12 10.35,63493000000</t>
  </si>
  <si>
    <t>SALARY TRANSFER,CDD 91229H003972,QCH4249102500000 QAR,QATAR AIRWAYS,2/SALA</t>
  </si>
  <si>
    <t>CBQ PURCHASE,936214006759,4010 006759 78371314,LULU EXPRESS TRADING COMPDOHA,4342041934720023 28/12 17.19</t>
  </si>
  <si>
    <t>CREDIT CARD COLLECTION,301219701319,CARD NO 3643 xxxxxx 1825,Paid using bankDirect</t>
  </si>
  <si>
    <t>EMI_Ind</t>
  </si>
  <si>
    <t>OOREDOO TOP-UP DOHA QAT AUTH NO. 036189</t>
  </si>
  <si>
    <t>VODAFONE-MOBILE APP 97444975909 QAT AUTH NO. 097507</t>
  </si>
  <si>
    <t>TELEX TRANSFER,010120110873,Rent - Capital one,Capital One Trading Wll</t>
  </si>
  <si>
    <t>TELEX CHARGE,ThirdParty Transfer Charges,010120110873</t>
  </si>
  <si>
    <t>DEBIT STANDING ORDER,29122019003169,TRF TO 4700193472115</t>
  </si>
  <si>
    <t>UBERBV UBER TRIP HELP.UBE R.COMHELP.UB NL AUTH NO. 008400</t>
  </si>
  <si>
    <t>SHRIJI RESTAURANT DOHA QAT AUTH NO. 097489</t>
  </si>
  <si>
    <t>G_DATADATE</t>
  </si>
  <si>
    <t>GRAM</t>
  </si>
  <si>
    <t>GOLD_RATE</t>
  </si>
  <si>
    <t>1 GRAM GOLD 24K</t>
  </si>
  <si>
    <t>High</t>
  </si>
  <si>
    <t>Low</t>
  </si>
  <si>
    <t>Change</t>
  </si>
  <si>
    <t>GRAM 22K</t>
  </si>
  <si>
    <t>C_DATADATE</t>
  </si>
  <si>
    <t>CURRENCY</t>
  </si>
  <si>
    <t>AGAINST_DOLLAR</t>
  </si>
  <si>
    <t>DOLLAR_AGAINST_CURRENCY</t>
  </si>
  <si>
    <t>Indian Rupee</t>
  </si>
  <si>
    <t>Qatari Riyal</t>
  </si>
  <si>
    <t>DEBIT STANDING ORDER,18122019003055,TRF TO 4700193472115</t>
  </si>
  <si>
    <t>NAPS ATM,000416022295,4018 006105 00010054,ahlibank DOHA QATAR,4342041934720023 04/01 16.52,63401000000</t>
  </si>
  <si>
    <t>LULU HYPERMARKET DOHA 634 AUTH NO. 059904</t>
  </si>
  <si>
    <t>Sr.</t>
  </si>
  <si>
    <t>Name</t>
  </si>
  <si>
    <t>Unit</t>
  </si>
  <si>
    <t>TYPE</t>
  </si>
  <si>
    <t>KOTAK MUTUAL TAX SAVER FUND</t>
  </si>
  <si>
    <t>Tax Saver</t>
  </si>
  <si>
    <t>Regular</t>
  </si>
  <si>
    <t>KOTAK LOW DURATION STD GROWTH</t>
  </si>
  <si>
    <t>ADITYA BIRLA SUN LIFE MUTUAL FUND TAX RELIEF 96 GROWTH</t>
  </si>
  <si>
    <t>NIPPON INDIA PHARMA</t>
  </si>
  <si>
    <t>SIP_Name</t>
  </si>
  <si>
    <t>Start_date</t>
  </si>
  <si>
    <t>Total_Investment</t>
  </si>
  <si>
    <t>Initial_Investment</t>
  </si>
  <si>
    <t>https://www.moneycontrol.com/mutual-funds/amc-details/KM</t>
  </si>
  <si>
    <t>https://www.moneycontrol.com/mutual-funds/amc-details/BS</t>
  </si>
  <si>
    <t>https://www.moneycontrol.com/mutual-funds/amc-details/RC</t>
  </si>
  <si>
    <t>Link</t>
  </si>
  <si>
    <t>QATAR BOWLING CENTER DOHA QAT AUTH NO. 031488</t>
  </si>
  <si>
    <t>ISLAND-LULU DOHA QAT AUTH NO. 048828</t>
  </si>
  <si>
    <t>LULU CENTRE TRAD. CO.-HYP DOHA QA AUTH NO. 081250</t>
  </si>
  <si>
    <t>ROI(%p.a)</t>
  </si>
  <si>
    <t>Incremental</t>
  </si>
  <si>
    <t>Tenor</t>
  </si>
  <si>
    <t>FD</t>
  </si>
  <si>
    <t>Mr. VINEET KUMAR SARASWAT</t>
  </si>
  <si>
    <t>SBI</t>
  </si>
  <si>
    <t>Account_No</t>
  </si>
  <si>
    <t>Sr_No</t>
  </si>
  <si>
    <t>Nick_Name</t>
  </si>
  <si>
    <t>Deposit_Date</t>
  </si>
  <si>
    <t>Maturity_Date</t>
  </si>
  <si>
    <t>Maturity_Amount</t>
  </si>
  <si>
    <t>RD_Installment</t>
  </si>
  <si>
    <t>Available_Balance</t>
  </si>
  <si>
    <t>PPF</t>
  </si>
  <si>
    <t>Date_Of_Commence</t>
  </si>
  <si>
    <t>Due_Dates</t>
  </si>
  <si>
    <t>Premium_Amount</t>
  </si>
  <si>
    <t>Service_ax</t>
  </si>
  <si>
    <t>Payment_Date</t>
  </si>
  <si>
    <t>Sum_Assured</t>
  </si>
  <si>
    <t>Bonus</t>
  </si>
  <si>
    <t>Premium_Paid</t>
  </si>
  <si>
    <t>Policy_Number</t>
  </si>
  <si>
    <t>Acc_Pre_Paid</t>
  </si>
  <si>
    <t>Carat</t>
  </si>
  <si>
    <t>Fineness_From</t>
  </si>
  <si>
    <t>Fineness_Till</t>
  </si>
  <si>
    <t>Gold_Content_From_%</t>
  </si>
  <si>
    <t>Gold_Content_Till_%</t>
  </si>
  <si>
    <t>THE COFFEE SHOP QR TOW DOHA QAT AUTH NO. 043420</t>
  </si>
  <si>
    <t>NAPS PURCHASE,000001811045,4018 001492 33440602,GRAND MART SUPERMARKETDOHA,4342041934720023 24/01 16.40,63409000000</t>
  </si>
  <si>
    <t>Years_Till</t>
  </si>
  <si>
    <t>157-2390634712-Other Airline ZED Subload (ID 90)</t>
  </si>
  <si>
    <t>157-2390634713-Other Airline ZED Subload (ID 90)</t>
  </si>
  <si>
    <t>157-2388751884-QR ID 50</t>
  </si>
  <si>
    <t>TRAVEL</t>
  </si>
  <si>
    <t>SALARY TRANSFER,CDD 00128H007049,QCH1741361195000 QAR,QATAR AIRWAYS,2/SALA</t>
  </si>
  <si>
    <t>UBERBV UBER TRIP HELP.UBE R.COMHELP.UB NL AUTH NO. 032647</t>
  </si>
  <si>
    <t>CBQ PURCHASE,003017002769,4010 002769 78670866,LULU CENTRE TRAD. CO.-HYPDOHA,4342041934720023 30/01 20.50</t>
  </si>
  <si>
    <t>CREDIT CARD COLLECTION,300120705191,CARD NO 3643 xxxxxx 1825,Paid using bankDirect</t>
  </si>
  <si>
    <t>NAPS PURCHASE,000001496051,4018 022372 45217301,FOOD SMART QATAR AIRWADOHA,4342041934720023 29/01 12.17,63409000000</t>
  </si>
  <si>
    <t>NAPS PURCHASE,000001496023,4018 024295 45217301,FOOD SMART QATAR AIRWADOHA,4342041934720023 29/01 09.06,63409000000</t>
  </si>
  <si>
    <t>COMPANY ACCOMODATION ALLOWANCES</t>
  </si>
  <si>
    <t>TELEX TRANSFER,010220112853,Feb 2020,Capital One Trading Wll</t>
  </si>
  <si>
    <t>TELEX CHARGE,ThirdParty Transfer Charges,010220112853</t>
  </si>
  <si>
    <t>NAPS PURCHASE,000001822110,4018 018555 33440602,GRAND MART SUPERMARKETDOHA,4342041934720023 31/01 20.40,63409000000</t>
  </si>
  <si>
    <t>NAPS ATM,923907875302,4018 011576 IQ000136,IBQ QATAR AIRWAYS DOHA,4342041934720023 27/08 10.49,63402000000-KARAH MAA ADVANCE TO CAP ONE</t>
  </si>
  <si>
    <t>NAPS ATM,923907875302,4018 011576 IQ000136,IBQ QATAR AIRWAYS DOHA,4342041934720023 27/08 10.49,63402000000-RENT SECURITY TO CAP ONE</t>
  </si>
  <si>
    <t>FAMILY FOOD CENTRE DOHA QA AUTH NO. 030745</t>
  </si>
  <si>
    <t>VODAFONE-MOBILE APP DOHA QAT AUTH NO. 034774</t>
  </si>
  <si>
    <t>OOREDOO TOP-UP DOHA QAT AUTH NO. 081399</t>
  </si>
  <si>
    <t>NAPS ATM,003318757639,4018 014716 00010054,ahlibank DOHA QATAR,4342041934720023 02/02 18.26,63401000000</t>
  </si>
  <si>
    <t>NAPS PURCHASE,000001205030,4018 002731 82491202,THE COFFEE SHOP QR TOWDOHA,4342041934720023 06/02 08.02,63409000000</t>
  </si>
  <si>
    <t>UBERBV UBER TRIP HELP.UBE R.COMHELP.UB NL AUTH NO. 090486</t>
  </si>
  <si>
    <t>UBERBV UBER TRIP HELP.UBE R.COMHELP.UB NL AUTH NO. 006472</t>
  </si>
  <si>
    <t>KALYAN JEWELLERS DOHA QA AUTH NO. 036862</t>
  </si>
  <si>
    <t>LULU CENTRE TRAD. CO.-HYP DOHA QA AUTH NO. 017284</t>
  </si>
  <si>
    <t>THE COFFEE SHOP QR TOW DOHA QAT AUTH NO. 078828</t>
  </si>
  <si>
    <t>SR</t>
  </si>
  <si>
    <t>ITEM</t>
  </si>
  <si>
    <t>QUANTITY</t>
  </si>
  <si>
    <t>QUALITY</t>
  </si>
  <si>
    <t>NET_WEIGHT</t>
  </si>
  <si>
    <t>MAKING_CHARGE</t>
  </si>
  <si>
    <t>PUR_DATE</t>
  </si>
  <si>
    <t>REMARK</t>
  </si>
  <si>
    <t>INVOICE_NUM</t>
  </si>
  <si>
    <t>QMDLC10500020727</t>
  </si>
  <si>
    <t>EARRING</t>
  </si>
  <si>
    <t>22K</t>
  </si>
  <si>
    <t>GOLD_WEIGHT_GRMS</t>
  </si>
  <si>
    <t>JEWELLERS</t>
  </si>
  <si>
    <t>PLACE</t>
  </si>
  <si>
    <t>DOHA</t>
  </si>
  <si>
    <t>WETGNC004603</t>
  </si>
  <si>
    <t>NECKLACE</t>
  </si>
  <si>
    <t>ITEM_CODE</t>
  </si>
  <si>
    <t>%_MAKING</t>
  </si>
  <si>
    <t>WETGNC005891</t>
  </si>
  <si>
    <t>RING</t>
  </si>
  <si>
    <t>GIFT</t>
  </si>
  <si>
    <t>AMOUNT</t>
  </si>
  <si>
    <t>%_TAX</t>
  </si>
  <si>
    <t>TAX_AMOUNT</t>
  </si>
  <si>
    <t>C001</t>
  </si>
  <si>
    <t>P_TYPE</t>
  </si>
  <si>
    <t>HATHRAS</t>
  </si>
  <si>
    <t>VINEET</t>
  </si>
  <si>
    <t>KANPUR</t>
  </si>
  <si>
    <t>C002</t>
  </si>
  <si>
    <t>C003</t>
  </si>
  <si>
    <t>C004</t>
  </si>
  <si>
    <t>C005</t>
  </si>
  <si>
    <t>CHAIN</t>
  </si>
  <si>
    <t>LOCKET</t>
  </si>
  <si>
    <t>ARTI</t>
  </si>
  <si>
    <t>MUNNILAL</t>
  </si>
  <si>
    <t>KANTHI</t>
  </si>
  <si>
    <t>KSHAMTA MAAM</t>
  </si>
  <si>
    <t>DELHI</t>
  </si>
  <si>
    <t>C006</t>
  </si>
  <si>
    <t>C007</t>
  </si>
  <si>
    <t>C008</t>
  </si>
  <si>
    <t>C009</t>
  </si>
  <si>
    <t>GOLD_RATE_PER_1GRAM</t>
  </si>
  <si>
    <t>GOLD_RATE_INR_PER_GRAM</t>
  </si>
  <si>
    <t>C010</t>
  </si>
  <si>
    <t>DOLLY</t>
  </si>
  <si>
    <t>KAPIL BHAI</t>
  </si>
  <si>
    <t>TTL_AMOUNT_QAR</t>
  </si>
  <si>
    <t>TTL_AMOUNT_INR</t>
  </si>
  <si>
    <t>KALYAN JEWELLERS DOHA 634 AUTH NO. 018739</t>
  </si>
  <si>
    <t>HBKGNB002614</t>
  </si>
  <si>
    <t>PENDANT</t>
  </si>
  <si>
    <t>KIRTI</t>
  </si>
  <si>
    <t>157-2391476992-Other Airline ZED Subload (ID 90)</t>
  </si>
  <si>
    <t>AIR INDIA</t>
  </si>
  <si>
    <t>FAMILY FOOD CENTER DOHA QAT AUTH NO. 097877</t>
  </si>
  <si>
    <t>STARBUCKS - LEVEL 1 DOHA QA AUTH NO. 088156</t>
  </si>
  <si>
    <t>OOREDOO TOP-UP DOHA QAT AUTH NO. 042466</t>
  </si>
  <si>
    <t>NAPS PURCHASE,000001214159,4018 032168 82491202,THE COFFEE SHOP QR TOWDOHA,4342041934720023 19/02 12.42,63409000000</t>
  </si>
  <si>
    <t>VODAFONE-MOBILE APP 97444975909 QAT AUTH NO. 067556</t>
  </si>
  <si>
    <t>CREDIT CARD COLLECTION,250220703670,CARD NO 3643 xxxxxx 1825,Paid using bankDirect</t>
  </si>
  <si>
    <t>CREDIT CARD COLLECTION,250220703609,CARD NO 3643 xxxxxx 1825,Paid using bankDirect</t>
  </si>
  <si>
    <t>SALARY TRANSFER,CDD 00225H003833,QCH1270710649000 QAR,QATAR AIRWAYS,2/SALA</t>
  </si>
  <si>
    <t>CBQ PURCHASE,005306000509,4010 000509 77974571,SOGHAAT SWEETS &amp; BAKERS WDOHA,4342041934720023 22/02 09.08</t>
  </si>
  <si>
    <t>TELEX TRANSFER,020320111508,Rent Mar 2020,Capital One Trading Wll</t>
  </si>
  <si>
    <t>TELEX CHARGE,ThirdParty Transfer Charges,020320111508</t>
  </si>
  <si>
    <t>DEBIT STANDING ORDER,29122019003169,TRF TO 4700193472115, DEBIT STANDING ORDER,29122019003169,TRF TO 4700193472115</t>
  </si>
  <si>
    <t>157-2392265133-QR ID 50-Self</t>
  </si>
  <si>
    <t>157-2392265134-QR ID 50-Spouse</t>
  </si>
  <si>
    <t>157-2392264120-QR ID 50-Self</t>
  </si>
  <si>
    <t>157-2392264121-QR ID 50-Spouse</t>
  </si>
  <si>
    <t>157-2391492234-QR ID 90-Self</t>
  </si>
  <si>
    <t>OOREDOO TOP-UP DOHA QAT AUTH NO. 084240</t>
  </si>
  <si>
    <t>CAREEM NETWORKS FZ LLC DUBAI ARE AUTH NO. 072001</t>
  </si>
  <si>
    <t>CAREEM NETWORKS FZ LLC DUBAI ARE AUTH NO. 098587</t>
  </si>
  <si>
    <t>NEW GRAND MART SM R15 DOHA QAT AUTH NO. 094317</t>
  </si>
  <si>
    <t>TELEX TRANSFER,060320011824,Arti Saraswat</t>
  </si>
  <si>
    <t>FAMILY FOOD CENTRE DOHA 634 AUTH NO. 088540</t>
  </si>
  <si>
    <t>LULU EXPRESS TRADING COMP DOHA 634 AUTH NO. 080934</t>
  </si>
  <si>
    <t>THE COFFEE SHOP QR TOW DOHA QAT AUTH NO. 021256</t>
  </si>
  <si>
    <t>NAPS ATM,531,4018 001791 00110467,QATAR NATIONAL BANK DOHA,4342041934720023 15/03 10.10,63409000000</t>
  </si>
  <si>
    <t>LULU CENTRE TRAD. CO.-HYP DOHA QA AUTH NO. 005191</t>
  </si>
  <si>
    <t>CAREEM NETWORKS FZ LLC DUBAI ARE AUTH NO. 087289</t>
  </si>
  <si>
    <t>CAREEM NETWORKS FZ LLC DUBAI ARE AUTH NO. 021975</t>
  </si>
  <si>
    <t>OOREDOO TOP-UP DOHA QAT AUTH NO. 005543</t>
  </si>
  <si>
    <t>CAREEM NETWORKS FZ LLC DUBAI ARE AUTH NO. 002885</t>
  </si>
  <si>
    <t>TRANSFER - DEBIT,210320040666,saving top up,VINEET KUMAR SARASWAT</t>
  </si>
  <si>
    <t>TRANSFER - DEBIT,210320040662,saving top up,VINEET KUMAR SARASWAT</t>
  </si>
  <si>
    <t>PICK-N-PACK DOHA 634 AUTH NO. 017748</t>
  </si>
  <si>
    <t>NEW GRAND MART SM R15 DOHA QAT AUTH NO. 074821</t>
  </si>
  <si>
    <t>PICK-N-PACK DOHA QAT AUTH NO. 065327</t>
  </si>
  <si>
    <t>PICK-N-PACK DOHA 634 AUTH NO. 025470</t>
  </si>
  <si>
    <t>CAREEM NETWORKS FZ LLC DUBAI ARE AUTH NO. 003768</t>
  </si>
  <si>
    <t>CAREEM NETWORKS FZ LLC DUBAI ARE AUTH NO. 050268</t>
  </si>
  <si>
    <t>SALARY TRANSFER,CDD 00329H005840,QCH1407663715000 QAR,QATAR AIRWAYS,2/SALA</t>
  </si>
  <si>
    <t>CBQ PURCHASE,008815000641,4010 000641 78371307,LULU EXPRESS TRADING COMPDOHA,4342041934720023 28/03 18.34</t>
  </si>
  <si>
    <t>CBQ PURCHASE,008714001898,4010 001898 78670858,LULU CENTRE TRAD. CO.-HYPDOHA,4342041934720023 27/03 17.25</t>
  </si>
  <si>
    <t>CBQ PURCHASE,008713002851,4010 002851 78670843,LULU CENTRE TRAD. CO.-HYPDOHA,4342041934720023 27/03 16.37</t>
  </si>
  <si>
    <t>Remark</t>
  </si>
  <si>
    <t>Salary Excluding TKT including OT</t>
  </si>
  <si>
    <t>CREDIT CARD COLLECTION,300320701295,CARD NO 3643 xxxxxx 1825,Paid using bankDirect</t>
  </si>
  <si>
    <t>TELEX TRANSFER,010420L02849,Rent Apr 2020,Capital One Trading Wll</t>
  </si>
  <si>
    <t>TELEX CHARGE,ThirdParty Transfer Charges,010420L02849</t>
  </si>
  <si>
    <t>CREDIT,060320011824,BAW-TT Charge Refund</t>
  </si>
  <si>
    <t>OOREDOO TOP-UP DOHA QAT AUTH NO. 057393</t>
  </si>
  <si>
    <t>VODAFONE-MOBILE APP 97444975909 QAT AUTH NO. 086923</t>
  </si>
  <si>
    <t>CREDIT INTEREST</t>
  </si>
  <si>
    <t>PICK-N-PACK DOHA QAT AUTH NO. 001899</t>
  </si>
  <si>
    <t>Perchase_Date</t>
  </si>
  <si>
    <t>Perchase_Value</t>
  </si>
  <si>
    <t>Insurance_Renewal_Date</t>
  </si>
  <si>
    <t>Expected_Amount</t>
  </si>
  <si>
    <t>Hyundai Car - DL9CAQ6746</t>
  </si>
  <si>
    <t>Insurance_Date</t>
  </si>
  <si>
    <t>Datadate</t>
  </si>
  <si>
    <t>Ins_Valid_from</t>
  </si>
  <si>
    <t>Ins_Valid_To</t>
  </si>
  <si>
    <t>Obj_IDV</t>
  </si>
  <si>
    <t>Insurance_Amount</t>
  </si>
  <si>
    <t>Asset_Details</t>
  </si>
  <si>
    <t>PICK-N-PACK DOHA QA AUTH NO. 060692</t>
  </si>
  <si>
    <t>PICK-N-PACK DOHA 634 AUTH NO. 063210</t>
  </si>
  <si>
    <t>NEW GRAND MART SM R15 DOHA QAT AUTH NO. 024236</t>
  </si>
  <si>
    <t>EDUCATION</t>
  </si>
  <si>
    <t>PMI - CERTIFICATION 610-356-4600 US AUTH NO. 098659</t>
  </si>
  <si>
    <t>LULU EXPRESS TRADING COMP DOHA QA AUTH NO. 001877</t>
  </si>
  <si>
    <t>CAREEM NETWORKS FZ LLC DUBAI ARE AUTH NO. 057518</t>
  </si>
  <si>
    <t>PMI</t>
  </si>
  <si>
    <t>PICK-N-PACK DOHA 634 AUTH NO. 001403</t>
  </si>
  <si>
    <t>DINERS/VISA/M-CARD BILL,CARD NO 0000 xxxx xxxx 0823</t>
  </si>
  <si>
    <t>Sr No</t>
  </si>
  <si>
    <t>Fin_Year</t>
  </si>
  <si>
    <t>B_Month_Year</t>
  </si>
  <si>
    <t>B_Month_Num</t>
  </si>
  <si>
    <t>2019-20</t>
  </si>
  <si>
    <t>2020-21</t>
  </si>
  <si>
    <t>Trans_type</t>
  </si>
  <si>
    <t>B_Fin_Type</t>
  </si>
  <si>
    <t>NAPS PURCHASE,011014394924,4018 006415 62026001,RELIEF PHARMACY-LULU EXPRDOHA,4342041934720023 19/04 17.53,465202</t>
  </si>
  <si>
    <t>LULU EXPRESS TRADING COMP DOHA QA AUTH NO. 019241</t>
  </si>
  <si>
    <t>PICK-N-PACK DOHA 634 AUTH NO. 090618</t>
  </si>
  <si>
    <t>PICK-N-PACK DOHA 634 AUTH NO. 022406</t>
  </si>
  <si>
    <t>PICK-N-PACK DOHA 634 AUTH NO. 009832</t>
  </si>
  <si>
    <t>PICK-N-PACK DOHA QA AUTH NO. 071093</t>
  </si>
  <si>
    <t>PICK-N-PACK DOHA QA AUTH NO. 069698</t>
  </si>
  <si>
    <t>PICK-N-PACK DOHA 634 AUTH NO. 032414</t>
  </si>
  <si>
    <t>SALARY TRANSFER,CDD 00428H002585,QCH1170180560000 QAR,QATAR AIRWAYS,2/SALA,DEFERRAL BS DEDUCTION</t>
  </si>
  <si>
    <t>CREDIT CARD COLLECTION,280420706125,CARD NO 3643 xxxxxx 1825,Paid using bankDirect</t>
  </si>
  <si>
    <t>KOTAK TAX SAVER</t>
  </si>
  <si>
    <t>KOTAK LOW DUR</t>
  </si>
  <si>
    <t>KOTAK STD MULT</t>
  </si>
  <si>
    <t>ABSL TAX RELIEF</t>
  </si>
  <si>
    <t>NIPPON IND PHARMA</t>
  </si>
  <si>
    <t>SIP_NICK_NAME</t>
  </si>
  <si>
    <t>TELEX TRANSFER,030520L03946,rent,Capital One Trading Wll</t>
  </si>
  <si>
    <t>TELEX CHARGE,ThirdParty Transfer Charges,030520L03946</t>
  </si>
  <si>
    <t>PICK-N-PACK DOHA QA AUTH NO. 049272</t>
  </si>
  <si>
    <t>VODAFONE-MOBILE APP 97444975909 QAT AUTH NO. 085003</t>
  </si>
  <si>
    <t>LULU EXPRESS TRADING COMP DOHA 634 AUTH NO. 089567</t>
  </si>
  <si>
    <t>CAREEM NETWORKS FZ LLC DUBAI ARE AUTH NO. 092999</t>
  </si>
  <si>
    <t>PICK-N-PACK DOHA QA AUTH NO. 078206</t>
  </si>
  <si>
    <t>PICK-N-PACK DOHA QA AUTH NO. 096385</t>
  </si>
  <si>
    <t>PICK-N-PACK DOHA 634 AUTH NO. 015966</t>
  </si>
  <si>
    <t>PICK-N-PACK DOHA 634 AUTH NO. 065079</t>
  </si>
  <si>
    <t>PICK-N-PACK DOHA 634 AUTH NO. 020833</t>
  </si>
  <si>
    <t>TALABAT DOHA QAT AUTH NO. 091507</t>
  </si>
  <si>
    <t>OOREDOO TOP-UP DOHA QAT AUTH NO. 097917</t>
  </si>
  <si>
    <t>DNH*GODADDY.COM 480-5058855 AZ AUTH NO. 063385</t>
  </si>
  <si>
    <t>Cake</t>
  </si>
  <si>
    <t>GODADDY</t>
  </si>
  <si>
    <t>Sarvlekh</t>
  </si>
  <si>
    <t>PICK-N-PACK DOHA QA AUTH NO. 056417</t>
  </si>
  <si>
    <t>PICK-N-PACK DOHA QA AUTH NO. 030469</t>
  </si>
  <si>
    <t>PICK-N-PACK DOHA 634 AUTH NO. 047999</t>
  </si>
  <si>
    <t>LULU EXPRESS TRADING COMP DOHA QA AUTH NO. 058136</t>
  </si>
  <si>
    <t>PICK-N-PACK DOHA QA AUTH NO. 083805</t>
  </si>
  <si>
    <t>PICK-N-PACK DOHA QA AUTH NO. 099555</t>
  </si>
  <si>
    <t>PICK-N-PACK DOHA 634 AUTH NO. 079660</t>
  </si>
  <si>
    <t>PICK-N-PACK DOHA QA AUTH NO. 067762</t>
  </si>
  <si>
    <t>LULU EXPRESS TRADING COMP DOHA QA AUTH NO. 029645</t>
  </si>
  <si>
    <t>PICK-N-PACK DOHA 634 AUTH NO. 048261</t>
  </si>
  <si>
    <t>PICK-N-PACK DOHA 634 AUTH NO. 033587</t>
  </si>
  <si>
    <t>VODAFONE-MOBILE APP 97444975909 QAT AUTH NO. 014708</t>
  </si>
  <si>
    <t>SALARY TRANSFER,CDD 00601H007006,QCH2111324450000 QAR,QATAR AIRWAYS,2/SALA,DEFERRAL BS DEDUCTION</t>
  </si>
  <si>
    <t>CBQ PURCHASE,015209004235,4010 004235 77974493,PICK-N-PACK DOHA,4342041934720023 31/05 12.01</t>
  </si>
  <si>
    <t>CARD BILL PAYMENT,300520701849,CARD NO 3643 xxxxxx 1825,Paid using bankDirect</t>
  </si>
  <si>
    <t>CBQ PURCHASE,015005004457,4010 004457 77974494,PICK-N-PACK DOHA,4342041934720023 29/05 08.22</t>
  </si>
  <si>
    <t>CBQ PURCHASE,014909004208,4010 004208 77974493,PICK-N-PACK DOHA,4342041934720023 28/05 12.43</t>
  </si>
  <si>
    <t>TELEX TRANSFER,020620L03245,Jun 20 Rent,Capital One Trading Wll</t>
  </si>
  <si>
    <t>TELEX CHARGE,ThirdParty Transfer Charges,020620L03245</t>
  </si>
  <si>
    <t>DEBIT STANDING ORDER,01062020004773,TRF TO 4700193472115</t>
  </si>
  <si>
    <t>ATM CASH WITHDRAWAL,015614293560,4409 293560,COMM. BANK OF QATAR DOHA,4342041934720023 04/06 17.44</t>
  </si>
  <si>
    <t>PICK-N-PACK DOHA QA AUTH NO. 002909</t>
  </si>
  <si>
    <t>LULU EXPRESS TRADING COMP DOHA QA AUTH NO. 046639</t>
  </si>
  <si>
    <t>PICK-N-PACK DOHA QA AUTH NO. 041027</t>
  </si>
  <si>
    <t>PICK-N-PACK DOHA 634 AUTH NO. 083251</t>
  </si>
  <si>
    <t>PICK-N-PACK DOHA 634 AUTH NO. 094822</t>
  </si>
  <si>
    <t>LULU EXPRESS TRADING COMP DOHA QA AUTH NO. 025296</t>
  </si>
  <si>
    <t>CARE N CURE PHARMACY D DOHA QAT AUTH NO. 086260</t>
  </si>
  <si>
    <t>LULU EXPRESS TRADING COMP DOHA QA AUTH NO. 066595</t>
  </si>
  <si>
    <t>UBERBV UBER TRIP HELP.UBE R.COMHELP.UB NL AUTH NO. 001858</t>
  </si>
  <si>
    <t>UBERBV UBER TRIP HELP.UBE R.COMHELP.UB NL AUTH NO. 096600</t>
  </si>
  <si>
    <t>PICK-N-PACK DOHA 634 AUTH NO. 043966</t>
  </si>
  <si>
    <t>PICK-N-PACK DOHA 634 AUTH NO. 093649</t>
  </si>
  <si>
    <t>PICK-N-PACK DOHA 634 AUTH NO. 056535</t>
  </si>
  <si>
    <t>LULU EXPRESS TRADING COMP DOHA QA AUTH NO. 034255</t>
  </si>
  <si>
    <t>PICK-N-PACK DOHA QA AUTH NO. 024791</t>
  </si>
  <si>
    <t>UBERBV UBER TRIP HELP.UBE R.COMHELP.UB NL AUTH NO. 095963</t>
  </si>
  <si>
    <t>UBERBV UBER TRIP HELP.UBE HELP.UBER.COM 528 AUTH NO. 053110</t>
  </si>
  <si>
    <t>UBERBV UBER TRIP HELP.UBE HELP.UBER.COM 528 AUTH NO. 070130</t>
  </si>
  <si>
    <t>PICK-N-PACK DOHA 634 AUTH NO. 012090</t>
  </si>
  <si>
    <t>PICK-N-PACK DOHA 634 AUTH NO. 052807</t>
  </si>
  <si>
    <t>HOME DELI MEDI QPOST DOHA QAT AUTH NO. 069069</t>
  </si>
  <si>
    <t>Wrong deduction</t>
  </si>
  <si>
    <t>Expenditure</t>
  </si>
  <si>
    <t>Closing Balance</t>
  </si>
  <si>
    <t>Month</t>
  </si>
  <si>
    <t>CARD BILL PAYMENT,290620701637,CARD NO 3643 xxxxxx 1825,Paid using bankDirect</t>
  </si>
  <si>
    <t>SALARY TRANSFER,CDD 00629H006110,QCH1523903004000 QAR,QATAR AIRWAYS,2/SALA,SOLIDARITY DEDUCTION</t>
  </si>
  <si>
    <t>CBQ PURCHASE,018007004956,4010 004956 77974494,PICK-N-PACK DOHA,4342041934720023 28/06 10.17</t>
  </si>
  <si>
    <t>VODAFONE-MOBILE APP 97444975909 QAT AUTH NO. 072937</t>
  </si>
  <si>
    <t>TELEX TRANSFER,020720L05897,JUL 2020 RENT,Capital One Trading Wll</t>
  </si>
  <si>
    <t>LULU CENTRE TRAD. CO.-HYP DOHA QA AUTH NO. 041851</t>
  </si>
  <si>
    <t>LULU CENTRE TRAD. CO.-HYP DOHA QA AUTH NO. 066182</t>
  </si>
  <si>
    <t>UBERBV UBER TRIP HELP.UBE R.COMHELP.UB NL AUTH NO. 059442</t>
  </si>
  <si>
    <t>UBERBV UBER TRIP HELP.UBE R.COMHELP.UB NL AUTH NO. 000898</t>
  </si>
  <si>
    <t>UBERBV UBER TRIP HELP.UBE R.COMHELP.UB NL AUTH NO. 082850</t>
  </si>
  <si>
    <t>PICK-N-PACK DOHA QA AUTH NO. 000857</t>
  </si>
  <si>
    <t>UBERBV UBER TRIP HELP.UBE R.COMHELP.UB NL AUTH NO. 099371</t>
  </si>
  <si>
    <t>UBERBV UBER TRIP HELP.UBE R.COMHELP.UB NL AUTH NO. 010947</t>
  </si>
  <si>
    <t>LULU EXPRESS TRADING COMP DOHA 634 AUTH NO. 010554</t>
  </si>
  <si>
    <t>UBERBV UBER TRIP HELP.UBE R.COMHELP.UB NL AUTH NO. 015988</t>
  </si>
  <si>
    <t>UBERBV UBER TRIP HELP.UBE R.COMHELP.UB NL AUTH NO. 142165</t>
  </si>
  <si>
    <t>HMC TMH 5318 DOHA QAT AUTH NO. 041464</t>
  </si>
  <si>
    <t>PRIMARY HEALTH CARE -A DOHA QAT AUTH NO. 044715</t>
  </si>
  <si>
    <t>OOREDOO TOP-UP DOHA QAT AUTH NO. 099831</t>
  </si>
  <si>
    <t>TELEX TRANSFER,050720T07898,test,Vineet Kumar Saraswat</t>
  </si>
  <si>
    <t>CORREPONDENT BANK CHARGES,050720T07898,Correspondent Bank Charges</t>
  </si>
  <si>
    <t>TRANSFER - DEBIT,050720W03625,Saving,VINEET KUMAR SARASWAT</t>
  </si>
  <si>
    <t>TELEX CHARGE,ThirdParty Transfer Charges,020720L05897</t>
  </si>
  <si>
    <t>2021-22</t>
  </si>
  <si>
    <t>TTL</t>
  </si>
  <si>
    <t>TELEX TRANSFER,090720T06024,saving,Vineet Kumar Saraswat</t>
  </si>
  <si>
    <t>CORREPONDENT BANK CHARGES,090720T06024,Correspondent Bank Charges</t>
  </si>
  <si>
    <t>PICK-N-PACK DOHA QA AUTH NO. 039732</t>
  </si>
  <si>
    <t>PICK-N-PACK DOHA QA AUTH NO. 086677</t>
  </si>
  <si>
    <t>LULU EXPRESS TRADING COMP DOHA 634 AUTH NO. 080893</t>
  </si>
  <si>
    <t>PICK-N-PACK DOHA 634 AUTH NO. 021039</t>
  </si>
  <si>
    <t>OOREDOO TOP-UP DOHA QAT AUTH NO. 033246</t>
  </si>
  <si>
    <t>ADITYA BIRLA SUN LIFE MNC FUND - GROWTH-REGULAR PLAN</t>
  </si>
  <si>
    <t>KOTAK FOCUSED EQUITY FUND GROWTH (REGULAR PLAN)</t>
  </si>
  <si>
    <t>https://www.moneycontrol.com/mf/mfinfo/amc_sch_listing.php?ffid=KM</t>
  </si>
  <si>
    <t>PICK-N-PACK DOHA QA AUTH NO. 033799</t>
  </si>
  <si>
    <t>CARE N CURE PHARMACY D DOHA QAT AUTH NO. 009328</t>
  </si>
  <si>
    <t>LULU EXPRESS TRADING COMP DOHA QA AUTH NO. 054711</t>
  </si>
  <si>
    <t>PICK-N-PACK DOHA QA AUTH NO. 090086</t>
  </si>
  <si>
    <t>CC Bill balance</t>
  </si>
  <si>
    <t>SALARY TRANSFER,CDD 00728H006403,QCH1110010587000 QAR,QATAR AIRWAYS,2/SALA,SOLIDARITY DEDUCTION</t>
  </si>
  <si>
    <t>COMMISSION/FEE,4700-193472-001,Online SO Creation Fee,Standing Order Ref.23072020005292</t>
  </si>
  <si>
    <t>PICK-N-PACK DOHA 634 AUTH NO. 027651</t>
  </si>
  <si>
    <t>CBQ PURCHASE,021015009596,4010 009596 78371313,LULU EXPRESS TRADING COMPDOHA,4342041934720023 28/07 18.47</t>
  </si>
  <si>
    <t>ATM CASH WITHDRAWAL,021015150399,4409 150399,COMM. BANK OF QATAR DOHA,4342041934720023 28/07 18.49</t>
  </si>
  <si>
    <t>CARD BILL PAYMENT,300720700846,CARD NO 3643 xxxxxx 1825,Paid using bankDirect</t>
  </si>
  <si>
    <t>VODAFONE-MOBILE APP 97444975909 QAT AUTH NO. 089920</t>
  </si>
  <si>
    <t>LULU CENTRE TRAD. CO.-HYP DOHA QA AUTH NO. 099137</t>
  </si>
  <si>
    <t>LULU CENTRE TRAD. CO.-HYP DOHA QA AUTH NO. 048653</t>
  </si>
  <si>
    <t>CAREEM NETWORKS FZ LLC DUBAI ARE AUTH NO. 053939</t>
  </si>
  <si>
    <t>CAREEM NETWORKS FZ LLC DUBAI ARE AUTH NO. 007586</t>
  </si>
  <si>
    <t>TELEX TRANSFER,030820L03586,Aug 2020 Rent,Capital One Trading Wll</t>
  </si>
  <si>
    <t>TELEX CHARGE,ThirdParty Transfer Charges,030820L03586</t>
  </si>
  <si>
    <t>PICK-N-PACK DOHA 634 AUTH NO. 045927</t>
  </si>
  <si>
    <t>OOREDOO TOP-UP DOHA QAT AUTH NO. 030927</t>
  </si>
  <si>
    <t>NEW GRAND MART SM R15 DOHA QAT AUTH NO. 012645</t>
  </si>
  <si>
    <t>TRANSFER - DEBIT,050820W01438,ADDITIONAL SAVING TOP UP,VINEET KUMAR SARASWAT</t>
  </si>
  <si>
    <t>DEBIT STANDING ORDER,23072020005292,39435504915,Vineet Kumar Saraswat,State Bk Of India,QAR/INR/25000</t>
  </si>
  <si>
    <t>PICK-N-PACK DOHA QA AUTH NO. 017044</t>
  </si>
  <si>
    <t>QMDLC10300024044</t>
  </si>
  <si>
    <t>COIN</t>
  </si>
  <si>
    <t>UBERBV UBER TRIP HELP.UBE R.COMHELP.UB NL AUTH NO. 016257</t>
  </si>
  <si>
    <t>UBERBV UBER TRIP HELP.UBE R.COMHELP.UB NL AUTH NO. 002680</t>
  </si>
  <si>
    <t>https://www.moneycontrol.com/mutual-funds/nav/nippon-india-gold-savings-fund-growth/MRC647</t>
  </si>
  <si>
    <t>ABSL MNC FUND SIP</t>
  </si>
  <si>
    <t>KOTAK FOCUSED EQUITY SIP</t>
  </si>
  <si>
    <t>NIPPON IND GOLD SIP</t>
  </si>
  <si>
    <t>NIPPON IND INCOME SIP</t>
  </si>
  <si>
    <t>CREDIT CARD PAYMENT,3643XXXXXX1825</t>
  </si>
  <si>
    <t>LULU EXPRESS TRADING COMP DOHA QA AUTH NO. 060905</t>
  </si>
  <si>
    <t>PICK-N-PACK DOHA 634 AUTH NO. 023330</t>
  </si>
  <si>
    <t>PICK-N-PACK DOHA 634 AUTH NO. 015047</t>
  </si>
  <si>
    <t>PICK-N-PACK DOHA QA AUTH NO. 063416</t>
  </si>
  <si>
    <t>UBERBV UBER TRIP HELP.UBE R.COMHELP.UB NL AUTH NO. 016979</t>
  </si>
  <si>
    <t>UBERBV UBER TRIP HELP.UBE R.COMHELP.UB NL AUTH NO. 094284</t>
  </si>
  <si>
    <t>UBERBV UBER TRIP HELP.UBE R.COMHELP.UB NL AUTH NO. 096029</t>
  </si>
  <si>
    <t>PICK-N-PACK DOHA 634 AUTH NO. 006140</t>
  </si>
  <si>
    <t>CAREEM NETWORKS FZ LLC DUBAI ARE AUTH NO. 015463</t>
  </si>
  <si>
    <t>CAREEM NETWORKS FZ LLC DUBAI ARE AUTH NO. 012780</t>
  </si>
  <si>
    <t>PRIMARY HEALTH CARE -A DOHA QAT AUTH NO. 077118</t>
  </si>
  <si>
    <t>CAREEM NETWORKS FZ LLC DUBAI ARE AUTH NO. 093451</t>
  </si>
  <si>
    <t>MALABAR GOLD INT-AIRPO DOHA QAT AUTH NO. 067103</t>
  </si>
  <si>
    <t>SALARY TRANSFER,CDD 00827H002787,QCH1457491373000 QAR,QATAR AIRWAYS,2/SALA,SOLIDARITY DEDUCTION</t>
  </si>
  <si>
    <t>LULU EXPRESS TRADING COMP DOHA QA AUTH NO. 027874</t>
  </si>
  <si>
    <t>PICK-N-PACK DOHA QAT AUTH NO. 090276</t>
  </si>
  <si>
    <t>CAREEM NETWORKS FZ LLC DUBAI ARE AUTH NO. 069461</t>
  </si>
  <si>
    <t>CBQ PURCHASE,024308005323,4010 005323 77974493,PICK-N-PACK DOHA,4342041934720023 30/08 11.08</t>
  </si>
  <si>
    <t>CARD BILL PAYMENT,300820704427,CARD NO 3643 xxxxxx 1825,Paid using bankDirect</t>
  </si>
  <si>
    <t>TELEX TRANSFER,020920L03613,Sep 2020 Rent,Capital One Trading Wll</t>
  </si>
  <si>
    <t>TELEX CHARGE,ThirdParty Transfer Charges,020920L03613</t>
  </si>
  <si>
    <t>ATM CASH WITHDRAWAL,024514063478,4467 063478,COMM. BANK OF QATAR DOHA,4342041934720023 01/09 17.42</t>
  </si>
  <si>
    <t>PICK-N-PACK DOHA QA AUTH NO. 052249</t>
  </si>
  <si>
    <t>LULU CENTRE TRAD. CO.-HYP DOHA QA AUTH NO. 097753</t>
  </si>
  <si>
    <t>LULU CENTRE TRAD. CO.-HYP DOHA QA AUTH NO. 056097</t>
  </si>
  <si>
    <t>UBERBV UBER TRIP HELP.UBE R.COMHELP.UB NL AUTH NO. 029724</t>
  </si>
  <si>
    <t>CAREEM NETWORKS FZ LLC DUBAI ARE AUTH NO. 002088</t>
  </si>
  <si>
    <t>VODAFONE-MOBILE APP 97444975909 QAT AUTH NO. 006997</t>
  </si>
  <si>
    <t>PICK-N-PACK DOHA QA AUTH NO. 013678</t>
  </si>
  <si>
    <t>PICK-N-PACK DOHA 634 AUTH NO. 014431</t>
  </si>
  <si>
    <t>PICK-N-PACK DOHA 634 AUTH NO. 046318</t>
  </si>
  <si>
    <t>STARBUCKS - LEVEL 1 DOHA 634 AUTH NO. 035604</t>
  </si>
  <si>
    <t>PICK-N-PACK DOHA 634 AUTH NO. 043033</t>
  </si>
  <si>
    <t>PICK-N-PACK DOHA 634 AUTH NO. 069260</t>
  </si>
  <si>
    <t>PICK-N-PACK DOHA 634 AUTH NO. 007022</t>
  </si>
  <si>
    <t>UBERBV UBER TRIP HELP.UBE HELP.UBER.COM 528 AUTH NO. 013610</t>
  </si>
  <si>
    <t>UBERBV UBER TRIP HELP.UBE HELP.UBER.COM 528 AUTH NO. 009824</t>
  </si>
  <si>
    <t>PICK-N-PACK DOHA 634 AUTH NO. 011792</t>
  </si>
  <si>
    <t>RED TAG DOHA 634 AUTH NO. 044498</t>
  </si>
  <si>
    <t>AROMA RESTAURANT DOHA 634 AUTH NO. 082581</t>
  </si>
  <si>
    <t>RED TAG</t>
  </si>
  <si>
    <t>THE COFFEE SHOP QR TOW DOHA QAT AUTH NO. 009041</t>
  </si>
  <si>
    <t>PHCC MEDICATION DELIVE DOHA QAT AUTH NO. 019766</t>
  </si>
  <si>
    <t>PHCC MEDICATION DELIVE DOHA QAT AUTH NO. 056725</t>
  </si>
  <si>
    <t>R AND B CITY CENTER DOHA QAT AUTH NO. 035194</t>
  </si>
  <si>
    <t>CAREEM NETWORKS FZ LLC DUBAI ARE AUTH NO. 053252</t>
  </si>
  <si>
    <t>CARREFOUR DOHA QAT AUTH NO. 077907</t>
  </si>
  <si>
    <t>CAREEM NETWORKS FZ LLC DUBAI ARE AUTH NO. 052907</t>
  </si>
  <si>
    <t>QATAR RAIL UMM GHUWAIL DOHA QAT AUTH NO. 092077</t>
  </si>
  <si>
    <t>CAREEM NETWORKS FZ LLC DUBAI ARE AUTH NO. 099414</t>
  </si>
  <si>
    <t>OOREDOO TOP-UP DOHA QAT AUTH NO. 080665</t>
  </si>
  <si>
    <t>CAREEM NETWORKS FZ LLC DUBAI ARE AUTH NO. 076678</t>
  </si>
  <si>
    <t>CAREEM NETWORKS FZ LLC DUBAI ARE AUTH NO. 033121</t>
  </si>
  <si>
    <t>METRO</t>
  </si>
  <si>
    <t>LULU CENTRE TRAD. CO.-HYP DOHA QA AUTH NO. 072795</t>
  </si>
  <si>
    <t>LULU CENTRE TRAD. CO.-HYP DOHA QA AUTH NO. 049716</t>
  </si>
  <si>
    <t>LULU CENTRE TRAD. CO.-HYP DOHA QA AUTH NO. 020411</t>
  </si>
  <si>
    <t>PICK-N-PACK DOHA 634 AUTH NO. 041697</t>
  </si>
  <si>
    <t>CAREEM NETWORKS FZ LLC DUBAI ARE AUTH NO. 049215</t>
  </si>
  <si>
    <t>CAREEM NETWORKS FZ LLC DUBAI ARE AUTH NO. 021420</t>
  </si>
  <si>
    <t>TALABAT DOHA QAT AUTH NO. 096125</t>
  </si>
  <si>
    <t>NAPS PURCHASE,000001129011,4018 002139 59983109,AL MEERA - AIRPORT ST.DOHA,4342041934720023 28/09 16.03,63409000000</t>
  </si>
  <si>
    <t>SALARY TRANSFER,CDD 00928H003094,QCH1141195705000 QAR,QATAR AIRWAYS,2/SALA,SOLIDARITY DEDUCTION</t>
  </si>
  <si>
    <t>ALMIRAH</t>
  </si>
  <si>
    <t>PICK-N-PACK DOHA 634 AUTH NO. 029073</t>
  </si>
  <si>
    <t>PICK-N-PACK DOHA 634 AUTH NO. 062261</t>
  </si>
  <si>
    <t>IKEA DOHA 634 AUTH NO. 071680</t>
  </si>
  <si>
    <t>MAX RETAIL DOHA 634 AUTH NO. 037662</t>
  </si>
  <si>
    <t>PICK-N-PACK DOHA 634 AUTH NO. 064965</t>
  </si>
  <si>
    <t>PICK-N-PACK DOHA 634 AUTH NO. 083739</t>
  </si>
  <si>
    <t>MAX</t>
  </si>
  <si>
    <t>TALABAT DOHA QAT AUTH NO. 039425</t>
  </si>
  <si>
    <t>CAREEM NETWORKS FZ LLC DUBAI ARE AUTH NO. 016297</t>
  </si>
  <si>
    <t>CAREEM NETWORKS FZ LLC DUBAI ARE AUTH NO. 038307</t>
  </si>
  <si>
    <t>TALABAT-MIGS DOHA QAT AUTH NO. 078940</t>
  </si>
  <si>
    <t>CAREEM NETWORKS FZ LLC DUBAI ARE AUTH NO. 018873</t>
  </si>
  <si>
    <t>CARD BILL PAYMENT,290920706892,CARD NO 3643 xxxxxx 1825,Paid using bankDirect</t>
  </si>
  <si>
    <t>Nippon India Pharma Fund</t>
  </si>
  <si>
    <t>Nippon India Income Fund</t>
  </si>
  <si>
    <t>Nippon India Gold Savings Fund</t>
  </si>
  <si>
    <t>Birla Sun Life MNC Fund</t>
  </si>
  <si>
    <t>Birla Sun Life Tax Relief 96</t>
  </si>
  <si>
    <t>Kotak Tax Saver</t>
  </si>
  <si>
    <t>Kotak Low Duration Fund</t>
  </si>
  <si>
    <t>Kotak Focused Equity Fund</t>
  </si>
  <si>
    <t>TELEX TRANSFER,081020T05073,family,Vineet Kumar Saraswat</t>
  </si>
  <si>
    <t>NAPS ATM,027915354318,4018 028755 00000308,BARWA QATAR DOHA,4342041934720023 05/10 15.18,63420000000</t>
  </si>
  <si>
    <t>TELEX TRANSFER,031020L05339,Oct 2020 Rent,Capital One Trading Wll</t>
  </si>
  <si>
    <t>TELEX CHARGE,ThirdParty Transfer Charges,031020L05339</t>
  </si>
  <si>
    <t>PICK-N-PACK DOHA 634 AUTH NO. 033065</t>
  </si>
  <si>
    <t>PICK-N-PACK DOHA 634 AUTH NO. 043886</t>
  </si>
  <si>
    <t>CAREEM NETWORKS FZ LLC DUBAI ARE AUTH NO. 015479</t>
  </si>
  <si>
    <t>CAREEM NETWORKS FZ LLC DUBAI ARE AUTH NO. 034181</t>
  </si>
  <si>
    <t>QATAR RAIL ECOMMERCE DOHA QAT AUTH NO. 092743</t>
  </si>
  <si>
    <t>THE COFFEE SHOP QR TOW DOHA QAT AUTH NO. 047195</t>
  </si>
  <si>
    <t>OOREDOO TOP-UP DOHA QAT AUTH NO. 041276</t>
  </si>
  <si>
    <t>CAREEM NETWORKS FZ LLC DUBAI ARE AUTH NO. 058036</t>
  </si>
  <si>
    <t>FAMILY FOOD CENTER DOHA QAT AUTH NO. 001894</t>
  </si>
  <si>
    <t>CAREEM NETWORKS FZ LLC DUBAI ARE AUTH NO. 053220</t>
  </si>
  <si>
    <t>VODAFONE MOBILE APP DOHA 634 AUTH NO. 029279</t>
  </si>
  <si>
    <t>PICK-N-PACK DOHA 634 AUTH NO. 019767</t>
  </si>
  <si>
    <t>PICK-N-PACK DOHA 634 AUTH NO. 060953</t>
  </si>
  <si>
    <t>LULU EXPRESS TRADING COMP DOHA 634 AUTH NO. 085147</t>
  </si>
  <si>
    <t>UBERBV UBER TRIP HELP.UBE HELP.UBER.COM 528 AUTH NO. 014695</t>
  </si>
  <si>
    <t>LULU EXPRESS TRADING COMP DOHA 634 AUTH NO. 033433</t>
  </si>
  <si>
    <t>PICK-N-PACK DOHA 634 AUTH NO. 008478</t>
  </si>
  <si>
    <t>PICK-N-PACK DOHA 634 AUTH NO. 033908</t>
  </si>
  <si>
    <t>PICK-N-PACK DOHA 634 AUTH NO. 042187</t>
  </si>
  <si>
    <t>UBERBV UBER TRIP HELP.UBE HELP.UBER.COM 528 AUTH NO. 031931</t>
  </si>
  <si>
    <t>UBERBV UBER TRIP HELP.UBE HELP.UBER.COM 528 AUTH NO. 083457</t>
  </si>
  <si>
    <t>PICK-N-PACK DOHA 634 AUTH NO. 076252</t>
  </si>
  <si>
    <t>UBERBV UBER TRIP HELP.UBE HELP.UBER.COM 528 AUTH NO. 039174</t>
  </si>
  <si>
    <t>LULU HYPERMARKET DOHA 634 AUTH NO. 069144</t>
  </si>
  <si>
    <t>OOREDOO TOP-UP DOHA QAT AUTH NO. 090788</t>
  </si>
  <si>
    <t>CAREEM NETWORKS FZ LLC DUBAI ARE AUTH NO. 027990</t>
  </si>
  <si>
    <t>THE COFFEE SHOP QR TOW DOHA QAT AUTH NO. 061344</t>
  </si>
  <si>
    <t>THE COFFEE SHOP QR TOW DOHA QAT AUTH NO. 002651</t>
  </si>
  <si>
    <t>UBERBV UBER TRIP HELP.UBE R.COMHELP.UB NL AUTH NO. 030542</t>
  </si>
  <si>
    <t>PICK-N-PACK DOHA 634 AUTH NO. 085851</t>
  </si>
  <si>
    <t>LULU HYPERMARKET DOHA 634 AUTH NO. 061538</t>
  </si>
  <si>
    <t>CAREEM NETWORKS FZ LLC DUBAI ARE AUTH NO. 096602</t>
  </si>
  <si>
    <t>CAREEM NETWORKS FZ LLC DUBAI ARE AUTH NO. 019626</t>
  </si>
  <si>
    <t>CAREEM NETWORKS FZ LLC DUBAI ARE AUTH NO. 082700</t>
  </si>
  <si>
    <t>CARD BILL PAYMENT,301020701372,CARD NO 3643 xxxxxx 1825,Paid using bankDirect</t>
  </si>
  <si>
    <t>CBQ PURCHASE,030307006265,4010 006265 77974493,PICK-N-PACK DOHA,4342041934720023 29/10 10.42</t>
  </si>
  <si>
    <t>CBQ PURCHASE,030218006676,4010 006676 77974494,PICK-N-PACK DOHA,4342041934720023 28/10 21.32</t>
  </si>
  <si>
    <t>NAPS PURCHASE,010301019702,4018 028219 31,QPay Payment QRAILQPA,4342041934720023 27/10 07.33,63493000000</t>
  </si>
  <si>
    <t>NAPS PURCHASE,000001011039,4018 027958 91701604,PRIMARY HEALTH CARE -ADOHA,4342041934720023 27/10 12.21,63409000000</t>
  </si>
  <si>
    <t>SALARY TRANSFER,CDD 01027H006573,QCH1279598022000 QAR,QATAR AIRWAYS,2/SALA,SOLIDARITY DEDUCTION</t>
  </si>
  <si>
    <t>TELEX TRANSFER,241020T01989,bibi ka karja chuka raha hun,Arti Saraswat</t>
  </si>
  <si>
    <t>CORREPONDENT BANK CHARGES,241020T01989</t>
  </si>
  <si>
    <t>TELEX CHARGE,241020T01989,Telex Transfer Charges</t>
  </si>
  <si>
    <t>ARTI UDHAR 10000</t>
  </si>
  <si>
    <t>TELEX TRANSFER,021120L04048,Nov 2020 Rent,Capital One Trading Wll</t>
  </si>
  <si>
    <t>TELEX CHARGE,ThirdParty Transfer Charges,021120L04048</t>
  </si>
  <si>
    <t>CREDIT,241020T01989,BAW-TT Charge Refund</t>
  </si>
  <si>
    <t>CBQ PURCHASE,030515008023,4010 008023 78371305,LULU EXPRESS TRADING COMPDOHA,4342041934720023 31/10 18.38</t>
  </si>
  <si>
    <t>ATM CASH WITHDRAWAL,030514150324,4409 150324,COMM. BANK OF QATAR DOHA,4342041934720023 31/10 17.42</t>
  </si>
  <si>
    <t>CBQ PURCHASE,030410006710,4010 006710 77974494,PICK-N-PACK DOHA,4342041934720023 30/10 13.29</t>
  </si>
  <si>
    <t>PICK-N-PACK DOHA QA AUTH NO. 085682</t>
  </si>
  <si>
    <t>QATAR E-GOVERNMENT DOHA QAT AUTH NO. 094016</t>
  </si>
  <si>
    <t>QATAR E-GOVERNMENT DOHA QAT AUTH NO. 081571</t>
  </si>
  <si>
    <t>VODAFONE MVA 8007111 QAT AUTH NO. 068403</t>
  </si>
  <si>
    <t>CARD BILL PAYMENT,271120700301,CARD NO 3643 xxxxxx 1825,Paid using bankDirect</t>
  </si>
  <si>
    <t>SALARY TRANSFER,CDD 01126H005960,QCH1373400908000 QAR,QATAR AIRWAYS,2/SALA,SOLIDARITY DEDUCTION</t>
  </si>
  <si>
    <t>TELEX TRANSFER,141120T00454,family munni lal,Vineet Kumar Saraswat</t>
  </si>
  <si>
    <t>CORREPONDENT BANK CHARGES,141120T00454</t>
  </si>
  <si>
    <t>TELEX CHARGE,141120T00454,Telex Transfer Charges</t>
  </si>
  <si>
    <t>TRANSFER - DEBIT,061120W02879,Saving topup,VINEET KUMAR SARASWAT</t>
  </si>
  <si>
    <t>LULU EXPRESS TRADING COMP DOHA 634 AUTH NO. 087989</t>
  </si>
  <si>
    <t>NEW INDIAN SUP MARKET DOHA 634 AUTH NO. 005871</t>
  </si>
  <si>
    <t>UBERBV UBER TRIP HELP.UBE HELP.UBER.COM 528 AUTH NO. 077352</t>
  </si>
  <si>
    <t>UBERBV UBER TRIP HELP.UBE HELP.UBER.COM 528 AUTH NO. 069973</t>
  </si>
  <si>
    <t>CAREEM NETWORKS FZ LLC DUBAI ARE AUTH NO. 002689</t>
  </si>
  <si>
    <t>PRIMARY HEALTH CARE -A DOHA QAT AUTH NO. 033524</t>
  </si>
  <si>
    <t>PRIMARY HEALTH CARE -A DOHA QAT AUTH NO. 023687</t>
  </si>
  <si>
    <t>CAREEM NETWORKS FZ LLC DUBAI ARE AUTH NO. 024656</t>
  </si>
  <si>
    <t>NEW GRAND MART SM R15 DOHA QAT AUTH NO. 063396</t>
  </si>
  <si>
    <t>TALABAT-MIGS DOHA QAT AUTH NO. 077380</t>
  </si>
  <si>
    <t>TALABAT</t>
  </si>
  <si>
    <t>C011</t>
  </si>
  <si>
    <t>Nose Ring</t>
  </si>
  <si>
    <t>20K</t>
  </si>
  <si>
    <t>TRANSFER - DEBIT,051220W00382,Saving Top Up,VINEET KUMAR SARASWAT</t>
  </si>
  <si>
    <t>TELEX TRANSFER,031220L09542,DEC 2020 Rent,Capital One Trading Wll</t>
  </si>
  <si>
    <t>TELEX CHARGE,ThirdParty Transfer Charges,031220L09542</t>
  </si>
  <si>
    <t>CREDIT,301120T04379,BAW-TT Charge Refund</t>
  </si>
  <si>
    <t>CREDIT,141120T00454,BAW-TT Charge Refund</t>
  </si>
  <si>
    <t>TELEX TRANSFER,301120T04379,Vineet Kumar Saraswat</t>
  </si>
  <si>
    <t>CORREPONDENT BANK CHARGES,301120T04379</t>
  </si>
  <si>
    <t>TELEX CHARGE,301120T04379,Telex Transfer Charges</t>
  </si>
  <si>
    <t>CARD BILL PAYMENT,291120703768,CARD NO 3643 xxxxxx 1825,Paid using bankDirect</t>
  </si>
  <si>
    <t>TRANSFER - CREDIT,291120L04881,Transfer From 4010-512145-001,AKSHIT WALIA</t>
  </si>
  <si>
    <t>AKSHIT</t>
  </si>
  <si>
    <t>PICK-N-PACK DOHA 634 AUTH NO. 092228</t>
  </si>
  <si>
    <t>LULU HYPERMARKET DOHA QAT AUTH NO. 073993</t>
  </si>
  <si>
    <t>LULU HYPERMARKET DOHA QAT AUTH NO. 014420</t>
  </si>
  <si>
    <t>CAREEM NETWORKS FZ LLC DUBAI ARE AUTH NO. 068801</t>
  </si>
  <si>
    <t>TALABAT DOHA QAT AUTH NO. 013083</t>
  </si>
  <si>
    <t>VODAFONE MOBILE APP DOHA 634 AUTH NO. 088080</t>
  </si>
  <si>
    <t>QATAR AIR DOHA QAT AUTH NO. 090570</t>
  </si>
  <si>
    <t>Hotel booking</t>
  </si>
  <si>
    <t>PICK-N-PACK DOHA 634 AUTH NO. 047736</t>
  </si>
  <si>
    <t>CAREEM NETWORKS FZ LLC DUBAI ARE AUTH NO. 038955</t>
  </si>
  <si>
    <t>TALABAT-MIGS DOHA QAT AUTH NO. 006491</t>
  </si>
  <si>
    <t>ISIN Code</t>
  </si>
  <si>
    <t>INF174K01369</t>
  </si>
  <si>
    <t>INF174K01336</t>
  </si>
  <si>
    <t>INF178L01202</t>
  </si>
  <si>
    <t>INF209K01108</t>
  </si>
  <si>
    <t>INF204K01968</t>
  </si>
  <si>
    <t>INF204K01CL1</t>
  </si>
  <si>
    <t>INF209K01322</t>
  </si>
  <si>
    <t>INF174KA1EK3</t>
  </si>
  <si>
    <t>INF204K01KN0</t>
  </si>
  <si>
    <t>Investment_type</t>
  </si>
  <si>
    <t>One Time</t>
  </si>
  <si>
    <t>TELEX TRANSFER,211220T03167,payment to Kapil Bhaiya,Dhruv Kumar Sharma</t>
  </si>
  <si>
    <t>CORREPONDENT BANK CHARGES,211220T03167</t>
  </si>
  <si>
    <t>TELEX CHARGE,211220T03167,Telex Transfer Charges</t>
  </si>
  <si>
    <t>ATM CASH WITHDRAWAL,034710150221,4409 150221,COMM. BANK OF QATAR DOHA,4342041934720023 12/12 13.44</t>
  </si>
  <si>
    <t>Kapil Bhaiya loan</t>
  </si>
  <si>
    <t>PICK-N-PACK DOHA QA AUTH NO. 062750</t>
  </si>
  <si>
    <t>PICK-N-PACK DOHA 634 AUTH NO. 031224</t>
  </si>
  <si>
    <t>PICK-N-PACK DOHA 634 AUTH NO. 080494</t>
  </si>
  <si>
    <t>PICK-N-PACK DOHA 634 AUTH NO. 012003</t>
  </si>
  <si>
    <t>LULU HYPERMARKET DOHA 634 AUTH NO. 005517</t>
  </si>
  <si>
    <t>LULU HYPERMARKET DOHA 634 AUTH NO. 051949</t>
  </si>
  <si>
    <t>LULU HYPER MARKET - PHARM DOHA 634 AUTH NO. 042941</t>
  </si>
  <si>
    <t>UBERBV UBER TRIP HELP.UBE HELP.UBER.COM 528 AUTH NO. 027591</t>
  </si>
  <si>
    <t>PICK-N-PACK DOHA 634 AUTH NO. 036267</t>
  </si>
  <si>
    <t>LULU EXPRESS TRADING COMP DOHA 634 AUTH NO. 034834</t>
  </si>
  <si>
    <t>UBERBV UBER TRIP HELP.UBE HELP.UBER.COM 528 AUTH NO. 047561</t>
  </si>
  <si>
    <t>TALABAT DOHA QAT AUTH NO. 040878</t>
  </si>
  <si>
    <t>CAREEM NETWORKS FZ LLC DUBAI ARE AUTH NO. 005253</t>
  </si>
  <si>
    <t>CAREEM NETWORKS FZ LLC DUBAI ARE AUTH NO. 045932</t>
  </si>
  <si>
    <t>THE COFFEE SHOP QR TOW DOHA QAT AUTH NO. 007946</t>
  </si>
  <si>
    <t>PRIMARY HEALTH CARE -A DOHA QAT AUTH NO. 068279</t>
  </si>
  <si>
    <t>CAREEM NETWORKS FZ LLC DUBAI ARE AUTH NO. 062931</t>
  </si>
  <si>
    <t>THE COFFEE SHOP QR TOW DOHA QAT AUTH NO. 044320</t>
  </si>
  <si>
    <t>CAREEM NETWORKS FZ LLC DUBAI ARE AUTH NO. 064694</t>
  </si>
  <si>
    <t>PRIMARY HEALTH CARE -A DOHA QAT AUTH NO. 009577</t>
  </si>
  <si>
    <t>BOMBAY CHOWPATTY FFC DOHA QAT AUTH NO. 082791</t>
  </si>
  <si>
    <t>CAREEM NETWORKS FZ LLC DUBAI ARE AUTH NO. 070135</t>
  </si>
  <si>
    <t>CAREEM NETWORKS FZ LLC DUBAI ARE AUTH NO. 028298</t>
  </si>
  <si>
    <t>OOREDOO TOP-UP DOHA QAT AUTH NO. 021211</t>
  </si>
  <si>
    <t>CAREEM NETWORKS FZ LLC DUBAI ARE AUTH NO. 077122</t>
  </si>
  <si>
    <t>TALABAT-MIGS DOHA QAT AUTH NO. 013490</t>
  </si>
  <si>
    <t>BOM CHOPATI</t>
  </si>
  <si>
    <t>CBQ PURCHASE,036516000099,4010 000099 78371302,LULU EXPRESS TRADING COMPDOHA,4342041934720023 30/12 19.45</t>
  </si>
  <si>
    <t>CARD BILL PAYMENT,301220706679,CARD NO 3643 xxxxxx 1825,Paid using bankDirect</t>
  </si>
  <si>
    <t>CARD BILL PAYMENT,301220701714,CARD NO 3643 xxxxxx 1825,Paid using bankDirect</t>
  </si>
  <si>
    <t>SALARY TRANSFER,CDD 01229H004278,QCH1165601682000 QAR,QATAR AIRWAYS,2/SALA,SOLIDARITY DEDUCTION</t>
  </si>
  <si>
    <t>CAREEM NETWORKS FZ LLC DUBAI ARE AUTH NO. 017143</t>
  </si>
  <si>
    <t>VODAFONE MOBILE APP DOHA 634 AUTH NO. 075997</t>
  </si>
  <si>
    <t>CAREEM NETWORKS FZ LLC DUBAI ARE AUTH NO. 041603</t>
  </si>
  <si>
    <t>TELEX TRANSFER,020121T04989,family needs,Vineet Kumar Saraswat</t>
  </si>
  <si>
    <t>TELEX TRANSFER,020121L06587,Jan 2021 Rent,Capital One Trading Wll</t>
  </si>
  <si>
    <t>CORREPONDENT BANK CHARGES,020121T04989</t>
  </si>
  <si>
    <t>TELEX CHARGE,020121T04989,Telex Transfer Charges</t>
  </si>
  <si>
    <t>TELEX CHARGE,ThirdParty Transfer Charges,020121L06587</t>
  </si>
  <si>
    <t>OOREDOO TOP-UP DOHA QAT AUTH NO. 004219</t>
  </si>
  <si>
    <t>FAMILY FOOD CENTER DOHA QAT AUTH NO. 002784</t>
  </si>
  <si>
    <t>ATM CASH WITHDRAWAL,100413154183,4413 154183,COMM. BANK OF QATAR DOHA,4342041934720023 04/01 16.29</t>
  </si>
  <si>
    <t>CREDIT,211220T03167,BAW-TT Charge Refund</t>
  </si>
  <si>
    <t>LULU CENTRE TRAD. CO.-HYP DOHA QA AUTH NO. 076998</t>
  </si>
  <si>
    <t>PICK-N-PACK DOHA 634 AUTH NO. 016011</t>
  </si>
  <si>
    <t>UBERBV UBER TRIP HELP.UBE HELP.UBER.COM 528 AUTH NO. 090253</t>
  </si>
  <si>
    <t>LULU CENTRE TRAD. CO.- DOHA QAT AUTH NO. 083904</t>
  </si>
  <si>
    <t>PIZZA HUT DOHA QAT AUTH NO. 048281</t>
  </si>
  <si>
    <t>COFFEE BEANERY DOHA QAT AUTH NO. 004013</t>
  </si>
  <si>
    <t>CAREEM NETWORKS FZ LLC DUBAI ARE AUTH NO. 002329</t>
  </si>
  <si>
    <t>BOMBAY CHOWPATTY FFC DOHA QAT AUTH NO. 052510</t>
  </si>
  <si>
    <t>VODAFONE MOBILE APP DOHA 634 AUTH NO. 058335</t>
  </si>
  <si>
    <t>TRANSFER - DEBIT,090121W02925,Saving top up,VINEET KUMAR SARASWAT</t>
  </si>
  <si>
    <t>CARREFOUR (VILLAGIO MA DOHA QAT AUTH NO. 063641</t>
  </si>
  <si>
    <t>TELEX TRANSFER,150121T02100,Family Maintenance,Vineet Kumar Saraswat</t>
  </si>
  <si>
    <t>UBERBV UBER TRIP HELP.UBE R.COMHELP.UB NL AUTH NO. 065317</t>
  </si>
  <si>
    <t>PICK-N-PACK DOHA QA AUTH NO. 098620</t>
  </si>
  <si>
    <t>PICK-N-PACK DOHA QA AUTH NO. 065602</t>
  </si>
  <si>
    <t>LULU EXPRESS TRADING COMP DOHA 634 AUTH NO. 068792</t>
  </si>
  <si>
    <t>PICK-N-PACK DOHA 634 AUTH NO. 091554</t>
  </si>
  <si>
    <t>LULU EXPRESS TRADING COMP DOHA 634 AUTH NO. 059312</t>
  </si>
  <si>
    <t>CAREEM NETWORKS FZ LLC DUBAI ARE AUTH NO. 004010</t>
  </si>
  <si>
    <t>CAREEM NETWORKS FZ LLC DUBAI ARE AUTH NO. 022132</t>
  </si>
  <si>
    <t>CAREEM NETWORKS FZ LLC DUBAI ARE AUTH NO. 016857</t>
  </si>
  <si>
    <t>OOREDOO TOP-UP DOHA QAT AUTH NO. 028707</t>
  </si>
  <si>
    <t>QATAR RAIL AL DOHA AL DOHA QAT AUTH NO. 052178</t>
  </si>
  <si>
    <t>TALABAT-MIGS DOHA QAT AUTH NO. 090737</t>
  </si>
  <si>
    <t>CAREEM NETWORKS FZ LLC DUBAI ARE AUTH NO. 024134</t>
  </si>
  <si>
    <t>CBQ PURCHASE,102714008520,4010 008520 78273512,RED TAG DOHA,4342041934720023 27/01 17.29</t>
  </si>
  <si>
    <t>SALARY TRANSFER,CDD 10127H005346,QCH4848401460000 QAR,QATAR AIRWAYS,2/SALA,SOLIDARITY DEDUCTION</t>
  </si>
  <si>
    <t>TRANSFER - DEBIT,200121L01447,lunch,Asif Ali Khan</t>
  </si>
  <si>
    <t>CBQ PURCHASE,102916005460,4010 005460 78340105,STARBUCKS - LEVEL 1 DOHA,4342041934720023 29/01 19.13</t>
  </si>
  <si>
    <t>CBQ PURCHASE,102915005241,4010 005241 78241498,KAILASH PARBAT RESTAURANTDOHA,4342041934720023 29/01 18.39</t>
  </si>
  <si>
    <t>CARD BILL PAYMENT,300121700811,CARD NO 3643 xxxxxx 1825,Paid using bankDirect</t>
  </si>
  <si>
    <t>CBQ PURCHASE,103015000135,4010 000135 77974494,PICK-N-PACK DOHA,4342041934720023 30/01 18.37</t>
  </si>
  <si>
    <t>CBQ PURCHASE,103008003248,4010 003248 78371305,LULU EXPRESS TRADING COMPDOHA,4342041934720023 30/01 11.28</t>
  </si>
  <si>
    <t>TELEX TRANSFER,020221L11285,Feb 2021 Rent,Capital One Trading Wll</t>
  </si>
  <si>
    <t>TELEX CHARGE,ThirdParty Transfer Charges,020221L11285</t>
  </si>
  <si>
    <t>CREDIT,150121T02100,BAW-TT Charge Refund</t>
  </si>
  <si>
    <t>CREDIT,020121T04989,BAW-TT Charge Refund</t>
  </si>
  <si>
    <t>NAPS PURCHASE,011030015462,4018 007214 31,QPay Payment Ooredoo3,4342041934720023 30/01 20.41,63493000000</t>
  </si>
  <si>
    <t>VODAFONE MVA 8007111 QAT AUTH NO. 065978</t>
  </si>
  <si>
    <t>NEW GRAND MART SM R15 DOHA QAT AUTH NO. 006575</t>
  </si>
  <si>
    <t>TRANSFER - DEBIT,040221L05527,ind trsfr,Dinesh Sharma</t>
  </si>
  <si>
    <t>LULU CENTRE TRAD. CO.-HYP DOHA QA AUTH NO. 067147</t>
  </si>
  <si>
    <t>LULU CENTRE TRAD. CO.-HYP DOHA QA AUTH NO. 053548</t>
  </si>
  <si>
    <t>CAREEM NETWORKS FZ LLC DUBAI ARE AUTH NO. 073528</t>
  </si>
  <si>
    <t>CAREEM NETWORKS FZ LLC DUBAI ARE AUTH NO. 073778</t>
  </si>
  <si>
    <t>NASEEM AL RABEEH MEDICAL DOHA QA AUTH NO. 043638</t>
  </si>
  <si>
    <t>LULU EXPRESS TRADING COMP DOHA QA AUTH NO. 000655</t>
  </si>
  <si>
    <t>PICK-N-PACK DOHA QA AUTH NO. 079415</t>
  </si>
  <si>
    <t>KALYAN JEWELLERS DOHA QA AUTH NO. 015173</t>
  </si>
  <si>
    <t>NASEEM AL</t>
  </si>
  <si>
    <t>NASEEM AL RABEEH MEDIC DOHA QAT AUTH NO. 040748</t>
  </si>
  <si>
    <t>CAREEM NETWORKS FZ LLC DUBAI ARE AUTH NO. 089642</t>
  </si>
  <si>
    <t>NASEEM AL RABEEH PHARMA</t>
  </si>
  <si>
    <t>HBKGPB001225</t>
  </si>
  <si>
    <t>VIRAAJ</t>
  </si>
  <si>
    <t>CAREEM NETWORKS FZ LLC DUBAI ARE AUTH NO. 006090</t>
  </si>
  <si>
    <t>CAREEM NETWORKS FZ LLC DUBAI ARE AUTH NO. 024416</t>
  </si>
  <si>
    <t>SALARY TRANSFER,CDD 10224H003191,QCH2116480938000 QAR,QATAR AIRWAYS,2/SALA,SOLIDARITY DEDUCTION</t>
  </si>
  <si>
    <t>LULU EXPRESS TRADING COMP DOHA 634 AUTH NO. 039437</t>
  </si>
  <si>
    <t>PICK-N-PACK DOHA 634 AUTH NO. 011110</t>
  </si>
  <si>
    <t>UBERBV UBER TRIP HELP.UBE HELP.UBER.COM 528 AUTH NO. 081547</t>
  </si>
  <si>
    <t>LULU HYPERMARKET-MIGS DOHA QAT AUTH NO. 074896</t>
  </si>
  <si>
    <t>LULU HYPERMARKET-MIGS DOHA QAT AUTH NO. 026162</t>
  </si>
  <si>
    <t>CAREEM NETWORKS FZ LLC DUBAI ARE AUTH NO. 034389</t>
  </si>
  <si>
    <t>PRIMARY HEALTH CARE -A DOHA QAT AUTH NO. 079659</t>
  </si>
  <si>
    <t>CAREEM NETWORKS FZ LLC DUBAI ARE AUTH NO. 054606</t>
  </si>
  <si>
    <t>CAREEM NETWORKS FZ LLC DUBAI ARE AUTH NO. 033854</t>
  </si>
  <si>
    <t>CAREEM NETWORKS FZ LLC DUBAI ARE AUTH NO. 087568</t>
  </si>
  <si>
    <t>CAREEM NETWORKS FZ LLC DUBAI ARE AUTH NO. 055399</t>
  </si>
  <si>
    <t>THE COFFEE SHOP QR TOW DOHA QAT AUTH NO. 047562</t>
  </si>
  <si>
    <t>TRANSFER - DEBIT,210221L05388,to Akshit,Akshit Walia</t>
  </si>
  <si>
    <t>CARD BILL PAYMENT,270221703061,CARD NO 3643 xxxxxx 1825,Paid using bankDirect</t>
  </si>
  <si>
    <t>TELEX TRANSFER,020321L02539,Mar2021 Rent,Capital One Trading Wll</t>
  </si>
  <si>
    <t>TELEX CHARGE,ThirdParty Transfer Charges,020321L02539</t>
  </si>
  <si>
    <t>NAPS ATM,000000009102,4018 021304 2908,LULU Hyper Market D Ring Road 2908,4342041934720023 01/03 16.00,63414000000</t>
  </si>
  <si>
    <t>CARD BILL PAYMENT,280221709558,CARD NO 3643 xxxxxx 1825,Paid using bankDirect</t>
  </si>
  <si>
    <t>LULU CENTRE TRAD. CO.-HYP DOHA QA AUTH NO. 020528</t>
  </si>
  <si>
    <t>LULU CENTRE TRAD. CO.-HYP DOHA QA AUTH NO. 034936</t>
  </si>
  <si>
    <t>LULU CENTRE TRAD. CO.- DOHA QAT AUTH NO. 077238</t>
  </si>
  <si>
    <t>CAREEM NETWORKS FZ LLC DUBAI ARE AUTH NO. 014165</t>
  </si>
  <si>
    <t>CAREEM NETWORKS FZ LLC DUBAI ARE AUTH NO. 043117</t>
  </si>
  <si>
    <t>VODAFONE MVA 8007111 QAT AUTH NO. 013896</t>
  </si>
  <si>
    <t>CAREEM NETWORKS FZ LLC DUBAI ARE AUTH NO. 080924</t>
  </si>
  <si>
    <t>PICK-N-PACK DOHA 634 AUTH NO. 086456</t>
  </si>
  <si>
    <t>OOREDOO TOP-UP DOHA QAT AUTH NO. 026264</t>
  </si>
  <si>
    <t>OOREDOO TOP-UP DOHA QAT AUTH NO. 001456</t>
  </si>
  <si>
    <t>TELEX TRANSFER,090321T07144,family,Vineet Kumar Saraswat</t>
  </si>
  <si>
    <t>CORREPONDENT BANK CHARGES,090321T07144</t>
  </si>
  <si>
    <t>TELEX CHARGE,090321T07144,Telex Transfer Charges</t>
  </si>
  <si>
    <t>PICK-N-PACK DOHA QA AUTH NO. 029330</t>
  </si>
  <si>
    <t>MICROWORLD DOHA 634 AUTH NO. 079700</t>
  </si>
  <si>
    <t>PICK-N-PACK DOHA QA AUTH NO. 037581</t>
  </si>
  <si>
    <t>MAX RETAIL CO WLL DOHA 634 AUTH NO. 028950</t>
  </si>
  <si>
    <t>PICK-N-PACK DOHA 634 AUTH NO. 015031</t>
  </si>
  <si>
    <t>MAX RETAIL CO WLL DOHA 634 AUTH NO. 051166</t>
  </si>
  <si>
    <t>THE COFFEE BEAN &amp; TEA LEA DOHA 634 AUTH NO. 036050</t>
  </si>
  <si>
    <t>PICK-N-PACK DOHA 634 AUTH NO. 075450</t>
  </si>
  <si>
    <t>FAMILY FOOD CENTER DOHA QAT AUTH NO. 038134</t>
  </si>
  <si>
    <t>FAMILY FOOD CENTER DOHA QAT AUTH NO. 004642</t>
  </si>
  <si>
    <t>PRIMARY HEALTH CARE -A DOHA QAT AUTH NO. 030208</t>
  </si>
  <si>
    <t>BOMBAY CHOWPATTY FFC DOHA QAT AUTH NO. 064445</t>
  </si>
  <si>
    <t>CARREFOUR DOHA QAT AUTH NO. 068006</t>
  </si>
  <si>
    <t>CAREEM NETWORKS FZ LLC DUBAI ARE AUTH NO. 098029</t>
  </si>
  <si>
    <t>CAREEM NETWORKS FZ LLC DUBAI ARE AUTH NO. 010818</t>
  </si>
  <si>
    <t>CAREEM NETWORKS FZ LLC DUBAI ARE AUTH NO. 026519</t>
  </si>
  <si>
    <t>PRIMARY HEALTH CARE -A DOHA QAT AUTH NO. 068379</t>
  </si>
  <si>
    <t>PRIMARY HEALTH CARE -A DOHA QAT AUTH NO. 036457</t>
  </si>
  <si>
    <t>CAREEM NETWORKS FZ LLC DUBAI ARE AUTH NO. 054475</t>
  </si>
  <si>
    <t>CAREEM NETWORKS FZ LLC DUBAI ARE AUTH NO. 020198</t>
  </si>
  <si>
    <t>FAMILY FOOD CENTER DOHA QAT AUTH NO. 095091</t>
  </si>
  <si>
    <t>LULU EXPRESS TRADING COMP DOHA QA AUTH NO. 081844</t>
  </si>
  <si>
    <t>PICK-N-PACK DOHA QA AUTH NO. 047620</t>
  </si>
  <si>
    <t>UBERBV UBER TRIP HELP.UBE R.COMHELP.UB NL AUTH NO. 072499</t>
  </si>
  <si>
    <t>LULU EXPRESS TRADING COMP DOHA 634 AUTH NO. 077108</t>
  </si>
  <si>
    <t>UBERBV UBER TRIP HELP.UBE HELP.UBER.COM 528 AUTH NO. 062516</t>
  </si>
  <si>
    <t>UBERBV UBER TRIP HELP.UBE HELP.UBER.COM 528 AUTH NO. 074799</t>
  </si>
  <si>
    <t>PICK-N-PACK DOHA 634 AUTH NO. 099576</t>
  </si>
  <si>
    <t>CAREEM NETWORKS FZ LLC DUBAI ARE AUTH NO. 071638</t>
  </si>
  <si>
    <t>QATAR RAIL DOHA QAT AUTH NO. 079344</t>
  </si>
  <si>
    <t>THE COFFEE SHOP QR TOW DOHA QAT AUTH NO. 020922</t>
  </si>
  <si>
    <t>CAREEM NETWORKS FZ LLC DUBAI ARE AUTH NO. 096034</t>
  </si>
  <si>
    <t>CAREEM NETWORKS FZ LLC DUBAI ARE AUTH NO. 069399</t>
  </si>
  <si>
    <t>PRIMARY HEALTH CARE CO DOHA QAT AUTH NO. 082305</t>
  </si>
  <si>
    <t>CAREEM NETWORKS FZ LLC DUBAI ARE AUTH NO. 021475</t>
  </si>
  <si>
    <t>CAREEM NETWORKS FZ LLC DUBAI ARE AUTH NO. 001221</t>
  </si>
  <si>
    <t>OOREDOO B2B PAYMENT,6335912981075,Ooredoo-33808405,HALA,Topup,CBQRIB00000290321020286</t>
  </si>
  <si>
    <t>OOREDOO B2B PAYMENT,6335908347075,Ooredoo-33808405,HALA,Topup,CBQRIB00000290321020282</t>
  </si>
  <si>
    <t>CARD BILL PAYMENT,290321702534,CARD NO 3643 xxxxxx 1825,Paid using bankDirect</t>
  </si>
  <si>
    <t>TRANSFER - DEBIT,290321W01563,saving top up,VINEET KUMAR SARASWAT</t>
  </si>
  <si>
    <t>SALARY TRANSFER,CDD 10329H003941,QCH3597653720000 QAR,QATAR AIRWAYS,2/SALA,SALARY CHANGES</t>
  </si>
  <si>
    <t>THE COFFEE SHOP QR TOW DOHA QAT AUTH NO. 074530</t>
  </si>
  <si>
    <t>THE COFFEE SHOP QR TOW DOHA QAT AUTH NO. 066493</t>
  </si>
  <si>
    <t>CARD BILL PAYMENT,290321703315,CARD NO 3643 xxxxxx 1825,Paid using bankDirect</t>
  </si>
  <si>
    <t>TELEX TRANSFER,030421L01482,Apr 21 Rent,Capital One Trading Wll</t>
  </si>
  <si>
    <t>TELEX CHARGE,ThirdParty Transfer Charges,030421L01482</t>
  </si>
  <si>
    <t>ATM CASH WITHDRAWAL,109115150356,4409 150356,COMM. BANK OF QATAR DOHA,4342041934720023 01/04 18.34</t>
  </si>
  <si>
    <t>CREDIT,090321T07144,BAW-TT Charge Refund</t>
  </si>
  <si>
    <t>CBQ PURCHASE,108916001581,4010 001581 77974493,PICK-N-PACK DOHA,4342041934720023 30/03 19.22</t>
  </si>
  <si>
    <t>LULU EXPRESS TRADING COMP DOHA 634 AUTH NO. 082655</t>
  </si>
  <si>
    <t>UBERBV UBER TRIP HELP.UBE R.COMHELP.UB NL AUTH NO. 062170</t>
  </si>
  <si>
    <t>CAREEM NETWORKS FZ LLC DUBAI ARE AUTH NO. 088778</t>
  </si>
  <si>
    <t>VODAFONE MOBILE APP DOHA 634 AUTH NO. 080972</t>
  </si>
  <si>
    <t>Loan to Akshit</t>
  </si>
  <si>
    <t>ATM CASH WITHDRAWAL,109513154173,4413 154173,COMM. BANK OF QATAR DOHA,4342041934720023 05/04 16.40</t>
  </si>
  <si>
    <t>PICK-N-PACK DOHA QA AUTH NO. 097996</t>
  </si>
  <si>
    <t>SAFFRON RESTAURANT DOHA QAT AUTH NO. 018940</t>
  </si>
  <si>
    <t>TELEX TRANSFER,200421T04142,Vineet Kumar Saraswat</t>
  </si>
  <si>
    <t>TELEX TRANSFER,010521L03089,May-2021 Rent,Capital One Trading Wll</t>
  </si>
  <si>
    <t>TELEX CHARGE,ThirdParty Transfer Charges,010521L03089</t>
  </si>
  <si>
    <t>CARD BILL PAYMENT,010521702988,CARD NO 3643 xxxxxx 1825,Paid using bankDirect</t>
  </si>
  <si>
    <t>SALARY TRANSFER,CDD 10428H011311,QCH1033645860000 QAR,QATAR AIRWAYS,2/SALA</t>
  </si>
  <si>
    <t>Credit Shield Insurance Fee</t>
  </si>
  <si>
    <t>UBERBV UBER TRIP HELP.UBE HELP.UBER.COM 528 AUTH NO. 052240</t>
  </si>
  <si>
    <t>ASTER HOSPITAL DOHA 634 AUTH NO. 006203</t>
  </si>
  <si>
    <t>PICK-N-PACK DOHA 634 AUTH NO. 065504</t>
  </si>
  <si>
    <t>FAMILY FOOD CENTRE DOHA 634 AUTH NO. 084163</t>
  </si>
  <si>
    <t>UBERBV UBER TRIP HELP.UBE HELP.UBER.COM 528 AUTH NO. 024708</t>
  </si>
  <si>
    <t>PICK-N-PACK DOHA 634 AUTH NO. 012844</t>
  </si>
  <si>
    <t>PICK-N-PACK DOHA 634 AUTH NO. 080058</t>
  </si>
  <si>
    <t>CREDIT,030421T03712,BAW-TT Charge Refund</t>
  </si>
  <si>
    <t>VODAFONE MOBILE APP DOHA 634 AUTH NO. 037432</t>
  </si>
  <si>
    <t>CAREEM NETWORKS FZ LLC DUBAI ARE AUTH NO. 056312</t>
  </si>
  <si>
    <t>CAREEM NETWORKS FZ LLC DUBAI ARE AUTH NO. 043156</t>
  </si>
  <si>
    <t>CAREEM NETWORKS FZ LLC DUBAI ARE AUTH NO. 075859</t>
  </si>
  <si>
    <t>CAREEM NETWORKS FZ LLC DUBAI ARE AUTH NO. 064096</t>
  </si>
  <si>
    <t>CAREEM NETWORKS FZ LLC DUBAI ARE AUTH NO. 015049</t>
  </si>
  <si>
    <t>CAREEM NETWORKS FZ LLC DUBAI ARE AUTH NO. 090188</t>
  </si>
  <si>
    <t>CAREEM NETWORKS FZ LLC DUBAI ARE AUTH NO. 049099</t>
  </si>
  <si>
    <t>OOREDOO TOP-UP DOHA QAT AUTH NO. 000286</t>
  </si>
  <si>
    <t>LULU EXPRESS TRADING C DOHA QAT AUTH NO. 068544</t>
  </si>
  <si>
    <t>QATAR RAIL AL DOHA AL DOHA QAT AUTH NO. 025495</t>
  </si>
  <si>
    <t>LULU HYPERMARKET DOHA QAT AUTH NO. 057239</t>
  </si>
  <si>
    <t>CAREEM NETWORKS FZ LLC DUBAI ARE AUTH NO. 044729</t>
  </si>
  <si>
    <t>LULU HYPERMARKET DOHA QAT AUTH NO. 069170</t>
  </si>
  <si>
    <t>CAREEM NETWORKS FZ LLC DUBAI ARE AUTH NO. 017542</t>
  </si>
  <si>
    <t>NRE</t>
  </si>
  <si>
    <t>QATAR AIRWAYS QATAR Q AT AUTH NO. 096137</t>
  </si>
  <si>
    <t>HOTEL</t>
  </si>
  <si>
    <t>BRAND</t>
  </si>
  <si>
    <t>KOTAK</t>
  </si>
  <si>
    <t>NIPPON</t>
  </si>
  <si>
    <t>ABSL</t>
  </si>
  <si>
    <t>Invest_Type</t>
  </si>
  <si>
    <t>QAR-RD</t>
  </si>
  <si>
    <t>MUTUAL FUND</t>
  </si>
  <si>
    <t>LIC</t>
  </si>
  <si>
    <t>Asset_Type</t>
  </si>
  <si>
    <t>Investment</t>
  </si>
  <si>
    <t>Asset_Group</t>
  </si>
  <si>
    <t>Current</t>
  </si>
  <si>
    <t>Non-Current</t>
  </si>
  <si>
    <t>TELEX TRANSFER,230521T01089,Car rent,Akshay Sharma</t>
  </si>
  <si>
    <t>TELEX TRANSFER,230521T01053,test,Akshay Sharma</t>
  </si>
  <si>
    <t>CORREPONDENT BANK CHARGES,230521T01089</t>
  </si>
  <si>
    <t>CORREPONDENT BANK CHARGES,230521T01053</t>
  </si>
  <si>
    <t>TELEX CHARGE,230521T01089,Telex Transfer Charges</t>
  </si>
  <si>
    <t>TELEX CHARGE,230521T01053,Telex Transfer Charges</t>
  </si>
  <si>
    <t>LULU EXPRESS TRADING COMP DOHA QA AUTH NO. 022491</t>
  </si>
  <si>
    <t>PICK-N-PACK DOHA 634 AUTH NO. 052300</t>
  </si>
  <si>
    <t>SALARY TRANSFER,CDD 10527H004227,QCH17158xxxxxx00 QAR,QATAR AIRWAYS,2/SALA,LEAVE DEDUCTION</t>
  </si>
  <si>
    <t>PICK-N-PACK DOHA QA AUTH NO. 048458</t>
  </si>
  <si>
    <t>CAREEM PAY DUBAI ARE AUTH NO. 000815</t>
  </si>
  <si>
    <t>CAREEM PAY DUBAI ARE AUTH NO. 024506</t>
  </si>
  <si>
    <t>CARD BILL PAYMENT,270521702541,CARD NO 5416 xxxx xxxx 9104,Paid using bankDirect</t>
  </si>
  <si>
    <t>STARBUCKS - LEVEL 1 DOHA QA AUTH NO. 080647</t>
  </si>
  <si>
    <t>LULU CENTRE TRAD. CO.-HYP DOHA QA AUTH NO. 021117</t>
  </si>
  <si>
    <t>CAREEM PAY DUBAI ARE AUTH NO. 076755</t>
  </si>
  <si>
    <t>CAREEM PAY DUBAI ARE AUTH NO. 095180</t>
  </si>
  <si>
    <t>CARD BILL PAYMENT,300521701306,CARD NO 3643 xxxxxx 1825,Paid using bankDirect</t>
  </si>
  <si>
    <t>CBQ PURCHASE,114809002373,4010 002373 77974494,PICK-N-PACK DOHA,43420xxxxxx20023 28/05 12.43</t>
  </si>
  <si>
    <t>LULU HYPERMARKET DOHA 634 AUTH NO. 021117</t>
  </si>
  <si>
    <t>TELEX TRANSFER,010621L01952,Jun 2021 Rent,Capital One Trading Wll</t>
  </si>
  <si>
    <t>TELEX CHARGE,ThirdParty Transfer Charges,010621L01952</t>
  </si>
  <si>
    <t>CREDIT,230521T01089,BAW-TT Charge Refund</t>
  </si>
  <si>
    <t>CREDIT,230521T01053,BAW-TT Charge Refund</t>
  </si>
  <si>
    <t>NAPS ATM,115019714764,4018 030148 00010051,ahlibank CITY EXCHANGEQATAR,43420xxxxxx20023 30/05 19.13,63401000000</t>
  </si>
  <si>
    <t>DEBIT STANDING ORDER,18122019003055,TRF TO 47001xxxxxx15</t>
  </si>
  <si>
    <t>LULU EXPRESS TRADING COMP DOHA QA AUTH NO. 096944</t>
  </si>
  <si>
    <t>LULU EXPRESS TRADING COMP DOHA QA AUTH NO. 041881</t>
  </si>
  <si>
    <t>VODAFONE MOBILE APP DOHA 634 AUTH NO. 060499</t>
  </si>
  <si>
    <t>TRANSFER - DEBIT,060621W02004,saving,VINEET KUMAR SARASWAT</t>
  </si>
  <si>
    <t>STARBUCKS DOHA QA AUTH NO. 006087</t>
  </si>
  <si>
    <t>VODAFONE (WEBSITE) DOHA 634 AUTH NO. 017151</t>
  </si>
  <si>
    <t>Aditya Birla SL Short Term Fund(G)</t>
  </si>
  <si>
    <t>ABSL SHORT TERM</t>
  </si>
  <si>
    <t>INF209K01942</t>
  </si>
  <si>
    <t>Aditya Birla Sun Life Short Term Fund - Regular Plan - Growth [37.0711] | Aditya Birla Sun Life Mutual Fund - Moneycontrol</t>
  </si>
  <si>
    <t>UBERBV UBER TRIP HELP.UBE HELP.UBER.CON LD AUTH NO. 067334</t>
  </si>
  <si>
    <t>KAILASH PARBAT RESTAURANT DOHA 634 AUTH NO. 022812</t>
  </si>
  <si>
    <t>MAX RETAIL CO WLL DOHA 634 AUTH NO. 003092</t>
  </si>
  <si>
    <t>FDS ANZ NITC DOHA QAT AUTH NO. 025828</t>
  </si>
  <si>
    <t>FDS ANZ NITC DOHA QAT AUTH NO. 022102</t>
  </si>
  <si>
    <t>ON THE SIDEWALK DOHA QAT AUTH NO. 092162</t>
  </si>
  <si>
    <t>THE COFFEE SHOP QR TOW DOHA QAT AUTH NO. 002476</t>
  </si>
  <si>
    <t>CARREFOUR DOHA QAT AUTH NO. 047668</t>
  </si>
  <si>
    <t>CAREEM PAY DUBAI ARE AUTH NO. 002552</t>
  </si>
  <si>
    <t>WISH BOX TECHNOLOGY DOHA QAT AUTH NO. 016139</t>
  </si>
  <si>
    <t>PICK-N-PACK DOHA 634 AUTH NO. 073515</t>
  </si>
  <si>
    <t>CAREEM PAY DUBAI ARE AUTH NO. 012605</t>
  </si>
  <si>
    <t>QATAR RAIL ECOMMERCE DOHA QAT AUTH NO. 098841</t>
  </si>
  <si>
    <t>CAREEM PAY DUBAI ARE AUTH NO. 080439</t>
  </si>
  <si>
    <t>CAREEM PAY DUBAI ARE AUTH NO. 099004</t>
  </si>
  <si>
    <t>CAREEM PAY DUBAI ARE AUTH NO. 038433</t>
  </si>
  <si>
    <t>UBERBV UBER TRIP HELP.UBE HELP.UBER.CON LD AUTH NO. 083199</t>
  </si>
  <si>
    <t>VODAFONE MVA 8007111 QAT AUTH NO. 026315</t>
  </si>
  <si>
    <t>VODAFONE MVA 8007111 QAT AUTH NO. 077647</t>
  </si>
  <si>
    <t>VODAFONE MVA 8007111 QAT AUTH NO. 028907</t>
  </si>
  <si>
    <t>CAFE TASSE -SOUQ WAQEF DOHA QAT AUTH NO. 015116</t>
  </si>
  <si>
    <t>WISHBOX</t>
  </si>
  <si>
    <t>TRANSFER - DEBIT,250621L02835,Transfer To 47001xxxxxx01,Sameer Singh</t>
  </si>
  <si>
    <t>ADITYA BIRLA SL MNC FUND-REG(G)</t>
  </si>
  <si>
    <t>Equity - Thematic Fund - MNC</t>
  </si>
  <si>
    <t>Additional Purchase</t>
  </si>
  <si>
    <t>SIP</t>
  </si>
  <si>
    <t>ADITYA BIRLA SL SHORT TERM FUND(G)</t>
  </si>
  <si>
    <t>Debt - Short Duration Fund</t>
  </si>
  <si>
    <t>Switch-In</t>
  </si>
  <si>
    <t>ADITYA BIRLA SL TAX RELIEF '96(G)</t>
  </si>
  <si>
    <t>Equity - ELSS</t>
  </si>
  <si>
    <t>STP</t>
  </si>
  <si>
    <t>KOTAK FLEXICAP FUND(G)</t>
  </si>
  <si>
    <t>Flexi Cap Fund</t>
  </si>
  <si>
    <t>4343476/67</t>
  </si>
  <si>
    <t>KOTAK FOCUSED EQUITY FUND-REG(G)</t>
  </si>
  <si>
    <t>Equity - Focused Fund</t>
  </si>
  <si>
    <t>KOTAK LOW DURATION FUND(G)</t>
  </si>
  <si>
    <t>Debt - Low Duration Fund</t>
  </si>
  <si>
    <t>FoFs (Domestic / Overseas ) - Gold</t>
  </si>
  <si>
    <t>Systematic Investment</t>
  </si>
  <si>
    <t>Debt - Medium to Long Duration Fund</t>
  </si>
  <si>
    <t>PUR</t>
  </si>
  <si>
    <t>NIPPON INDIA PHARMA FUND(G)</t>
  </si>
  <si>
    <t>Equity - Sectoral Fund - Pharma &amp; Health Care</t>
  </si>
  <si>
    <t>Scheme_Name</t>
  </si>
  <si>
    <t>Asset_Sub_Category</t>
  </si>
  <si>
    <t>SIP_Trnx_Type</t>
  </si>
  <si>
    <t>Folio_No.</t>
  </si>
  <si>
    <t>SIP_Trnx_Date</t>
  </si>
  <si>
    <t>Num_Units</t>
  </si>
  <si>
    <t xml:space="preserve">SIP_Buy_Price </t>
  </si>
  <si>
    <t xml:space="preserve">SIP_Invst_Amount </t>
  </si>
  <si>
    <t>NIPPON INDIA GOLD SAVINGS FUND(G)</t>
  </si>
  <si>
    <t>NIPPON INDIA INCOME FUND(G)</t>
  </si>
  <si>
    <t>ISIN</t>
  </si>
  <si>
    <t>NAPS PURCHASE,000001154142,4018 029344 82491202,THE COFFEE SHOP QR TOWDOHA,43420xxxxxx20023 29/06 10.22,63409000000</t>
  </si>
  <si>
    <t>NAPS PURCHASE,000001154141,4018 029232 82491202,THE COFFEE SHOP QR TOWDOHA,43420xxxxxx20023 29/06 10.21,63409000000</t>
  </si>
  <si>
    <t>SALARY TRANSFER,CDD 10628H003621,QCH19742xxxxxx00 QAR,QATAR AIRWAYS,2/SALA</t>
  </si>
  <si>
    <t>PICK-N-PACK DOHA 634 AUTH NO. 089868</t>
  </si>
  <si>
    <t>UBERBV UBER TRIP HELP.UBE HELP.UBER.COM 528 AUTH NO. 035961</t>
  </si>
  <si>
    <t>LULU HYPERMARKET DOHA 634 AUTH NO. 029611</t>
  </si>
  <si>
    <t>LULU HYPERMARKET DOHA 634 AUTH NO. 092891</t>
  </si>
  <si>
    <t>QATAR E-GOVERNMENT DOHA QAT AUTH NO. 060353</t>
  </si>
  <si>
    <t>OOREDOO BRANCH-HQ2 DOHA QAT AUTH NO. 045131</t>
  </si>
  <si>
    <t>OOREDOO TOP-UP DOHA QAT AUTH NO. 062231</t>
  </si>
  <si>
    <t>CAREEM PAY DUBAI ARE AUTH NO. 046703</t>
  </si>
  <si>
    <t>CARD BILL PAYMENT,290621706500,CARD NO 3643 xxxxxx 1825,Paid using bankDirect</t>
  </si>
  <si>
    <t>TELEX TRANSFER,020721L02345,Jul21 Rent,Capital One Trading Wll</t>
  </si>
  <si>
    <t>TELEX CHARGE,ThirdParty Transfer Charges,020721L02345</t>
  </si>
  <si>
    <t>TRANSFER - CREDIT,020721L09114,Transfer From 4010-512145-001,AKSHIT WALIA</t>
  </si>
  <si>
    <t>PICK-N-PACK DOHA QA AUTH NO. 087020</t>
  </si>
  <si>
    <t>KROSSROADS INTERNATIONAL DOHA QA AUTH NO. 028814</t>
  </si>
  <si>
    <t>CAREEM PAY DUBAI ARE AUTH NO. 064738</t>
  </si>
  <si>
    <t>CAREEM PAY DUBAI ARE AUTH NO. 055612</t>
  </si>
  <si>
    <t>PRIMARY HEALTH CARE -A DOHA QAT AUTH NO. 078531</t>
  </si>
  <si>
    <t>TELEX TRANSFER,070721T07182,family,Arti Saraswat</t>
  </si>
  <si>
    <t>CORREPONDENT BANK CHARGES,070721T07182</t>
  </si>
  <si>
    <t>TELEX CHARGE,070721T07182,Telex Transfer Charges</t>
  </si>
  <si>
    <t>TRANSFER - CREDIT,060721L09527,Transfer From 4010-482605-001,DINESH SHARMA</t>
  </si>
  <si>
    <t>DINESH</t>
  </si>
  <si>
    <t>QATAR RAIL DOHA QAT AUTH NO. 035140</t>
  </si>
  <si>
    <t>THE COFFEE SHOP QR TOW DOHA QAT AUTH NO. 028296</t>
  </si>
  <si>
    <t>QDF STAFF SHOP TOWER 2 DOHA QAT AUTH NO. 007771</t>
  </si>
  <si>
    <t>FINGERTIPS CONT&amp;TRANSP DOHA QAT AUTH NO. 048742</t>
  </si>
  <si>
    <t>CUR1 debited by QAR 6,500.00 Transfer to/ref VINEET KUMAR SARASWAT at 17:48, 08-Jul-21</t>
  </si>
  <si>
    <t>TELEX TRANSFER,080721T06297,Vineet Kumar Saraswat</t>
  </si>
  <si>
    <t>CORREPONDENT BANK CHARGES,080721T06297</t>
  </si>
  <si>
    <t>TELEX CHARGE,080721T06297,Telex Transfer Charges</t>
  </si>
  <si>
    <t>PICK-N-PACK DOHA 634 AUTH NO. 025503</t>
  </si>
  <si>
    <t>UBERBV UBER TRIP HELP.UBE HELP.UBER.COM 528 AUTH NO. 091481</t>
  </si>
  <si>
    <t>UBERBV UBER TRIP HELP.UBE HELP.UBER.COM 528 AUTH NO. 082587</t>
  </si>
  <si>
    <t>UBERBV UBER TRIP HELP.UBE HELP.UBER.COM 528 AUTH NO. 065559</t>
  </si>
  <si>
    <t>LULU HYPERMARKET DOHA 634 AUTH NO. 041067</t>
  </si>
  <si>
    <t>LULU HYPERMARKET DOHA 634 AUTH NO. 054780</t>
  </si>
  <si>
    <t>UBERBV UBER TRIP HELP.UBE HELP.UBER.COM 528 AUTH NO. 005161</t>
  </si>
  <si>
    <t>UBERBV UBER TRIP HELP.UBE HELP.UBER.COM 528 AUTH NO. 095106</t>
  </si>
  <si>
    <t>OOREDOO TOP-UP DOHA QAT AUTH NO. 023696</t>
  </si>
  <si>
    <t>FINGERTIPS CONT&amp;TRANSP DOHA QAT AUTH NO. 041485</t>
  </si>
  <si>
    <t>SIDRA MEDICINE ONLINE DOHA QAT AUTH NO. 086613</t>
  </si>
  <si>
    <t>CAREEM PAY DUBAI ARE AUTH NO. 045141</t>
  </si>
  <si>
    <t>FINGERTIPS CONT&amp;TRANSP DOHA QAT AUTH NO. 043048</t>
  </si>
  <si>
    <t>SIDRA</t>
  </si>
  <si>
    <t>CASH DEPOSIT ATM,121015233688,4613 233688,COMM. BANK OF QATAR DOHA,43420xxxxxx20023 29/07 18.47</t>
  </si>
  <si>
    <t>CASH DEPOSIT ATM,121015233686,4613 233686,COMM. BANK OF QATAR DOHA,43420xxxxxx20023 29/07 18.45</t>
  </si>
  <si>
    <t>SALARY TRANSFER,CDD 10728H004992,QCH15353xxxxxx00 QAR,QATAR AIRWAYS,2/SALA</t>
  </si>
  <si>
    <t>OTHER</t>
  </si>
  <si>
    <t>UBERBV UBER TRIP HELP.UBE HELP.UBER.CON LD AUTH NO. 043903</t>
  </si>
  <si>
    <t>UBERBV UBER TRIP HELP.UBE HELP.UBER.CON LD AUTH NO. 026879</t>
  </si>
  <si>
    <t>UBERBV UBER TRIP HELP.UBE HELP.UBER.COM 528 AUTH NO. 087551</t>
  </si>
  <si>
    <t>UBERBV UBER TRIP HELP.UBE HELP.UBER.COM 528 AUTH NO. 077390</t>
  </si>
  <si>
    <t>UBERBV UBER TRIP HELP.UBE HELP.UBER.COM 528 AUTH NO. 048432</t>
  </si>
  <si>
    <t>UBERBV UBER TRIP HELP.UBE HELP.UBER.COM 528 AUTH NO. 037673</t>
  </si>
  <si>
    <t>UBERBV UBER TRIP HELP.UBE HELP.UBER.COM 528 AUTH NO. 183922</t>
  </si>
  <si>
    <t>UBERBV UBER TRIP HELP.UBE HELP.UBER.COM 528 AUTH NO. 092520</t>
  </si>
  <si>
    <t>UBERBV UBER TRIP HELP.UBE HELP.UBER.COM 528 AUTH NO. 027853</t>
  </si>
  <si>
    <t>PRIMARY HEALTH CARE CO DOHA QAT AUTH NO. 060472</t>
  </si>
  <si>
    <t>CAREEM PAY DUBAI ARE AUTH NO. 054568</t>
  </si>
  <si>
    <t>CARD BILL PAYMENT,300721703472,CARD NO 3643 xxxxxx 1825,Paid using bankDirect</t>
  </si>
  <si>
    <t>TELEX TRANSFER,020821L11212,Rent Aug 2021,Capital One Trading Wll</t>
  </si>
  <si>
    <t>TELEX CHARGE,ThirdParty Transfer Charges,020821L11212</t>
  </si>
  <si>
    <t>CREDIT,080721T06297,BAW-TT Charge Refund</t>
  </si>
  <si>
    <t>CREDIT,070721T07182,BAW-TT Charge Refund</t>
  </si>
  <si>
    <t>TRANSFER - DEBIT,090821W00548,saving,VINEET KUMAR SARASWAT</t>
  </si>
  <si>
    <t>UBERBV UBER TRIP HELP.UBE HELP.UBER.COM 528 AUTH NO. 057322</t>
  </si>
  <si>
    <t>UBERBV UBER TRIP HELP.UBE HELP.UBER.COM 528 AUTH NO. 077711</t>
  </si>
  <si>
    <t>UBERBV UBER TRIP HELP.UBE HELP.UBER.COM 528 AUTH NO. 062154</t>
  </si>
  <si>
    <t>UBERBV UBER TRIP HELP.UBE HELP.UBER.COM 528 AUTH NO. 069475</t>
  </si>
  <si>
    <t>FINGERTIPS CONT&amp;TRANSP DOHA QAT AUTH NO. 062633</t>
  </si>
  <si>
    <t>ON THE SIDEWALK DOHA QAT AUTH NO. 092339</t>
  </si>
  <si>
    <t>ON THE SIDEWALK DOHA QAT AUTH NO. 008826</t>
  </si>
  <si>
    <t>CAREEM PAY DUBAI ARE AUTH NO. 055047</t>
  </si>
  <si>
    <t>LULU HYPERMARKET DOHA 634 AUTH NO. 065784</t>
  </si>
  <si>
    <t>STARBUCKS DOHA 634 AUTH NO. 000878</t>
  </si>
  <si>
    <t>FINGERTIPS CONT&amp;TRANSP DOHA QAT AUTH NO. 097393</t>
  </si>
  <si>
    <t>OOREDOO TOP-UP DOHA QAT AUTH NO. 026186</t>
  </si>
  <si>
    <t>CAREEM PAY DUBAI ARE AUTH NO. 009703</t>
  </si>
  <si>
    <t>FINGERTIPS CONT&amp;TRANSP DOHA QAT AUTH NO. 021436</t>
  </si>
  <si>
    <t>THE COFFEE SHOP QR TOW DOHA QAT AUTH NO. 057957</t>
  </si>
  <si>
    <t>Nippon India Income Fund(G)</t>
  </si>
  <si>
    <t>Nippon India Gold Savings Fund(G)</t>
  </si>
  <si>
    <t>Nippon India Pharma Fund(G)</t>
  </si>
  <si>
    <t>Systematic - Instalment 13/953 - via Internet</t>
  </si>
  <si>
    <t>Aditya Birla SL MNC Fund-Reg(G)</t>
  </si>
  <si>
    <t>Systematic - To ABSL MNC Fund - Growth - Instalment 1/60 - via Internet</t>
  </si>
  <si>
    <t>Kotak Focused Equity Fund-Reg(G)</t>
  </si>
  <si>
    <t>Systematic - To Kotak Flexicap Fund - Reg Growth - Instalment 1/98 - via Interne</t>
  </si>
  <si>
    <t>Kotak Low Duration Fund(G)</t>
  </si>
  <si>
    <t>FUND_TYPE</t>
  </si>
  <si>
    <t>DEBT</t>
  </si>
  <si>
    <t>INVESTMENT_RANGE</t>
  </si>
  <si>
    <t>MID-LONG</t>
  </si>
  <si>
    <t>LOW</t>
  </si>
  <si>
    <t>ELSS</t>
  </si>
  <si>
    <t>EQUITY</t>
  </si>
  <si>
    <t>LOW-MID</t>
  </si>
  <si>
    <t>COMMODITY</t>
  </si>
  <si>
    <t>LONG</t>
  </si>
  <si>
    <t>TRANSFER - CREDIT,230821W02455,Arti savings,VINEET KUMAR SARASWAT</t>
  </si>
  <si>
    <t>ATM CASH WITHDRAWAL,122814154180,4413 154180,COMM. BANK OF QATAR DOHA,43420xxxxxx20023 16/08 17.11</t>
  </si>
  <si>
    <t>EZDAN</t>
  </si>
  <si>
    <t>TRANSFER - DEBIT,230821W02455,Arti savings,VINEET KUMAR SARASWAT</t>
  </si>
  <si>
    <t>PICK-N-PACK DOHA QA AUTH NO. 078180</t>
  </si>
  <si>
    <t>UBERBV UBER TRIP HELP.UBE HELP.UBER.COM 528 AUTH NO. 051914</t>
  </si>
  <si>
    <t>UBERBV UBER TRIP HELP.UBE HELP.UBER.COM 528 AUTH NO. 018608</t>
  </si>
  <si>
    <t>UBERBV UBER TRIP HELP.UBE HELP.UBER.COM 528 AUTH NO. 016488</t>
  </si>
  <si>
    <t>PICK-N-PACK DOHA 634 AUTH NO. 019748</t>
  </si>
  <si>
    <t>UBERBV UBER TRIP HELP.UBE HELP.UBER.COM 528 AUTH NO. 065522</t>
  </si>
  <si>
    <t>UBERBV UBER TRIP HELP.UBE HELP.UBER.COM 528 AUTH NO. 095401</t>
  </si>
  <si>
    <t>UBERBV UBER TRIP HELP.UBE HELP.UBER.COM 528 AUTH NO. 095330</t>
  </si>
  <si>
    <t>WISH BOX TECHNOLOGY DOHA QAT AUTH NO. 097481</t>
  </si>
  <si>
    <t>THE COFFEE SHOP QR TOW DOHA QAT AUTH NO. 031659</t>
  </si>
  <si>
    <t>THE COFFEE SHOP QR TOW DOHA QAT AUTH NO. 022504</t>
  </si>
  <si>
    <t>WISH BOX TECHNOLOGY DOHA QAT AUTH NO. 097415</t>
  </si>
  <si>
    <t>ON THE SIDEWALK DOHA QAT AUTH NO. 090282</t>
  </si>
  <si>
    <t>WISH BOX TECHNOLOGY DOHA QAT AUTH NO. 004262</t>
  </si>
  <si>
    <t>BURGER KING - CITY CEN DOHA QAT AUTH NO. 011223</t>
  </si>
  <si>
    <t>CAREEM PAY DUBAI ARE AUTH NO. 052277</t>
  </si>
  <si>
    <t>CAREEM PAY DUBAI ARE AUTH NO. 033438</t>
  </si>
  <si>
    <t>OOREDOO TOP-UP DOHA QAT AUTH NO. 064248</t>
  </si>
  <si>
    <t>OOREDOO TOP UP DOHA QAT AUTH NO. 097416</t>
  </si>
  <si>
    <t>ON THE SIDEWALK DOHA QAT AUTH NO. 034081</t>
  </si>
  <si>
    <t>FINGERTIPS CONT&amp;TRANSP DOHA QAT AUTH NO. 035978</t>
  </si>
  <si>
    <t>QATAR RAIL UMM GHUWAIL DOHA QAT AUTH NO. 066835</t>
  </si>
  <si>
    <t>THE COFFEE SHOP QR TOW DOHA QAT AUTH NO. 001075</t>
  </si>
  <si>
    <t>THE COFFEE SHOP QR TOW DOHA QAT AUTH NO. 099574</t>
  </si>
  <si>
    <t>THE COFFEE SHOP QR TOW DOHA QAT AUTH NO. 055836</t>
  </si>
  <si>
    <t>FINGERTIPS CONT&amp;TRANSP DOHA QAT AUTH NO. 064712</t>
  </si>
  <si>
    <t>Gold</t>
  </si>
  <si>
    <t>SALARY TRANSFER,CDD 10829H003870,QCH10536xxxxxx00 QAR,QATAR AIRWAYS,2/SALA</t>
  </si>
  <si>
    <t>THE COFFEE SHOP QR TOW DOHA QAT AUTH NO. 058387</t>
  </si>
  <si>
    <t>OOREDOO TOP UP DOHA QAT AUTH NO. 032982</t>
  </si>
  <si>
    <t>OOREDOO TOP UP DOHA QAT AUTH NO. 094470</t>
  </si>
  <si>
    <t>WISH BOX TECHNOLOGY DOHA QAT AUTH NO. 052328</t>
  </si>
  <si>
    <t>WISH BOX TECHNOLOGY DOHA QAT AUTH NO. 073836</t>
  </si>
  <si>
    <t>NAPS ATM,599,4018 000218 00110877,QATAR NATIONAL BANK DOHA,43420xxxxxx20023 02/09 19.41,63409000000</t>
  </si>
  <si>
    <t>CARD BILL PAYMENT,290821707852,CARD NO 3643 xxxxxx 1825,Paid using bankDirect</t>
  </si>
  <si>
    <t>WISH BOX TECHNOLOGY DOHA QAT AUTH NO. 043110</t>
  </si>
  <si>
    <t>ONE STOP SUPER MARKET DOHA QAT AUTH NO. 068481</t>
  </si>
  <si>
    <t>TALABAT DOHA QAT AUTH NO. 001079</t>
  </si>
  <si>
    <t>ONE STOP</t>
  </si>
  <si>
    <t>NIPPON INDIA GOLD SAVINGS FUND - SIP</t>
  </si>
  <si>
    <t>NIPPON INDIA INCOME FUND - GROWTH</t>
  </si>
  <si>
    <t>NRO</t>
  </si>
  <si>
    <t>In-Hand India</t>
  </si>
  <si>
    <t>In-Hand Qatar</t>
  </si>
  <si>
    <t>NAPS ATM,669403180336,4018 011122 S1AB011N,QATAR ISLAMIC BANK DOHA,43420xxxxxx20023 03/09 18.03,63408000000</t>
  </si>
  <si>
    <t>Furniture &amp; Transportation</t>
  </si>
  <si>
    <t>TOTAL FRESH HYPERMARKET DOHA QA AUTH NO. 041947</t>
  </si>
  <si>
    <t>UBERBV UBER TRIP HELP.UBE HELP.UBER.CON LD AUTH NO. 056367</t>
  </si>
  <si>
    <t>UBERBV UBER TRIP HELP.UBE HELP.UBER.CON LD AUTH NO. 030215</t>
  </si>
  <si>
    <t>UBERBV UBER TRIP HELP.UBE HELP.UBER.COM 528 AUTH NO. 083207</t>
  </si>
  <si>
    <t>UBERBV UBER TRIP HELP.UBE HELP.UBER.COM 528 AUTH NO. 097658</t>
  </si>
  <si>
    <t>LULU HYPERMARKET DOHA 634 AUTH NO. 021455</t>
  </si>
  <si>
    <t>TOTAL FRESH HYPERMARKET DOHA 634 AUTH NO. 007937</t>
  </si>
  <si>
    <t>TOTAL FRESH</t>
  </si>
  <si>
    <t>WISH BOX TECHNOLOGY DOHA QAT AUTH NO. 060754</t>
  </si>
  <si>
    <t>ON THE SIDEWALK DOHA QAT AUTH NO. 039553</t>
  </si>
  <si>
    <t>WISH BOX TECHNOLOGY DOHA QAT AUTH NO. 056354</t>
  </si>
  <si>
    <t>WISH BOX TECHNOLOGY DOHA QAT AUTH NO. 055934</t>
  </si>
  <si>
    <t>WISH BOX TECHNOLOGY DOHA QAT AUTH NO. 099706</t>
  </si>
  <si>
    <t>WISH BOX TECHNOLOGY DOHA QAT AUTH NO. 090904</t>
  </si>
  <si>
    <t>UBERBV UBER TRIP HELP.UBE HELP.UBER.CON LD AUTH NO. 045361</t>
  </si>
  <si>
    <t>UBERBV UBER TRIP HELP.UBE HELP.UBER.CON LD AUTH NO. 094910</t>
  </si>
  <si>
    <t>UBERBV UBER TRIP HELP.UBE HELP.UBER.CON LD AUTH NO. 002862</t>
  </si>
  <si>
    <t>UBERBV UBER TRIP HELP.UBE HELP.UBER.CON LD AUTH NO. 050987</t>
  </si>
  <si>
    <t>UBERBV UBER TRIP HELP.UBE HELP.UBER.COM 528 AUTH NO. 071681</t>
  </si>
  <si>
    <t>UBERBV UBER TRIP HELP.UBE HELP.UBER.COM 528 AUTH NO. 071816</t>
  </si>
  <si>
    <t>UBERBV UBER TRIP HELP.UBE HELP.UBER.COM 528 AUTH NO. 041221</t>
  </si>
  <si>
    <t>TOTAL FRESH HYPERMARKET DOHA 634 AUTH NO. 028608</t>
  </si>
  <si>
    <t>IKEA DOHA 634 AUTH NO. 087695</t>
  </si>
  <si>
    <t>UBERBV UBER TRIP HELP.UBE HELP.UBER.COM 528 AUTH NO. 073581</t>
  </si>
  <si>
    <t>UBERBV UBER TRIP HELP.UBE HELP.UBER.COM 528 AUTH NO. 021488</t>
  </si>
  <si>
    <t>LULU HYPERMARKET DOHA 634 AUTH NO. 018184</t>
  </si>
  <si>
    <t>LULU HYPERMARKET DOHA 634 AUTH NO. 069853</t>
  </si>
  <si>
    <t>WISH BOX TECHNOLOGY DOHA QAT AUTH NO. 037282</t>
  </si>
  <si>
    <t>ONE STOP SUPER MARKET DOHA QAT AUTH NO. 095359</t>
  </si>
  <si>
    <t>WISH BOX TECHNOLOGY DOHA QAT AUTH NO. 052837</t>
  </si>
  <si>
    <t>CHEQUE PAID,000001000024,QIB - DUKHAN</t>
  </si>
  <si>
    <t>THE COFFEE SHOP QR TOW DOHA QAT AUTH NO. 016526</t>
  </si>
  <si>
    <t>WISH BOX TECHNOLOGY DOHA QAT AUTH NO. 027238</t>
  </si>
  <si>
    <t>CASH DEPOSIT ATM,126014233394,4613 233394,COMM. BANK OF QATAR DOHA,43420xxxxxx20023 17/09 17.19</t>
  </si>
  <si>
    <t>Credited back in Sep</t>
  </si>
  <si>
    <t>FINGERTIPS</t>
  </si>
  <si>
    <t>SIDEWALK</t>
  </si>
  <si>
    <t>NIPPON INDIA SMALL CAP</t>
  </si>
  <si>
    <t>Nippon India Small Cap</t>
  </si>
  <si>
    <t>INF204K01HY3</t>
  </si>
  <si>
    <t>https://www.moneycontrol.com/mutual-funds/nav/nippon-india-small-cap-fund-growth/MRC587</t>
  </si>
  <si>
    <t>NIPPON INDIA VALUE FUND</t>
  </si>
  <si>
    <t>Nippon India Value Fund</t>
  </si>
  <si>
    <t>https://www.moneycontrol.com/mutual-funds/nav/nippon-india-value-fund/MRC098</t>
  </si>
  <si>
    <t>INF204K01GB3</t>
  </si>
  <si>
    <t>NAPS PURCHASE,000001200064,4018 028560 82491201,THE COFFEE SHOP QR TOWDOHA,43420xxxxxx20023 28/09 09.07,63409000000</t>
  </si>
  <si>
    <t>SALARY TRANSFER,CDD 10928H001694,QCH80411xxxxxx00 QAR,QATAR AIRWAYS,2/SALA</t>
  </si>
  <si>
    <t>UBERBV UBER TRIP HELP.UBE HELP.UBER.CON LD AUTH NO. 075959</t>
  </si>
  <si>
    <t>UBERBV UBER TRIP HELP.UBE HELP.UBER.COM 528 AUTH NO. 016625</t>
  </si>
  <si>
    <t>LULU HYPERMARKET DOHA 634 AUTH NO. 056399</t>
  </si>
  <si>
    <t>LULU HYPERMARKET DOHA 634 AUTH NO. 035169</t>
  </si>
  <si>
    <t>TOTAL FRESH HYPERMARKET DOHA 634 AUTH NO. 063620</t>
  </si>
  <si>
    <t>UBERBV UBER TRIP HELP.UBE HELP.UBER.COM 528 AUTH NO. 028488</t>
  </si>
  <si>
    <t>TOTAL FRESH HYPERMARKET DOHA 634 AUTH NO. 046958</t>
  </si>
  <si>
    <t>UBERBV UBER TRIP HELP.UBE HELP.UBER.COM 528 AUTH NO. 091256</t>
  </si>
  <si>
    <t>KAILASH PARBAT RESTAURANT DOHA 634 AUTH NO. 096811</t>
  </si>
  <si>
    <t>ONE STOP SUPER MARKET DOHA QAT AUTH NO. 030537</t>
  </si>
  <si>
    <t>PIZZA HUT CITYCENT LEV DOHA QAT AUTH NO. 023539</t>
  </si>
  <si>
    <t>WISH BOX TECHNOLOGY DOHA QAT AUTH NO. 054923</t>
  </si>
  <si>
    <t>WISH BOX TECHNOLOGY DOHA QAT AUTH NO. 011483</t>
  </si>
  <si>
    <t>THE COFFEE SHOP QR TOW DOHA QAT AUTH NO. 030883</t>
  </si>
  <si>
    <t>8769#QATA DOHA QAT AUTH NO. 085379</t>
  </si>
  <si>
    <t>1023#QATA DOHA QAT AUTH NO. 091288</t>
  </si>
  <si>
    <t>THE COFFEE SHOP QR TOW DOHA QAT AUTH NO. 077097</t>
  </si>
  <si>
    <t>OOREDOO TOP UP DOHA QAT AUTH NO. 010713</t>
  </si>
  <si>
    <t>OOREDOO TOP UP DOHA QAT AUTH NO. 098206</t>
  </si>
  <si>
    <t>TRANSFER - DEBIT,021021W01765,Transfer To 4610-193472-115,VINEET KUMAR SARASWAT</t>
  </si>
  <si>
    <t>CBQ PURCHASE,127315015088,4010 015088 77974716,STARBUCKS DOHA,43420xxxxxx20023 30/09 18.39</t>
  </si>
  <si>
    <t>NAPS PURCHASE,011272019737,4018 006659 31,QPay Payment QRAILQPA,43420xxxxxx20023 29/09 07.31,63493000000</t>
  </si>
  <si>
    <t>CARD BILL PAYMENT,290921707386,CARD NO 3643 xxxxxx 1825,Paid using bankDirect</t>
  </si>
  <si>
    <t>UBERBV UBER TRIP HELP.UBE HELP.UBER.COM 528 AUTH NO. 007436</t>
  </si>
  <si>
    <t>OOREDOO TOP UP DOHA QAT AUTH NO. 086782</t>
  </si>
  <si>
    <t>OOREDOO TOP UP DOHA QAT AUTH NO. 069766</t>
  </si>
  <si>
    <t>FINGERTIPS CONT&amp;TRANSP DOHA QAT AUTH NO. 047529</t>
  </si>
  <si>
    <t>TOTAL FRESH HYPERMARKE DOHA QAT AUTH NO. 053465</t>
  </si>
  <si>
    <t>WISH BOX TECHNOLOGY DOHA QAT AUTH NO. 062519</t>
  </si>
  <si>
    <t>THE COFFEE SHOP QR TOW DOHA QAT AUTH NO. 064530</t>
  </si>
  <si>
    <t>WISH BOX TECHNOLOGY DOHA QAT AUTH NO. 089218</t>
  </si>
  <si>
    <t>WISH BOX TECHNOLOGY DOHA QAT AUTH NO. 028857</t>
  </si>
  <si>
    <t>salary debit 157-2395432722/23/24</t>
  </si>
  <si>
    <t>FUNDS TRANSFER,091021T02035,family,Vineet Kumar Saraswat</t>
  </si>
  <si>
    <t>CORREPONDENT BANK CHARGES,091021T02035</t>
  </si>
  <si>
    <t>TRANSFER CHARGE,091021T02035,Funds Transfer Charges</t>
  </si>
  <si>
    <t>CHEQUE PAID,000001000025,QIB - DUKHAN</t>
  </si>
  <si>
    <t>TRANSFER - DEBIT,161021L03019,Transfer To 47001xxxxxx01,Sameer Singh</t>
  </si>
  <si>
    <t>PARTY</t>
  </si>
  <si>
    <t>UBERBV UBER TRIP HELP.UBE HELP.UBER.COM 528 AUTH NO. 082092</t>
  </si>
  <si>
    <t>UBERBV UBER TRIP HELP.UBE HELP.UBER.COM 528 AUTH NO. 016223</t>
  </si>
  <si>
    <t>TEA TIME HOSPITALITY AND DOHA 634 AUTH NO. 041189</t>
  </si>
  <si>
    <t>ASHA'S DOHA 634 AUTH NO. 082551</t>
  </si>
  <si>
    <t>TOTAL FRESH HYPERMARKET DOHA 634 AUTH NO. 095834</t>
  </si>
  <si>
    <t>TOTAL FRESH HYPERMARKET DOHA 634 AUTH NO. 041930</t>
  </si>
  <si>
    <t>LULU HYPERMARKET DOHA 634 AUTH NO. 049374</t>
  </si>
  <si>
    <t>AL AKER SWEET DOHA QAT AUTH NO. 033002</t>
  </si>
  <si>
    <t>MAAR UMM GUWAILINA DOHA QAT AUTH NO. 043157</t>
  </si>
  <si>
    <t>THE COFFEE SHOP QR TOW DOHA QAT AUTH NO. 010715</t>
  </si>
  <si>
    <t>FINGERTIPS CONT&amp;TRANSP DOHA QAT AUTH NO. 019634</t>
  </si>
  <si>
    <t>AL OSRA RESTAURANT DOHA QAT AUTH NO. 014907</t>
  </si>
  <si>
    <t>AIRVISTAR2282404329897 DOHA QAT AUTH NO. 011401</t>
  </si>
  <si>
    <t>FINGERTIPS CONT&amp;TRANSP DOHA QAT AUTH NO. 044854</t>
  </si>
  <si>
    <t>WISH BOX TECHNOLOGY DOHA QAT AUTH NO. 094807</t>
  </si>
  <si>
    <t>THE COFFEE SHOP QR TOW DOHA QAT AUTH NO. 053798</t>
  </si>
  <si>
    <t>WISH BOX TECHNOLOGY DOHA QAT AUTH NO. 094599</t>
  </si>
  <si>
    <t>VISTARA</t>
  </si>
  <si>
    <t>PIZZA HUT DOHA QA AUTH NO. 099816</t>
  </si>
  <si>
    <t>LULU CENTRE TRAD. CO.-HYP DOHA QA AUTH NO. 015916</t>
  </si>
  <si>
    <t>LULU CENTRE TRAD. CO.-HYP DOHA QA AUTH NO. 066822</t>
  </si>
  <si>
    <t>NASEEM AL RABEEH MEDICAL DOHA 634 AUTH NO. 083992</t>
  </si>
  <si>
    <t>CAREEM PAY DUBAI ARE AUTH NO. 064299</t>
  </si>
  <si>
    <t>OOREDOO TOP UP DOHA QAT AUTH NO. 070050</t>
  </si>
  <si>
    <t>CAREEM PAY DUBAI ARE AUTH NO. 097238</t>
  </si>
  <si>
    <t>NASEEM AL RABEEH MEDIC DOHA QAT AUTH NO. 020751</t>
  </si>
  <si>
    <t>FINGERTIPS CONT&amp;TRANSP DOHA QAT AUTH NO. 090693</t>
  </si>
  <si>
    <t>NASEEM AL RABEEH MEDICAL DOHA 634 AUTH NO. 068792</t>
  </si>
  <si>
    <t>B_Month</t>
  </si>
  <si>
    <t>QATAR AIR DOHA QAT AUTH NO. 085379</t>
  </si>
  <si>
    <t>QATAR AIR DOHA QAT AUTH NO. 091288</t>
  </si>
  <si>
    <t>SALARY TRANSFER,CDD 11027H002973,QCH14694xxxxxx00 QAR,QATAR AIRWAYS,2/SALA</t>
  </si>
  <si>
    <t>ATM CASH WITHDRAWAL,129813154174,4413 154174,COMM. BANK OF QATAR DOHA,43420xxxxxx20023 25/10 16.38</t>
  </si>
  <si>
    <t>AL OSRA RESTAURANT DOHA 634 AUTH NO. 085187</t>
  </si>
  <si>
    <t>FINGERTIPS CONT&amp;TRANSP DOHA QAT AUTH NO. 029403</t>
  </si>
  <si>
    <t>QATAR E-GOVERNMENT DOHA QAT AUTH NO. 088954</t>
  </si>
  <si>
    <t>THE COFFEE SHOP QR TOW DOHA QAT AUTH NO. 094523</t>
  </si>
  <si>
    <t>CARD BILL PAYMENT,301021700614,CARD NO 3643 xxxxxx 1825,Paid using bankDirect</t>
  </si>
  <si>
    <t>Commodity</t>
  </si>
  <si>
    <t>PAPA65000</t>
  </si>
  <si>
    <t>S001</t>
  </si>
  <si>
    <t>BLOCK</t>
  </si>
  <si>
    <t>24K</t>
  </si>
  <si>
    <t>PAPA_KNP</t>
  </si>
  <si>
    <t>CHEQUE PAID,000001000026,QIB - DUKHAN</t>
  </si>
  <si>
    <t>DEBIT STANDING ORDER,06102021009662,TRF TO 46101xxxxxx15</t>
  </si>
  <si>
    <t>DEBIT STANDING ORDER,06102021009661,TRF TO 47001xxxxxx15</t>
  </si>
  <si>
    <t>CBQ PURCHASE,130418001164,4010 001164 78340240,STARBUCKS DOHA,43420xxxxxx20023 31/10 21.44</t>
  </si>
  <si>
    <t>CARD BILL PAYMENT,311021705879,CARD NO 3643 xxxxxx 1825,Paid using bankDirect</t>
  </si>
  <si>
    <t>NAPS PURCHASE,130307528362,4018 027043 33886001,GOKUL GUJARATI RESTAURANTDOHA,43420xxxxxx20023 30/10 10.07,63405000000</t>
  </si>
  <si>
    <t>CBQ PURCHASE,130308008036,4010 008036 78372204,LULU HYPERMARKET DOHA,43420xxxxxx20023 30/10 11.00</t>
  </si>
  <si>
    <t>UBERBV UBER TRIP HELP.UBE HELP.UBER.CON LD AUTH NO. 041497</t>
  </si>
  <si>
    <t>AL OSRA RESTAURANT DOHA QA AUTH NO. 090774</t>
  </si>
  <si>
    <t>TOTAL FRESH HYPERMARKET DOHA QA AUTH NO. 033485</t>
  </si>
  <si>
    <t>LULU HYPERMARKET DOHA QA AUTH NO. 028657</t>
  </si>
  <si>
    <t>UBERBV UBER TRIP HELP.UBE HELP.UBER.CON LD AUTH NO. 094897</t>
  </si>
  <si>
    <t>UBERBV UBER TRIP HELP.UBE HELP.UBER.CON LD AUTH NO. 023523</t>
  </si>
  <si>
    <t>TOTAL FRESH HYPERMARKET DOHA 634 AUTH NO. 041130</t>
  </si>
  <si>
    <t>LULU HYPERMARKET DOHA 634 AUTH NO. 049476</t>
  </si>
  <si>
    <t>UBERBV UBER TRIP HELP.UBE HELP.UBER.COM 528 AUTH NO. 007344</t>
  </si>
  <si>
    <t>UBERBV UBER TRIP HELP.UBE HELP.UBER.COM 528 AUTH NO. 076920</t>
  </si>
  <si>
    <t>UBERBV UBER TRIP HELP.UBE HELP.UBER.COM 528 AUTH NO. 034741</t>
  </si>
  <si>
    <t>UBERBV UBER TRIP HELP.UBE HELP.UBER.COM 528 AUTH NO. 093208</t>
  </si>
  <si>
    <t>TOTAL FRESH HYPERMARKET DOHA 634 AUTH NO. 060245</t>
  </si>
  <si>
    <t>UBERBV UBER TRIP HELP.UBE HELP.UBER.COM 528 AUTH NO. 087616</t>
  </si>
  <si>
    <t>UBERBV UBER TRIP HELP.UBE HELP.UBER.COM 528 AUTH NO. 015290</t>
  </si>
  <si>
    <t>TOTAL FRESH HYPERMARKET DOHA 634 AUTH NO. 068622</t>
  </si>
  <si>
    <t>UBERBV UBER TRIP HELP.UBE HELP.UBER.COM 528 AUTH NO. 276780</t>
  </si>
  <si>
    <t>TOTAL FRESH HYPERMARKET DOHA 634 AUTH NO. 005062</t>
  </si>
  <si>
    <t>UBERBV UBER TRIP HELP.UBE HELP.UBER.COM 528 AUTH NO. 008533</t>
  </si>
  <si>
    <t>UBERBV UBER TRIP HELP.UBE HELP.UBER.COM 528 AUTH NO. 030520</t>
  </si>
  <si>
    <t>NASEEM AL RABEEH MEDICAL DOHA 634 AUTH NO. 023818</t>
  </si>
  <si>
    <t>VODAFONE MVA 8007111 QAT AUTH NO. 077680</t>
  </si>
  <si>
    <t>QATAR RAIL DOHA QAT AUTH NO. 088999</t>
  </si>
  <si>
    <t>THE COFFEE SHOP QR TOW DOHA QAT AUTH NO. 057777</t>
  </si>
  <si>
    <t>THE VILLAGE - SOUQ WAQ DOHA QAT AUTH NO. 059985</t>
  </si>
  <si>
    <t>KAHRMAA MOBILE APP 97444975909 QAT AUTH NO. 035574</t>
  </si>
  <si>
    <t>LULU CENTRE TRAD. CO.- DOHA QAT AUTH NO. 004182</t>
  </si>
  <si>
    <t>QATAR RAIL AL BIDDA DOHA QAT AUTH NO. 002719</t>
  </si>
  <si>
    <t>OOREDOO TOP UP DOHA QAT AUTH NO. 082277</t>
  </si>
  <si>
    <t>HH EMR CSM DOHA QAT AUTH NO. 033950</t>
  </si>
  <si>
    <t>THE COFFEE SHOP QR TOW DOHA QAT AUTH NO. 054966</t>
  </si>
  <si>
    <t>PRIMARY HEALTH CARE CO DOHA QAT AUTH NO. 015339</t>
  </si>
  <si>
    <t>OOREDOO TOP UP DOHA QAT AUTH NO. 031887</t>
  </si>
  <si>
    <t>QATAR E-GOVERNMENT DOHA QAT AUTH NO. 076343</t>
  </si>
  <si>
    <t>MOI MIGS MOBILE PAYMEN DOHA QAT AUTH NO. 072159</t>
  </si>
  <si>
    <t>MOI MIGS MOBILE PAYMEN DOHA QAT AUTH NO. 023341</t>
  </si>
  <si>
    <t>CAREEM PAY DUBAI ARE AUTH NO. 093778</t>
  </si>
  <si>
    <t>FINGERTIPS CONT&amp;TRANSP DOHA QAT AUTH NO. 081178</t>
  </si>
  <si>
    <t>FINGERTIPS CONT&amp;TRANSP DOHA QAT AUTH NO. 027109</t>
  </si>
  <si>
    <t>THE COFFEE SHOP QR TOW DOHA QAT AUTH NO. 020243</t>
  </si>
  <si>
    <t>MOI</t>
  </si>
  <si>
    <t>LULU CENTRE TRAD. CO.-HYP DOHA QA AUTH NO. 000118</t>
  </si>
  <si>
    <t>UBERBV UBER TRIP HELP.UBE HELP.UBER.CON LD AUTH NO. 004081</t>
  </si>
  <si>
    <t>UBERBV UBER TRIP HELP.UBE HELP.UBER.CON LD AUTH NO. 006227</t>
  </si>
  <si>
    <t>TOTAL FRESH HYPERMARKET DOHA 634 AUTH NO. 015846</t>
  </si>
  <si>
    <t>TOTAL FRESH HYPERMARKET DOHA 634 AUTH NO. 038573</t>
  </si>
  <si>
    <t>MALABAR GOLD DOHA QAT AUTH NO. 077254</t>
  </si>
  <si>
    <t>TALABAT DOHA QAT AUTH NO. 033876</t>
  </si>
  <si>
    <t>TALABAT-MIGS DOHA QAT AUTH NO. 037607</t>
  </si>
  <si>
    <t>SALARY TRANSFER,CDD 11128H004728,QCH24612xxxxxx00 QAR,QATAR AIRWAYS,2/SALA</t>
  </si>
  <si>
    <t>CARD BILL PAYMENT,011221710291,CARD NO 3643 xxxxxx 1825,Paid using bankDirect</t>
  </si>
  <si>
    <t>NAPS PURCHASE,000001273322,4018 024484 82491202,THE COFFEE SHOP QR TOWDOHA,43420xxxxxx20023 30/11 14.31,63409000000</t>
  </si>
  <si>
    <t>CBQ PURCHASE,133416002714,4010 002714 78370732,TOTAL FRESH HYPERMARKET DOHA,43420xxxxxx20023 30/11 19.20</t>
  </si>
  <si>
    <t>OOREDOO B2B PAYMENT,6914128221210,Ooredoo-33808405,HALA,Topup,CBQRIB00000xxxxxx023267</t>
  </si>
  <si>
    <t>OOREDOO B2B PAYMENT,6914123550210,Ooredoo-33808405,HALA,Topup,CBQRIB00000xxxxxx023262</t>
  </si>
  <si>
    <t>KAHRAMAA BANKDIRECT IVR P DOHA QA AUTH NO. 018776</t>
  </si>
  <si>
    <t>PNB</t>
  </si>
  <si>
    <t>FD-SBI</t>
  </si>
  <si>
    <t>FD-PNB</t>
  </si>
  <si>
    <t>SAVING-PNB</t>
  </si>
  <si>
    <t>PPF-SBI</t>
  </si>
  <si>
    <t>NRE-SBI</t>
  </si>
  <si>
    <t>NRO-SBI</t>
  </si>
  <si>
    <t>SILVER</t>
  </si>
  <si>
    <t>DEBIT STANDING ORDER,RS193472,trf to 193472 115</t>
  </si>
  <si>
    <t>CHEQUE PAID,000001000027,QIB - DUKHAN</t>
  </si>
  <si>
    <t>NAPS ATM,134400354366,4018 009367 00000276,DUKHAN HIA FOOD COURT DOHA,43420xxxxxx20023 10/12 00.20,63420000000</t>
  </si>
  <si>
    <t>UBERBV UBER TRIP HELP.UBE HELP.UBER.CON LD AUTH NO. 048182</t>
  </si>
  <si>
    <t>UBERBV UBER TRIP HELP.UBE HELP.UBER.CON LD AUTH NO. 014533</t>
  </si>
  <si>
    <t>KAILASH PARBAT RESTAURANT DOHA QA AUTH NO. 094995</t>
  </si>
  <si>
    <t>TOTAL FRESH HYPERMARKET DOHA 634 AUTH NO. 008798</t>
  </si>
  <si>
    <t>UBERBV UBER TRIP HELP.UBE HELP.UBER.COM 528 AUTH NO. 079289</t>
  </si>
  <si>
    <t>TOTAL FRESH HYPERMARKET DOHA 634 AUTH NO. 076095</t>
  </si>
  <si>
    <t>UBERBV UBER TRIP HELP.UBE HELP.UBER.COM 528 AUTH NO. 008091</t>
  </si>
  <si>
    <t>LULU HYPERMARKET DOHA 634 AUTH NO. 067589</t>
  </si>
  <si>
    <t>LULU HYPERMARKET DOHA 634 AUTH NO. 009582</t>
  </si>
  <si>
    <t>UBERBV UBER TRIP HELP.UBE HELP.UBER.COM 528 AUTH NO. 046169</t>
  </si>
  <si>
    <t>UBERBV UBER TRIP HELP.UBE HELP.UBER.COM 528 AUTH NO. 064209</t>
  </si>
  <si>
    <t>DOHA CITY FURNITURE ( NEW DOHA 634 AUTH NO. 042620</t>
  </si>
  <si>
    <t>DOHA CITY FURNITURE ( NEW DOHA 634 AUTH NO. 040433</t>
  </si>
  <si>
    <t>THE BABY SHOP DOHA 634 AUTH NO. 082855</t>
  </si>
  <si>
    <t>TOTAL FRESH HYPERMARKET DOHA 634 AUTH NO. 072474</t>
  </si>
  <si>
    <t>VODAFONE DOHA QA AUTH NO. 021121</t>
  </si>
  <si>
    <t>TOTAL FRESH HYPERMARKET DOHA 634 AUTH NO. 074548</t>
  </si>
  <si>
    <t>GREEN PHARMACY GODOWN MALE' 462 AUTH NO. 065890</t>
  </si>
  <si>
    <t>BURGER KING RESTAURANT HULHULE 462 AUTH NO. 058109</t>
  </si>
  <si>
    <t>UBERBV UBER TRIP HELP.UBE HELP.UBER.COM 528 AUTH NO. 067521</t>
  </si>
  <si>
    <t>UBERBV UBER TRIP HELP.UBE HELP.UBER.COM 528 AUTH NO. 040678</t>
  </si>
  <si>
    <t>UBERBV UBER TRIP HELP.UBE HELP.UBER.COM 528 AUTH NO. 030786</t>
  </si>
  <si>
    <t>TOTAL FRESH HYPERMARKET DOHA 634 AUTH NO. 073415</t>
  </si>
  <si>
    <t>TOTAL FRESH HYPERMARKET DOHA 634 AUTH NO. 033771</t>
  </si>
  <si>
    <t>UBERBV UBER TRIP HELP.UBE HELP.UBER.COM 528 AUTH NO. 087710</t>
  </si>
  <si>
    <t>UBERBV UBER TRIP HELP.UBE HELP.UBER.COM 528 AUTH NO. 035032</t>
  </si>
  <si>
    <t>UBERBV UBER TRIP HELP.UBE HELP.UBER.COM 528 AUTH NO. 079471</t>
  </si>
  <si>
    <t>LULU HYPERMARKET DOHA 634 AUTH NO. 033765</t>
  </si>
  <si>
    <t>AL AKER SWEET DOHA 634 AUTH NO. 019324</t>
  </si>
  <si>
    <t>TOTAL FRESH HYPERMARKET DOHA 634 AUTH NO. 091180</t>
  </si>
  <si>
    <t>THE BABY SHOP DOHA 634 AUTH NO. 070323</t>
  </si>
  <si>
    <t>TOTAL FRESH HYPERMARKET DOHA 634 AUTH NO. 073998</t>
  </si>
  <si>
    <t>TOTAL FRESH HYPERMARKET DOHA 634 AUTH NO. 036559</t>
  </si>
  <si>
    <t>UBERBV UBER TRIP HELP.UBE HELP.UBER.COM 528 AUTH NO. 082253</t>
  </si>
  <si>
    <t>MAX RETAIL CO WLL DOHA 634 AUTH NO. 033817</t>
  </si>
  <si>
    <t>TOTAL FRESH HYPERMARKET DOHA 634 AUTH NO. 074029</t>
  </si>
  <si>
    <t>TOTAL FRESH HYPERMARKET DOHA 634 AUTH NO. 098109</t>
  </si>
  <si>
    <t>QATAR RAIL DOHA QAT AUTH NO. 015189</t>
  </si>
  <si>
    <t>R AND B CITY CENTER DOHA QAT AUTH NO. 026091</t>
  </si>
  <si>
    <t>THE COFFEE SHOP QR TOW DOHA QAT AUTH NO. 017349</t>
  </si>
  <si>
    <t>THE COFFEE SHOP QR TOW DOHA QAT AUTH NO. 062412</t>
  </si>
  <si>
    <t>PAPA JOHN'S PIZZA-MIGS DOHA QAT AUTH NO. 016365</t>
  </si>
  <si>
    <t>CAREEM PAY DUBAI ARE AUTH NO. 063536</t>
  </si>
  <si>
    <t>THE COFFEE SHOP QR TOW DOHA QAT AUTH NO. 049891</t>
  </si>
  <si>
    <t>OOREDOO TOP UP DOHA QAT AUTH NO. 088144</t>
  </si>
  <si>
    <t>TALABAT-MIGS DOHA QAT AUTH NO. 007306</t>
  </si>
  <si>
    <t>HG HIA AI3 DOHA QAT AUTH NO. 076769</t>
  </si>
  <si>
    <t>HG HIA PT3 DOHA QAT AUTH NO. 006762</t>
  </si>
  <si>
    <t>OOREDOO TOP UP DOHA QAT AUTH NO. 000407</t>
  </si>
  <si>
    <t>OOREDOO TOP UP DOHA QAT AUTH NO. 058327</t>
  </si>
  <si>
    <t>AL SHEFA POLYCLINIC-D DOHA QAT AUTH NO. 050277</t>
  </si>
  <si>
    <t>SHRIJI RESTAURANT DOHA QAT AUTH NO. 037707</t>
  </si>
  <si>
    <t>Cash Advance Fee</t>
  </si>
  <si>
    <t>CP GARAGE SALE DOHA 634 AUTH NO. 045425</t>
  </si>
  <si>
    <t>QR RL AL BIDDA STATI DOHA QAT AUTH NO. 051355</t>
  </si>
  <si>
    <t>CAREEM PAY DUBAI ARE AUTH NO. 092023</t>
  </si>
  <si>
    <t>FINGERTIPS CONT&amp;TRANSP DOHA QAT AUTH NO. 057210</t>
  </si>
  <si>
    <t>QATAR RAIL AL BIDDA DOHA QAT AUTH NO. 091990</t>
  </si>
  <si>
    <t>CARREFOUR DOHA QAT AUTH NO. 041637</t>
  </si>
  <si>
    <t>BABYSHOP</t>
  </si>
  <si>
    <t>AL AKER</t>
  </si>
  <si>
    <t>SPLASH</t>
  </si>
  <si>
    <t>AL SHEFA</t>
  </si>
  <si>
    <t>SHRIJI</t>
  </si>
  <si>
    <t>BURGER KING</t>
  </si>
  <si>
    <t>ANSAR</t>
  </si>
  <si>
    <t>PAPA JOHN'S</t>
  </si>
  <si>
    <t>RNB</t>
  </si>
  <si>
    <t>FUNDS TRANSFER,161221T01581,Vineet Kumar Saraswat</t>
  </si>
  <si>
    <t>CORRESPONDENT BANK CHARGES,161221T01581</t>
  </si>
  <si>
    <t>TRANSFER CHARGE,161221T01581,Funds Transfer Charges</t>
  </si>
  <si>
    <t>FUNDS TRANSFER,051221T02101,transfer nre,Vineet Kumar Saraswat</t>
  </si>
  <si>
    <t>CORRESPONDENT BANK CHARGES,051221T02101</t>
  </si>
  <si>
    <t>TRANSFER CHARGE,051221T02101,Funds Transfer Charges</t>
  </si>
  <si>
    <t>SALARY TRANSFER,CDD 11229H005345,QCH38342xxxxxx00 QAR,QATAR AIRWAYS,2/SALA,SALARY CHANGES</t>
  </si>
  <si>
    <t>CP GARAGE SALE DOHA 634 AUTH NO. 016943</t>
  </si>
  <si>
    <t>TOTAL FRESH HYPERMARKET DOHA 634 AUTH NO. 003820</t>
  </si>
  <si>
    <t>LULU HYPERMARKET DOHA 634 AUTH NO. 000118</t>
  </si>
  <si>
    <t>TOTAL FRESH HYPERMARKET DOHA 634 AUTH NO. 019841</t>
  </si>
  <si>
    <t>THE COFFEE SHOP QR TOW DOHA QAT AUTH NO. 017403</t>
  </si>
  <si>
    <t>VOX CINEMA DOQ SS KIOS DOHA QAT AUTH NO. 035278</t>
  </si>
  <si>
    <t>MOVIE</t>
  </si>
  <si>
    <t>VOX</t>
  </si>
  <si>
    <t>ELECTRON,AUTH 415530,UBER TRIP HELP.UBER.COM help.uber.,CARD NO 4342 xxxx xxxx 0023,30/12 QAR 8.19 0 00</t>
  </si>
  <si>
    <t>NAPS PURCHASE,000001001144,4018 010739 71051704,QATAR RAIL DOHA,43420xxxxxx20023 31/12 16.55,63409000000</t>
  </si>
  <si>
    <t>CBQ PURCHASE,136518004960,4010 004960 78470254,MAX RETAIL CO WLL DOHA,43420xxxxxx20023 31/12 21.06</t>
  </si>
  <si>
    <t>CBQ PURCHASE,136515001199,4010 001199 78372104,SHOP RITE SUPERMARKET DOHA,43420xxxxxx20023 31/12 18.36</t>
  </si>
  <si>
    <t>CBQ PURCHASE,136416005439,4010 005439 68240066,AL OSRA RESTAURANT DOHA,43420xxxxxx20023 30/12 19.36</t>
  </si>
  <si>
    <t>CARD BILL PAYMENT,301221706982,CARD NO 3643 xxxxxx 1825,Paid using bankDirect</t>
  </si>
  <si>
    <t>Interest on Outstanding Balance</t>
  </si>
  <si>
    <t>SHOPRITE</t>
  </si>
  <si>
    <t>AL OSRA</t>
  </si>
  <si>
    <t>Systematic - From ABSL Short Term Fund- Gr. - Instalment 1/60 - via Internet</t>
  </si>
  <si>
    <t>Systematic - To ABSL MNC Fund - Growth - Instalment 2/60 - via Internet</t>
  </si>
  <si>
    <t>Kotak Flexicap Fund(G)</t>
  </si>
  <si>
    <t>Systematic - From Kotak Low Duration Std Growth - Instalment 1/98 - via Internet</t>
  </si>
  <si>
    <t>Systematic - To Kotak Flexicap Fund - Reg Growth - Instalment 2/98 - via Interne</t>
  </si>
  <si>
    <t>Systematic - From ABSL Short Term Fund- Gr. - Instalment 2/60 - via Internet</t>
  </si>
  <si>
    <t>Systematic - To ABSL MNC Fund - Growth - Instalment 3/60 - via Internet</t>
  </si>
  <si>
    <t>Systematic - From Kotak Low Duration Std Growth - Instalment 2/98 - via Internet</t>
  </si>
  <si>
    <t>Systematic - To Kotak Flexicap Fund - Reg Growth - Instalment 3/98 - via Interne</t>
  </si>
  <si>
    <t>Systematic - From ABSL Short Term Fund- Gr. - Instalment 3/60 - via Internet</t>
  </si>
  <si>
    <t>Systematic - To ABSL MNC Fund - Growth - Instalment 4/60 - via Internet</t>
  </si>
  <si>
    <t>Systematic - From Kotak Low Duration Std Growth - Instalment 3/98 - via Internet</t>
  </si>
  <si>
    <t>Systematic - To Kotak Flexicap Fund - Reg Growth - Instalment 4/98 - via Interne</t>
  </si>
  <si>
    <t>Systematic - From ABSL Short Term Fund- Gr. - Instalment 4/60 - via Internet</t>
  </si>
  <si>
    <t>Systematic - To ABSL MNC Fund - Growth - Instalment 5/60 - via Internet</t>
  </si>
  <si>
    <t>Systematic - From Kotak Low Duration Std Growth - Instalment 4/98 - via Internet</t>
  </si>
  <si>
    <t>Systematic - To Kotak Flexicap Fund - Reg Growth - Instalment 5/98 - via Interne</t>
  </si>
  <si>
    <t>Systematic - From ABSL Short Term Fund- Gr. - Instalment 5/60 - via Internet</t>
  </si>
  <si>
    <t>Systematic - To ABSL MNC Fund - Growth - Instalment 6/60 - via Internet</t>
  </si>
  <si>
    <t>Systematic - From Kotak Low Duration Std Growth - Instalment 5/98 - via Internet</t>
  </si>
  <si>
    <t>Systematic - To Kotak Flexicap Fund - Reg Growth - Instalment 6/98 - via Interne</t>
  </si>
  <si>
    <t>Systematic - From ABSL Short Term Fund- Gr. - Instalment 6/60 - via Internet</t>
  </si>
  <si>
    <t>Systematic - To ABSL MNC Fund - Growth - Instalment 7/60 - via Internet</t>
  </si>
  <si>
    <t>Systematic - From Kotak Low Duration Std Growth - Instalment 6/98 - via Internet</t>
  </si>
  <si>
    <t>Systematic - To Kotak Flexicap Fund - Reg Growth - Instalment 7/98 - via Interne</t>
  </si>
  <si>
    <t>Systematic - From ABSL Short Term Fund- Gr. - Instalment 7/60 - via Internet</t>
  </si>
  <si>
    <t>Systematic - To ABSL MNC Fund - Growth - Instalment 8/60 - via Internet</t>
  </si>
  <si>
    <t>Systematic - From Kotak Low Duration Std Growth - Instalment 7/98 - via Internet</t>
  </si>
  <si>
    <t>Systematic - To Kotak Flexicap Fund - Reg Growth - Instalment 8/98 - via Interne</t>
  </si>
  <si>
    <t>Systematic - From ABSL Short Term Fund- Gr. - Instalment 8/60 - via Internet</t>
  </si>
  <si>
    <t>Systematic - To ABSL MNC Fund - Growth - Instalment 9/60 - via Internet</t>
  </si>
  <si>
    <t>Systematic - From Kotak Low Duration Std Growth - Instalment 8/98 - via Internet</t>
  </si>
  <si>
    <t>Systematic - To Kotak Flexicap Fund - Reg Growth - Instalment 9/98 - via Interne</t>
  </si>
  <si>
    <t>S T P Out</t>
  </si>
  <si>
    <t>Systematic - From ABSL Short Term Fund- Gr. - Instalment 9/60 - via Internet</t>
  </si>
  <si>
    <t>Systematic - To ABSL MNC Fund - Growth - Instalment 10/60 - via Internet</t>
  </si>
  <si>
    <t>Systematic - From Kotak Low Duration Std Growth - Instalment 9/98 - via Internet</t>
  </si>
  <si>
    <t>Systematic - To Kotak Flexicap Fund - Reg Growth - Instalment 10/98 - via Intern</t>
  </si>
  <si>
    <t>Nippon India Small Cap Fund(G)</t>
  </si>
  <si>
    <t>S T P In</t>
  </si>
  <si>
    <t>Systematic - From ABSL Short Term Fund- Gr. - Instalment 10/60 - via Internet</t>
  </si>
  <si>
    <t>Systematic - To ABSL MNC Fund - Growth - Instalment 11/60 - via Internet</t>
  </si>
  <si>
    <t>Systematic - From Kotak Low Duration Std Growth - Instalment 10/98 - via Interne</t>
  </si>
  <si>
    <t>Systematic - To Kotak Flexicap Fund - Reg Growth - Instalment 11/98 - via Intern</t>
  </si>
  <si>
    <t>Systematic - From ABSL Short Term Fund- Gr. - Instalment 11/60 - via Internet</t>
  </si>
  <si>
    <t>Systematic - To ABSL MNC Fund - Growth - Instalment 12/60 - via Internet</t>
  </si>
  <si>
    <t>Systematic - From Kotak Low Duration Std Growth - Instalment 11/98 - via Interne</t>
  </si>
  <si>
    <t>Systematic - To Kotak Flexicap Fund - Reg Growth - Instalment 12/98 - via Intern</t>
  </si>
  <si>
    <t>Systematic - From ABSL Short Term Fund- Gr. - Instalment 12/60 - via Internet</t>
  </si>
  <si>
    <t>Systematic - To ABSL MNC Fund - Growth - Instalment 13/60 - via Internet</t>
  </si>
  <si>
    <t>Systematic - From Kotak Low Duration Std Growth - Instalment 12/98 - via Interne</t>
  </si>
  <si>
    <t>Systematic - To Kotak Flexicap Fund - Reg Growth - Instalment 13/98 - via Intern</t>
  </si>
  <si>
    <t>Systematic - From ABSL Short Term Fund- Gr. - Instalment 13/60 - via Internet</t>
  </si>
  <si>
    <t>Systematic - To ABSL MNC Fund - Growth - Instalment 14/60 - via Internet</t>
  </si>
  <si>
    <t>Systematic - From Kotak Low Duration Std Growth - Instalment 13/98 - via Interne</t>
  </si>
  <si>
    <t>Systematic - To Kotak Flexicap Fund - Reg Growth - Instalment 14/98 - via Intern</t>
  </si>
  <si>
    <t>Systematic - From ABSL Short Term Fund- Gr. - Instalment 14/60 - via Internet</t>
  </si>
  <si>
    <t>Systematic - To ABSL MNC Fund - Growth - Instalment 15/60 - via Internet</t>
  </si>
  <si>
    <t>Systematic - From Kotak Low Duration Std Growth - Instalment 14/98 - via Interne</t>
  </si>
  <si>
    <t>Systematic - To Kotak Flexicap Fund - Reg Growth - Instalment 15/98 - via Intern</t>
  </si>
  <si>
    <t>Systematic - From ABSL Short Term Fund- Gr. - Instalment 15/60 - via Internet</t>
  </si>
  <si>
    <t>Systematic - To ABSL MNC Fund - Growth - Instalment 16/60 - via Internet</t>
  </si>
  <si>
    <t>Systematic - From Kotak Low Duration Std Growth - Instalment 15/98 - via Interne</t>
  </si>
  <si>
    <t>Systematic - To Kotak Flexicap Fund - Reg Growth - Instalment 16/98 - via Intern</t>
  </si>
  <si>
    <t>Systematic - From ABSL Short Term Fund- Gr. - Instalment 16/60 - via Internet</t>
  </si>
  <si>
    <t>Systematic - To ABSL MNC Fund - Growth - Instalment 17/60 - via Internet</t>
  </si>
  <si>
    <t>Systematic - From Kotak Low Duration Std Growth - Instalment 16/98 - via Interne</t>
  </si>
  <si>
    <t>Systematic - To Kotak Flexicap Fund - Reg Growth - Instalment 17/98 - via Intern</t>
  </si>
  <si>
    <t>Systematic - From ABSL Short Term Fund- Gr. - Instalment 17/60 - via Internet</t>
  </si>
  <si>
    <t>Systematic - To ABSL MNC Fund - Growth - Instalment 18/60 - via Internet</t>
  </si>
  <si>
    <t>Systematic - From Kotak Low Duration Std Growth - Instalment 17/98 - via Interne</t>
  </si>
  <si>
    <t>Systematic - To Kotak Flexicap Fund - Reg Growth - Instalment 18/98 - via Intern</t>
  </si>
  <si>
    <t>Systematic - From ABSL Short Term Fund- Gr. - Instalment 18/60 - via Internet</t>
  </si>
  <si>
    <t>Systematic - To ABSL MNC Fund - Growth - Instalment 19/60 - via Internet</t>
  </si>
  <si>
    <t>Systematic - From Kotak Low Duration Std Growth - Instalment 18/98 - via Interne</t>
  </si>
  <si>
    <t>Systematic - To Kotak Flexicap Fund - Reg Growth - Instalment 19/98 - via Intern</t>
  </si>
  <si>
    <t>Nippon India Value Fund(G)</t>
  </si>
  <si>
    <t>Systematic - Instalment 14/953 - via Internet</t>
  </si>
  <si>
    <t>Systematic - From ABSL Short Term Fund- Gr. - Instalment 19/60 - via Internet</t>
  </si>
  <si>
    <t>Systematic - To ABSL MNC Fund - Growth - Instalment 20/60 - via Internet</t>
  </si>
  <si>
    <t>Systematic - From Kotak Low Duration Std Growth - Instalment 19/98 - via Interne</t>
  </si>
  <si>
    <t>Systematic - To Kotak Flexicap Fund - Reg Growth - Instalment 20/98 - via Intern</t>
  </si>
  <si>
    <t>Systematic - From ABSL Short Term Fund- Gr. - Instalment 20/60 - via Internet</t>
  </si>
  <si>
    <t>Systematic - To ABSL MNC Fund - Growth - Instalment 21/60 - via Internet</t>
  </si>
  <si>
    <t>Systematic - From Kotak Low Duration Std Growth - Instalment 20/98 - via Interne</t>
  </si>
  <si>
    <t>Systematic - To Kotak Flexicap Fund - Reg Growth - Instalment 21/98 - via Intern</t>
  </si>
  <si>
    <t>Systematic - From ABSL Short Term Fund- Gr. - Instalment 21/60 - via Internet</t>
  </si>
  <si>
    <t>Systematic - To ABSL MNC Fund - Growth - Instalment 22/60 - via Internet</t>
  </si>
  <si>
    <t>Systematic - From Kotak Low Duration Std Growth - Instalment 21/98 - via Interne</t>
  </si>
  <si>
    <t>Systematic - To Kotak Flexicap Fund - Reg Growth - Instalment 22/98 - via Intern</t>
  </si>
  <si>
    <t>Systematic - From ABSL Short Term Fund- Gr. - Instalment 22/60 - via Internet</t>
  </si>
  <si>
    <t>Systematic - To ABSL MNC Fund - Growth - Instalment 23/60 - via Internet</t>
  </si>
  <si>
    <t>Systematic - From Kotak Low Duration Std Growth - Instalment 22/98 - via Interne</t>
  </si>
  <si>
    <t>Systematic - To Kotak Flexicap Fund - Reg Growth - Instalment 23/98 - via Intern</t>
  </si>
  <si>
    <t>Systematic - From ABSL Short Term Fund- Gr. - Instalment 23/60 - via Internet</t>
  </si>
  <si>
    <t>Systematic - To ABSL MNC Fund - Growth - Instalment 24/60 - via Internet</t>
  </si>
  <si>
    <t>Systematic - From Kotak Low Duration Std Growth - Instalment 23/98 - via Interne</t>
  </si>
  <si>
    <t>Systematic - To Kotak Flexicap Fund - Reg Growth - Instalment 24/98 - via Intern</t>
  </si>
  <si>
    <t>Systematic - From ABSL Short Term Fund- Gr. - Instalment 24/60 - via Internet</t>
  </si>
  <si>
    <t>Systematic - To ABSL MNC Fund - Growth - Instalment 25/60 - via Internet</t>
  </si>
  <si>
    <t>Systematic - From Kotak Low Duration Std Growth - Instalment 24/98 - via Interne</t>
  </si>
  <si>
    <t>Systematic - To Kotak Flexicap Fund - Reg Growth - Instalment 25/98 - via Intern</t>
  </si>
  <si>
    <t>Systematic - From ABSL Short Term Fund- Gr. - Instalment 25/60 - via Internet</t>
  </si>
  <si>
    <t>Systematic - To ABSL MNC Fund - Growth - Instalment 26/60 - via Internet</t>
  </si>
  <si>
    <t>Systematic - From Kotak Low Duration Std Growth - Instalment 25/98 - via Interne</t>
  </si>
  <si>
    <t>Systematic - To Kotak Flexicap Fund - Reg Growth - Instalment 26/98 - via Intern</t>
  </si>
  <si>
    <t>Systematic - From ABSL Short Term Fund- Gr. - Instalment 26/60 - via Internet</t>
  </si>
  <si>
    <t>Systematic - To ABSL MNC Fund - Growth - Instalment 27/60 - via Internet</t>
  </si>
  <si>
    <t>Systematic - From Kotak Low Duration Std Growth - Instalment 26/98 - via Interne</t>
  </si>
  <si>
    <t>Systematic - To Kotak Flexicap Fund - Reg Growth - Instalment 27/98 - via Intern</t>
  </si>
  <si>
    <t>Systematic - From ABSL Short Term Fund- Gr. - Instalment 27/60 - via Internet</t>
  </si>
  <si>
    <t>Systematic - To ABSL MNC Fund - Growth - Instalment 28/60 - via Internet</t>
  </si>
  <si>
    <t>Systematic - From Kotak Low Duration Std Growth - Instalment 27/98 - via Interne</t>
  </si>
  <si>
    <t>Systematic - To Kotak Flexicap Fund - Reg Growth - Instalment 28/98 - via Intern</t>
  </si>
  <si>
    <t>Systematic - From ABSL Short Term Fund- Gr. - Instalment 28/60 - via Internet</t>
  </si>
  <si>
    <t>Systematic - To ABSL MNC Fund - Growth - Instalment 29/60 - via Internet</t>
  </si>
  <si>
    <t>Systematic - From Kotak Low Duration Std Growth - Instalment 28/98 - via Interne</t>
  </si>
  <si>
    <t>Systematic - To Kotak Flexicap Fund - Reg Growth - Instalment 29/98 - via Intern</t>
  </si>
  <si>
    <t>Systematic - From ABSL Short Term Fund- Gr. - Instalment 29/60 - via Internet</t>
  </si>
  <si>
    <t>Systematic - To ABSL MNC Fund - Growth - Instalment 30/60 - via Internet</t>
  </si>
  <si>
    <t>Systematic - From Kotak Low Duration Std Growth - Instalment 29/98 - via Interne</t>
  </si>
  <si>
    <t>Systematic - To Kotak Flexicap Fund - Reg Growth - Instalment 30/98 - via Intern</t>
  </si>
  <si>
    <t>Systematic - From ABSL Short Term Fund- Gr. - Instalment 30/60 - via Internet</t>
  </si>
  <si>
    <t>Systematic - To ABSL MNC Fund - Growth - Instalment 31/60 - via Internet</t>
  </si>
  <si>
    <t>Systematic - From Kotak Low Duration Std Growth - Instalment 30/98 - via Interne</t>
  </si>
  <si>
    <t>Systematic - To Kotak Flexicap Fund - Reg Growth - Instalment 31/98 - via Intern</t>
  </si>
  <si>
    <t>Systematic - From ABSL Short Term Fund- Gr. - Instalment 31/60 - via Internet</t>
  </si>
  <si>
    <t>Systematic - To ABSL MNC Fund - Growth - Instalment 32/60 - via Internet</t>
  </si>
  <si>
    <t>Systematic - From Kotak Low Duration Std Growth - Instalment 31/98 - via Interne</t>
  </si>
  <si>
    <t>Systematic - To Kotak Flexicap Fund - Reg Growth - Instalment 32/98 - via Intern</t>
  </si>
  <si>
    <t>Systematic - From ABSL Short Term Fund- Gr. - Instalment 32/60 - via Internet</t>
  </si>
  <si>
    <t>Systematic - To ABSL MNC Fund - Growth - Instalment 33/60 - via Internet</t>
  </si>
  <si>
    <t>Systematic - From Kotak Low Duration Std Growth - Instalment 32/98 - via Interne</t>
  </si>
  <si>
    <t>Systematic - To Kotak Flexicap Fund - Reg Growth - Instalment 33/98 - via Intern</t>
  </si>
  <si>
    <t>Systematic - From ABSL Short Term Fund- Gr. - Instalment 33/60 - via Internet</t>
  </si>
  <si>
    <t>Systematic - To ABSL MNC Fund - Growth - Instalment 34/60 - via Internet</t>
  </si>
  <si>
    <t>Systematic - From Kotak Low Duration Std Growth - Instalment 33/98 - via Interne</t>
  </si>
  <si>
    <t>Systematic - To Kotak Flexicap Fund - Reg Growth - Instalment 34/98 - via Intern</t>
  </si>
  <si>
    <t>Systematic - From ABSL Short Term Fund- Gr. - Instalment 34/60 - via Internet</t>
  </si>
  <si>
    <t>Systematic - To ABSL MNC Fund - Growth - Instalment 35/60 - via Internet</t>
  </si>
  <si>
    <t>Systematic - From Kotak Low Duration Std Growth - Instalment 34/98 - via Interne</t>
  </si>
  <si>
    <t>Systematic - To Kotak Flexicap Fund - Reg Growth - Instalment 35/98 - via Intern</t>
  </si>
  <si>
    <t>Systematic - From ABSL Short Term Fund- Gr. - Instalment 35/60 - via Internet</t>
  </si>
  <si>
    <t>Systematic - To ABSL MNC Fund - Growth - Instalment 36/60 - via Internet</t>
  </si>
  <si>
    <t>Systematic - From Kotak Low Duration Std Growth - Instalment 35/98 - via Interne</t>
  </si>
  <si>
    <t>Systematic - To Kotak Flexicap Fund - Reg Growth - Instalment 36/98 - via Intern</t>
  </si>
  <si>
    <t>Systematic - From ABSL Short Term Fund- Gr. - Instalment 36/60 - via Internet</t>
  </si>
  <si>
    <t>Systematic - To ABSL MNC Fund - Growth - Instalment 37/60 - via Internet</t>
  </si>
  <si>
    <t>Systematic - From Kotak Low Duration Std Growth - Instalment 36/98 - via Interne</t>
  </si>
  <si>
    <t>Systematic - To Kotak Flexicap Fund - Reg Growth - Instalment 37/98 - via Intern</t>
  </si>
  <si>
    <t>Systematic - From ABSL Short Term Fund- Gr. - Instalment 37/60 - via Internet</t>
  </si>
  <si>
    <t>Systematic - To ABSL MNC Fund - Growth - Instalment 38/60 - via Internet</t>
  </si>
  <si>
    <t>Systematic - From Kotak Low Duration Std Growth - Instalment 37/98 - via Interne</t>
  </si>
  <si>
    <t>Systematic - To Kotak Flexicap Fund - Reg Growth - Instalment 38/98 - via Intern</t>
  </si>
  <si>
    <t>Systematic - From ABSL Short Term Fund- Gr. - Instalment 38/60 - via Internet</t>
  </si>
  <si>
    <t>Systematic - To ABSL MNC Fund - Growth - Instalment 39/60 - via Internet</t>
  </si>
  <si>
    <t>Systematic - From Kotak Low Duration Std Growth - Instalment 38/98 - via Interne</t>
  </si>
  <si>
    <t>Systematic - To Kotak Flexicap Fund - Reg Growth - Instalment 39/98 - via Intern</t>
  </si>
  <si>
    <t>Systematic - Instalment 15/953 - via Internet</t>
  </si>
  <si>
    <t>Systematic - From ABSL Short Term Fund- Gr. - Instalment 39/60 - via Internet</t>
  </si>
  <si>
    <t>Systematic - To ABSL MNC Fund - Growth - Instalment 40/60 - via Internet</t>
  </si>
  <si>
    <t>Systematic - From Kotak Low Duration Std Growth - Instalment 39/98 - via Interne</t>
  </si>
  <si>
    <t>Systematic - To Kotak Flexicap Fund - Reg Growth - Instalment 41/98 - via Intern</t>
  </si>
  <si>
    <t>Systematic - From ABSL Short Term Fund- Gr. - Instalment 40/60 - via Internet</t>
  </si>
  <si>
    <t>Systematic - To ABSL MNC Fund - Growth - Instalment 41/60 - via Internet</t>
  </si>
  <si>
    <t>Systematic - From Kotak Low Duration Std Growth - Instalment 41/98 - via Interne</t>
  </si>
  <si>
    <t>Systematic - To Kotak Flexicap Fund - Reg Growth - Instalment 43/98 - via Intern</t>
  </si>
  <si>
    <t>Systematic - From ABSL Short Term Fund- Gr. - Instalment 41/60 - via Internet</t>
  </si>
  <si>
    <t>Systematic - To ABSL MNC Fund - Growth - Instalment 42/60 - via Internet</t>
  </si>
  <si>
    <t>Systematic - From Kotak Low Duration Std Growth - Instalment 43/98 - via Interne</t>
  </si>
  <si>
    <t>Systematic - To Kotak Flexicap Fund - Reg Growth - Instalment 44/98 - via Intern</t>
  </si>
  <si>
    <t>Systematic - From ABSL Short Term Fund- Gr. - Instalment 42/60 - via Internet</t>
  </si>
  <si>
    <t>Systematic - To ABSL MNC Fund - Growth - Instalment 43/60 - via Internet</t>
  </si>
  <si>
    <t>Systematic - From Kotak Low Duration Std Growth - Instalment 44/98 - via Interne</t>
  </si>
  <si>
    <t>Systematic - To Kotak Flexicap Fund - Reg Growth - Instalment 45/98 - via Intern</t>
  </si>
  <si>
    <t>Systematic - From ABSL Short Term Fund- Gr. - Instalment 43/60 - via Internet</t>
  </si>
  <si>
    <t>Systematic - To ABSL MNC Fund - Growth - Instalment 44/60 - via Internet</t>
  </si>
  <si>
    <t>Systematic - From Kotak Low Duration Std Growth - Instalment 45/98 - via Interne</t>
  </si>
  <si>
    <t>Systematic - To Kotak Flexicap Fund - Reg Growth - Instalment 46/98 - via Intern</t>
  </si>
  <si>
    <t>Systematic - From ABSL Short Term Fund- Gr. - Instalment 44/60 - via Internet</t>
  </si>
  <si>
    <t>Systematic - From Kotak Low Duration Std Growth - Instalment 46/98 - via Interne</t>
  </si>
  <si>
    <t>Systematic - To Kotak Flexicap Fund - Reg Growth - Instalment 47/98 - via Intern</t>
  </si>
  <si>
    <t>Systematic - From Kotak Low Duration Std Growth - Instalment 47/98 - via Interne</t>
  </si>
  <si>
    <t>Systematic - To Kotak Flexicap Fund - Reg Growth - Instalment 48/98 - via Intern</t>
  </si>
  <si>
    <t>Systematic - From Kotak Low Duration Std Growth - Instalment 48/98 - via Interne</t>
  </si>
  <si>
    <t>Systematic - To Kotak Flexicap Fund - Reg Growth - Instalment 49/98 - via Intern</t>
  </si>
  <si>
    <t>Systematic - From Kotak Low Duration Std Growth - Instalment 49/98 - via Interne</t>
  </si>
  <si>
    <t>Systematic - To Kotak Flexicap Fund - Reg Growth - Instalment 50/98 - via Intern</t>
  </si>
  <si>
    <t>Systematic - From Kotak Low Duration Std Growth - Instalment 50/98 - via Interne</t>
  </si>
  <si>
    <t>Systematic - To Kotak Flexicap Fund - Reg Growth - Instalment 51/98 - via Intern</t>
  </si>
  <si>
    <t>Systematic - From Kotak Low Duration Std Growth - Instalment 51/98 - via Interne</t>
  </si>
  <si>
    <t>Systematic - To Kotak Flexicap Fund - Reg Growth - Instalment 52/98 - via Intern</t>
  </si>
  <si>
    <t>Systematic - From Kotak Low Duration Std Growth - Instalment 52/98 - via Interne</t>
  </si>
  <si>
    <t>Systematic - To Kotak Flexicap Fund - Reg Growth - Instalment 53/98 - via Intern</t>
  </si>
  <si>
    <t>Systematic - From Kotak Low Duration Std Growth - Instalment 53/98 - via Interne</t>
  </si>
  <si>
    <t>Systematic - To Kotak Flexicap Fund - Reg Growth - Instalment 56/98 - via Intern</t>
  </si>
  <si>
    <t>Systematic - From Kotak Low Duration Std Growth - Instalment 56/98 - via Interne</t>
  </si>
  <si>
    <t>Systematic - To Kotak Flexicap Fund - Reg Growth - Instalment 57/98 - via Intern</t>
  </si>
  <si>
    <t>Systematic - From Kotak Low Duration Std Growth - Instalment 57/98 - via Interne</t>
  </si>
  <si>
    <t>Systematic - To Kotak Flexicap Fund - Reg Growth - Instalment 58/98 - via Intern</t>
  </si>
  <si>
    <t>Systematic - From Kotak Low Duration Std Growth - Instalment 58/98 - via Interne</t>
  </si>
  <si>
    <t>Systematic - To Kotak Flexicap Fund - Reg Growth - Instalment 59/98 - via Intern</t>
  </si>
  <si>
    <t>Systematic - From Kotak Low Duration Std Growth - Instalment 59/98 - via Interne</t>
  </si>
  <si>
    <t>Systematic - To Kotak Flexicap Fund - Reg Growth - Instalment 60/98 - via Intern</t>
  </si>
  <si>
    <t>Systematic - From Kotak Low Duration Std Growth - Instalment 60/98 - via Interne</t>
  </si>
  <si>
    <t>Systematic - To Kotak Flexicap Fund - Reg Growth - Instalment 61/98 - via Intern</t>
  </si>
  <si>
    <t>Systematic - From Kotak Low Duration Std Growth - Instalment 61/98 - via Interne</t>
  </si>
  <si>
    <t>Systematic - To Kotak Flexicap Fund - Reg Growth - Instalment 62/98 - via Intern</t>
  </si>
  <si>
    <t>Systematic - From Kotak Low Duration Std Growth - Instalment 62/98 - via Interne</t>
  </si>
  <si>
    <t>Systematic - To Kotak Flexicap Fund - Reg Growth - Instalment 63/98 - via Intern</t>
  </si>
  <si>
    <t>Systematic - Instalment 16/953 - via Internet</t>
  </si>
  <si>
    <t>Systematic - From Kotak Low Duration Std Growth - Instalment 63/98 - via Interne</t>
  </si>
  <si>
    <t>Systematic - To Kotak Flexicap Fund - Reg Growth - Instalment 64/98 - via Intern</t>
  </si>
  <si>
    <t>Systematic - From Kotak Low Duration Std Growth - via Internet</t>
  </si>
  <si>
    <t>Systematic - To Kotak Flexicap Fund - Reg Growth - via Internet</t>
  </si>
  <si>
    <t>Systematic - via Internet</t>
  </si>
  <si>
    <t>Systematic - From Kotak Low Duration Std Growth</t>
  </si>
  <si>
    <t>Systematic - To Kotak Flexicap Fund - Reg Growth</t>
  </si>
  <si>
    <t>TOTAL FRESH HYPERMARKET DOHA 634 AUTH NO. 031678</t>
  </si>
  <si>
    <t>THE BABY SHOP DOHA 634 AUTH NO. 026407</t>
  </si>
  <si>
    <t>TOTAL FRESH HYPERMARKET DOHA 634 AUTH NO. 097599</t>
  </si>
  <si>
    <t>UBERBV UBER TRIP HELP.UBE HELP.UBER.COM 528 AUTH NO. 038384</t>
  </si>
  <si>
    <t>UBERBV UBER TRIP HELP.UBE HELP.UBER.COM 528 AUTH NO. 065687</t>
  </si>
  <si>
    <t>KALYAN JEWELLERS DOHA 634 AUTH NO. 072263</t>
  </si>
  <si>
    <t>LULU HYPERMARKET DOHA 634 AUTH NO. 076803</t>
  </si>
  <si>
    <t>LULU HYPERMARKET DOHA 634 AUTH NO. 028215</t>
  </si>
  <si>
    <t>TOTAL FRESH HYPERMARKET DOHA 634 AUTH NO. 026560</t>
  </si>
  <si>
    <t>UBERBV UBER TRIP HELP.UBE HELP.UBER.COM 528 AUTH NO. 098790</t>
  </si>
  <si>
    <t>UBERBV UBER TRIP HELP.UBE HELP.UBER.COM 528 AUTH NO. 008299</t>
  </si>
  <si>
    <t>TOTAL FRESH HYPERMARKET DOHA 634 AUTH NO. 002086</t>
  </si>
  <si>
    <t>TOTAL FRESH HYPERMARKET DOHA 634 AUTH NO. 008640</t>
  </si>
  <si>
    <t>TOTAL FRESH HYPERMARKET DOHA 634 AUTH NO. 084710</t>
  </si>
  <si>
    <t>UBERBV UBER TRIP HELP.UBE HELP.UBER.COM 528 AUTH NO. 088348</t>
  </si>
  <si>
    <t>UBERBV UBER TRIP HELP.UBE HELP.UBER.COM 528 AUTH NO. 057208</t>
  </si>
  <si>
    <t>UBERBV UBER TRIP HELP.UBE HELP.UBER.COM 528 AUTH NO. 029432</t>
  </si>
  <si>
    <t>NASEEM AL RABEEH MEDIC DOHA QAT AUTH NO. 030262</t>
  </si>
  <si>
    <t>WOQOD - NEW MUSHEIREB DOHA QAT AUTH NO. 017749</t>
  </si>
  <si>
    <t>THE COFFEE SHOP QR TOW DOHA QAT AUTH NO. 058929</t>
  </si>
  <si>
    <t>WELLCARE PHARMACY 24 H DOHA QAT AUTH NO. 018972</t>
  </si>
  <si>
    <t>NASEEM AL RABEEH MEDICAL DOHA 634 AUTH NO. 083646</t>
  </si>
  <si>
    <t>NASEEM AL RABEEH MEDICAL DOHA 634 AUTH NO. 029216</t>
  </si>
  <si>
    <t>NASEEM AL RABEEH MEDIC DOHA QAT AUTH NO. 013490</t>
  </si>
  <si>
    <t>NASEEM AL RABEEH MEDICAL DOHA 634 AUTH NO. 092543</t>
  </si>
  <si>
    <t>NASEEM AL RABEEH MEDIC DOHA QAT AUTH NO. 062417</t>
  </si>
  <si>
    <t>NASEEM AL RABEEH MEDICAL DOHA 634 AUTH NO. 092784</t>
  </si>
  <si>
    <t>THE COFFEE SHOP QR TOW DOHA QAT AUTH NO. 064686</t>
  </si>
  <si>
    <t>TALABAT-MIGS DOHA QAT AUTH NO. 062847</t>
  </si>
  <si>
    <t>R B DOHA FASTIVAL CITY DOHA QAT AUTH NO. 024542</t>
  </si>
  <si>
    <t>OOREDOO TOP UP DOHA QAT AUTH NO. 093058</t>
  </si>
  <si>
    <t>OOREDOO TOP UP DOHA QAT AUTH NO. 048877</t>
  </si>
  <si>
    <t>OOREDOO TOP UP DOHA QAT AUTH NO. 048446</t>
  </si>
  <si>
    <t>OOREDOO TOP UP DOHA QAT AUTH NO. 038215</t>
  </si>
  <si>
    <t>TRANSFER - DEBIT,140122W01681,Transfer To 4700-193472-001,VINEET KUMAR SARASWAT</t>
  </si>
  <si>
    <t>TRANSFER - CREDIT,140122W01681,Transfer From 4610-193472-115,VINEET KUMAR SARASWAT</t>
  </si>
  <si>
    <t>NAPS ATM,7642,4018 011781 00110857,QATAR NATIONAL BANK DOHA,43420xxxxxx20023 05/01 18.17,63409000000</t>
  </si>
  <si>
    <t>ELECTRON,AUTH 798405,TALABAT COM QATAR,CARD NO 4342 xxxx xxxx 0023,31/12 QAR 120.00 0</t>
  </si>
  <si>
    <t>DEBIT STANDING ORDER,01012022010428,TRF TO 47001xxxxxx15</t>
  </si>
  <si>
    <t>BANKDIRECT PAYMENT,0201843111,1166969,Kahramaa bill payment</t>
  </si>
  <si>
    <t>ELECTRON,AUTH 025246,UBER TRIP HELP.UBER.COM help.uber.,CARD NO 4342 xxxx xxxx 0023,31/12 QAR 13.46 7 0</t>
  </si>
  <si>
    <t>WOQOD</t>
  </si>
  <si>
    <t>NAPS PURCHASE,012048017557,4018 026891 31,QPay Payment QRAILQPA,43420xxxxxx20023 17/02 11.45,63493000000</t>
  </si>
  <si>
    <t>CHEQUE PAID,000001000029,QIB - DUKHAN</t>
  </si>
  <si>
    <t>ELECTRON,AUTH 276008,UBER TRIP HELP.UBER.,CARD NO 4342 xxxx xxxx 0023,01/02 QAR 23.61 00</t>
  </si>
  <si>
    <t>ELECTRON,AUTH 067911,UBER TRIP HELP.UBER.COM help.uber.,CARD NO 4342 xxxx xxxx 0023,01/02 QAR 15.10 2</t>
  </si>
  <si>
    <t>ELECTRON,AUTH 004859,UBER TRIP HELP.UBER.COM help.uber.,CARD NO 4342 xxxx xxxx 0023,01/02 QAR 8.00 2</t>
  </si>
  <si>
    <t>ELECTRON,AUTH 981890,UBER TRIP HELP.UBER.COM help.uber.,CARD NO 4342 xxxx xxxx 0023,31/01 QAR 13.49 0 00</t>
  </si>
  <si>
    <t>ELECTRON,AUTH 417245,UBER TRIP HELP.UBER.,CARD NO 4342 xxxx xxxx 0023,31/01 QAR 16.98 0 00</t>
  </si>
  <si>
    <t>ELECTRON,AUTH 333504,UBER TRIP HELP.UBER.,CARD NO 4342 xxxx xxxx 0023,30/01 QAR 8.00 1 0</t>
  </si>
  <si>
    <t>CBQ PURCHASE,203107005043,4010 005043 78274096,ASTER HOSPITAL DOHA,43420xxxxxx20023 31/01 10.15</t>
  </si>
  <si>
    <t>NAPS PURCHASE,000001340055,4018 016531 82491202,THE COFFEE SHOP QR TOWDOHA,43420xxxxxx20023 30/01 08.42,63409000000</t>
  </si>
  <si>
    <t>CBQ PURCHASE,203014009340,4010 009340 78370732,TOTAL FRESH HYPERMARKET DOHA,43420xxxxxx20023 30/01 17.51</t>
  </si>
  <si>
    <t>ELECTRON,AUTH 658624,UBER TRIP HELP.UBER.,CARD NO 4342 xxxx xxxx 0023,26/01 QAR 15.07 43 0</t>
  </si>
  <si>
    <t>ELECTRON,AUTH 417566,UBER TRIP HELP.UBER.COM help.uber.,CARD NO 4342 xxxx xxxx 0023,26/01 QAR 17.38 0 0</t>
  </si>
  <si>
    <t>ELECTRON,AUTH 199645,Careem Pay DUBAI,CARD NO 4342 xxxx xxxx 0023,26/01 QAR 8.00 7</t>
  </si>
  <si>
    <t>ELECTRON,AUTH 152658,UBER TRIP HELP.UBER.,CARD NO 4342 xxxx xxxx 0023,27/01 QAR 8.00 8 0</t>
  </si>
  <si>
    <t>CBQ PURCHASE,202806008674,4010 008674 78370732,TOTAL FRESH HYPERMARKET DOHA,43420xxxxxx20023 28/01 09.27</t>
  </si>
  <si>
    <t>CBQ PURCHASE,202806008673,4010 008673 78370732,TOTAL FRESH HYPERMARKET DOHA,43420xxxxxx20023 28/01 09.27</t>
  </si>
  <si>
    <t>CARD BILL PAYMENT,280122701813,CARD NO 3643 xxxxxx 1825,Paid using bankDirect</t>
  </si>
  <si>
    <t>CARD BILL PAYMENT,280122701803,CARD NO 3643 xxxxxx 5676,Paid using bankDirect</t>
  </si>
  <si>
    <t>SALARY TRANSFER,CDD 20127H003686,QCH19700xxxxxx00 QAR,QATAR AIRWAYS,2/SALA</t>
  </si>
  <si>
    <t>ELECTRON,AUTH 180246,Careem Pay DUBAI,CARD NO 4342 xxxx xxxx 0023,24/01 QAR 8.00 9 0</t>
  </si>
  <si>
    <t>TRANSFER - CREDIT,210122L03076,Transfer From 4010-512145-001,AKSHIT WALIA</t>
  </si>
  <si>
    <t>CHEQUE PAID,000001000028,QIB - DUKHAN</t>
  </si>
  <si>
    <t>THE BABY SHOP DOHA 634 AUTH NO. 040672</t>
  </si>
  <si>
    <t>OOREDOO DOHA QA AUTH NO. 073380</t>
  </si>
  <si>
    <t>OOREDOO DOHA QA AUTH NO. 057700</t>
  </si>
  <si>
    <t>OOREDOO DOHA QA AUTH NO. 065845</t>
  </si>
  <si>
    <t>THE BABY SHOP DOHA 634 AUTH NO. 034227</t>
  </si>
  <si>
    <t>LULU HYPERMARKET DOHA 634 AUTH NO. 009625</t>
  </si>
  <si>
    <t>LULU HYPERMARKET DOHA 634 AUTH NO. 092174</t>
  </si>
  <si>
    <t>TOTAL FRESH HYPERMARKET DOHA 634 AUTH NO. 086001</t>
  </si>
  <si>
    <t>UBER TRIP HELP.UBER.COM HELP.UBER.COM 528 AUTH NO. 014937</t>
  </si>
  <si>
    <t>TOTAL FRESH HYPERMARKET DOHA 634 AUTH NO. 051952</t>
  </si>
  <si>
    <t>KAHRAMAA BANKDIRECT IVR P DOHA QA AUTH NO. 006796</t>
  </si>
  <si>
    <t>VODAFONE DOHA QA AUTH NO. 086340</t>
  </si>
  <si>
    <t>QATAR AIRWAYS QATAR 634 AUTH NO. 001316</t>
  </si>
  <si>
    <t>TOTAL FRESH HYPERMARKET DOHA 634 AUTH NO. 077164</t>
  </si>
  <si>
    <t>UBERBV UBER TRIP HELP.UBE HELP.UBER.COM 528 AUTH NO. 044389</t>
  </si>
  <si>
    <t>TOTAL FRESH HYPERMARKET DOHA 634 AUTH NO. 065826</t>
  </si>
  <si>
    <t>TOTAL FRESH HYPERMARKET DOHA 634 AUTH NO. 046877</t>
  </si>
  <si>
    <t>UBERBV UBER TRIP HELP.UBE HELP.UBER.COM 528 AUTH NO. 037924</t>
  </si>
  <si>
    <t>LULU HYPERMARKET DOHA 634 AUTH NO. 083970</t>
  </si>
  <si>
    <t>LULU HYPERMARKET DOHA 634 AUTH NO. 002404</t>
  </si>
  <si>
    <t>TOTAL FRESH HYPERMARKET DOHA 634 AUTH NO. 044469</t>
  </si>
  <si>
    <t>TOTAL FRESH HYPERMARKET DOHA 634 AUTH NO. 008575</t>
  </si>
  <si>
    <t>TOTAL FRESH HYPERMARKET DOHA 634 AUTH NO. 032189</t>
  </si>
  <si>
    <t>VODAFONE DOHA QA AUTH NO. 058895</t>
  </si>
  <si>
    <t>UBERBV UBER TRIP HELP.UBE HELP.UBER.COM 528 AUTH NO. 042660</t>
  </si>
  <si>
    <t>UBERBV UBER TRIP HELP.UBE HELP.UBER.COM 528 AUTH NO. 028653</t>
  </si>
  <si>
    <t>UBERBV UBER TRIP HELP.UBE HELP.UBER.COM 528 AUTH NO. 031091</t>
  </si>
  <si>
    <t>UBERBV UBER TRIP HELP.UBE HELP.UBER.COM 528 AUTH NO. 078538</t>
  </si>
  <si>
    <t>THE COFFEE SHOP QR TOW DOHA QAT AUTH NO. 069627</t>
  </si>
  <si>
    <t>FINGERTIPS CONT&amp;TRANSP DOHA QAT AUTH NO. 069202</t>
  </si>
  <si>
    <t>OOREDOO DOHA QA AUTH NO. 080918</t>
  </si>
  <si>
    <t>OOREDOO DOHA QA AUTH NO. 093602</t>
  </si>
  <si>
    <t>FINGERTIPS CONT&amp;TRANSP DOHA QAT AUTH NO. 017839</t>
  </si>
  <si>
    <t>THE COFFEE SHOP QR TOW DOHA QAT AUTH NO. 009518</t>
  </si>
  <si>
    <t>THE COFFEE SHOP QR TOW DOHA QAT AUTH NO. 000312</t>
  </si>
  <si>
    <t>FINGERTIPS CONT&amp;TRANSP DOHA QAT AUTH NO. 037093</t>
  </si>
  <si>
    <t>THE COFFEE SHOP QR TOW DOHA QAT AUTH NO. 049073</t>
  </si>
  <si>
    <t>THE COFFEE SHOP QR TOW DOHA QAT AUTH NO. 048601</t>
  </si>
  <si>
    <t>THE COFFEE SHOP QR TOW DOHA QAT AUTH NO. 009595</t>
  </si>
  <si>
    <t>FINGERTIPS CONT&amp;TRANSP DOHA QAT AUTH NO. 059508</t>
  </si>
  <si>
    <t>THE COFFEE SHOP QR TOW DOHA QAT AUTH NO. 065625</t>
  </si>
  <si>
    <t>THE COFFEE SHOP QR TOW DOHA QAT AUTH NO. 021568</t>
  </si>
  <si>
    <t>LULU HYPERMARKET-MIGS DOHA QAT AUTH NO. 069954</t>
  </si>
  <si>
    <t>FINGERTIPS CONT&amp;TRANSP DOHA QAT AUTH NO. 004034</t>
  </si>
  <si>
    <t>ASTER HOSPITAL DOHA 634 AUTH NO. 041239</t>
  </si>
  <si>
    <t>TOTAL FRESH HYPERMARKET DOHA 634 AUTH NO. 048643</t>
  </si>
  <si>
    <t>MALABAR GOLD DOHA 634 AUTH NO. 011768</t>
  </si>
  <si>
    <t>THE COFFEE SHOP QR TOW DOHA QAT AUTH NO. 032800</t>
  </si>
  <si>
    <t>ELECTRON,AUTH 680572,Careem Pay DUBAI,CARD NO 4342 xxxx xxxx 0023,28/02 QAR 34.86 3</t>
  </si>
  <si>
    <t>NAPS PURCHASE,000001333045,4018 029682 82491201,THE COFFEE SHOP QR TOWDOHA,43420xxxxxx20023 01/03 09.03,63409000000</t>
  </si>
  <si>
    <t>ELECTRON,AUTH 913926,Careem Pay DUBAI,CARD NO 4342 xxxx xxxx 0023,27/02 QAR 12.76 0 0</t>
  </si>
  <si>
    <t>ELECTRON,AUTH 209840,Careem Pay DUBAI,CARD NO 4342 xxxx xxxx 0023,27/02 QAR 33.59 50 0</t>
  </si>
  <si>
    <t>NAPS PURCHASE,000001391031,4018 004234 82490803,THE COFFEE SHOP QR TOWDOHA,43420xxxxxx20023 28/02 10.07,63409000000</t>
  </si>
  <si>
    <t>ELECTRON,AUTH 219569,Careem Pay DUBAI,CARD NO 4342 xxxx xxxx 0023,26/02 QAR 9.70 0</t>
  </si>
  <si>
    <t>ELECTRON,AUTH 169119,Careem Pay DUBAI,CARD NO 4342 xxxx xxxx 0023,26/02 QAR 10.00 0</t>
  </si>
  <si>
    <t>NAPS PURCHASE,000001016016,4018 004481 82491202,THE COFFEE SHOP QR TOWDOHA,43420xxxxxx20023 27/02 09.01,63409000000</t>
  </si>
  <si>
    <t>ELECTRON,AUTH 961630,Careem Pay DUBAI,CARD NO 4342 xxxx xxxx 0023,23/02 QAR 13.01 2</t>
  </si>
  <si>
    <t>ELECTRON,AUTH 737655,AGIFORS 281-705543,CARD NO 4342 xxxx xxxx 0023,23/02 USD 20.00 7 0</t>
  </si>
  <si>
    <t>ELECTRON,AUTH 728002,Careem Pay DUBAI,CARD NO 4342 xxxx xxxx 0023,25/02 QAR 18.54 50</t>
  </si>
  <si>
    <t>CBQ PURCHASE,205710006755,4010 006755 78670858,LULU CENTRE TRAD. CO.-HYPDOHA,43420xxxxxx20023 26/02 13.08</t>
  </si>
  <si>
    <t>CBQ PURCHASE,205709009769,4010 009769 78670843,LULU CENTRE TRAD. CO.-HYPDOHA,43420xxxxxx20023 26/02 12.28</t>
  </si>
  <si>
    <t>FUNDS TRANSFER,250222T03553,Arti Saraswat</t>
  </si>
  <si>
    <t>CORRESPONDENT BANK CHARGES,250222T03553</t>
  </si>
  <si>
    <t>TRANSFER CHARGE,250222T03553,Funds Transfer Charges</t>
  </si>
  <si>
    <t>NAPS PURCHASE,000001328075,4018 024195 82491201,THE COFFEE SHOP QR TOWDOHA,43420xxxxxx20023 24/02 09.03,63409000000</t>
  </si>
  <si>
    <t>CARD BILL PAYMENT,240222702441,CARD NO 3643 xxxxxx 1825,Paid using bankDirect</t>
  </si>
  <si>
    <t>CARD BILL PAYMENT,240222702413,CARD NO 3643 xxxxxx 1825,Paid using bankDirect</t>
  </si>
  <si>
    <t>SALARY TRANSFER,CDD 20224H001965,QCH19048xxxxxx00 QAR,QATAR AIRWAYS,2/SALA</t>
  </si>
  <si>
    <t>NAPS PURCHASE,000001326099,4018 000021 82491201,THE COFFEE SHOP QR TOWDOHA,43420xxxxxx20023 23/02 09.08,63409000000</t>
  </si>
  <si>
    <t>KAHRAMAA BANKDIRECT IVR P DOHA QA AUTH NO. 037967</t>
  </si>
  <si>
    <t>UBER TRIP HELP.UBER.COM HELP.UBER.COM 528 AUTH NO. 058125</t>
  </si>
  <si>
    <t>UBER TRIP HELP.UBER.COM HELP.UBER.COM 528 AUTH NO. 046208</t>
  </si>
  <si>
    <t>PAPA JOHN'S PIZZA DOHA QAT AUTH NO. 093379</t>
  </si>
  <si>
    <t>THE COFFEE SHOP QR TOW DOHA QAT AUTH NO. 089930</t>
  </si>
  <si>
    <t>CAREEM PAY DUBAI ARE AUTH NO. 005755</t>
  </si>
  <si>
    <t>THE COFFEE SHOP QR TOW DOHA QAT AUTH NO. 069520</t>
  </si>
  <si>
    <t>AGIFORS</t>
  </si>
  <si>
    <t>stock_name</t>
  </si>
  <si>
    <t>stock_units</t>
  </si>
  <si>
    <t>stock_buy_price</t>
  </si>
  <si>
    <t>stock_broker</t>
  </si>
  <si>
    <t>CDSL</t>
  </si>
  <si>
    <t>CDSL.NS</t>
  </si>
  <si>
    <t>ZERODHA</t>
  </si>
  <si>
    <t>ITC</t>
  </si>
  <si>
    <t>ITC.NS</t>
  </si>
  <si>
    <t>MARICO</t>
  </si>
  <si>
    <t>MARICO.NS</t>
  </si>
  <si>
    <t>RELIANCE</t>
  </si>
  <si>
    <t>RELIANCE.NS</t>
  </si>
  <si>
    <t>ASIANPAINT.NS</t>
  </si>
  <si>
    <t>HDFC</t>
  </si>
  <si>
    <t>stock_ticker</t>
  </si>
  <si>
    <t>stock_pur_date</t>
  </si>
  <si>
    <t>STOCKS</t>
  </si>
  <si>
    <t>Chemicals</t>
  </si>
  <si>
    <t>Banking &amp; Financial Services</t>
  </si>
  <si>
    <t>Consumer Non-durables</t>
  </si>
  <si>
    <t>Oil &amp; Gas</t>
  </si>
  <si>
    <t>Information Technology</t>
  </si>
  <si>
    <t>stock_sector</t>
  </si>
  <si>
    <t>CHEQUE PAID,000001000030,QIB - DUKHAN</t>
  </si>
  <si>
    <t>ATM CASH WITHDRAWAL,207213154199,4413 154199,COMM. BANK OF QATAR DOHA,43420xxxxxx20023 13/03 16.54</t>
  </si>
  <si>
    <t>TRANSFER - DEBIT,090322L05676,fee for Viraaj Saraswat,Oryx International School</t>
  </si>
  <si>
    <t>FUNDS TRANSFER,060322T01674,Vineet Kumar Saraswat</t>
  </si>
  <si>
    <t>CORRESPONDENT BANK CHARGES,060322T01674</t>
  </si>
  <si>
    <t>TRANSFER CHARGE,060322T01674,Funds Transfer Charges</t>
  </si>
  <si>
    <t>ORYX</t>
  </si>
  <si>
    <t>LULU CENTRE TRAD. CO.-HYP DOHA QA AUTH NO. 090187</t>
  </si>
  <si>
    <t>LULU CENTRE TRAD. CO.-HYP DOHA QA AUTH NO. 091362</t>
  </si>
  <si>
    <t>NASEEM AL RABEEH MEDICAL DOHA 634 AUTH NO. 066587</t>
  </si>
  <si>
    <t>TOTAL FRESH HYPERMARKET DOHA 634 AUTH NO. 056376</t>
  </si>
  <si>
    <t>OOREDOO DOHA QA AUTH NO. 003419</t>
  </si>
  <si>
    <t>AL AKER SWEET DOHA 634 AUTH NO. 031036</t>
  </si>
  <si>
    <t>AL AKER SWEET DOHA 634 AUTH NO. 024775</t>
  </si>
  <si>
    <t>AL OSRA RESTAURANT DOHA 634 AUTH NO. 031516</t>
  </si>
  <si>
    <t>OOREDOO DOHA QA AUTH NO. 012219</t>
  </si>
  <si>
    <t>TOTAL FRESH HYPERMARKET DOHA 634 AUTH NO. 024744</t>
  </si>
  <si>
    <t>CAREEM PAY DUBAI ARE AUTH NO. 012856</t>
  </si>
  <si>
    <t>CAREEM PAY DUBAI ARE AUTH NO. 061980</t>
  </si>
  <si>
    <t>QATAR RAIL DOHA QAT AUTH NO. 010396</t>
  </si>
  <si>
    <t>OOREDOO TOP UP DOHA QAT AUTH NO. 043934</t>
  </si>
  <si>
    <t>CAREEM PAY DUBAI ARE AUTH NO. 008047</t>
  </si>
  <si>
    <t>CAREEM PAY DUBAI ARE AUTH NO. 010525</t>
  </si>
  <si>
    <t>CAREEM PAY DUBAI ARE AUTH NO. 020366</t>
  </si>
  <si>
    <t>CAREEM PAY DUBAI ARE AUTH NO. 039816</t>
  </si>
  <si>
    <t>THE COFFEE SHOP QR TOW DOHA QAT AUTH NO. 026104</t>
  </si>
  <si>
    <t>CAREEM PAY DUBAI ARE AUTH NO. 034682</t>
  </si>
  <si>
    <t>CAREEM PAY DUBAI ARE AUTH NO. 009380</t>
  </si>
  <si>
    <t>CAREEM PAY DUBAI ARE AUTH NO. 029569</t>
  </si>
  <si>
    <t>LULU HYPERMARKET BINMA DOHA QAT AUTH NO. 063866</t>
  </si>
  <si>
    <t>THE COFFEE SHOP QR TOW DOHA QAT AUTH NO. 004087</t>
  </si>
  <si>
    <t>CAREEM PAY DUBAI ARE AUTH NO. 076161</t>
  </si>
  <si>
    <t>CAREEM PAY DUBAI ARE AUTH NO. 064958</t>
  </si>
  <si>
    <t>THE COFFEE SHOP QR TOW DOHA QAT AUTH NO. 019236</t>
  </si>
  <si>
    <t>PAPA JOHN'S PIZZA-MIGS DOHA QAT AUTH NO. 058275</t>
  </si>
  <si>
    <t>THE COFFEE SHOP QR TOW DOHA QAT AUTH NO. 080454</t>
  </si>
  <si>
    <t>CAREEM PAY DUBAI ARE AUTH NO. 020639</t>
  </si>
  <si>
    <t>THE COFFEE SHOP QR TOW DOHA QAT AUTH NO. 070336</t>
  </si>
  <si>
    <t>CAREEM PAY DUBAI ARE AUTH NO. 085615</t>
  </si>
  <si>
    <t>THE COFFEE SHOP QR TOW DOHA QAT AUTH NO. 009630</t>
  </si>
  <si>
    <t>CAREEM PAY DUBAI ARE AUTH NO. 015632</t>
  </si>
  <si>
    <t>THE COFFEE SHOP QR TOW DOHA QAT AUTH NO. 018227</t>
  </si>
  <si>
    <t>CAREEM PAY DUBAI ARE AUTH NO. 002225</t>
  </si>
  <si>
    <t>CAREEM PAY DUBAI ARE AUTH NO. 057286</t>
  </si>
  <si>
    <t>CAREEM PAY DUBAI ARE AUTH NO. 065896</t>
  </si>
  <si>
    <t>NAPS PURCHASE,000001201015,4018 017486 45120101,GINGERCLUB RESTAURANT DOHA,43420xxxxxx20023 31/03 22.50,63409000000</t>
  </si>
  <si>
    <t>NAPS PURCHASE,000001001221,4018 007431 71054404,QATAR RAIL DOHA,43420xxxxxx20023 31/03 19.22,63409000000</t>
  </si>
  <si>
    <t>CARD BILL PAYMENT,290322700874,CARD NO 3643 xxxxxx 1825,Paid using bankDirect</t>
  </si>
  <si>
    <t>SALARY TRANSFER,CDD 20329H001646,QCH21419xxxxxx00 QAR,QATAR AIRWAYS,2/SALA</t>
  </si>
  <si>
    <t>NAPS PURCHASE,000001028014,4018 000509 82491201,THE COFFEE SHOP QR TOWDOHA,43420xxxxxx20023 28/03 14.33,63409000000</t>
  </si>
  <si>
    <t>CBQ PURCHASE,208715006076,4010 006076 78370732,TOTAL FRESH HYPERMARKET DOHA,43420xxxxxx20023 28/03 18.23</t>
  </si>
  <si>
    <t>CBQ PURCHASE,208714003987,4010 003987 78273515,BO'S CAFE UMM GHUWALINA DOHA,43420xxxxxx20023 28/03 17.25</t>
  </si>
  <si>
    <t>VODAFONE-DIRECT DEBIT,270322471373,VF-PostPaid-41432644,22032xxxxxx606</t>
  </si>
  <si>
    <t>CBQ PURCHASE,208508005437,4010 005437 78370732,TOTAL FRESH HYPERMARKET DOHA,43420xxxxxx20023 26/03 11.50</t>
  </si>
  <si>
    <t>TOTAL FRESH HYPERMARKET DOHA QA AUTH NO. 014211</t>
  </si>
  <si>
    <t>TOTAL FRESH HYPERMARKET DOHA QA AUTH NO. 083210</t>
  </si>
  <si>
    <t>CARREFOUR - MALL OF QA DOHA QAT AUTH NO. 064404</t>
  </si>
  <si>
    <t>R&amp;B MALL OF QATAR DOHA QAT AUTH NO. 076450</t>
  </si>
  <si>
    <t>MAX FASHION HC MALL OF DOHA QAT AUTH NO. 060597</t>
  </si>
  <si>
    <t>PAPA JOHNS MALL OF QAT QAT AUTH NO. 073016</t>
  </si>
  <si>
    <t>DAIRY QUEEN MOQ DOHA QAT AUTH NO. 026978</t>
  </si>
  <si>
    <t>CAREEM PAY DUBAI ARE AUTH NO. 070930</t>
  </si>
  <si>
    <t>CAREEM PAY DUBAI ARE AUTH NO. 048644</t>
  </si>
  <si>
    <t>https://www.moneycontrol.com/mutual-funds/nav/aditya-birla-sun-life-frontline-equity-fund/MAC031</t>
  </si>
  <si>
    <t>ADITYA BIRLA SUN LIFE FRONTLINE EQUITY FUND - REGULAR PLAN - GROWTH</t>
  </si>
  <si>
    <t>Birla Sun Life Frontline Eqt Fund</t>
  </si>
  <si>
    <t>INF209K01BR9</t>
  </si>
  <si>
    <t>ABSL FRONTLINE EQT FUND</t>
  </si>
  <si>
    <t>ELECTRON,AUTH 467592,Careem Pay DUBAI,CARD NO 4342 xxxx xxxx 0023,27/04 QAR 12.00 0</t>
  </si>
  <si>
    <t>CBQ PURCHASE,211822008868,4010 008868 78273001,TRAVELEX QATAR DOHA,43420xxxxxx20023 29/04 01.32</t>
  </si>
  <si>
    <t>ELECTRON,AUTH 182131,Careem Pay DUBAI,CARD NO 4342 xxxx xxxx 0023,26/04 QAR 7.50 0 7</t>
  </si>
  <si>
    <t>ELECTRON,AUTH 140066,Careem Pay DUBAI,CARD NO 4342 xxxx xxxx 0023,26/04 QAR 9.60 0 7</t>
  </si>
  <si>
    <t>NAPS PURCHASE,000001198403,4018 012224 35270803,THE RITZ-CARLTON DOHA DOHA,43420xxxxxx20023 27/04 20.36,63409000000</t>
  </si>
  <si>
    <t>CARD BILL PAYMENT,270422708355,CARD NO 3643 xxxxxx 1825,Paid using bankDirect</t>
  </si>
  <si>
    <t>SALARY TRANSFER,CDD 20427H002556,QCH21434xxxxxx00 QAR,QATAR AIRWAYS,2/SALA</t>
  </si>
  <si>
    <t>NAPS PURCHASE,000001648010,4018 022976 87472401,APPAREL QATAR WLL 27 DOHA,43420xxxxxx20023 26/04 19.53,63409000000</t>
  </si>
  <si>
    <t>NAPS PURCHASE,000001114237,4018 027638 59990162,CARREFOUR DOHA,43420xxxxxx20023 26/04 20.11,63409000000</t>
  </si>
  <si>
    <t>NAPS PURCHASE,000001005529,4018 009700 59990102,CARREFOUR DOHA,43420xxxxxx20023 26/04 21.02,63409000000</t>
  </si>
  <si>
    <t>CHEQUE PAID,000001000031,QIB - DUKHAN</t>
  </si>
  <si>
    <t>NAPS ATM,210608088158,4018 001682 1AB025NW,QATAR ISLAMIC BANK DOHA,43420xxxxxx20023 16/04 11.44,63408000000</t>
  </si>
  <si>
    <t>TRANSFER - DEBIT,040422L10499,Transfer To 40105xxxxxx01,Akshit Walia</t>
  </si>
  <si>
    <t>TRANSFER - DEBIT,010522L01081,Transfer To 45805xxxxxx01,Daffodils Nursery Wll</t>
  </si>
  <si>
    <t>to vineet saving for Arti Gold Pur in SIN</t>
  </si>
  <si>
    <t>TOTAL FRESH HYPERMARKET DOHA QA AUTH NO. 069531</t>
  </si>
  <si>
    <t>UBERBV UBER TRIP HELP.UBE HELP.UBER.COM 528 AUTH NO. 017597</t>
  </si>
  <si>
    <t>LULU CENTER TRADING CO DOHA 634 AUTH NO. 042360</t>
  </si>
  <si>
    <t>UBERBV UBER TRIP HELP.UBE HELP.UBER.COM 528 AUTH NO. 010520</t>
  </si>
  <si>
    <t>UBERBV UBER TRIP HELP.UBE HELP.UBER.COM 528 AUTH NO. 037083</t>
  </si>
  <si>
    <t>TOTAL FRESH HYPERMARKET DOHA 634 AUTH NO. 031957</t>
  </si>
  <si>
    <t>OOREDOO DOHA QA AUTH NO. 061865</t>
  </si>
  <si>
    <t>OOREDOO DOHA QA AUTH NO. 072972</t>
  </si>
  <si>
    <t>HOME CENTRE DOHA 634 AUTH NO. 067617</t>
  </si>
  <si>
    <t>TOTAL FRESH HYPERMARKET DOHA 634 AUTH NO. 075609</t>
  </si>
  <si>
    <t>TOTAL FRESH HYPERMARKET DOHA 634 AUTH NO. 041471</t>
  </si>
  <si>
    <t>TOTAL FRESH HYPERMARKET DOHA 634 AUTH NO. 037342</t>
  </si>
  <si>
    <t>THE BABY SHOP DOHA 634 AUTH NO. 049872</t>
  </si>
  <si>
    <t>TOTAL FRESH HYPERMARKET DOHA 634 AUTH NO. 077531</t>
  </si>
  <si>
    <t>UBERBV UBER TRIP HELP.UBE HELP.UBER.COM 528 AUTH NO. 059672</t>
  </si>
  <si>
    <t>DOHA CITY FURNITURE ( NEW DOHA 634 AUTH NO. 068943</t>
  </si>
  <si>
    <t>DOHA CITY FURNITURE ( NEW DOHA 634 AUTH NO. 054232</t>
  </si>
  <si>
    <t>UBERBV UBER TRIP HELP.UBE HELP.UBER.COM 528 AUTH NO. 027187</t>
  </si>
  <si>
    <t>LULU HYPERMARKET DOHA 634 AUTH NO. 079872</t>
  </si>
  <si>
    <t>LULU HYPERMARKET DOHA 634 AUTH NO. 021007</t>
  </si>
  <si>
    <t>LULU HYPERMARKET DOHA 634 AUTH NO. 002570</t>
  </si>
  <si>
    <t>TOTAL FRESH HYPERMARKET DOHA 634 AUTH NO. 005217</t>
  </si>
  <si>
    <t>VODAFONE DOHA QA AUTH NO. 069731</t>
  </si>
  <si>
    <t>KAHRAMAA BANKDIRECT IVR P DOHA QA AUTH NO. 074569</t>
  </si>
  <si>
    <t>DNH*GODADDY.COM 480-505-8855 840 AUTH NO. 024074</t>
  </si>
  <si>
    <t>TOTAL FRESH HYPERMARKET DOHA 634 AUTH NO. 083568</t>
  </si>
  <si>
    <t>SHOP RITE SUPERMARKET DOHA 634 AUTH NO. 058058</t>
  </si>
  <si>
    <t>OOREDOO DOHA QA AUTH NO. 034548</t>
  </si>
  <si>
    <t>TOTAL FRESH HYPERMARKET DOHA 634 AUTH NO. 052757</t>
  </si>
  <si>
    <t>TOTAL FRESH HYPERMARKET DOHA 634 AUTH NO. 014211</t>
  </si>
  <si>
    <t>TOTAL FRESH HYPERMARKET DOHA 634 AUTH NO. 006621</t>
  </si>
  <si>
    <t>TOTAL FRESH HYPERMARKET DOHA 634 AUTH NO. 083210</t>
  </si>
  <si>
    <t>GRK GOLD PALACE SINGAPORE SGP AUTH NO. 048236</t>
  </si>
  <si>
    <t>CABCHARGE ASIA PTE LTD SINGAPORE SGP AUTH NO. 001785</t>
  </si>
  <si>
    <t>CABCHARGE ASIA PTE LTD SINGAPORE SGP AUTH NO. 009697</t>
  </si>
  <si>
    <t>SIN CHEW CHIN CULT PTD SINGAPORE 187 SGP AUTH NO. 059806</t>
  </si>
  <si>
    <t>SIN CHEW CHIN CULT PTD SINGAPORE 187 SGP AUTH NO. 003585</t>
  </si>
  <si>
    <t>7-ELEVEN 117-00 SILOSO SINGAPORE SGP AUTH NO. 056956</t>
  </si>
  <si>
    <t>RWS MEM TICKETING SINGAPORE SGP AUTH NO. 091625</t>
  </si>
  <si>
    <t>RWS MEM TICKETING SINGAPORE SGP AUTH NO. 066060</t>
  </si>
  <si>
    <t>DIGIPHOTO ENT IMAGING SINGAPORE SGP AUTH NO. 002160</t>
  </si>
  <si>
    <t>SENTOSA DEVELOPMENT CO SINGAPORE SGP AUTH NO. 064687</t>
  </si>
  <si>
    <t>FOODPANDA SINGAPORE SINGAPORE SGP AUTH NO. 049899</t>
  </si>
  <si>
    <t>S'PORE FLYER (GIFT SHO SINGAPORE SGP AUTH NO. 009118</t>
  </si>
  <si>
    <t>MOS BURGER-ONE FULLERT SINGAPORE SGP AUTH NO. 083410</t>
  </si>
  <si>
    <t>COMFORT/CITYCAB TAXI SINGAPORE SGP AUTH NO. 016632</t>
  </si>
  <si>
    <t>CAFE ASTER SINGAPORE SGP AUTH NO. 027160</t>
  </si>
  <si>
    <t>CAFE ASTER SINGAPORE SGP AUTH NO. 076017</t>
  </si>
  <si>
    <t>COMFORT/CITYCAB TAXI SINGAPORE SGP AUTH NO. 004919</t>
  </si>
  <si>
    <t>GOJEK 65798892 SGP AUTH NO. 087117</t>
  </si>
  <si>
    <t>S'PORE FLYER SINGAPORE SGP AUTH NO. 078496</t>
  </si>
  <si>
    <t>GOJEK 90106810 SGP AUTH NO. 032188</t>
  </si>
  <si>
    <t>MANDAI WILDLIFE GROUP SINGAPORE SGP AUTH NO. 017826</t>
  </si>
  <si>
    <t>MANDAI WILDLIFE GROUP SINGAPORE SGP AUTH NO. 049881</t>
  </si>
  <si>
    <t>MANDAI WILDLIFE GROUP SINGAPORE SGP AUTH NO. 059817</t>
  </si>
  <si>
    <t>GARDENS BY THE BAY-TIC SINGAPORE SGP AUTH NO. 089483</t>
  </si>
  <si>
    <t>MANDAI WILDLIFE GROUP SINGAPORE SGP AUTH NO. 054477</t>
  </si>
  <si>
    <t>FOODPANDA SINGAPORE SINGAPORE SGP AUTH NO. 021432</t>
  </si>
  <si>
    <t>STARBUCKS@RIVER S(RSF) SINGAPORE SGP AUTH NO. 013701</t>
  </si>
  <si>
    <t>GOJEK 65798892 SGP AUTH NO. 085424</t>
  </si>
  <si>
    <t>MANDAI WILDLIFE GROUP SINGAPORE SGP AUTH NO. 025490</t>
  </si>
  <si>
    <t>AURESYS PL SINGAPORE SGP AUTH NO. 058645</t>
  </si>
  <si>
    <t>HAPPY ICE PTE LTD SINGAPORE SGP AUTH NO. 045781</t>
  </si>
  <si>
    <t>NO SENSE ENTERTAINMENT SINGAPORE SGP AUTH NO. 070686</t>
  </si>
  <si>
    <t>FOODPANDA SINGAPORE SINGAPORE SGP AUTH NO. 007978</t>
  </si>
  <si>
    <t>GRAB* A-3DEIPSPWWH7I SINGAPORE SGP AUTH NO. 028101</t>
  </si>
  <si>
    <t>USS GUEST SERVICES SINGAPORE SGP AUTH NO. 097346</t>
  </si>
  <si>
    <t>USS FB CART FROZEN FUE SINGAPORE SGP AUTH NO. 001979</t>
  </si>
  <si>
    <t>USS FB-MEL'S DRIVE-IN SINGAPORE SGP AUTH NO. 014395</t>
  </si>
  <si>
    <t>FOODPANDA SINGAPORE SINGAPORE SGP AUTH NO. 010177</t>
  </si>
  <si>
    <t>CHANGI TRAVEL SVCS-T1 SINGAPORE SGP AUTH NO. 009500</t>
  </si>
  <si>
    <t>OOREDOO TOP UP DOHA QAT AUTH NO. 038473</t>
  </si>
  <si>
    <t>TOTAL FRESH HYPERMARKET DOHA 634 AUTH NO. 024389</t>
  </si>
  <si>
    <t>TOTAL FRESH HYPERMARKE DOHA QAT AUTH NO. 053931</t>
  </si>
  <si>
    <t>CAREEM PAY DUBAI ARE AUTH NO. 090259</t>
  </si>
  <si>
    <t>CAREEM PAY DUBAI ARE AUTH NO. 034190</t>
  </si>
  <si>
    <t>CAREEM PAY DUBAI ARE AUTH NO. 013392</t>
  </si>
  <si>
    <t>TOTAL FRESH HYPERMARKE DOHA QAT AUTH NO. 024915</t>
  </si>
  <si>
    <t>CAREEM PAY DUBAI ARE AUTH NO. 088708</t>
  </si>
  <si>
    <t>ANSAR GALLERY DOHA 634 AUTH NO. 053413</t>
  </si>
  <si>
    <t>APPAREL QATAR WLL DOHA QAT AUTH NO. 000934</t>
  </si>
  <si>
    <t>R AND B CITY CENTER DOHA QAT AUTH NO. 034434</t>
  </si>
  <si>
    <t>FOOTBALL COFFEE DOHA QAT AUTH NO. 004241</t>
  </si>
  <si>
    <t>OOREDOO TOP UP DOHA QAT AUTH NO. 050373</t>
  </si>
  <si>
    <t>CAREEM PAY DUBAI ARE AUTH NO. 089638</t>
  </si>
  <si>
    <t>CAREEM PAY DUBAI ARE AUTH NO. 095946</t>
  </si>
  <si>
    <t>PAPA JOHNS LUSAIL BOUL DOHA QAT AUTH NO. 033822</t>
  </si>
  <si>
    <t>WOK WOK RESTAURANT DOHA QAT AUTH NO. 046866</t>
  </si>
  <si>
    <t>CARREFOUR DOHA QAT AUTH NO. 004479</t>
  </si>
  <si>
    <t>CAREEM PAY DUBAI ARE AUTH NO. 019753</t>
  </si>
  <si>
    <t>TOTAL FRESH HYPERMARKE DOHA QAT AUTH NO. 019660</t>
  </si>
  <si>
    <t>SHEIN COM DUBAI ARE AUTH NO. 009481</t>
  </si>
  <si>
    <t>CAREEM PAY DUBAI ARE AUTH NO. 017472</t>
  </si>
  <si>
    <t>WOQOD - NEW MUSHEIREB DOHA QAT AUTH NO. 038700</t>
  </si>
  <si>
    <t>MAAR UMM GUWAILINA DOHA QAT AUTH NO. 015250</t>
  </si>
  <si>
    <t>CAREEM PAY DUBAI ARE AUTH NO. 070894</t>
  </si>
  <si>
    <t>CAREEM PAY DUBAI ARE AUTH NO. 054545</t>
  </si>
  <si>
    <t>CAREEM PAY DUBAI ARE AUTH NO. 030526</t>
  </si>
  <si>
    <t>CAREEM PAY DUBAI ARE AUTH NO. 086196</t>
  </si>
  <si>
    <t>CAREEM PAY DUBAI ARE AUTH NO. 070538</t>
  </si>
  <si>
    <t>CAREEM PAY DUBAI ARE AUTH NO. 016924</t>
  </si>
  <si>
    <t>CAREEM PAY DUBAI ARE AUTH NO. 047605</t>
  </si>
  <si>
    <t>NASEEM AL RABEEH MEDIC DOHA QAT AUTH NO. 065508</t>
  </si>
  <si>
    <t>CAREEM PAY DUBAI ARE AUTH NO. 038334</t>
  </si>
  <si>
    <t>NEW INDIAN SUPERMARKET DOHA QAT AUTH NO. 004294</t>
  </si>
  <si>
    <t>CAREEM PAY DUBAI ARE AUTH NO. 082879</t>
  </si>
  <si>
    <t>CAREEM PAY DUBAI ARE AUTH NO. 024456</t>
  </si>
  <si>
    <t>NASEEM AL RABEEH MEDICAL DOHA 634 AUTH NO. 029974</t>
  </si>
  <si>
    <t>NASEEM AL RABEEH MEDICAL DOHA 634 AUTH NO. 074581</t>
  </si>
  <si>
    <t>SHRIJI RESTAURANT DOHA QAT AUTH NO. 077595</t>
  </si>
  <si>
    <t>CAREEM PAY DUBAI ARE AUTH NO. 054218</t>
  </si>
  <si>
    <t>AL OSRA RESTAURANT DOHA 634 AUTH NO. 008269</t>
  </si>
  <si>
    <t>PAPA JOHNS MALL OF QAT DOHA QAT AUTH NO. 073016</t>
  </si>
  <si>
    <t>SIN</t>
  </si>
  <si>
    <t>SKCHR</t>
  </si>
  <si>
    <t>RITZ CARTON</t>
  </si>
  <si>
    <t>EXCHNAGE BACK ON RETURN</t>
  </si>
  <si>
    <t>EXCHNAGE WHILE GOING SIN</t>
  </si>
  <si>
    <t>DOHA CITY</t>
  </si>
  <si>
    <t>HOME CENTER</t>
  </si>
  <si>
    <t>PO29MR-RHAAPI- SIN</t>
  </si>
  <si>
    <t>DAFFODILES</t>
  </si>
  <si>
    <t>SHEIN</t>
  </si>
  <si>
    <t>INDIAN SUPER</t>
  </si>
  <si>
    <t>MAAR</t>
  </si>
  <si>
    <t>WAQOD</t>
  </si>
  <si>
    <t>SIN-GOT CASH IN HAND</t>
  </si>
  <si>
    <t>HQ CS-041392</t>
  </si>
  <si>
    <t>BAN002886</t>
  </si>
  <si>
    <t>RIN012799</t>
  </si>
  <si>
    <t>SIL001894</t>
  </si>
  <si>
    <t>BANGLE</t>
  </si>
  <si>
    <t>COW</t>
  </si>
  <si>
    <t>20k</t>
  </si>
  <si>
    <t>GRK GOLD</t>
  </si>
  <si>
    <t>UBERBV UBER PENDING HELP.UBER.CON LD AUTH NO. 029984</t>
  </si>
  <si>
    <t>MAX RETAIL CO WLL DOHA 634 AUTH NO. 095178</t>
  </si>
  <si>
    <t>TOTAL FRESH HYPERMARKET DOHA 634 AUTH NO. 036980</t>
  </si>
  <si>
    <t>UBERBV UBER TRIP HELP.UBE HELP.UBER.COM 528 AUTH NO. 076512</t>
  </si>
  <si>
    <t>LULU HYPERMARKET DOHA 634 AUTH NO. 098620</t>
  </si>
  <si>
    <t>LULU HYPER MARKET - PHARM DOHA 634 AUTH NO. 028163</t>
  </si>
  <si>
    <t>LULU HYPERMARKET DOHA 634 AUTH NO. 056133</t>
  </si>
  <si>
    <t>UBERBV UBER TRIP HELP.UBE HELP.UBER.COM 528 AUTH NO. 081621</t>
  </si>
  <si>
    <t>UBERBV UBER TRIP HELP.UBE HELP.UBER.COM 528 AUTH NO. 066334</t>
  </si>
  <si>
    <t>NASEEM AL RABEEH MEDICAL DOHA 634 AUTH NO. 069557</t>
  </si>
  <si>
    <t>TOTAL FRESH HYPERMARKET DOHA 634 AUTH NO. 032510</t>
  </si>
  <si>
    <t>UBERBV UBER TRIP HELP.UBE HELP.UBER.COM 528 AUTH NO. 084911</t>
  </si>
  <si>
    <t>UBERBV UBER TRIP HELP.UBE HELP.UBER.COM 528 AUTH NO. 085070</t>
  </si>
  <si>
    <t>UBERBV UBER TRIP HELP.UBE HELP.UBER.COM 528 AUTH NO. 084229</t>
  </si>
  <si>
    <t>UBERBV UBER TRIP HELP.UBE HELP.UBER.COM 528 AUTH NO. 013876</t>
  </si>
  <si>
    <t>UBERBV UBER TRIP HELP.UBE HELP.UBER.COM 528 AUTH NO. 088819</t>
  </si>
  <si>
    <t>VODAFONE DOHA QA AUTH NO. 007098</t>
  </si>
  <si>
    <t>TOTAL FRESH HYPERMARKET DOHA 634 AUTH NO. 071398</t>
  </si>
  <si>
    <t>UBERBV UBER TRIP HELP.UBE HELP.UBER.COM 528 AUTH NO. 094620</t>
  </si>
  <si>
    <t>TOTAL FRESH HYPERMARKET DOHA 634 AUTH NO. 020873</t>
  </si>
  <si>
    <t>TOTAL FRESH HYPERMARKET DOHA 634 AUTH NO. 090693</t>
  </si>
  <si>
    <t>UBERBV UBER TRIP HELP.UBE HELP.UBER.COM 528 AUTH NO. 055887</t>
  </si>
  <si>
    <t>UBERBV UBER TRIP HELP.UBE HELP.UBER.COM 528 AUTH NO. 088003</t>
  </si>
  <si>
    <t>THE BABY SHOP DOHA 634 AUTH NO. 040015</t>
  </si>
  <si>
    <t>UBERBV UBER TRIP HELP.UBE HELP.UBER.COM 528 AUTH NO. 084004</t>
  </si>
  <si>
    <t>TOTAL FRESH HYPERMARKET DOHA 634 AUTH NO. 076355</t>
  </si>
  <si>
    <t>UBERBV UBER TRIP HELP.UBE HELP.UBER.COM 528 AUTH NO. 071583</t>
  </si>
  <si>
    <t>TOTAL FRESH HYPERMARKET DOHA 634 AUTH NO. 096512</t>
  </si>
  <si>
    <t>LULU HYPERMARKET DOHA 634 AUTH NO. 001548</t>
  </si>
  <si>
    <t>UBERBV UBER TRIP HELP.UBE HELP.UBER.COM 528 AUTH NO. 061198</t>
  </si>
  <si>
    <t>UBERBV UBER TRIP HELP.UBE HELP.UBER.COM 528 AUTH NO. 060435</t>
  </si>
  <si>
    <t>KAHRAMAA BANKDIRECT IVR P DOHA QA AUTH NO. 040435</t>
  </si>
  <si>
    <t>LULU HYPERMARKET DOHA 634 AUTH NO. 042791</t>
  </si>
  <si>
    <t>UBERBV UBER TRIP HELP.UBE HELP.UBER.COM 528 AUTH NO. 084701</t>
  </si>
  <si>
    <t>UBERBV UBER TRIP HELP.UBE HELP.UBER.COM 528 AUTH NO. 060137</t>
  </si>
  <si>
    <t>UBERBV UBER TRIP HELP.UBE HELP.UBER.COM 528 AUTH NO. 003860</t>
  </si>
  <si>
    <t>UBERBV UBER TRIP HELP.UBE HELP.UBER.COM 528 AUTH NO. 063447</t>
  </si>
  <si>
    <t>LULU HYPERMARKET DOHA 634 AUTH NO. 019763</t>
  </si>
  <si>
    <t>TOTAL FRESH HYPERMARKET DOHA 634 AUTH NO. 022523</t>
  </si>
  <si>
    <t>UBERBV UBER TRIP HELP.UBE HELP.UBER.COM 528 AUTH NO. 037872</t>
  </si>
  <si>
    <t>MAX RETAIL CO WLL DOHA 634 AUTH NO. 021350</t>
  </si>
  <si>
    <t>UBERBV UBER TRIP HELP.UBE HELP.UBER.COM 528 AUTH NO. 000239</t>
  </si>
  <si>
    <t>TOTAL FRESH HYPERMARKE DOHA QAT AUTH NO. 063388</t>
  </si>
  <si>
    <t>CAREEM PAY DUBAI ARE AUTH NO. 019833</t>
  </si>
  <si>
    <t>CAREEM PAY DUBAI ARE AUTH NO. 062133</t>
  </si>
  <si>
    <t>CAREEM PAY DUBAI ARE AUTH NO. 085465</t>
  </si>
  <si>
    <t>CAREEM PAY DUBAI ARE AUTH NO. 076436</t>
  </si>
  <si>
    <t>TOTAL FRESH HYPERMARKE DOHA QAT AUTH NO. 079057</t>
  </si>
  <si>
    <t>OOREDOO TOP UP DOHA QAT AUTH NO. 071097</t>
  </si>
  <si>
    <t>CAREEM PAY DUBAI ARE AUTH NO. 047472</t>
  </si>
  <si>
    <t>PAPA JOHN'S PIZZA DOHA QAT AUTH NO. 031997</t>
  </si>
  <si>
    <t>CAREEM PAY DUBAI ARE AUTH NO. 068695</t>
  </si>
  <si>
    <t>TOTAL FRESH HYPERMARKE DOHA QAT AUTH NO. 096829</t>
  </si>
  <si>
    <t>THE COFFEE SHOP QR TOW DOHA QAT AUTH NO. 096223</t>
  </si>
  <si>
    <t>CAREEM PAY DUBAI ARE AUTH NO. 061972</t>
  </si>
  <si>
    <t>NASEEM AL RABEEH MEDICAL DOHA 634 AUTH NO. 044379</t>
  </si>
  <si>
    <t>NASEEM AL RABEEH MEDICAL DOHA 634 AUTH NO. 008131</t>
  </si>
  <si>
    <t>NASEEM AL RABEEH MEDIC DOHA QAT AUTH NO. 089847</t>
  </si>
  <si>
    <t>THE COFFEE SHOP QR TOW DOHA QAT AUTH NO. 039643</t>
  </si>
  <si>
    <t>THE COFFEE SHOP QR TOW DOHA QAT AUTH NO. 024288</t>
  </si>
  <si>
    <t>CAREEM PAY DUBAI ARE AUTH NO. 030400</t>
  </si>
  <si>
    <t>THE COFFEE SHOP QR TOW DOHA QAT AUTH NO. 010386</t>
  </si>
  <si>
    <t>TOTAL FRESH HYPERMARKE DOHA QAT AUTH NO. 028565</t>
  </si>
  <si>
    <t>MOI - SERVICES ( QATAR DOHA QAT AUTH NO. 083031</t>
  </si>
  <si>
    <t>MOI - SERVICES ( QATAR DOHA QAT AUTH NO. 071077</t>
  </si>
  <si>
    <t>TOTAL FRESH HYPERMARKE DOHA QAT AUTH NO. 079530</t>
  </si>
  <si>
    <t>THE COFFEE SHOP QR TOW DOHA QAT AUTH NO. 029898</t>
  </si>
  <si>
    <t>CAREEM PAY DUBAI ARE AUTH NO. 095677</t>
  </si>
  <si>
    <t>NASEEM AL RABEEH MEDIC DOHA QAT AUTH NO. 019818</t>
  </si>
  <si>
    <t>NASEEM AL RABEEH MEDICAL DOHA 634 AUTH NO. 091340</t>
  </si>
  <si>
    <t>NASEEM AL RABEEH MEDIC DOHA QAT AUTH NO. 002989</t>
  </si>
  <si>
    <t>THE COFFEE SHOP QR TOW DOHA QAT AUTH NO. 020416</t>
  </si>
  <si>
    <t>THE COFFEE SHOP QR TOW DOHA QAT AUTH NO. 046145</t>
  </si>
  <si>
    <t>OOREDOO TOP UP DOHA QAT AUTH NO. 053440</t>
  </si>
  <si>
    <t>OOREDOO TOP UP DOHA QAT AUTH NO. 073760</t>
  </si>
  <si>
    <t>NEW ROTI AND BOTI REST DOHA QAT AUTH NO. 015167</t>
  </si>
  <si>
    <t>OOREDOO DOHA QA AUTH NO. 033101</t>
  </si>
  <si>
    <t>THE COFFEE SHOP QR TOW DOHA QAT AUTH NO. 046440</t>
  </si>
  <si>
    <t>QATAR RAIL AL BIDDA DOHA QAT AUTH NO. 077285</t>
  </si>
  <si>
    <t>OOREDOO TOP UP DOHA QAT AUTH NO. 025663</t>
  </si>
  <si>
    <t>OOREDOO TOP UP DOHA QAT AUTH NO. 076060</t>
  </si>
  <si>
    <t>R AND B CITY CENTER DOHA QAT AUTH NO. 004178</t>
  </si>
  <si>
    <t>CARREFOUR DOHA QAT AUTH NO. 038610</t>
  </si>
  <si>
    <t>ELECTRON,AUTH 181407,Careem Pay DUBAI,CARD NO 4342 xxxx xxxx 0023,29/05 QAR 303.75 0</t>
  </si>
  <si>
    <t>ELECTRON,AUTH 673979,Careem Pay DUBAI,CARD NO 4342 xxxx xxxx 0023,28/05 QAR 10.10 0 0 0</t>
  </si>
  <si>
    <t>SALARY TRANSFER,CDD 20530H005465,QCH19463xxxxxx00 QAR,QATAR AIRWAYS,2/SALA</t>
  </si>
  <si>
    <t>NAPS PURCHASE,000001782011,4018 008209 48000302,WH ST5 3040 DOHA,43420xxxxxx20023 29/05 10.07,63409000000</t>
  </si>
  <si>
    <t>CARD BILL PAYMENT,290522703942,CARD NO 3643 xxxxxx 5676,Paid using bankDirect</t>
  </si>
  <si>
    <t>CARD BILL PAYMENT,290522703876,CARD NO 3643 xxxxxx 1825,Paid using bankDirect</t>
  </si>
  <si>
    <t>ELECTRON,AUTH 644748,Careem Pay DUBAI,CARD NO 4342 xxxx xxxx 0023,25/05 QAR 19.10 0</t>
  </si>
  <si>
    <t>ELECTRON,AUTH 349224,Careem Pay DUBAI,CARD NO 4342 xxxx xxxx 0023,25/05 QAR 13.50 0</t>
  </si>
  <si>
    <t>ELECTRON,AUTH 208572,Careem Pay DUBAI,CARD NO 4342 xxxx xxxx 0023,25/05 QAR 9.90 2</t>
  </si>
  <si>
    <t>ELECTRON,AUTH 093716,Careem Pay DUBAI,CARD NO 4342 xxxx xxxx 0023,27/05 QAR 9.50 0 0 0</t>
  </si>
  <si>
    <t>TRANSFER - CREDIT,290522W02384,cc bill,VINEET KUMAR SARASWAT</t>
  </si>
  <si>
    <t>ELECTRON,AUTH 905473,Careem Pay DUBAI,CARD NO 4342 xxxx xxxx 0023,24/05 QAR 21.50 0</t>
  </si>
  <si>
    <t>ELECTRON,AUTH 463101,Careem Pay DUBAI,CARD NO 4342 xxxx xxxx 0023,23/05 QAR 20.00 5</t>
  </si>
  <si>
    <t>ELECTRON,AUTH 989732,Careem Pay DUBAI,CARD NO 4342 xxxx xxxx 0023,21/05 QAR 9.60 3 0</t>
  </si>
  <si>
    <t>ELECTRON,AUTH 657147,Careem Pay DUBAI,CARD NO 4342 xxxx xxxx 0023,21/05 QAR 12.80 3 0</t>
  </si>
  <si>
    <t>ELECTRON,AUTH 457438,Careem Pay DUBAI,CARD NO 4342 xxxx xxxx 0023,18/05 QAR 11.20 1</t>
  </si>
  <si>
    <t>ELECTRON,AUTH 051780,Careem Pay DUBAI,CARD NO 4342 xxxx xxxx 0023,18/05 QAR 8.70 5</t>
  </si>
  <si>
    <t>ELECTRON,AUTH 107869,Careem Pay DUBAI,CARD NO 4342 xxxx xxxx 0023,15/05 QAR 21.20 0 0</t>
  </si>
  <si>
    <t>CHEQUE PAID,000001000032,QIB - DUKHAN</t>
  </si>
  <si>
    <t>ELECTRON,AUTH 678223,Careem Pay DUBAI,CARD NO 4342 xxxx xxxx 0023,11/05 QAR 24.00 6</t>
  </si>
  <si>
    <t>ELECTRON,AUTH 510300,Careem Pay DUBAI,CARD NO 4342 xxxx xxxx 0023,12/05 QAR 19.30 0 0</t>
  </si>
  <si>
    <t>ELECTRON,AUTH 491571,Careem Pay DUBAI,CARD NO 4342 xxxx xxxx 0023,11/05 QAR 7.50 0</t>
  </si>
  <si>
    <t>ELECTRON,AUTH 067090,Careem Pay DUBAI,CARD NO 4342 xxxx xxxx 0023,11/05 QAR 12.90 0</t>
  </si>
  <si>
    <t>ELECTRON,AUTH 812467,Careem Pay DUBAI,CARD NO 4342 xxxx xxxx 0023,10/05 QAR 19.50 6</t>
  </si>
  <si>
    <t>ELECTRON,AUTH 525847,Careem Pay DUBAI,CARD NO 4342 xxxx xxxx 0023,10/05 QAR 9.00 0</t>
  </si>
  <si>
    <t>ELECTRON,AUTH 984774,Careem Pay DUBAI,CARD NO 4342 xxxx xxxx 0023,09/05 QAR 13.80 00</t>
  </si>
  <si>
    <t>ELECTRON,AUTH 803527,Careem Pay DUBAI,CARD NO 4342 xxxx xxxx 0023,09/05 QAR 12.00 9</t>
  </si>
  <si>
    <t>ELECTRON,AUTH 089277,Careem Pay DUBAI,CARD NO 4342 xxxx xxxx 0023,09/05 QAR 7.50 30</t>
  </si>
  <si>
    <t>ELECTRON,AUTH 811433,Careem Pay DUBAI,CARD NO 4342 xxxx xxxx 0023,08/05 QAR 7.50 0</t>
  </si>
  <si>
    <t>ELECTRON,AUTH 411346,Careem Pay DUBAI,CARD NO 4342 xxxx xxxx 0023,08/05 QAR 7.50 0 0</t>
  </si>
  <si>
    <t>TRANSFER - CREDIT,100522W01164,Transfer From 4700-193472-115,VINEET KUMAR SARASWAT</t>
  </si>
  <si>
    <t>ELECTRON,AUTH 705794,Careem Pay DUBAI,CARD NO 4342 xxxx xxxx 0023,06/05 QAR 11.20 3</t>
  </si>
  <si>
    <t>ELECTRON,AUTH 039067,Careem Pay DUBAI,CARD NO 4342 xxxx xxxx 0023,05/05 QAR 9.30 0 8</t>
  </si>
  <si>
    <t>LULU HYPERMARKET DOHA 634 AUTH NO. 062372</t>
  </si>
  <si>
    <t>TRANSFER - DEBIT,290522W02384,cc bill,VINEET KUMAR SARASWAT</t>
  </si>
  <si>
    <t>TRANSFER - DEBIT,150522L04484,Registration fee for Viraaj Sa,Oryx International School</t>
  </si>
  <si>
    <t>FUNDS TRANSFER,130522T05275,Arti Saraswat</t>
  </si>
  <si>
    <t>CORRESPONDENT BANK CHARGES,130522T05275</t>
  </si>
  <si>
    <t>TRANSFER CHARGE,130522T05275,Funds Transfer Charges</t>
  </si>
  <si>
    <t>TRANSFER - DEBIT,100522W01164,Transfer To 4700-193472-001,VINEET KUMAR SARASWAT</t>
  </si>
  <si>
    <t>ATTRACTION</t>
  </si>
  <si>
    <t>GOLD &amp; ATTRACTIONS</t>
  </si>
  <si>
    <t>Row 1906/07</t>
  </si>
  <si>
    <t>UBERBV UBER TRIP HELP.UBE HELP.UBER.CON LD AUTH NO. 037288</t>
  </si>
  <si>
    <t>UBERBV UBER PENDING HELP.UBER.CON LD AUTH NO. 020760</t>
  </si>
  <si>
    <t>UBERBV UBER TRIP HELP.UBE HELP.UBER.COM 528 AUTH NO. 067837</t>
  </si>
  <si>
    <t>TOTAL FRESH HYPERMARKET DOHA 634 AUTH NO. 041143</t>
  </si>
  <si>
    <t>ASHA' S DOHA 634 AUTH NO. 053448</t>
  </si>
  <si>
    <t>TOTAL FRESH HYPERMARKET DOHA 634 AUTH NO. 043982</t>
  </si>
  <si>
    <t>UBERBV UBER TRIP HELP.UBE HELP.UBER.COM 528 AUTH NO. 028142</t>
  </si>
  <si>
    <t>TOTAL FRESH HYPERMARKET DOHA 634 AUTH NO. 015935</t>
  </si>
  <si>
    <t>TOTAL FRESH HYPERMARKET DOHA 634 AUTH NO. 049845</t>
  </si>
  <si>
    <t>TOTAL FRESH HYPERMARKET DOHA 634 AUTH NO. 038174</t>
  </si>
  <si>
    <t>VODAFONE DOHA QA AUTH NO. 023993</t>
  </si>
  <si>
    <t>KAHRAMAA BANKDIRECT IVR P DOHA QA AUTH NO. 007664</t>
  </si>
  <si>
    <t>LULU HYPERMARKET DOHA 634 AUTH NO. 062302</t>
  </si>
  <si>
    <t>TOTAL FRESH HYPERMARKET DOHA QA AUTH NO. 032837</t>
  </si>
  <si>
    <t>QATAR RAIL DOHA QA AUTH NO. 041666</t>
  </si>
  <si>
    <t>CAREEM PAY DUBAI AE AUTH NO. 093271</t>
  </si>
  <si>
    <t>CAREEM PAY DUBAI AE AUTH NO. 049709</t>
  </si>
  <si>
    <t>THE COFFEE SHOP QR TOWER3 DOHA QA AUTH NO. 028549</t>
  </si>
  <si>
    <t>QATAR E-GOVERNMENT DOHA QA AUTH NO. 068439</t>
  </si>
  <si>
    <t>THE COFFEE SHOP QR TOWER3 DOHA QA AUTH NO. 081078</t>
  </si>
  <si>
    <t>TOTAL FRESH HYPERMARKET DOHA 634 AUTH NO. 083271</t>
  </si>
  <si>
    <t>CAREEM PAY DUBAI AE AUTH NO. 091292</t>
  </si>
  <si>
    <t>CAREEM PAY DUBAI AE AUTH NO. 065013</t>
  </si>
  <si>
    <t>THE COFFEE SHOP QR TOWER3 DOHA QA AUTH NO. 082270</t>
  </si>
  <si>
    <t>TOTAL FRESH HYPERMARKET DOHA 634 AUTH NO. 025163</t>
  </si>
  <si>
    <t>CARREFOUR DOHA QA AUTH NO. 044713</t>
  </si>
  <si>
    <t>EBN SINA HEALTH CARE SOLU DOHA QA AUTH NO. 017465</t>
  </si>
  <si>
    <t>MAX RETAIL CO WLL DOHA 634 AUTH NO. 073338</t>
  </si>
  <si>
    <t>Joining Fee</t>
  </si>
  <si>
    <t>CAREEM PAY DUBAI ARE AUTH NO. 019036</t>
  </si>
  <si>
    <t>OOREDOO BILL PAYMENT DOHA QAT AUTH NO. 080944</t>
  </si>
  <si>
    <t>CAREEM PAY DUBAI ARE AUTH NO. 043301</t>
  </si>
  <si>
    <t>ANGRY BIRDS WORLD DOHA QAT AUTH NO. 039080</t>
  </si>
  <si>
    <t>THE COFFEE SHOP QR TOW DOHA QAT AUTH NO. 071133</t>
  </si>
  <si>
    <t>CAREEM PAY DUBAI ARE AUTH NO. 000538</t>
  </si>
  <si>
    <t>CAREEM PAY DUBAI ARE AUTH NO. 038937</t>
  </si>
  <si>
    <t>CAREEM PAY DUBAI ARE AUTH NO. 025335</t>
  </si>
  <si>
    <t>THE COFFEE SHOP QR TOW DOHA QAT AUTH NO. 009227</t>
  </si>
  <si>
    <t>THE COFFEE SHOP QR TOW DOHA QAT AUTH NO. 002771</t>
  </si>
  <si>
    <t>CAREEM PAY DUBAI ARE AUTH NO. 090886</t>
  </si>
  <si>
    <t>GOKUL GUJARATI RESTAUR DOHA QAT AUTH NO. 017236</t>
  </si>
  <si>
    <t>CAREEM PAY DUBAI ARE AUTH NO. 050904</t>
  </si>
  <si>
    <t>CAREEM PAY DUBAI ARE AUTH NO. 049215</t>
  </si>
  <si>
    <t>TOTAL FRESH HYPERMARKE DOHA QAT AUTH NO. 087387</t>
  </si>
  <si>
    <t>CAREEM PAY DUBAI ARE AUTH NO. 025066</t>
  </si>
  <si>
    <t>DISNEY PLUS LONDON GBR AUTH NO. 032796</t>
  </si>
  <si>
    <t>THE COFFEE SHOP QR TOW DOHA QAT AUTH NO. 025792</t>
  </si>
  <si>
    <t>CAREEM PAY DUBAI ARE AUTH NO. 055117</t>
  </si>
  <si>
    <t>THE COFFEE SHOP QR TOW DOHA QAT AUTH NO. 099712</t>
  </si>
  <si>
    <t>CAREEM PAY DUBAI ARE AUTH NO. 065864</t>
  </si>
  <si>
    <t>CAREEM PAY DUBAI ARE AUTH NO. 089131</t>
  </si>
  <si>
    <t>THE COFFEE SHOP QR TOW DOHA QAT AUTH NO. 079353</t>
  </si>
  <si>
    <t>CAREEM PAY DUBAI ARE AUTH NO. 062056</t>
  </si>
  <si>
    <t>OOREDOO TOP UP DOHA QAT AUTH NO. 016327</t>
  </si>
  <si>
    <t>OOREDOO TOP UP DOHA QAT AUTH NO. 002425</t>
  </si>
  <si>
    <t>CAREEM PAY DUBAI ARE AUTH NO. 048603</t>
  </si>
  <si>
    <t>TOTAL FRESH HYPERMARKE DOHA QAT AUTH NO. 037111</t>
  </si>
  <si>
    <t>WAVES RENT A BIKE DOHA QAT AUTH NO. 015673</t>
  </si>
  <si>
    <t>CAREEM PAY DUBAI ARE AUTH NO. 039176</t>
  </si>
  <si>
    <t>CARREFOUR (VILLAGIO MA DOHA QAT AUTH NO. 024509</t>
  </si>
  <si>
    <t>THE COFFEE SHOP QR TOW DOHA QAT AUTH NO. 075591</t>
  </si>
  <si>
    <t>CAREEM PAY DUBAI ARE AUTH NO. 028022</t>
  </si>
  <si>
    <t>CAREEM PAY DUBAI ARE AUTH NO. 076371</t>
  </si>
  <si>
    <t>THE COFFEE SHOP QR TOW DOHA QAT AUTH NO. 053045</t>
  </si>
  <si>
    <t>CAREEM PAY DUBAI ARE AUTH NO. 027138</t>
  </si>
  <si>
    <t>ENTERTAINMENT</t>
  </si>
  <si>
    <t>DISNEY</t>
  </si>
  <si>
    <t>ANGRY BIRD</t>
  </si>
  <si>
    <t>ASPIRE PARK</t>
  </si>
  <si>
    <t>ELECTRON,AUTH 953433,Careem Pay DUBAI,CARD NO 4342 xxxx xxxx 0023,23/06 QAR 12.00 0 0</t>
  </si>
  <si>
    <t>ELECTRON,AUTH 900193,Careem Pay DUBAI,CARD NO 4342 xxxx xxxx 0023,23/06 QAR 3.70 3 0</t>
  </si>
  <si>
    <t>ELECTRON,AUTH 473763,Careem Pay DUBAI,CARD NO 4342 xxxx xxxx 0023,22/06 QAR 8.50 0 0</t>
  </si>
  <si>
    <t>ELECTRON,AUTH 965983,Careem Pay DUBAI,CARD NO 4342 xxxx xxxx 0023,21/06 QAR 9.30 0</t>
  </si>
  <si>
    <t>ELECTRON,AUTH 642248,Careem Pay DUBAI,CARD NO 4342 xxxx xxxx 0023,21/06 QAR 12.10 0</t>
  </si>
  <si>
    <t>ELECTRON,AUTH 586523,Careem Pay DUBAI,CARD NO 4342 xxxx xxxx 0023,20/06 QAR 1.40 2 0</t>
  </si>
  <si>
    <t>ELECTRON,AUTH 577453,Careem Pay DUBAI,CARD NO 4342 xxxx xxxx 0023,19/06 QAR 7.20 5 0</t>
  </si>
  <si>
    <t>ELECTRON,AUTH 367409,Careem Pay DUBAI,CARD NO 4342 xxxx xxxx 0023,20/06 QAR 2.30 0 3</t>
  </si>
  <si>
    <t>ELECTRON,AUTH 266379,Careem Pay DUBAI,CARD NO 4342 xxxx xxxx 0023,20/06 QAR 1.70 5</t>
  </si>
  <si>
    <t>ELECTRON,AUTH 325439,Careem Pay DUBAI,CARD NO 4342 xxxx xxxx 0023,15/06 QAR 8.20 7 0 0</t>
  </si>
  <si>
    <t>ELECTRON,AUTH 229311,Careem Pay DUBAI,CARD NO 4342 xxxx xxxx 0023,16/06 QAR 13.50 00 0</t>
  </si>
  <si>
    <t>ELECTRON,AUTH 061175,Careem Pay DUBAI,CARD NO 4342 xxxx xxxx 0023,17/06 QAR 4.60 1</t>
  </si>
  <si>
    <t>ELECTRON,AUTH 933340,Careem Pay DUBAI,CARD NO 4342 xxxx xxxx 0023,14/06 QAR 12.30 0</t>
  </si>
  <si>
    <t>ELECTRON,AUTH 818193,Careem Pay DUBAI,CARD NO 4342 xxxx xxxx 0023,14/06 QAR 7.50 4</t>
  </si>
  <si>
    <t>ELECTRON,AUTH 383237,Careem Pay DUBAI,CARD NO 4342 xxxx xxxx 0023,14/06 QAR 2.20 0</t>
  </si>
  <si>
    <t>ELECTRON,AUTH 159905,Careem Pay DUBAI,CARD NO 4342 xxxx xxxx 0023,14/06 QAR 7.50 4</t>
  </si>
  <si>
    <t>ELECTRON,AUTH 102009,Careem Pay DUBAI,CARD NO 4342 xxxx xxxx 0023,14/06 QAR 6.40 8 8</t>
  </si>
  <si>
    <t>CHEQUE PAID,000001000033,QIB - DUKHAN</t>
  </si>
  <si>
    <t>ELECTRON,AUTH 901807,Careem Pay DUBAI,CARD NO 4342 xxxx xxxx 0023,13/06 QAR 9.20 5 0</t>
  </si>
  <si>
    <t>ELECTRON,AUTH 343404,Careem Pay DUBAI,CARD NO 4342 xxxx xxxx 0023,13/06 QAR 2.00 0 0 0</t>
  </si>
  <si>
    <t>NAPS PURCHASE,032165032192,4018 005160 0432434,QPay Payment TECHNICAL EN,43420xxxxxx20023 14/06 18.36,63493000000</t>
  </si>
  <si>
    <t>ELECTRON,AUTH 960655,Careem Pay DUBAI,CARD NO 4342 xxxx xxxx 0023,12/06 QAR 8.10 0</t>
  </si>
  <si>
    <t>TRANSFER - CREDIT,140622L11531,Transfer From 4010-512145-001,AKSHIT WALIA</t>
  </si>
  <si>
    <t>ELECTRON,AUTH 415070,Careem Pay DUBAI,CARD NO 4342 xxxx xxxx 0023,08/06 QAR 13.80 7 0</t>
  </si>
  <si>
    <t>ELECTRON,AUTH 134894,Careem Pay DUBAI,CARD NO 4342 xxxx xxxx 0023,09/06 QAR 12.00 5</t>
  </si>
  <si>
    <t>ELECTRON,AUTH 507099,Careem Pay DUBAI,CARD NO 4342 xxxx xxxx 0023,07/06 QAR 15.60 0 0</t>
  </si>
  <si>
    <t>ELECTRON,AUTH 373601,Careem Pay DUBAI,CARD NO 4342 xxxx xxxx 0023,06/06 QAR 12.60 4 0 0</t>
  </si>
  <si>
    <t>ELECTRON,AUTH 613844,Careem Pay DUBAI,CARD NO 4342 xxxx xxxx 0023,05/06 QAR 17.60 9</t>
  </si>
  <si>
    <t>ELECTRON,AUTH 268383,Careem Pay DUBAI,CARD NO 4342 xxxx xxxx 0023,05/06 QAR 8.50 9</t>
  </si>
  <si>
    <t>ELECTRON,AUTH 893359,Careem Pay DUBAI,CARD NO 4342 xxxx xxxx 0023,04/06 QAR 6.40 8</t>
  </si>
  <si>
    <t>ELECTRON,AUTH 388547,Careem Pay DUBAI,CARD NO 4342 xxxx xxxx 0023,04/06 QAR 6.60 8</t>
  </si>
  <si>
    <t>NAPS PURCHASE,000001789007,4018 026752 48000302,WH ST5 3040 DOHA,43420xxxxxx20023 05/06 09.39,63409000000</t>
  </si>
  <si>
    <t>ELECTRON,AUTH 755946,Careem Pay DUBAI,CARD NO 4342 xxxx xxxx 0023,02/06 QAR 8.00 9</t>
  </si>
  <si>
    <t>ELECTRON,AUTH 704021,Careem Pay DUBAI,CARD NO 4342 xxxx xxxx 0023,03/06 QAR 5.80 8 0</t>
  </si>
  <si>
    <t>ELECTRON,AUTH 476154,Careem Pay DUBAI,CARD NO 4342 xxxx xxxx 0023,03/06 QAR 10.80 0 0</t>
  </si>
  <si>
    <t>ELECTRON,AUTH 245890,Careem Pay DUBAI,CARD NO 4342 xxxx xxxx 0023,01/06 QAR 12.50 0 88</t>
  </si>
  <si>
    <t>NAPS ATM,215513199471,4018 004035 1A0020NW,QATAR ISLAMIC BANK DOHA,43420xxxxxx20023 04/06 16.59,63408000000</t>
  </si>
  <si>
    <t>ELECTRON,AUTH 521355,Careem Pay DUBAI,CARD NO 4342 xxxx xxxx 0023,31/05 QAR 13.50 0 0</t>
  </si>
  <si>
    <t>TRANSFER - DEBIT,020622L04113,Transfer To 45805xxxxxx01,Daffodils Nursery Wll</t>
  </si>
  <si>
    <t>ELECTRON,AUTH 654402,Careem Pay DUBAI,CARD NO 4342 xxxx xxxx 0023,30/05 QAR 13.30 0 0</t>
  </si>
  <si>
    <t>TRANSFER - DEBIT,150622L07413,Transfer To 40105xxxxxx01,Akshit Walia</t>
  </si>
  <si>
    <t>NAPS PURCHASE,000001095159,4018 009015 82491201,THE COFFEE SHOP QR TOWDOHA,43420xxxxxx20023 30/06 09.17,63409000000</t>
  </si>
  <si>
    <t>ELECTRON,AUTH 811242,Careem Pay DUBAI,CARD NO 4342 xxxx xxxx 0023,28/06 QAR 17.30 0 0</t>
  </si>
  <si>
    <t>ELECTRON,AUTH 511739,Careem Pay DUBAI,CARD NO 4342 xxxx xxxx 0023,28/06 QAR 22.50 0 0</t>
  </si>
  <si>
    <t>TELEGRAPHIC TRANSFER REC,CDD 20630H018562,QCH85610xxxxxx00 QAR,QATAR AIRWAYS,31/ALLW,ALLOWANCES</t>
  </si>
  <si>
    <t>CBQ PURCHASE,218014007235,4010 007235 78370732,TOTAL FRESH HYPERMARKET DOHA,43420xxxxxx20023 29/06 17.09</t>
  </si>
  <si>
    <t>CARD BILL PAYMENT,290622708458,CARD NO 4324 xxxx xxxx 2757,Paid using bankDirect</t>
  </si>
  <si>
    <t>CARD BILL PAYMENT,290622702337,CARD NO 3643 xxxxxx 1825,Paid using bankDirect</t>
  </si>
  <si>
    <t>ELECTRON,AUTH 961749,Careem Pay DUBAI,CARD NO 4342 xxxx xxxx 0023,27/06 QAR 22.90 8 0</t>
  </si>
  <si>
    <t>ELECTRON,AUTH 614567,Careem Pay DUBAI,CARD NO 4342 xxxx xxxx 0023,26/06 QAR 22.00 4 0</t>
  </si>
  <si>
    <t>SALARY TRANSFER,CDD 20629H005557,QCH34599xxxxxx00 QAR,QATAR AIRWAYS,2/SALA,SALARY CHANGES</t>
  </si>
  <si>
    <t>NAPS PURCHASE,000001092036,4018 002559 82491201,THE COFFEE SHOP QR TOWDOHA,43420xxxxxx20023 28/06 15.57,63409000000</t>
  </si>
  <si>
    <t>CBQ PURCHASE,217913006940,4010 006940 78370732,TOTAL FRESH HYPERMARKET DOHA,43420xxxxxx20023 28/06 16.59</t>
  </si>
  <si>
    <t>NAPS PURCHASE,032178032465,4018 003991 0432434,QPay Payment TECHNICAL EN,43420xxxxxx20023 27/06 20.29,63493000000</t>
  </si>
  <si>
    <t>NAPS ATM,217711576749,4018 032516 00000308,DUKHAN QATAR DOHA,43420xxxxxx20023 26/06 11.27,63420000000</t>
  </si>
  <si>
    <t>TRANSFER - CREDIT,260622W01958,Transfer From 4700-193472-115,VINEET KUMAR SARASWAT</t>
  </si>
  <si>
    <t>CAREEM PAY DUBAI AE AUTH NO. 063960</t>
  </si>
  <si>
    <t>CAREEM PAY DUBAI AE AUTH NO. 030882</t>
  </si>
  <si>
    <t>QDF STAFF SHOP TOWER 2 DOHA QA AUTH NO. 088308</t>
  </si>
  <si>
    <t>THE COFFEE SHOP QR TOWER3 DOHA QA AUTH NO. 002936</t>
  </si>
  <si>
    <t>TOTAL FRESH HYPERMARKET DOHA 634 AUTH NO. 056935</t>
  </si>
  <si>
    <t>ATM CASH WITHDRAWAL,218809230364,4730 230364,COMM. BANK OF QATAR DOHA,43420xxxxxx20023 07/07 12.50</t>
  </si>
  <si>
    <t>INSURANCE - PERSONAL LOANS,PLVAPT0000187773,PERSONAL LOAN INSURANCE</t>
  </si>
  <si>
    <t>TRANSFER - DEBIT,070722W04279,loan amount,VINEET KUMAR SARASWAT</t>
  </si>
  <si>
    <t>NEW LOAN,PLVAPT0000187773</t>
  </si>
  <si>
    <t>TRANSFER - DEBIT,060722L05191,Transfer To 45805xxxxxx01,Daffodils Nursery Wll</t>
  </si>
  <si>
    <t>ELECTRON,AUTH 546924,Careem Pay DUBAI,CARD NO 4342 xxxx xxxx 0023,03/07 QAR 32.50 0 0</t>
  </si>
  <si>
    <t>TRANSFER - DEBIT,050722L14048,Transfer To 47005xxxxxx01,Irshad Mohideen</t>
  </si>
  <si>
    <t>ELECTRON,AUTH 034985,Careem Pay DUBAI,CARD NO 4342 xxxx xxxx 0023,02/07 QAR 8.90 0</t>
  </si>
  <si>
    <t>ELECTRON,AUTH 910677,Careem Pay DUBAI,CARD NO 4342 xxxx xxxx 0023,30/06 QAR 24.00 0 0</t>
  </si>
  <si>
    <t>ELECTRON,AUTH 589332,Careem Pay DUBAI,CARD NO 4342 xxxx xxxx 0023,30/06 QAR 17.00 0 0</t>
  </si>
  <si>
    <t>ELECTRON,AUTH 245749,Careem Pay DUBAI,CARD NO 4342 xxxx xxxx 0023,29/06 QAR 17.30 0</t>
  </si>
  <si>
    <t>ELECTRON,AUTH 210983,Careem Pay DUBAI,CARD NO 4342 xxxx xxxx 0023,29/06 QAR 21.80 5</t>
  </si>
  <si>
    <t>ELECTRON,AUTH 175903,Careem Pay DUBAI,CARD NO 4342 xxxx xxxx 0023,29/06 QAR 33.00 3</t>
  </si>
  <si>
    <t>LULU CENTER TRADING DOHA QA AUTH NO. 048763</t>
  </si>
  <si>
    <t>CAREEM PAY DUBAI AE AUTH NO. 014394</t>
  </si>
  <si>
    <t>CAREEM PAY DUBAI AE AUTH NO. 089390</t>
  </si>
  <si>
    <t>CAREEM PAY DUBAI AE AUTH NO. 067380</t>
  </si>
  <si>
    <t>TOTAL FRESH HYPERMARKET DOHA 634 AUTH NO. 050785</t>
  </si>
  <si>
    <t>TOTAL FRESH HYPERMARKET DOHA QA AUTH NO. 079438</t>
  </si>
  <si>
    <t>THE COFFEE SHOP QR TOWER3 DOHA QA AUTH NO. 023494</t>
  </si>
  <si>
    <t>CAREEM PAY DUBAI AE AUTH NO. 076679</t>
  </si>
  <si>
    <t>CAREEM PAY DUBAI AE AUTH NO. 015052</t>
  </si>
  <si>
    <t>NASEEM AL RABEEH MEDICAL DOHA QA AUTH NO. 006449</t>
  </si>
  <si>
    <t>NASEEM AL RABEEH MEDICAL DOHA 634 AUTH NO. 009478</t>
  </si>
  <si>
    <t>NASEEM AL RABEEH MEDICAL DOHA 634 AUTH NO. 036225</t>
  </si>
  <si>
    <t>TOTAL FRESH HYPERMARKET DOHA 634 AUTH NO. 055762</t>
  </si>
  <si>
    <t>KAHRAMAA BANKDIRECT IVR P DOHA QA AUTH NO. 082695</t>
  </si>
  <si>
    <t>VODAFONE DOHA QA AUTH NO. 087533</t>
  </si>
  <si>
    <t>OOREDOO TOP UP DOHA QAT AUTH NO. 011645</t>
  </si>
  <si>
    <t>FIFA</t>
  </si>
  <si>
    <t>FAMILY FOOD CENTRE DOHA QA AUTH NO. 086038</t>
  </si>
  <si>
    <t>BATH &amp; BODY WORKS DOHA QA AUTH NO. 045543</t>
  </si>
  <si>
    <t>CARREFOUR (VILLAGIO MALL) DOHA QA AUTH NO. 045559</t>
  </si>
  <si>
    <t>CAREEM PAY DUBAI AE AUTH NO. 005834</t>
  </si>
  <si>
    <t>CAREEM PAY DUBAI AE AUTH NO. 016070</t>
  </si>
  <si>
    <t>CAREEM PAY DUBAI AE AUTH NO. 004775</t>
  </si>
  <si>
    <t>EVENTS AND ENTERTAINMENTS DOHA QA AUTH NO. 071282</t>
  </si>
  <si>
    <t>MCDONALDS CITY CENTER II DOHA QA AUTH NO. 089793</t>
  </si>
  <si>
    <t>CAREEM PAY DUBAI AE AUTH NO. 052950</t>
  </si>
  <si>
    <t>CAREEM PAY DUBAI AE AUTH NO. 062768</t>
  </si>
  <si>
    <t>FUN</t>
  </si>
  <si>
    <t>MCDONALDS</t>
  </si>
  <si>
    <t>BATH&amp;BODY</t>
  </si>
  <si>
    <t>TRANSFER - DEBIT,260622W01958,Transfer To 4700-193472-001,VINEET KUMAR SARASWAT</t>
  </si>
  <si>
    <t>CAR</t>
  </si>
  <si>
    <t>reduced India transfer &amp; car ammount</t>
  </si>
  <si>
    <t>Mitshubishi Car</t>
  </si>
  <si>
    <t>KALYAN JEWELLERS DOHA 634 AUTH NO. 019571</t>
  </si>
  <si>
    <t>TOTAL FRESH HYPERMARKET DOHA 634 AUTH NO. 041192</t>
  </si>
  <si>
    <t>IKEA DOHA 634 AUTH NO. 075688</t>
  </si>
  <si>
    <t>STARBUCKS DFC 3 DOHA 634 AUTH NO. 078686</t>
  </si>
  <si>
    <t>ASHA' S DOHA 634 AUTH NO. 043136</t>
  </si>
  <si>
    <t>FAMILY FOOD CENTRE AL KHE DOHA QA AUTH NO. 060378</t>
  </si>
  <si>
    <t>LULU HYPERMARKET DOHA 634 AUTH NO. 017774</t>
  </si>
  <si>
    <t>THE COFFEE SHOP QR TOWER3 DOHA QA AUTH NO. 057277</t>
  </si>
  <si>
    <t>THE COFFEE SHOP QR TOWER3 DOHA QA AUTH NO. 099884</t>
  </si>
  <si>
    <t>THE COFFEE SHOP QR TOWER3 DOHA QA AUTH NO. 074909</t>
  </si>
  <si>
    <t>CAREEM PAY DUBAI AE AUTH NO. 009717</t>
  </si>
  <si>
    <t>QDF STAFF SHOP TOWER 2 DOHA QA AUTH NO. 064969</t>
  </si>
  <si>
    <t>TOTAL FRESH HYPERMARKET DOHA QA AUTH NO. 087451</t>
  </si>
  <si>
    <t>THE COFFEE SHOP QR TOWER3 DOHA QA AUTH NO. 059280</t>
  </si>
  <si>
    <t>QATAR AIRWAY0002399934218 DOHA QA AUTH NO. 050151</t>
  </si>
  <si>
    <t>THE COFFEE SHOP QR TOWER3 DOHA QA AUTH NO. 039757</t>
  </si>
  <si>
    <t>KALYAN JEWELLERS DOHA 634 AUTH NO. 005926</t>
  </si>
  <si>
    <t>WOQOD - NEW MUSHEIREB PET DOHA QA AUTH NO. 056868</t>
  </si>
  <si>
    <t>TOTAL FRESH HYPERMARKET DOHA 634 AUTH NO. 014354</t>
  </si>
  <si>
    <t>ALMEERA ASMAK MALL DOHA QA AUTH NO. 010434</t>
  </si>
  <si>
    <t>MAX RETAIL ALASMAKH DOHA QA AUTH NO. 037153</t>
  </si>
  <si>
    <t>STARBUCKS DOHA 634 AUTH NO. 071320</t>
  </si>
  <si>
    <t>CAREEM PAY DUBAI AE AUTH NO. 090561</t>
  </si>
  <si>
    <t>KAILASH PARBAT RESTAURANT DOHA QA AUTH NO. 004408</t>
  </si>
  <si>
    <t>QAC WORKSHOP IND AREA DOHA QA AUTH NO. 071047</t>
  </si>
  <si>
    <t>THE COFFEE SHOP QR TOWER3 DOHA QA AUTH NO. 033531</t>
  </si>
  <si>
    <t>BURGER KING - CITY CENTER DOHA QA AUTH NO. 017403</t>
  </si>
  <si>
    <t>EVENTS AND ENTERTAINMENTS DOHA QA AUTH NO. 097883</t>
  </si>
  <si>
    <t>WOQOD NEW MUSHEIREB DOHA QA AUTH NO. 083962</t>
  </si>
  <si>
    <t>MAX RETAIL CO WLL DOHA 634 AUTH NO. 094836</t>
  </si>
  <si>
    <t>BATH AND BODY WORKS DOHA 634 AUTH NO. 052348</t>
  </si>
  <si>
    <t>TOTAL FRESH HYPERMARKET DOHA QA AUTH NO. 023980</t>
  </si>
  <si>
    <t>CAREEM PAY DUBAI AE AUTH NO. 055125</t>
  </si>
  <si>
    <t>DOHA MAXX AUTO SERVICE DOHA QA AUTH NO. 025382</t>
  </si>
  <si>
    <t>MOI MIGS MOBILE PAYMENT DOHA QA AUTH NO. 025289</t>
  </si>
  <si>
    <t>CAREEM PAY DUBAI AE AUTH NO. 066646</t>
  </si>
  <si>
    <t>CAREEM PAY DUBAI AE AUTH NO. 074210</t>
  </si>
  <si>
    <t>OOREDOO TOP UP DOHA QAT AUTH NO. 025603</t>
  </si>
  <si>
    <t>OOREDOO BILL PAYMENT DOHA QAT AUTH NO. 001667</t>
  </si>
  <si>
    <t>LOAN REPAYMENT - PRINCIPAL,PLVAPT0000187773</t>
  </si>
  <si>
    <t>SALARY TRANSFER,CDD 20727H018465,QCH34044xxxxxx00 QAR,QATAR AIRWAYS,2/SALA</t>
  </si>
  <si>
    <t>CBQ PURCHASE,220617003642,4010 003642 78370732,TOTAL FRESH HYPERMARKET DOHA,43420xxxxxx20023 25/07 20.10</t>
  </si>
  <si>
    <t>ELECTRON,AUTH 459459,Careem Pay DUBAI,CARD NO 4342 xxxx xxxx 0023,21/07 QAR 19.60 0 00</t>
  </si>
  <si>
    <t>ELECTRON,AUTH 703412,Careem Pay DUBAI,CARD NO 4342 xxxx xxxx 0023,19/07 QAR 19.20 6 0 0</t>
  </si>
  <si>
    <t>ELECTRON,AUTH 473446,Careem Pay DUBAI,CARD NO 4342 xxxx xxxx 0023,18/07 QAR 17.30 7 0</t>
  </si>
  <si>
    <t>ELECTRON,AUTH 838978,Careem Pay DUBAI,CARD NO 4342 xxxx xxxx 0023,17/07 QAR 10.20 9 0</t>
  </si>
  <si>
    <t>ELECTRON,AUTH 615781,Careem Pay DUBAI,CARD NO 4342 xxxx xxxx 0023,17/07 QAR 9.60 0 9 0</t>
  </si>
  <si>
    <t>ELECTRON,AUTH 957939,Careem Pay DUBAI,CARD NO 4342 xxxx xxxx 0023,13/07 QAR 50.50 0 0 0</t>
  </si>
  <si>
    <t>CHEQUE PAID,000001000034,QIB - DUKHAN</t>
  </si>
  <si>
    <t>CASH WITHDRAWAL,1220711026926</t>
  </si>
  <si>
    <t>TRANSFER - CREDIT,110722W02783,car,VINEET KUMAR SARASWAT</t>
  </si>
  <si>
    <t>NAPS PURCHASE,032190030574,4018 005630 0432434,QPay Payment TECHNICAL EN,43420xxxxxx20023 09/07 12.47,63493000000</t>
  </si>
  <si>
    <t>NAPS PURCHASE,032189039951,4018 030595 0432434,QPay Payment TECHNICAL EN,43420xxxxxx20023 08/07 11.41,63493000000</t>
  </si>
  <si>
    <t>TRANSFER - CREDIT,080722W01119,transfer india,VINEET KUMAR SARASWAT</t>
  </si>
  <si>
    <t>ALMEERA</t>
  </si>
  <si>
    <t>CBQ PURCHASE,221006004518,4010 004518 78370732,TOTAL FRESH HYPERMARKET DOHA,43420xxxxxx20023 29/07 09.43</t>
  </si>
  <si>
    <t>TRANSFER - CREDIT,280722L07857,Transfer From 4010-512145-001,AKSHIT WALIA</t>
  </si>
  <si>
    <t>CARD BILL PAYMENT,270722707970,CARD NO 4324 xxxx xxxx 2757,Paid using bankDirect</t>
  </si>
  <si>
    <t>loan to akshit from saving</t>
  </si>
  <si>
    <t>TRANSFER - DEBIT,150822L04964,Viraaj Saraswat,Daffodils Nursery Wll</t>
  </si>
  <si>
    <t>ELECTRON,AUTH 489792,Careem Pay DUBAI,CARD NO 4342 xxxx xxxx 0023,24/08 QAR 26.70 4 0</t>
  </si>
  <si>
    <t>OOREDOO B2B PAYMENT,7557091778092,Ooredoo-33808405,HALA,Topup,CBQRIB00000xxxxxx020267</t>
  </si>
  <si>
    <t>ELECTRON,AUTH 272751,Careem Pay DUBAI,CARD NO 4342 xxxx xxxx 0023,23/08 QAR 27.80 3</t>
  </si>
  <si>
    <t>ELECTRON,AUTH 021457,Careem Pay DUBAI,CARD NO 4342 xxxx xxxx 0023,22/08 QAR 20.90 0</t>
  </si>
  <si>
    <t>ELECTRON,AUTH 610695,Careem Pay DUBAI,CARD NO 4342 xxxx xxxx 0023,21/08 QAR 20.60 0 0</t>
  </si>
  <si>
    <t>NAPS ATM,223417236010,4018 015114 00000308,DUKHAN QATAR DOHA,43420xxxxxx20023 22/08 17.22,63420000000</t>
  </si>
  <si>
    <t>ELECTRON,AUTH 815223,Careem Pay DUBAI,CARD NO 4342 xxxx xxxx 0023,18/08 QAR 26.80 0 0</t>
  </si>
  <si>
    <t>ELECTRON,AUTH 508005,Careem Pay DUBAI,CARD NO 4342 xxxx xxxx 0023,17/08 QAR 20.00 0 0</t>
  </si>
  <si>
    <t>SELF CHEQUE BOOK FEE,637965933921</t>
  </si>
  <si>
    <t>ATM CASH WITHDRAWAL,223208223370,4703 223370,COMM. BANK OF QATAR DOHA,43420xxxxxx20023 20/08 11.59</t>
  </si>
  <si>
    <t>TRANSFER - CREDIT,200822W01155,Transfer From 4700-193472-115,VINEET KUMAR SARASWAT</t>
  </si>
  <si>
    <t>ELECTRON,AUTH 977529,Careem Pay DUBAI,CARD NO 4342 xxxx xxxx 0023,16/08 QAR 21.20 3 0</t>
  </si>
  <si>
    <t>NAPS PURCHASE,000001137126,4018 016025 82491201,THE COFFEE SHOP QR TOWDOHA,43420xxxxxx20023 15/08 09.01,63409000000</t>
  </si>
  <si>
    <t>NAPS ATM,222710040767,4018 030401 00000308,DUKHAN QATAR DOHA,43420xxxxxx20023 15/08 10.42,63420000000</t>
  </si>
  <si>
    <t>CHEQUE PAID,000001000035,QIB - DUKHAN</t>
  </si>
  <si>
    <t>TRANSFER - CREDIT,150822W01317,Transfer From 4700-193472-115,VINEET KUMAR SARASWAT</t>
  </si>
  <si>
    <t>Shamoail Loan</t>
  </si>
  <si>
    <t>CAREEM PAY DUBAI AE AUTH NO. 031992</t>
  </si>
  <si>
    <t>CAREEM PAY DUBAI AE AUTH NO. 005577</t>
  </si>
  <si>
    <t>THE BABY SHOP DOHA 634 AUTH NO. 079093</t>
  </si>
  <si>
    <t>MR VALET PARKING DOHA QA AUTH NO. 030988</t>
  </si>
  <si>
    <t>TOTAL FRESH HYPERMARKET DOHA 634 AUTH NO. 097420</t>
  </si>
  <si>
    <t>WOQOD - NEW MUSHEIREB PET DOHA QA AUTH NO. 000034</t>
  </si>
  <si>
    <t>WOQOD NEW MUSHEIREB DOHA QA AUTH NO. 049209</t>
  </si>
  <si>
    <t>LULU HYPERMARKET DOHA 634 AUTH NO. 056707</t>
  </si>
  <si>
    <t>LULU HYPERMARKET DOHA 634 AUTH NO. 025082</t>
  </si>
  <si>
    <t>THE COFFEE SHOP QR TOWER3 DOHA QA AUTH NO. 007919</t>
  </si>
  <si>
    <t>THE COFFEE SHOP QR TOWER3 DOHA QA AUTH NO. 031199</t>
  </si>
  <si>
    <t>THE COFFEE SHOP QR TOWER3 DOHA QA AUTH NO. 066011</t>
  </si>
  <si>
    <t>ASTER HOSPITAL DOHA 634 AUTH NO. 040758</t>
  </si>
  <si>
    <t>THE COFFEE SHOP QR TOWER3 DOHA QA AUTH NO. 067389</t>
  </si>
  <si>
    <t>THE COFFEE SHOP QR TOWER3 DOHA QA AUTH NO. 031731</t>
  </si>
  <si>
    <t>SHRIJI RESTAURANT DOHA QA AUTH NO. 096985</t>
  </si>
  <si>
    <t>FAMILY FOOD CENTER DOHA QA AUTH NO. 069799</t>
  </si>
  <si>
    <t>WOQOD - NEW MUSHEIREB PET DOHA QA AUTH NO. 068448</t>
  </si>
  <si>
    <t>CAREEM PAY DUBAI AE AUTH NO. 002784</t>
  </si>
  <si>
    <t>NEW INDIAN SUP MARKET DOHA 634 AUTH NO. 030579</t>
  </si>
  <si>
    <t>ASTER HOSPITAL DOHA 634 AUTH NO. 032442</t>
  </si>
  <si>
    <t>KAHRAMAA BANKDIRECT IVR P DOHA QA AUTH NO. 067974</t>
  </si>
  <si>
    <t>VODAFONE DOHA QA AUTH NO. 089777</t>
  </si>
  <si>
    <t>CAREEM PAY DUBAI AE AUTH NO. 036398</t>
  </si>
  <si>
    <t>MALABAR GOLD INT. LULU HY DOHA QA AUTH NO. 093364</t>
  </si>
  <si>
    <t>QDF STAFF SHOP TOWER 2 DOHA QA AUTH NO. 050681</t>
  </si>
  <si>
    <t>ON THE SIDEWALK DOHA QA AUTH NO. 094592</t>
  </si>
  <si>
    <t>TIME HOUSE-LULU DRING RD DOHA QA AUTH NO. 040741</t>
  </si>
  <si>
    <t>THE COFFEE SHOP QR TOWER3 DOHA QA AUTH NO. 050512</t>
  </si>
  <si>
    <t>TOTAL FRESH HYPERMARKET DOHA 634 AUTH NO. 073005</t>
  </si>
  <si>
    <t>THE COFFEE SHOP QR TOWER3 DOHA QA AUTH NO. 060414</t>
  </si>
  <si>
    <t>AL OSRA RESTAURANT DOHA 634 AUTH NO. 082457</t>
  </si>
  <si>
    <t>TOTAL FRESH HYPERMARKET DOHA 634 AUTH NO. 087590</t>
  </si>
  <si>
    <t>RED TAG DOHA 634 AUTH NO. 057430</t>
  </si>
  <si>
    <t>OOREDOO TOP UP DOHA QAT AUTH NO. 094523</t>
  </si>
  <si>
    <t>SHAMOAIL</t>
  </si>
  <si>
    <t>ALBAKER</t>
  </si>
  <si>
    <t>AGENT</t>
  </si>
  <si>
    <t>MR VALET</t>
  </si>
  <si>
    <t>REDTAG</t>
  </si>
  <si>
    <t>BALADIYA</t>
  </si>
  <si>
    <t>To daffodiles - viraaj</t>
  </si>
  <si>
    <t>KALYAN JEWELLERS DOHA 634 AUTH NO. 070840</t>
  </si>
  <si>
    <t>LULU HYPERMARKET DOHA 634 AUTH NO. 067127</t>
  </si>
  <si>
    <t>LULU HYPERMARKET DOHA 634 AUTH NO. 063455</t>
  </si>
  <si>
    <t>WOQOD UMGHUWALINA PS DIA DOHA QA AUTH NO. 090656</t>
  </si>
  <si>
    <t>LULU HYPERMARKET DOHA 634 AUTH NO. 072028</t>
  </si>
  <si>
    <t>LULU HYPERMARKET DOHA 634 AUTH NO. 028746</t>
  </si>
  <si>
    <t>OOREDOO DOHA QA AUTH NO. 088299</t>
  </si>
  <si>
    <t>THE COFFEE SHOP QR TOWER3 DOHA QA AUTH NO. 071037</t>
  </si>
  <si>
    <t>LULU HYPERMARKET DOHA 634 AUTH NO. 051353</t>
  </si>
  <si>
    <t>LULU HYPERMARKET DOHA 634 AUTH NO. 084565</t>
  </si>
  <si>
    <t>LULU HYPERMARKET DOHA QA AUTH NO. 080121</t>
  </si>
  <si>
    <t>WISH BOX TECHNOLOGY SANDIRAMOHAN. QA AUTH NO. 001785</t>
  </si>
  <si>
    <t>ANSAR GALLERY DOHA 634 AUTH NO. 039350</t>
  </si>
  <si>
    <t>WISH BOX TECHNOLOGY SANDIRAMOHAN. QA AUTH NO. 038969</t>
  </si>
  <si>
    <t>FAMILY FOOD CENTRE AL KHE DOHA QA AUTH NO. 064627</t>
  </si>
  <si>
    <t>NEW INDIAN SUP MARKET DOHA 634 AUTH NO. 077874</t>
  </si>
  <si>
    <t>THE COFFEE SHOP QR TOWER3 DOHA QA AUTH NO. 037184</t>
  </si>
  <si>
    <t>THE COFFEE SHOP QR TOWER3 DOHA QA AUTH NO. 063504</t>
  </si>
  <si>
    <t>THE COFFEE SHOP QR TOWER3 DOHA QA AUTH NO. 070050</t>
  </si>
  <si>
    <t>CARREFOUR DOHA QA AUTH NO. 005658</t>
  </si>
  <si>
    <t>LULU HYPERMARKET DOHA 634 AUTH NO. 097015</t>
  </si>
  <si>
    <t>CAREEM PAY DUBAI AE AUTH NO. 094937</t>
  </si>
  <si>
    <t>CP GARAGE SALE DOHA 634 AUTH NO. 006406</t>
  </si>
  <si>
    <t>NEW INDIAN SUP MARKET DOHA 634 AUTH NO. 059158</t>
  </si>
  <si>
    <t>FAMILY FOOD CENTRE AL KHE DOHA QA AUTH NO. 081482</t>
  </si>
  <si>
    <t>LULU CENTER TRADING CO DOHA 634 AUTH NO. 039082</t>
  </si>
  <si>
    <t>TOTAL FRESH HYPERMARKET DOHA 634 AUTH NO. 062578</t>
  </si>
  <si>
    <t>KAHRAMAA BANKDIRECT IVR P DOHA QA AUTH NO. 028449</t>
  </si>
  <si>
    <t>WOQOD UMGHUWALINA PS DIA DOHA QA AUTH NO. 034337</t>
  </si>
  <si>
    <t>OOREDOO BILL PAYMENT DOHA QAT AUTH NO. 023755</t>
  </si>
  <si>
    <t>TALABAT-MIGS DOHA QAT AUTH NO. 018827</t>
  </si>
  <si>
    <t>OOREDOO BILL PAYMENT DOHA QAT AUTH NO. 093800</t>
  </si>
  <si>
    <t>OSN+ DUBAI ARE AUTH NO.</t>
  </si>
  <si>
    <t>OOREDOO TOP UP DOHA QAT AUTH NO. 018141</t>
  </si>
  <si>
    <t>OOREDOO TOP UP DOHA QAT AUTH NO. 077054</t>
  </si>
  <si>
    <t>OOREDOO TOP UP DOHA QAT AUTH NO. 076653</t>
  </si>
  <si>
    <t>OSN+ DUBAI ARE AUTH NO. 021848</t>
  </si>
  <si>
    <t>ELECTRON,AUTH 521679,Careem Pay DUBAI,CARD NO 4342 xxxx xxxx 0023,21/09 QAR 8.30 0</t>
  </si>
  <si>
    <t>ELECTRON,AUTH 019950,Careem Pay DUBAI,CARD NO 4342 xxxx xxxx 0023,20/09 QAR 7.50 0</t>
  </si>
  <si>
    <t>ELECTRON,AUTH 554862,Careem Pay DUBAI,CARD NO 4342 xxxx xxxx 0023,19/09 QAR 7.50 0</t>
  </si>
  <si>
    <t>ELECTRON,AUTH 427143,Careem Pay DUBAI,CARD NO 4342 xxxx xxxx 0023,18/09 QAR 7.50 0</t>
  </si>
  <si>
    <t>ELECTRON,AUTH 655944,Careem Pay DUBAI,CARD NO 4342 xxxx xxxx 0023,17/09 QAR 7.50 0 0 7</t>
  </si>
  <si>
    <t>ELECTRON,AUTH 390096,Careem Pay DUBAI,CARD NO 4342 xxxx xxxx 0023,17/09 QAR 7.50 0 3 7</t>
  </si>
  <si>
    <t>ELECTRON,AUTH 939920,Careem Pay DUBAI,CARD NO 4342 xxxx xxxx 0023,15/09 QAR 7.50 0</t>
  </si>
  <si>
    <t>ELECTRON,AUTH 503633,Careem Pay DUBAI,CARD NO 4342 xxxx xxxx 0023,14/09 QAR 7.50 0</t>
  </si>
  <si>
    <t>TELEGRAPHIC TRANSFER REC,CDD 20918H006217,QCH34325xxxxxx00 QAR,QATAR GENERAL ELEC WATER CORP,19/PFLB,S0</t>
  </si>
  <si>
    <t>ELECTRON,AUTH 055127,Careem Pay DUBAI,CARD NO 4342 xxxx xxxx 0023,12/09 QAR 7.50 3</t>
  </si>
  <si>
    <t>ELECTRON,AUTH 446664,Careem Pay DUBAI,CARD NO 4342 xxxx xxxx 0023,11/09 QAR 6.40 9 00</t>
  </si>
  <si>
    <t>COMMISSION/FEE,4700-193472-001,SO - NSF Charges (per occasion),SO.Ref.No. 23072xxxxxx292</t>
  </si>
  <si>
    <t>ELECTRON,AUTH 887156,Careem Pay DUBAI,CARD NO 4342 xxxx xxxx 0023,07/09 QAR 6.40 0</t>
  </si>
  <si>
    <t>ELECTRON,AUTH 724733,Careem Pay DUBAI,CARD NO 4342 xxxx xxxx 0023,08/09 QAR 6.40 3 0</t>
  </si>
  <si>
    <t>CBQ PURCHASE,225317006805,4010 006805 78372218,ANSAR GALLERY DOHA,43420xxxxxx20023 10/09 20.40</t>
  </si>
  <si>
    <t>TRANSFER - CREDIT,090922W04286,Transfer From 4700-193472-115,VINEET KUMAR SARASWAT</t>
  </si>
  <si>
    <t>ELECTRON,AUTH 917924,Careem Pay DUBAI,CARD NO 4342 xxxx xxxx 0023,06/09 QAR 6.40 0 0</t>
  </si>
  <si>
    <t>TRANSFER - DEBIT,060922W04598,Transfer To 4700-193472-115,VINEET KUMAR SARASWAT</t>
  </si>
  <si>
    <t>CASH DEPOSIT ATM,224913222456,4704 222456,COMM. BANK OF QATAR DOHA,43420xxxxxx20023 06/09 16.59</t>
  </si>
  <si>
    <t>CASH DEPOSIT ATM,224913222454,4704 222454,COMM. BANK OF QATAR DOHA,43420xxxxxx20023 06/09 16.58</t>
  </si>
  <si>
    <t>ELECTRON,AUTH 549102,Careem Pay DUBAI,CARD NO 4342 xxxx xxxx 0023,01/09 QAR 21.10 3</t>
  </si>
  <si>
    <t>ELECTRON,AUTH 058239,Careem Pay DUBAI,CARD NO 4342 xxxx xxxx 0023,31/08 QAR 22.60 0</t>
  </si>
  <si>
    <t>ATM CASH WITHDRAWAL,224611091236,4928 091236,COMM. BANK OF QATAR DOHA,43420xxxxxx20023 03/09 14.55</t>
  </si>
  <si>
    <t>CBQ PURCHASE,224318000594,4010 000594 78470235,THE BABY SHOP DOHA,43420xxxxxx20023 31/08 21.09</t>
  </si>
  <si>
    <t>ELECTRON,AUTH 157805,Careem Pay DUBAI,CARD NO 4342 xxxx xxxx 0023,29/08 QAR 23.00 0</t>
  </si>
  <si>
    <t>TRANSFER - CREDIT,310822L18867,Transfer From 4010-512145-001,AKSHIT WALIA</t>
  </si>
  <si>
    <t>NAPS PURCHASE,224212319876,4018 004967 73569002,ANSAR GALLERY(FURNITURE)-DOHA,43420xxxxxx20023 30/08 15.35,63405000000</t>
  </si>
  <si>
    <t>NAPS ATM,224215656166,4018 005314 00010057,ahlibank DOHA QATAR,43420xxxxxx20023 30/08 15.37,63401000000</t>
  </si>
  <si>
    <t>CBQ PURCHASE,224215006560,4010 006560 78670847,LULU CENTRE TRAD. CO.-HYPDOHA,43420xxxxxx20023 30/08 18.01</t>
  </si>
  <si>
    <t>CBQ PURCHASE,224215005197,4010 005197 78370287,LULU CENTRE TRAD. CO.-HYPDOHA,43420xxxxxx20023 30/08 18.09</t>
  </si>
  <si>
    <t>CARD BILL PAYMENT,300822709815,CARD NO 3643 xxxxxx 1825,Paid using bankDirect</t>
  </si>
  <si>
    <t>ELECTRON,AUTH 800383,Careem Pay DUBAI,CARD NO 4342 xxxx xxxx 0023,28/08 QAR 24.50 0</t>
  </si>
  <si>
    <t>ELECTRON,AUTH 058349,Careem Pay DUBAI,CARD NO 4342 xxxx xxxx 0023,28/08 QAR 23.00 00</t>
  </si>
  <si>
    <t>CARD BILL PAYMENT,290822710223,CARD NO 3643 xxxxxx 1825,Paid using bankDirect</t>
  </si>
  <si>
    <t>ELECTRON,AUTH 800937,Careem Pay DUBAI,CARD NO 4342 xxxx xxxx 0023,27/08 QAR 16.30 0 0</t>
  </si>
  <si>
    <t>SALARY TRANSFER,CDD 20829H019547,QCH38319xxxxxx00 QAR,QATAR AIRWAYS,2/SALA</t>
  </si>
  <si>
    <t>CBQ PURCHASE,224017013784,4010 013784 66770603,KIN EXPRESS SUPERMARKET DOHA,43420xxxxxx20023 28/08 20.06</t>
  </si>
  <si>
    <t>ELECTRON,AUTH 795620,Careem Pay DUBAI,CARD NO 4342 xxxx xxxx 0023,25/08 QAR 28.00 9</t>
  </si>
  <si>
    <t>NAPS PURCHASE,223909109559,4018 000316 73569002,ANSAR GALLERY(FURNITURE)-DOHA,43420xxxxxx20023 27/08 12.44,63405000000</t>
  </si>
  <si>
    <t>NAPS PURCHASE,223908103978,4018 017521 38398001,A &amp; H FOOD COURT DOHA,43420xxxxxx20023 27/08 11.28,63405000000</t>
  </si>
  <si>
    <t>CBQ PURCHASE,223916002154,4010 002154 78370732,TOTAL FRESH HYPERMARKET DOHA,43420xxxxxx20023 27/08 19.26</t>
  </si>
  <si>
    <t>CBQ PURCHASE,223916002153,4010 002153 78370732,TOTAL FRESH HYPERMARKET DOHA,43420xxxxxx20023 27/08 19.25</t>
  </si>
  <si>
    <t>NAPS PURCHASE,000001244052,4018 015130 87474408,R&amp;B EZDAN WAKRA MALLDOHA,43420xxxxxx20023 26/08 20.10,63409000000</t>
  </si>
  <si>
    <t>CBQ PURCHASE,223817024217,4010 024217 77974946,REDTAG DOHA,43420xxxxxx20023 26/08 20.39</t>
  </si>
  <si>
    <t>KIN SUPER</t>
  </si>
  <si>
    <t>OSN</t>
  </si>
  <si>
    <t>DEPOSIT</t>
  </si>
  <si>
    <t>PENALTY</t>
  </si>
  <si>
    <t>WETGRC002981</t>
  </si>
  <si>
    <t>CHEQUE PAID,000001000042,ARAB - MAIN OFFICE</t>
  </si>
  <si>
    <t>ELECTRON,AUTH 376721,Careem Pay DUBAI,CARD NO 4342 xxxx xxxx 0023,08/11 QAR 7.50 8 00</t>
  </si>
  <si>
    <t>ELECTRON,AUTH 161473,Careem Pay DUBAI,CARD NO 4342 xxxx xxxx 0023,07/11 QAR 5.80 0 4</t>
  </si>
  <si>
    <t>ELECTRON,AUTH 964375,Careem Pay DUBAI,CARD NO 4342 xxxx xxxx 0023,06/11 QAR 7.50 0 8 00</t>
  </si>
  <si>
    <t>ELECTRON,AUTH 730353,Careem Pay DUBAI,CARD NO 4342 xxxx xxxx 0023,02/11 QAR 7.50 0 00</t>
  </si>
  <si>
    <t>ELECTRON,AUTH 112488,Careem Pay DUBAI,CARD NO 4342 xxxx xxxx 0023,03/11 QAR 7.50 0 0</t>
  </si>
  <si>
    <t>ATM CASH WITHDRAWAL,230914155355,4414 155355,COMM. BANK OF QATAR DOHA,43420xxxxxx20023 05/11 17.09</t>
  </si>
  <si>
    <t>TRANSFER - DEBIT,011122L12129,fees for Viraaj Saraswat,Daffodils Nursery Wll</t>
  </si>
  <si>
    <t>TRANSFER - CREDIT,311022L14987,Transfer From 4010-512145-001,AKSHIT WALIA</t>
  </si>
  <si>
    <t>CARD BILL PAYMENT,301022702194,CARD NO 4324 xxxx xxxx 2757,Paid using bankDirect</t>
  </si>
  <si>
    <t>SALARY TRANSFER,CDD 21030H014863,QCH82248xxxxxx00 QAR,QATAR AIRWAYS,2/SALA</t>
  </si>
  <si>
    <t>ELECTRON,AUTH 690518,Careem Pay DUBAI,CARD NO 4342 xxxx xxxx 0023,20/10 QAR 7.50 0</t>
  </si>
  <si>
    <t>ELECTRON,AUTH 047648,Careem Pay DUBAI,CARD NO 4342 xxxx xxxx 0023,19/10 QAR 7.50 7</t>
  </si>
  <si>
    <t>ELECTRON,AUTH 875390,Careem Pay DUBAI,CARD NO 4342 xxxx xxxx 0023,18/10 QAR 7.50 0 0</t>
  </si>
  <si>
    <t>ELECTRON,AUTH 828424,Careem Pay DUBAI,CARD NO 4342 xxxx xxxx 0023,16/10 QAR 7.50 0</t>
  </si>
  <si>
    <t>ATM CASH WITHDRAWAL,229014088183,4317 088183,COMM. BANK OF QATAR DOHA,43420xxxxxx20023 17/10 17.25</t>
  </si>
  <si>
    <t>ELECTRON,AUTH 694598,Careem Pay DUBAI,CARD NO 4342 xxxx xxxx 0023,12/10 QAR 7.50 0 0 0</t>
  </si>
  <si>
    <t>ELECTRON,AUTH 160249,Careem Pay DUBAI,CARD NO 4342 xxxx xxxx 0023,12/10 QAR 7.50 0 0 0</t>
  </si>
  <si>
    <t>ELECTRON,AUTH 382139,Careem Pay DUBAI,CARD NO 4342 xxxx xxxx 0023,11/10 QAR 7.50 8</t>
  </si>
  <si>
    <t>ELECTRON,AUTH 882684,Careem Pay DUBAI,CARD NO 4342 xxxx xxxx 0023,10/10 QAR 7.50 5 0</t>
  </si>
  <si>
    <t>ELECTRON,AUTH 499533,Careem Pay DUBAI,CARD NO 4342 xxxx xxxx 0023,09/10 QAR 7.50 0 0</t>
  </si>
  <si>
    <t>CHEQUE PAID,000001000041,ARAB - MAIN OFFICE</t>
  </si>
  <si>
    <t>CARD BILL PAYMENT,101022703424,CARD NO 4324 xxxx xxxx 2757,Paid using bankDirect</t>
  </si>
  <si>
    <t>TRANSFER - CREDIT,101022W02652,gold,VINEET KUMAR SARASWAT</t>
  </si>
  <si>
    <t>ELECTRON,AUTH 618428,Careem Pay DUBAI,CARD NO 4342 xxxx xxxx 0023,02/10 QAR 7.50 0</t>
  </si>
  <si>
    <t>ELECTRON,AUTH 087529,Careem Pay DUBAI,CARD NO 4342 xxxx xxxx 0023,03/10 QAR 7.50 9 0</t>
  </si>
  <si>
    <t>CASH DEPOSIT ATM,227811231414,4615 231414,COMM. BANK OF QATAR DOHA,43420xxxxxx20023 05/10 14.24</t>
  </si>
  <si>
    <t>TRANSFER - CREDIT,031022W04154,Transfer From 4610-193472-115,VINEET KUMAR SARASWAT</t>
  </si>
  <si>
    <t>NAPS ATM,227520115602,4018 010434 00010021,ahlibank DOHA QATAR,43420xxxxxx20023 02/10 20.10,63401000000</t>
  </si>
  <si>
    <t>ELECTRON,AUTH 792298,Careem Pay DUBAI,CARD NO 4342 xxxx xxxx 0023,29/09 QAR 7.50 5</t>
  </si>
  <si>
    <t>NAPS PURCHASE,000001008182,4018 018883 50770410,FAMILY FOOD CENTRE AL DOHA,43420xxxxxx20023 30/09 00.00,63409000000</t>
  </si>
  <si>
    <t>ELECTRON,AUTH 601194,Careem Pay DUBAI,CARD NO 4342 xxxx xxxx 0023,28/09 QAR 7.50 5</t>
  </si>
  <si>
    <t>ELECTRON,AUTH 585219,Careem Pay DUBAI,CARD NO 4342 xxxx xxxx 0023,27/09 QAR 7.50 0 0</t>
  </si>
  <si>
    <t>CARD BILL PAYMENT,280922706671,CARD NO 3643 xxxxxx 1825,Paid using bankDirect</t>
  </si>
  <si>
    <t>ELECTRON,AUTH 938664,Careem Pay DUBAI,CARD NO 4342 xxxx xxxx 0023,26/09 QAR 7.50 1</t>
  </si>
  <si>
    <t>SALARY TRANSFER,CDD 20928H009404,QCH19299xxxxxx00 QAR,QATAR AIRWAYS,2/SALA</t>
  </si>
  <si>
    <t>ELECTRON,AUTH 044931,Careem Pay DUBAI,CARD NO 4342 xxxx xxxx 0023,25/09 QAR 7.50 0</t>
  </si>
  <si>
    <t>CBQ PURCHASE,226916022302,4010 022302 66771239,NEW INDIAN SUP MARKET DOHA,43420xxxxxx20023 26/09 19.12</t>
  </si>
  <si>
    <t>ELECTRON,AUTH 531634,Careem Pay DUBAI,CARD NO 4342 xxxx xxxx 0023,22/09 QAR 7.50 0 0 0</t>
  </si>
  <si>
    <t>FAMILY FOOD CENTRE AL KHE DOHA QA AUTH NO. 040515</t>
  </si>
  <si>
    <t>NEW INDIAN SUP MARKET DOHA QA AUTH NO. 093327</t>
  </si>
  <si>
    <t>ASTER HOSPITAL DOHA 634 AUTH NO. 086181</t>
  </si>
  <si>
    <t>CAREEM PAY DUBAI AE AUTH NO. 057999</t>
  </si>
  <si>
    <t>THE COFFEE SHOP QR TOWER3 DOHA QA AUTH NO. 099885</t>
  </si>
  <si>
    <t>LULU HYPERMARKET DOHA 634 AUTH NO. 036162</t>
  </si>
  <si>
    <t>LULU HYPERMARKET DOHA 634 AUTH NO. 089055</t>
  </si>
  <si>
    <t>KALYAN JEWELLERS DOHA 634 AUTH NO. 094895</t>
  </si>
  <si>
    <t>BLUGIRL DOHA QA AUTH NO. 076108</t>
  </si>
  <si>
    <t>KATMER SPECIALITY CAFE DOHA QA AUTH NO. 005300</t>
  </si>
  <si>
    <t>SHRIJI RESTAURANT DOHA QA AUTH NO. 000948</t>
  </si>
  <si>
    <t>WOQOD - DIA UMGHUWALINA P DOHA QA AUTH NO. 083986</t>
  </si>
  <si>
    <t>KAHRAMAA BANKDIRECT IVR P DOHA QA AUTH NO. 038634</t>
  </si>
  <si>
    <t>ASTER HOSPITAL DOHA 634 AUTH NO. 025862</t>
  </si>
  <si>
    <t>NEW INDIAN SUP MARKET DOHA 634 AUTH NO. 076430</t>
  </si>
  <si>
    <t>QA HMS HOST DOHA QA AUTH NO. 070606</t>
  </si>
  <si>
    <t>CAREEM PAY DUBAI AE AUTH NO. 032190</t>
  </si>
  <si>
    <t>WISH BOX TECHNOLOGY SANDIRAMOHAN. QA AUTH NO. 031493</t>
  </si>
  <si>
    <t>QATAR INSURANCE COMPANY DOHA QA AUTH NO. 091271</t>
  </si>
  <si>
    <t>LULU HYPERMARKET DOHA 634 AUTH NO. 071185</t>
  </si>
  <si>
    <t>LULU HYPERMARKET DOHA 634 AUTH NO. 097409</t>
  </si>
  <si>
    <t>WISH BOX TECHNOLOGY SANDIRAMOHAN. QA AUTH NO. 055256</t>
  </si>
  <si>
    <t>THE COFFEE SHOP QR TOWER3 DOHA QA AUTH NO. 031992</t>
  </si>
  <si>
    <t>TANDOOR EXPRESS - LEKHDAI DOHA QA AUTH NO. 062023</t>
  </si>
  <si>
    <t>OOREDOO DOHA QA AUTH NO. 086893</t>
  </si>
  <si>
    <t>OOREDOO DOHA QA AUTH NO. 062066</t>
  </si>
  <si>
    <t>THE COFFEE SHOP QR TOWER3 DOHA QA AUTH NO. 054987</t>
  </si>
  <si>
    <t>MAX FASHION HC MALL OF QA DOHA QA AUTH NO. 037245</t>
  </si>
  <si>
    <t>WOQOD OLD RAYYAN GREEN CA DOHA QA AUTH NO. 064473</t>
  </si>
  <si>
    <t>BOMBAY CHOWPATTY FFC DOHA QA AUTH NO. 041842</t>
  </si>
  <si>
    <t>CENTREPOINT HC MALL OF QA DOHA QA AUTH NO. 096320</t>
  </si>
  <si>
    <t>FAMILY FOOD CENTRE DOHA 634 AUTH NO. 048845</t>
  </si>
  <si>
    <t>LULU HYPERMARKET DOHA QA AUTH NO. 018789</t>
  </si>
  <si>
    <t>FAMILY FOOD CENTRE AL KHE DOHA QA AUTH NO. 006607</t>
  </si>
  <si>
    <t>THE COFFEE SHOP QR TOWER3 DOHA QA AUTH NO. 058923</t>
  </si>
  <si>
    <t>CROWNE PLAZA DOHA THE BUS DOHA 634 AUTH NO. 037807</t>
  </si>
  <si>
    <t>QATAR E-GOVERNMENT DOHA QA AUTH NO. 016305</t>
  </si>
  <si>
    <t>QATAR E-GOVERNMENT DOHA QA AUTH NO. 048168</t>
  </si>
  <si>
    <t>CP GARAGE SALE DOHA 634 AUTH NO. 011306</t>
  </si>
  <si>
    <t>AL OSRA RESTAURANT DOHA 634 AUTH NO. 063036</t>
  </si>
  <si>
    <t>NEW INDIAN SUP MARKET DOHA 634 AUTH NO. 025020</t>
  </si>
  <si>
    <t>AL ANEES ELECTRONICS-E CO DOHA QA AUTH NO. 062749</t>
  </si>
  <si>
    <t>KAHRMAA DOHA QA AUTH NO. 074248</t>
  </si>
  <si>
    <t>QDF STAFF SHOP TOWER 2 DOHA QA AUTH NO. 013273</t>
  </si>
  <si>
    <t>FAMILY FOOD CENTRE AL KHE DOHA QA AUTH NO. 034108</t>
  </si>
  <si>
    <t>MALABAR GOLD INTERNATIONA DOHA QA AUTH NO. 020047</t>
  </si>
  <si>
    <t>NEW INDIAN SUP MARKET DOHA 634 AUTH NO. 049298</t>
  </si>
  <si>
    <t>LULU HYPERMARKET DOHA 634 AUTH NO. 030725</t>
  </si>
  <si>
    <t>CARREFOUR DOHA QA AUTH NO. 003541</t>
  </si>
  <si>
    <t>BURGER KING - CITY CENTER DOHA QA AUTH NO. 027879</t>
  </si>
  <si>
    <t>EVENTS AND ENTERTAINMENTS DOHA 634 AUTH NO. 004174</t>
  </si>
  <si>
    <t>KAILASH PARBAT RESTAURANT DOHA 634 AUTH NO. 044031</t>
  </si>
  <si>
    <t>KALYAN JEWELLERS DOHA 634 AUTH NO. 030578</t>
  </si>
  <si>
    <t>CAREEM PAY DUBAI AE AUTH NO. 057294</t>
  </si>
  <si>
    <t>THE COFFEE SHOP QR TOWER3 DOHA QA AUTH NO. 081718</t>
  </si>
  <si>
    <t>THE COFFEE SHOP QR TOWER3 DOHA QA AUTH NO. 088350</t>
  </si>
  <si>
    <t>BOMBAY CHOWPATTY FFC DOHA QA AUTH NO. 013952</t>
  </si>
  <si>
    <t>ANSAR GALLERY DOHA 634 AUTH NO. 040262</t>
  </si>
  <si>
    <t>KAILASH PARBAT RESTAURANT DOHA 634 AUTH NO. 017588</t>
  </si>
  <si>
    <t>KALYAN JEWELLERS DOHA 634 AUTH NO. 014991</t>
  </si>
  <si>
    <t>LULU HYPER MARKET - PHARM DOHA 634 AUTH NO. 042152</t>
  </si>
  <si>
    <t>LULU HYPERMARKET DOHA 634 AUTH NO. 080361</t>
  </si>
  <si>
    <t>OOREDOO TOP UP DOHA QAT AUTH NO. 099742</t>
  </si>
  <si>
    <t>OOREDOO BILL PAYMENT DOHA QAT AUTH NO. 083938</t>
  </si>
  <si>
    <t>OOREDOO BILL PAYMENT DOHA QAT AUTH NO. 073086</t>
  </si>
  <si>
    <t>CAREEM PAY DUBAI ARE AUTH NO. 061287</t>
  </si>
  <si>
    <t>OOREDOO TOP UP DOHA QAT AUTH NO. 025190</t>
  </si>
  <si>
    <t>QIC</t>
  </si>
  <si>
    <t>QDF</t>
  </si>
  <si>
    <t>ALANEES</t>
  </si>
  <si>
    <t>CENTER POINT</t>
  </si>
  <si>
    <t>MAXX</t>
  </si>
  <si>
    <t>CHEQUE PAID,000001000043,ARAB - MAIN OFFICE</t>
  </si>
  <si>
    <t>ATM CASH WITHDRAWAL,233710063277,4467  XXX277,COMM. BANK OF QATAR    DOHA,4342041934720023 03/12 13.21</t>
  </si>
  <si>
    <t>TRANSFER - DEBIT,011222L16201,Viraaj Saraswat,Daffodils Nursery Wll</t>
  </si>
  <si>
    <t>TRANSFER - CREDIT,011222W04853,Transfer From  4700XXXXX2115,VINEET KUMAR SARASWAT</t>
  </si>
  <si>
    <t>NAPS PURCHASE,000001003230,4018  0294XXXXXXX0101,ON THE SIDEWALK       DOHA,4642374661502661 01/12 15.14,63409000000</t>
  </si>
  <si>
    <t>DEBIT STANDING ORDER,RS193472,trf to  XXX472 115</t>
  </si>
  <si>
    <t>NAPS PURCHASE,233418865628,4018  0050XXXXXXX5001,FUNDAY                   DOHA,4642374661502661 30/11 21.15,63405000000</t>
  </si>
  <si>
    <t>NAPS PURCHASE,233416855674,4018  0069XXXXXXX5001,FUNDAY                   DOHA,4642374661502661 30/11 19.57,63405000000</t>
  </si>
  <si>
    <t>NAPS PURCHASE,000001176096,4018  0280XXXXXXX2405,WOQOD UMGHUWALINA PS DDOHA,4642374661502661 30/11 19.27,63409000000</t>
  </si>
  <si>
    <t>CBQ PURCHASE,233414000343,4010  0003XXXXXXX3564,FAMILY FOOD CENTRE       DOHA,4642374661502661 30/11 17.25</t>
  </si>
  <si>
    <t>NAPS PURCHASE,032334035024,4018  0172XXXXXX2434,QPay Payment          TECHNICAL EN,4342041934720023 30/11 10.14,63493000000</t>
  </si>
  <si>
    <t>CARD BILL PAYMENT,291122K07424,CARD NO 3643XXXXXX1825,Paid using bankDirect</t>
  </si>
  <si>
    <t>CBQ PURCHASE,233315042162,4010  0421XXXXXXX1236,NEW INDIAN SUP MARKET    DOHA,4642374661502661 29/11 18.49</t>
  </si>
  <si>
    <t>SALARY TRANSFER,CDD 21129H007520,QCH1121733487000 QAR,QATAR AIRWAYS,2/SALA</t>
  </si>
  <si>
    <t>CBQ PURCHASE,233217004745,4010  0047XXXXXXX1257,QATAR CINEMA &amp; FILM DISTRDOHA,4642374661502661 28/11 20.24</t>
  </si>
  <si>
    <t>ELECTRON,AUTH 579674,Careem Pay               DUBAI,CARD NO  4342XXXXXXXX0023,25/11 QAR 10.20  0  00</t>
  </si>
  <si>
    <t>NAPS PURCHASE,000001001346,4018  0263XXXXXXX0137,LULU HYPER MARKET     DOHA,4642374661502661 27/11 20.43,63409000000</t>
  </si>
  <si>
    <t>NAPS PURCHASE,000001934044,4018  0216XXXXXXX0120,LULU HYPER MARKET     DOHA,4642374661502661 27/11 20.29,63409000000</t>
  </si>
  <si>
    <t>NAPS PURCHASE,000001082009,4018  0262XXXXXXX1202,THE COFFEE SHOP QR TOWDOHA,4642374661502661 27/11 15.05,63409000000</t>
  </si>
  <si>
    <t>CBQ PURCHASE,233117081474,4010  0814XXXXXXX0023,LULU HYPER MARKET - PHARMDOHA,4642374661502661 27/11 20.39</t>
  </si>
  <si>
    <t>ELECTRON,AUTH 324042,Careem Pay               DUBAI,CARD NO  4342XXXXXXXX0023,24/11 QAR 6.40   0</t>
  </si>
  <si>
    <t>ELECTRON,AUTH 537925,Careem Pay               DUBAI,CARD NO  4342XXXXXXXX0023,23/11 QAR 7.50   0</t>
  </si>
  <si>
    <t>NAPS PURCHASE,233018519457,4018  0306XXXXXXX1002,SHRIJI RESTAURANT        DOHA,4642374661502661 26/11 21.31,63405000000</t>
  </si>
  <si>
    <t>NAPS PURCHASE,233018519050,4018  0288XXXXXXX1001,SHRIJI RESTAURANT        DOHA,4642374661502661 26/11 21.25,63405000000</t>
  </si>
  <si>
    <t>NAPS PURCHASE,232917423657,4018  0279XXXXXXX5036,LULU HYPERMARKET         DOHA,4642374661502661 25/11 20.11,63405000000</t>
  </si>
  <si>
    <t>ELECTRON,AUTH 370635,Careem Pay               DUBAI,CARD NO  4342XXXXXXXX0023,22/11 QAR 7.50  00</t>
  </si>
  <si>
    <t>NAPS PURCHASE,000001004055,4018  0273XXXXXXX3825,QSS AHMAD BIN ALI STADDOHA,4342041934720023 23/11 21.57,63409000000</t>
  </si>
  <si>
    <t>ELECTRON,AUTH 170385,Careem Pay               DUBAI,CARD NO  4342XXXXXXXX0023,21/11 QAR 7.50   0 6</t>
  </si>
  <si>
    <t>ELECTRON,AUTH 199839,Careem Pay               DUBAI,CARD NO  4342XXXXXXXX0023,20/11 QAR 7.50   0</t>
  </si>
  <si>
    <t>NAPS ATM,232515148403,4018  0116XXXXXXX0308,DUKHAN QATAR          DOHA,4342041934720023 21/11 15.20,63420000000</t>
  </si>
  <si>
    <t>ELECTRON,AUTH 419612,Careem Pay               DUBAI,CARD NO  4342XXXXXXXX0023,17/11 QAR 7.50   5</t>
  </si>
  <si>
    <t>ELECTRON,AUTH 717360,Careem Pay               DUBAI,CARD NO  4342XXXXXXXX0023,16/11 QAR 7.50   2</t>
  </si>
  <si>
    <t>ELECTRON,AUTH 608724,Careem Pay               DUBAI,CARD NO  4342XXXXXXXX0023,15/11 QAR 7.50   1</t>
  </si>
  <si>
    <t>ELECTRON,AUTH 499489,Careem Pay               DUBAI,CARD NO  4342XXXXXXXX0023,14/11 QAR 7.50   5</t>
  </si>
  <si>
    <t>ELECTRON,AUTH 988625,Careem Pay               DUBAI,CARD NO  4342XXXXXXXX0023,13/11 QAR 7.50   7</t>
  </si>
  <si>
    <t>ELECTRON,AUTH 374841,Careem Pay               DUBAI,CARD NO  4342XXXXXXXX0023,10/11 QAR 7.50   7</t>
  </si>
  <si>
    <t>ELECTRON,AUTH 912517,Careem Pay               DUBAI,CARD NO  4342XXXXXXXX0023,09/11 QAR 7.50   0</t>
  </si>
  <si>
    <t>NASEEM AL RABEEH MEDICAL DOHA QA AUTH NO. 092897</t>
  </si>
  <si>
    <t>NASEEM AL RABEEH MEDICAL DOHA QA AUTH NO. 017238</t>
  </si>
  <si>
    <t>NASEEM AL RABEEH MEDICAL DOHA QA AUTH NO. 032171</t>
  </si>
  <si>
    <t>WISH BOX TECHNOLOGY DOHA QA AUTH NO. 078008</t>
  </si>
  <si>
    <t>NASEEM AL RABEEH MEDICAL DOHA QA AUTH NO. 069244</t>
  </si>
  <si>
    <t>BIKANERVALA RESTAURANT DOHA QA AUTH NO. 004624</t>
  </si>
  <si>
    <t>NEW INDIAN SUP MARKET DOHA QA AUTH NO. 067398</t>
  </si>
  <si>
    <t>QSS LUSAIL STADIUM DOHA QA AUTH NO. 043308</t>
  </si>
  <si>
    <t>BIKANERVALA RESTAURANT DOHA QA AUTH NO. 074306</t>
  </si>
  <si>
    <t>LULU HYPER MARKET DOHA QA AUTH NO. 094496</t>
  </si>
  <si>
    <t>LULU HYPER MARKET DOHA QA AUTH NO. 031505</t>
  </si>
  <si>
    <t>BIKANERVALA RESTAURANT DOHA QA AUTH NO. 004821</t>
  </si>
  <si>
    <t>BROOKS CAFE DOHA QA AUTH NO. 030105</t>
  </si>
  <si>
    <t>KAILASH PARBAT RESTAURANT DOHA QA AUTH NO. 059564</t>
  </si>
  <si>
    <t>KAHRAMAA BANKDIRECT IVR P DOHA QA AUTH NO. 072456</t>
  </si>
  <si>
    <t>MICROSOFT*XBOX SINGAPORE SG AUTH NO. 050631</t>
  </si>
  <si>
    <t>CAREEM PAY DUBAI AE AUTH NO. 038651</t>
  </si>
  <si>
    <t>FAMILY FOOD CENTRE AL KHE DOHA QA AUTH NO. 037087</t>
  </si>
  <si>
    <t>QSS AHMAD BIN ALI STADIUM DOHA QA AUTH NO. 036318</t>
  </si>
  <si>
    <t>FAMILY FOOD CENTRE DOHA QA AUTH NO. 043180</t>
  </si>
  <si>
    <t>LULU HYPERMARKET DOHA QA AUTH NO. 069528</t>
  </si>
  <si>
    <t>ON THE SIDEWALK DOHA QA AUTH NO. 030256</t>
  </si>
  <si>
    <t>THE COFFEE SHOP QR TOWER3 DOHA QA AUTH NO. 078594</t>
  </si>
  <si>
    <t>EXIT FIFTY FIVE EVENTSDOH DOHA QA AUTH NO. 061432</t>
  </si>
  <si>
    <t>EXIT FIFTY FIVE EVENTSDOH DOHA QA AUTH NO. 088348</t>
  </si>
  <si>
    <t>ANSAR GALLERY DOHA 634 AUTH NO. 055278</t>
  </si>
  <si>
    <t>ANSAR GALLERY DOHA 634 AUTH NO. 025312</t>
  </si>
  <si>
    <t>MICROSOFT*XBOX SINGAPORE SG AUTH NO. 079788</t>
  </si>
  <si>
    <t>MICROSOFT*XBOX SINGAPORE SG AUTH NO. 055026</t>
  </si>
  <si>
    <t>MICROSOFT*XBOX SINGAPORE SG AUTH NO. 074389</t>
  </si>
  <si>
    <t>MICROSOFT*XBOX SINGAPORE SG AUTH NO. 065337</t>
  </si>
  <si>
    <t>SEALINE DOHA QA AUTH NO. 086059</t>
  </si>
  <si>
    <t>WISH BOX  TECHNOLOGY SANDIRAMOHAN. QA AUTH NO. 050439</t>
  </si>
  <si>
    <t>LULU HYPER MARKET - PHARM DOHA QA AUTH NO. 078592</t>
  </si>
  <si>
    <t>LULU HYPERMARKET DOHA QA AUTH NO. 091839</t>
  </si>
  <si>
    <t>WOQOD UMGHUWALINA PS DIA DOHA QA AUTH NO. 012841</t>
  </si>
  <si>
    <t>CAREEM PAY DUBAI AE AUTH NO. 095458</t>
  </si>
  <si>
    <t>FAMILY FOOD CENTRE AL KHE DOHA QA AUTH NO. 039924</t>
  </si>
  <si>
    <t>TECNO BLUE SERVICE CENTER DOHA QA AUTH NO. 062525</t>
  </si>
  <si>
    <t>CAREEM PAY DUBAI AE AUTH NO. 004615</t>
  </si>
  <si>
    <t>FAMILY FOOD CENTRE AL KHE DOHA QA AUTH NO. 087843</t>
  </si>
  <si>
    <t>FAMILY FOOD CENTRE AL KHE DOHA QA AUTH NO. 067961</t>
  </si>
  <si>
    <t>THE COFFEE SHOP QR TOWER3 DOHA QA AUTH NO. 044114</t>
  </si>
  <si>
    <t>FAMILY FOOD CENTRE AL KHE DOHA QA AUTH NO. 068389</t>
  </si>
  <si>
    <t>KALYAN JEWELLERS DOHA QA AUTH NO. 006001</t>
  </si>
  <si>
    <t>LULU HYPERMARKET DOHA QA AUTH NO. 022624</t>
  </si>
  <si>
    <t>BOMBAY CHOWPATTY FFC DOHA QA AUTH NO. 096072</t>
  </si>
  <si>
    <t>CULTURAL VILLAGE FOUNDATI DOHA QA AUTH NO. 008168</t>
  </si>
  <si>
    <t>KAILASH PARBAT RESTAURANT DOHA 634 AUTH NO. 024260</t>
  </si>
  <si>
    <t>MICROSOFT</t>
  </si>
  <si>
    <t>CINEMA</t>
  </si>
  <si>
    <t>TECHNOBLUE</t>
  </si>
  <si>
    <t>FUNDAY</t>
  </si>
  <si>
    <t>KOTAK FLEXICAP FUND GR (REG PLAN)</t>
  </si>
  <si>
    <t>Kotak Flexicap Fund</t>
  </si>
  <si>
    <t>NAPS ATM,302014088235,4018  XXX527 1AB025NW,QATAR ISLAMIC BANK       DOHA,4342041934720023 20/01 17.21,63408000000</t>
  </si>
  <si>
    <t>CORRESPONDENT BANK CHARGES,180123T00177</t>
  </si>
  <si>
    <t>FUNDS TRANSFER,180123T00177,Vineet Kumar Saraswat</t>
  </si>
  <si>
    <t>CHEQUE PAID,000001000044,ARAB - MAIN OFFICE</t>
  </si>
  <si>
    <t>CORRESPONDENT BANK CHARGES,060123T02417</t>
  </si>
  <si>
    <t>TRANSFER CHARGE,060123T02417,Funds Transfer Charges</t>
  </si>
  <si>
    <t>FUNDS TRANSFER,060123T02417,Vineet Kumar Saraswat</t>
  </si>
  <si>
    <t>TRANSFER - DEBIT,020123W29882,Transfer To  4700XXXXX2115,VINEET KUMAR SARASWAT</t>
  </si>
  <si>
    <t>TRANSFER - DEBIT,020123L90053,Viraaj Saraswat Tuition Fee,Daffodils Nursery Wll</t>
  </si>
  <si>
    <t>CARD BILL PAYMENT,010123K38580,CARD NO 5416XXXXXXXX9104,Paid using bankDirect</t>
  </si>
  <si>
    <t>NAPS PURCHASE,032365039436,4018  0217XXXXXX2434,QPay Payment          TECHNICAL EN,4342041934720023 31/12 20.15,63493000000</t>
  </si>
  <si>
    <t>CARD BILL PAYMENT,301222K15682,CARD NO  3643XXXXXX1825,Paid using bankDirect</t>
  </si>
  <si>
    <t>CBQ PURCHASE,236415046805,4010  0468XXXXXXX1236,NEW INDIAN SUP MARKET    DOHA,4342041934720023 30/12 18.19</t>
  </si>
  <si>
    <t>CBQ PURCHASE,236415046804,4010  0468XXXXXXX1236,NEW INDIAN SUP MARKET    DOHA,4342041934720023 30/12 18.16</t>
  </si>
  <si>
    <t>CBQ PURCHASE,236415046803,4010  0468XXXXXXX1236,NEW INDIAN SUP MARKET    DOHA,4342041934720023 30/12 18.14</t>
  </si>
  <si>
    <t>CBQ PURCHASE,236413007163,4010  0071XXXXXXX0277,STARBUCKS DFC 3          DOHA,4342041934720023 30/12 16.47</t>
  </si>
  <si>
    <t>CBQ PURCHASE,236413006994,4010  0069XXXXXXX1059,IKEA                     DOHA,4342041934720023 30/12 16.39</t>
  </si>
  <si>
    <t>CARD BILL PAYMENT,281222K03839,CARD NO 3643XXXXXX1825,Paid using bankDirect</t>
  </si>
  <si>
    <t>SALARY TRANSFER,CDD 21228H009721,QCH4613407770000 QAR,QATAR AIRWAYS,2/SALA</t>
  </si>
  <si>
    <t>NAPS ATM,235118539660,4018  0261XXXXXXX0021,ahlibank DOHA         QATAR,4342041934720023 17/12 18.56,63401000000</t>
  </si>
  <si>
    <t>NAPS ATM,234716925485,4018  0235XXXXXXX0021,ahlibank DOHA         QATAR,4342041934720023 13/12 16.54,63401000000</t>
  </si>
  <si>
    <t>OOREDOO TOP UP DOHA QAT AUTH NO. 010651</t>
  </si>
  <si>
    <t>OOREDOO TOP UP DOHA QAT AUTH NO. 050235</t>
  </si>
  <si>
    <t>CAREEM PAY DUBAI ARE AUTH NO. 027857</t>
  </si>
  <si>
    <t>CAREEM PAY DUBAI ARE AUTH NO. 073988</t>
  </si>
  <si>
    <t>CAREEM PAY DUBAI ARE AUTH NO. 099544</t>
  </si>
  <si>
    <t>CAREEM PAY DUBAI ARE AUTH NO. 091416</t>
  </si>
  <si>
    <t>CAREEM PAY DUBAI ARE AUTH NO. 085185</t>
  </si>
  <si>
    <t>CAREEM PAY DUBAI ARE AUTH NO. 068040</t>
  </si>
  <si>
    <t>CAREEM PAY DUBAI ARE AUTH NO. 054472</t>
  </si>
  <si>
    <t>CAREEM PAY DUBAI ARE AUTH NO. 036347</t>
  </si>
  <si>
    <t>TALABAT-MIGS DOHA QAT AUTH NO. 077900</t>
  </si>
  <si>
    <t>CAREEM PAY DUBAI ARE AUTH NO. 014251</t>
  </si>
  <si>
    <t>CAREEM PAY DUBAI ARE AUTH NO. 080067</t>
  </si>
  <si>
    <t>CAREEM PAY DUBAI ARE AUTH NO. 052203</t>
  </si>
  <si>
    <t>OOREDOO TOP UP DOHA QAT AUTH NO. 066690</t>
  </si>
  <si>
    <t>TALABAT-MIGS DOHA QAT AUTH NO. 073250</t>
  </si>
  <si>
    <t>CAREEM PAY DUBAI ARE AUTH NO. 089505</t>
  </si>
  <si>
    <t>CAREEM PAY DUBAI ARE AUTH NO. 007424</t>
  </si>
  <si>
    <t>CAREEM PAY DUBAI ARE AUTH NO. 070582</t>
  </si>
  <si>
    <t>CAREEM PAY DUBAI ARE AUTH NO. 092566</t>
  </si>
  <si>
    <t>CAREEM PAY DUBAI ARE AUTH NO. 022224</t>
  </si>
  <si>
    <t>OOREDOO BILL PAYMENT DOHA QAT AUTH NO. 008737</t>
  </si>
  <si>
    <t>CAREEM PAY DUBAI ARE AUTH NO. 064678</t>
  </si>
  <si>
    <t>OOREDOO BILL PAYMENT DOHA QAT AUTH NO. 091386</t>
  </si>
  <si>
    <t>CAREEM PAY DUBAI ARE AUTH NO. 087945</t>
  </si>
  <si>
    <t>CAREEM PAY DUBAI ARE AUTH NO. 025097</t>
  </si>
  <si>
    <t>CAREEM PAY DUBAI ARE AUTH NO. 053668</t>
  </si>
  <si>
    <t>CAREEM PAY DUBAI ARE AUTH NO. 053009</t>
  </si>
  <si>
    <t>CAREEM PAY DUBAI ARE AUTH NO. 012931</t>
  </si>
  <si>
    <t>CAREEM PAY DUBAI ARE AUTH NO. 092836</t>
  </si>
  <si>
    <t>CAREEM PAY DUBAI ARE AUTH NO. 011553</t>
  </si>
  <si>
    <t>CAREEM PAY DUBAI ARE AUTH NO. 054080</t>
  </si>
  <si>
    <t>CAREEM PAY DUBAI ARE AUTH NO. 063634</t>
  </si>
  <si>
    <t>OOREDOO TOP UP DOHA QAT AUTH NO. 034898</t>
  </si>
  <si>
    <t>CAREEM PAY DUBAI ARE AUTH NO. 036061</t>
  </si>
  <si>
    <t>CAREEM PAY DUBAI ARE AUTH NO. 085073</t>
  </si>
  <si>
    <t>CAREEM PAY DUBAI ARE AUTH NO. 094726</t>
  </si>
  <si>
    <t>CAREEM PAY DUBAI ARE AUTH NO. 052303</t>
  </si>
  <si>
    <t>OOREDOO TOP UP DOHA QAT AUTH NO. 014559</t>
  </si>
  <si>
    <t>CAREEM PAY DUBAI ARE AUTH NO. 096314</t>
  </si>
  <si>
    <t>CAREEM PAY DUBAI ARE AUTH NO. 000524</t>
  </si>
  <si>
    <t>CAREEM PAY DUBAI ARE AUTH NO. 015773</t>
  </si>
  <si>
    <t>CAREEM PAY DUBAI ARE AUTH NO. 091018</t>
  </si>
  <si>
    <t>RED TAG DOHA 634 AUTH NO. 074202</t>
  </si>
  <si>
    <t>CAREEM PAY DUBAI ARE AUTH NO. 004159</t>
  </si>
  <si>
    <t>OOREDOO BILL PAYMENT DOHA QAT AUTH NO. 053384</t>
  </si>
  <si>
    <t>OOREDOO TOP UP DOHA QAT AUTH NO. 082128</t>
  </si>
  <si>
    <t>NASEEM AL RABEEH MEDICAL DOHA QA AUTH NO. 092567</t>
  </si>
  <si>
    <t>WISH BOX TECHNOLOGY DOHA QA AUTH NO. 098032</t>
  </si>
  <si>
    <t>MR VALET PARKING DOHA QA AUTH NO. 082930</t>
  </si>
  <si>
    <t>NASEEM AL RABEEH MEDICAL DOHA QA AUTH NO. 035131</t>
  </si>
  <si>
    <t>NASEEM AL RABEEH MEDICAL DOHA QA AUTH NO. 072874</t>
  </si>
  <si>
    <t>BBW- QATAR ECOMMERCE DOHA QA AUTH NO. 075820</t>
  </si>
  <si>
    <t>PRIMARY HEALTH CARE -OMAR DOHA QA AUTH NO. 093244</t>
  </si>
  <si>
    <t>WOQOD UMGHUWALINA PS DIA DOHA QA AUTH NO. 029932</t>
  </si>
  <si>
    <t>BBW- QATAR ECOMMERCE-MIGS DOHA QA AUTH NO. 013979</t>
  </si>
  <si>
    <t>PRIMARY HEALTH CARE -OMAR DOHA QA AUTH NO. 087268</t>
  </si>
  <si>
    <t>WISH BOX  TECHNOLOGY SANDIRAMOHAN. QA AUTH NO. 030731</t>
  </si>
  <si>
    <t>NASEEM AL RABEEH MEDICAL DOHA QA AUTH NO. 062964</t>
  </si>
  <si>
    <t>FAMILY FOOD CENTRE DOHA QA AUTH NO. 082948</t>
  </si>
  <si>
    <t>BOMBAY CHOWPATTY FFC DOHA QA AUTH NO. 096862</t>
  </si>
  <si>
    <t>NASEEM AL RABEEH MEDICAL DOHA QA AUTH NO. 051264</t>
  </si>
  <si>
    <t>NASEEM AL RABEEH MEDICAL DOHA 634 AUTH NO. 060607</t>
  </si>
  <si>
    <t>NASEEM AL RABEEH MEDICAL DOHA 634 AUTH NO. 004289</t>
  </si>
  <si>
    <t>WISH BOX  TECHNOLOGY SANDIRAMOHAN. QA AUTH NO. 081901</t>
  </si>
  <si>
    <t>AL RAYES LAUNDRY      DOH DOHA QA AUTH NO. 071646</t>
  </si>
  <si>
    <t>NASEEM AL RABEEH MEDICAL DOHA QA AUTH NO. 083226</t>
  </si>
  <si>
    <t>CAREEM PAY DUBAI AE AUTH NO. 022197</t>
  </si>
  <si>
    <t>NASEEM AL RABEEH MEDICAL DOHA 634 AUTH NO. 041615</t>
  </si>
  <si>
    <t>WISH BOX  TECHNOLOGY SANDIRAMOHAN. QA AUTH NO. 041016</t>
  </si>
  <si>
    <t>NEW INDIAN SUP MARKET DOHA 634 AUTH NO. 083132</t>
  </si>
  <si>
    <t>BROOKS CAFE DOHA QA AUTH NO. 072212</t>
  </si>
  <si>
    <t>KAILASH PARBAT RESTAURANT DOHA QA AUTH NO. 060618</t>
  </si>
  <si>
    <t>WISH BOX  TECHNOLOGY SANDIRAMOHAN. QA AUTH NO. 077284</t>
  </si>
  <si>
    <t>CAREEM PAY DUBAI AE AUTH NO. 021767</t>
  </si>
  <si>
    <t>OOREDOO DOHA QA AUTH NO. 018762</t>
  </si>
  <si>
    <t>OOREDOO DOHA QA AUTH NO. 074400</t>
  </si>
  <si>
    <t>WISH BOX  TECHNOLOGY SANDIRAMOHAN. QA AUTH NO. 057547</t>
  </si>
  <si>
    <t>QDF CONCOURSE B DOHA QA AUTH NO. 057606</t>
  </si>
  <si>
    <t>CAREEM PAY DUBAI AE AUTH NO. 050412</t>
  </si>
  <si>
    <t>QDF STAFF SHOP TOWER 2 DOHA QA AUTH NO. 090935</t>
  </si>
  <si>
    <t>PRIMARY HEALTH CARE -WEST DOHA QA AUTH NO. 003292</t>
  </si>
  <si>
    <t>CAREEM PAY DUBAI AE AUTH NO. 034090</t>
  </si>
  <si>
    <t>MR VALET PARKING DOHA QA AUTH NO. 006922</t>
  </si>
  <si>
    <t>LULU HYPER MARKET DOHA QA AUTH NO. 075054</t>
  </si>
  <si>
    <t>LULU HYPER MARKET DOHA QA AUTH NO. 087718</t>
  </si>
  <si>
    <t>PROJECT MGMT INSTITUTE 610-3564600 US AUTH NO. 099263</t>
  </si>
  <si>
    <t>BIKANERVALA RESTAURANT DOHA QA AUTH NO. 034300</t>
  </si>
  <si>
    <t>RED TAG DOHA QA AUTH NO. 035955</t>
  </si>
  <si>
    <t>WISH BOX  TECHNOLOGY SANDIRAMOHAN. QA AUTH NO. 080812</t>
  </si>
  <si>
    <t>LULU HYPERMARKET DOHA QA AUTH NO. 010797</t>
  </si>
  <si>
    <t>LULU HYPER MARKET - PHARM DOHA QA AUTH NO. 034716</t>
  </si>
  <si>
    <t>LULU HYPERMARKET DOHA QA AUTH NO. 016468</t>
  </si>
  <si>
    <t>NEW INDIAN SUP MARKET DOHA QA AUTH NO. 050904</t>
  </si>
  <si>
    <t>BHARATH RESTAURANT-OLD AI DOHA QA AUTH NO. 045779</t>
  </si>
  <si>
    <t>AL RAYES LAUNDRY      DOH DOHA QA AUTH NO. 082465</t>
  </si>
  <si>
    <t>NASEEM AL RABEEH MEDICAL DOHA QA AUTH NO. 006651</t>
  </si>
  <si>
    <t>CAREEM PAY DUBAI AE AUTH NO. 009030</t>
  </si>
  <si>
    <t>NASEEM AL RABEEH MEDICAL DOHA 634 AUTH NO. 038397</t>
  </si>
  <si>
    <t>AL BANDAR GROUP (AL SHARQ DOHA 634 AUTH NO. 088462</t>
  </si>
  <si>
    <t>NEW INDIAN SUP MARKET DOHA QA AUTH NO. 016547</t>
  </si>
  <si>
    <t>LULU HYPERMARKET DOHA QA AUTH NO. 047523</t>
  </si>
  <si>
    <t>PAPPA ROTI - VILLAGGIO MA DOHA QA AUTH NO. 061546</t>
  </si>
  <si>
    <t>WISH BOX  TECHNOLOGY SANDIRAMOHAN. QA AUTH NO. 070901</t>
  </si>
  <si>
    <t>FUN FAIR CO. DOHA QA AUTH NO. 048089</t>
  </si>
  <si>
    <t>THE COFFEE SHOP QR TOWER3 DOHA QA AUTH NO. 090880</t>
  </si>
  <si>
    <t>THE COFFEE SHOP QR TOWER3 DOHA QA AUTH NO. 029898</t>
  </si>
  <si>
    <t>LULU HYPERMARKET DOHA QA AUTH NO. 016812</t>
  </si>
  <si>
    <t>LULU HYPER MARKET - PHARM DOHA QA AUTH NO. 013209</t>
  </si>
  <si>
    <t>THE COFFEE BEAN HMC TRAUM DOHA QA AUTH NO. 042873</t>
  </si>
  <si>
    <t>KAHRAMAA BANKDIRECT IVR P DOHA QA AUTH NO. 063300</t>
  </si>
  <si>
    <t>WOQOD UMGHUWALINA PS DIA DOHA QA AUTH NO. 000354</t>
  </si>
  <si>
    <t>THE COFFEE SHOP QR TOWER3 DOHA QA AUTH NO. 074009</t>
  </si>
  <si>
    <t>PRIMARY HEALTH CARE -AIRP DOHA QA AUTH NO. 011728</t>
  </si>
  <si>
    <t>THE COFFEE SHOP QR TOWER3 DOHA QA AUTH NO. 048435</t>
  </si>
  <si>
    <t>THE COFFEE SHOP QR TOWER3 DOHA QA AUTH NO. 046764</t>
  </si>
  <si>
    <t>NEW INDIAN SUP MARKET DOHA QA AUTH NO. 008345</t>
  </si>
  <si>
    <t>THE COFFEE SHOP QR TOWER3 DOHA QA AUTH NO. 040444</t>
  </si>
  <si>
    <t>SHRIJI RESTAURANT DOHA QA AUTH NO. 046350</t>
  </si>
  <si>
    <t>NMOQ DOHA QA AUTH NO. 014357</t>
  </si>
  <si>
    <t>ASTER HOSPITAL DOHA 634 AUTH NO. 092065</t>
  </si>
  <si>
    <t>PRIMARY HEALTH CARE CORPO DOHA QA AUTH NO. 018380</t>
  </si>
  <si>
    <t>QDF STAFF SHOP TOWER 2 DOHA QA AUTH NO. 042054</t>
  </si>
  <si>
    <t>THE COFFEE SHOP QR TOWER3 DOHA QA AUTH NO. 042078</t>
  </si>
  <si>
    <t>THE COFFEE SHOP QR TOWER3 DOHA QA AUTH NO. 003201</t>
  </si>
  <si>
    <t>THE COFFEE SHOP QR TOWER3 DOHA QA AUTH NO. 087344</t>
  </si>
  <si>
    <t>NEW INDIAN SUP MARKET DOHA QA AUTH NO. 003837</t>
  </si>
  <si>
    <t>BIKANERVALA RESTAURANT DOHA QA AUTH NO. 095779</t>
  </si>
  <si>
    <t>BIKANERVALA RESTAURANT DOHA QA AUTH NO. 091304</t>
  </si>
  <si>
    <t>TEA WORLD HILAL DOHA QA AUTH NO. 063327</t>
  </si>
  <si>
    <t>TALABAT-MIGS DOHA QA AUTH NO. 072578</t>
  </si>
  <si>
    <t>TALABAT-MIGS DOHA QA AUTH NO. 019235</t>
  </si>
  <si>
    <t>PRIMARY HEALTH CARE CORPO DOHA QA AUTH NO. 059771</t>
  </si>
  <si>
    <t>MUNICIPALITY ECOMMERCE DOHA QA AUTH NO. 065113</t>
  </si>
  <si>
    <t>BOMBAY CHOWPATTY FFC DOHA QA AUTH NO. 007972</t>
  </si>
  <si>
    <t>FAMILY FOOD CENTRE DOHA 634 AUTH NO. 012054</t>
  </si>
  <si>
    <t>LULU HYPERMARKET DOHA QA AUTH NO. 005215</t>
  </si>
  <si>
    <t>APPAREL QATAR WLL DOHA QA AUTH NO. 072122</t>
  </si>
  <si>
    <t>WOQOD UMGHUWALINA PS DIA DOHA QA AUTH NO. 038595</t>
  </si>
  <si>
    <t>BURGER KING - CITY CENTER DOHA QA AUTH NO. 005438</t>
  </si>
  <si>
    <t>R AND B KIDS CITY CENTER DOHA QA AUTH NO. 000090</t>
  </si>
  <si>
    <t>KAILASH PARBAT RESTAURANT DOHA QA AUTH NO. 012696</t>
  </si>
  <si>
    <t>THE COFFEE SHOP QR TOWER3 DOHA QA AUTH NO. 010902</t>
  </si>
  <si>
    <t>THE BATH &amp; BODY</t>
  </si>
  <si>
    <t>ZOO</t>
  </si>
  <si>
    <t>NATIONAL MUS</t>
  </si>
  <si>
    <t>VILLAGIO</t>
  </si>
  <si>
    <t>LAUNDRY</t>
  </si>
  <si>
    <t>AL RAYES</t>
  </si>
  <si>
    <t>DUMMY</t>
  </si>
  <si>
    <t>Parag Parikh Flexi Cap Fund - Direct Plan - Growth</t>
  </si>
  <si>
    <t>HDFC Balanced Advantage Fund - Direct Plan - Growth</t>
  </si>
  <si>
    <t>INF179K01WA6</t>
  </si>
  <si>
    <t>Direct</t>
  </si>
  <si>
    <t>INF879O01027</t>
  </si>
  <si>
    <t>HDFC BALANCED DIRECT FUND</t>
  </si>
  <si>
    <t>PARAG PARIKH FLEXI DIRECT FUND</t>
  </si>
  <si>
    <t>PARAG</t>
  </si>
  <si>
    <t>LOAN REPAYMENT - INTEREST,PLVAPT0000187773</t>
  </si>
  <si>
    <t>TRANSFER - CREDIT,310123W04411,Transfer From  4700XXXXX2115,VINEET KUMAR SARASWAT</t>
  </si>
  <si>
    <t>TRANSFER - CREDIT,310123L13299,Transfer From  4010XXXXX5001,AKSHIT WALIA</t>
  </si>
  <si>
    <t>NAPS PURCHASE,000001129031,4018  0248XXXXXXX0301,TEA WORLD HILAL       DOHA,4342041934720023 31/01 12.05,63409000000</t>
  </si>
  <si>
    <t>CBQ PURCHASE,303115003122,4010  0031XXXXXXX4804,NEW INDIAN SUP MARKET    DOHA,4342041934720023 31/01 18.07</t>
  </si>
  <si>
    <t>CARD BILL PAYMENT,310123K02115,CARD NO  3643XXXXXX1825,Paid using bankDirect</t>
  </si>
  <si>
    <t>ATM CASH WITHDRAWAL,303114091265,4928  XXX265,COMM. BANK OF QATAR    DOHA,4342041934720023 31/01 17.41</t>
  </si>
  <si>
    <t>CARD BILL PAYMENT,300123K03063,CARD NO  3643XXXXXX1825,Paid using bankDirect</t>
  </si>
  <si>
    <t>SALARY TRANSFER,CDD 30130H006950,QCH1454631984000 QAR,QATAR AIRWAYS,2/SALA</t>
  </si>
  <si>
    <t>NAPS PURCHASE,000001358042,4018  0279XXXXXXX7901,HMC PES 6047          DOHA,4342041934720023 28/01 22.33,63409000000</t>
  </si>
  <si>
    <t>loan from akshit from saving</t>
  </si>
  <si>
    <t>ASTRAL</t>
  </si>
  <si>
    <t>ASTRAL.NS</t>
  </si>
  <si>
    <t>HINDUNILVR</t>
  </si>
  <si>
    <t>INFY</t>
  </si>
  <si>
    <t>LAOPALA</t>
  </si>
  <si>
    <t>PERSISTENT</t>
  </si>
  <si>
    <t>PIDILITIND</t>
  </si>
  <si>
    <t>REDINGTON</t>
  </si>
  <si>
    <t>Plastics - Tubes/Pipes</t>
  </si>
  <si>
    <t>Balancing the diff fake entry</t>
  </si>
  <si>
    <t>NAPS PURCHASE,033035036291,4018  0289XXXXXX2434,QPay Payment          TECHNICAL EN,4342041934720023 04/02 11.36,63493000000</t>
  </si>
  <si>
    <t>TRANSFER - CREDIT,040223W01790,Transfer From  4610XXXXX2115,VINEET KUMAR SARASWAT</t>
  </si>
  <si>
    <t>TRANSFER - CREDIT,040223W01716,Transfer From  4700XXXXX2115,VINEET KUMAR SARASWAT</t>
  </si>
  <si>
    <t>TRANSFER - DEBIT,030223L02041,Transfer To  4580XXXXX6001,Daffodils Nursery Wll</t>
  </si>
  <si>
    <t>TELEGRAPHIC TRANSFER REC,CDD 30207H009565,QCH1505443507000 QAR,ARSAIL ISMAIL MALIK MUHAMMAD AJMAL,19/PFLB,FAMILY AND LIVING EXPENSES ARSAL P</t>
  </si>
  <si>
    <t>CHEQUE PAID,000001000045,ARAB - MAIN OFFICE</t>
  </si>
  <si>
    <t>NAPS ATM,305112927272,4018  0096XXXXXXX0346,DUKHAN QATAR          DOHA,4342041934720023 20/02 12.39,63420000000</t>
  </si>
  <si>
    <t>CARD BILL PAYMENT,270223K05273,CARD NO 3643XXXXXX1825,Paid using bankDirect</t>
  </si>
  <si>
    <t>SALARY TRANSFER,CDD 30227H008359,QCH1588310990000 QAR,QATAR AIRWAYS,2/SALA</t>
  </si>
  <si>
    <t>NAPS PURCHASE,000001020025,4018  0048XXXXXXX9301,BOMBAY CHOWPATTY FFC  DOHA,4642374661502661 28/02 17.19,63409000000</t>
  </si>
  <si>
    <t>TRANSFER - DEBIT,020323L09122,Viraaj Saraswat,Daffodils Nursery Wll</t>
  </si>
  <si>
    <t>NAPS PURCHASE,000001224136,4018  0238XXXXXXX1202,THE COFFEE SHOP QR TOWDOHA,4642374661502661 05/03 09.06,63409000000</t>
  </si>
  <si>
    <t>NAPS PURCHASE,000001224132,4018  0234XXXXXXX1202,THE COFFEE SHOP QR TOWDOHA,4642374661502661 05/03 09.04,63409000000</t>
  </si>
  <si>
    <t>TRANSFER - DEBIT,040323W02946,Transfer To  4700XXXXX2115,VINEET KUMAR SARASWAT</t>
  </si>
  <si>
    <t>TELEGRAPHIC TRANSFER REC,CDD 30312H010101,QCH1766871473000 QAR,CAREEM NETWORKS  L.L.C,19/PFLB,H1PYMENTS</t>
  </si>
  <si>
    <t>CHEQUE PAID,000001000046,ARAB - MAIN OFFICE</t>
  </si>
  <si>
    <t>ATM CASH WITHDRAWAL,306906091126,4928  XXX126,COMM. BANK OF QATAR    DOHA,4342041934720023 10/03 09.52</t>
  </si>
  <si>
    <t>TRANSFER - DEBIT,180323W02900,Statement for  4700XXXXX2001,Digitally signed statement fee</t>
  </si>
  <si>
    <t>TRANSFER FROM OWN ACCOUNT,170323W01063,Transfer From  4700XXXXX2115,VINEET KUMAR SARASWAT</t>
  </si>
  <si>
    <t>CARD BILL PAYMENT,290323K04752,CARD NO  3643XXXXXX1825,Paid using bankDirect</t>
  </si>
  <si>
    <t>SALARY TRANSFER,CDD 30329H007435,QCH5989615920000 QAR,QATAR AIRWAYS,2/SALA</t>
  </si>
  <si>
    <t>TRANSFER CHARGE,300323L03334,ThirdParty Transfer Charges,300323L03334</t>
  </si>
  <si>
    <t>FUNDS TRANSFER,300323L03334,Arsal Malik</t>
  </si>
  <si>
    <t>TRANSFER - DEBIT,300323L03214,Transfer To  4010XXXXX5001,Akshit Walia</t>
  </si>
  <si>
    <t>TRANSFER - DEBIT,300323L03161,UAE Visa,WALES MATHEW</t>
  </si>
  <si>
    <t>UberBV UBER TRIP HELP.UBE, help.uber.com, 052281</t>
  </si>
  <si>
    <t>UberBV UBER TRIP HELP.UBE, help.uber.com, 085115</t>
  </si>
  <si>
    <t>UberBV UBER TRIP HELP.UBE, help.uber.com, 029058</t>
  </si>
  <si>
    <t>UberBV UBER TRIP HELP.UBE, help.uber.com, 048553</t>
  </si>
  <si>
    <t>UberBV UBER TRIP HELP.UBE, help.uber.com, 018139</t>
  </si>
  <si>
    <t>UberBV UBER TRIP HELP.UBE, help.uber.com, 098848</t>
  </si>
  <si>
    <t>UberBV UBER TRIP HELP.UBE, help.uber.com, 087231</t>
  </si>
  <si>
    <t>UberBV UBER TRIP HELP.UBE, help.uber.com, 034513</t>
  </si>
  <si>
    <t>UberBV UBER TRIP HELP.UBE, help.uber.com, 074989</t>
  </si>
  <si>
    <t>UberBV UBER TRIP HELP.UBE, help.uber.com, 086605</t>
  </si>
  <si>
    <t>UberBV UBER TRIP HELP.UBE, help.uber.com, 012877</t>
  </si>
  <si>
    <t>UberBV UBER TRIP HELP.UBE, help.uber.com, 000621</t>
  </si>
  <si>
    <t>UberBV UBER TRIP HELP.UBE, help.uber.com, 093159</t>
  </si>
  <si>
    <t>UberBV UBER TRIP HELP.UBE, help.uber.com, 029491</t>
  </si>
  <si>
    <t>UberBV UBER TRIP HELP.UBE, help.uber.com, 089743</t>
  </si>
  <si>
    <t>UberBV UBER TRIP HELP.UBE, help.uber.com, 078675</t>
  </si>
  <si>
    <t>UberBV UBER TRIP HELP.UBE, help.uber.com, 016078</t>
  </si>
  <si>
    <t>UberBV UBER TRIP HELP.UBE, help.uber.com, 010498</t>
  </si>
  <si>
    <t>UberBV UBER TRIP HELP.UBE, help.uber.com, 083911</t>
  </si>
  <si>
    <t>TALABAT-MIGS, DOHA, 066463</t>
  </si>
  <si>
    <t>TALABAT-MIGS, DOHA, 038995</t>
  </si>
  <si>
    <t>Ooredoo Top Up, DOHA, 014499</t>
  </si>
  <si>
    <t>R AND B KIDS CITY CENT, DOHA, 036710</t>
  </si>
  <si>
    <t>Ooredoo Bill Payment, DOHA, 070900</t>
  </si>
  <si>
    <t>TALABAT-MIGS, DOHA, 019677</t>
  </si>
  <si>
    <t>NEW INDIAN SUP MARKET, DOHA, 052686</t>
  </si>
  <si>
    <t>NEW INDIAN SUP MARKET, DOHA, 008733</t>
  </si>
  <si>
    <t>AL ANEES ELECTRONICS CO., DOHA, 054835</t>
  </si>
  <si>
    <t>KAHRAMAA BANKDIRECT IVR P, DOHA, 022977</t>
  </si>
  <si>
    <t>BHARATH RESTAURANT-OLD AI, DOHA, 032057</t>
  </si>
  <si>
    <t>WISH BOX TECHNOLOGY, sandiramohan., 019947</t>
  </si>
  <si>
    <t>Q TICKETS-MiGS, DOHA, 064967</t>
  </si>
  <si>
    <t>WOQOD Umghuwalina PS DIA, DOHA, 097596</t>
  </si>
  <si>
    <t>NEW INDIAN SUP MARKET, DOHA, 066080</t>
  </si>
  <si>
    <t>Al Rayes Laundry DOH, DOHA, 010649</t>
  </si>
  <si>
    <t>MRA RESTAURANT BAKERY &amp; S, DOHA, 027537</t>
  </si>
  <si>
    <t>NEW INDIAN SUP MARKET, DOHA, 067830</t>
  </si>
  <si>
    <t>NEW INDIAN SUP MARKET, DOHA, 035651</t>
  </si>
  <si>
    <t>BIKANERVALA RESTAURANT, DOHA, 087973</t>
  </si>
  <si>
    <t>NEW INDIAN SUP MARKET, DOHA, 012549</t>
  </si>
  <si>
    <t>MOI MAIN NON, DOHA, 055985</t>
  </si>
  <si>
    <t>FAMILY ENTERTAINMENT CENT, DOHA, 048918</t>
  </si>
  <si>
    <t>FAMILY ENTERTAINMENT CENT, DOHA, 082723</t>
  </si>
  <si>
    <t>MAX RETAIL CO WLL, DOHA, 034050</t>
  </si>
  <si>
    <t>KAILASH PARBAT RESTAURANT, DOHA, 075971</t>
  </si>
  <si>
    <t>WISH BOX TECHNOLOGY, sandiramohan., 013771</t>
  </si>
  <si>
    <t>Standing Order for Instalment # 406352240, DOHA,
562222</t>
  </si>
  <si>
    <t>CITY CENTER MALL PARKING, DOHA, 026563</t>
  </si>
  <si>
    <t>LULU HYPER MARKET, DOHA, 041636</t>
  </si>
  <si>
    <t>MRA RESTAURANT BAKERY &amp; S, DOHA, 000069</t>
  </si>
  <si>
    <t>BURGER KING - CITY CENTER, DOHA, 072495</t>
  </si>
  <si>
    <t>MR VALET PARKING, DOHA, 035071</t>
  </si>
  <si>
    <t>WISH BOX TECHNOLOGY, sandiramohan., 005123</t>
  </si>
  <si>
    <t>NEW INDIAN SUP MARKET, DOHA, 018843</t>
  </si>
  <si>
    <t>WISH BOX TECHNOLOGY, sandiramohan., 008184</t>
  </si>
  <si>
    <t>Standing Order for Instalment # 407167323,
mohammed.fath, 563915</t>
  </si>
  <si>
    <t>WISH BOX TECHNOLOGY, sandiramohan., 069708</t>
  </si>
  <si>
    <t>Al Rayes Laundry DOH, DOHA, 084684</t>
  </si>
  <si>
    <t>R AND B KIDS EZDAN WAKRA, DOHA, 065156</t>
  </si>
  <si>
    <t>CARREFOUR - WAKRA, DOHA, 095283</t>
  </si>
  <si>
    <t>THE COFFEE SHOP QR TOWER3, DOHA, 088270</t>
  </si>
  <si>
    <t>BIKANERVALA RESTAURANT, DOHA, 085953</t>
  </si>
  <si>
    <t>NEW INDIAN SUP MARKET, DOHA, 087246</t>
  </si>
  <si>
    <t>WOQOD Umghuwalina PS DIA, DOHA, 012779</t>
  </si>
  <si>
    <t>THE COFFEE SHOP QR TOWER3, DOHA, 086167</t>
  </si>
  <si>
    <t xml:space="preserve">QDF STAFF SHOP TOWER 2, DOHA, 035343 </t>
  </si>
  <si>
    <t xml:space="preserve">WOQOD - DIA UMGHUWALINA P, DOHA, 032556 </t>
  </si>
  <si>
    <t xml:space="preserve">MR VALET PARKING, DOHA, 076871 </t>
  </si>
  <si>
    <t xml:space="preserve">THE COFFEE SHOP QR TOWER3, DOHA, 054917 </t>
  </si>
  <si>
    <t xml:space="preserve">ANSAR GALLERY, DOHA, 044355 </t>
  </si>
  <si>
    <t xml:space="preserve">BIKANERVALA RESTAURANT, DOHA, 035260 </t>
  </si>
  <si>
    <t xml:space="preserve">THE COFFEE SHOP QR TOWER3, DOHA, 065964 </t>
  </si>
  <si>
    <t xml:space="preserve">THE COFFEE SHOP QR TOWER3, DOHA, 098178 </t>
  </si>
  <si>
    <t>FIFA CC</t>
  </si>
  <si>
    <t>FUNCITY</t>
  </si>
  <si>
    <t>QTICKETS</t>
  </si>
  <si>
    <t>AL ANEES</t>
  </si>
  <si>
    <t>loan REPAID TO akshit from saving</t>
  </si>
  <si>
    <t>WITH IN  ACCOUNT TRANSFERS</t>
  </si>
  <si>
    <t>LOAN FROM ARSAL</t>
  </si>
  <si>
    <t>LOAN PI BACK TO ARSAL</t>
  </si>
  <si>
    <t>ARSAL</t>
  </si>
  <si>
    <t>UAE</t>
  </si>
  <si>
    <t>CARD BILL PAYMENT,010423K06712,CARD NO 3643XXXXXX1825,Paid using bankDirect</t>
  </si>
  <si>
    <t>TRANSFER - DEBIT,030423L13363,Viraaj Saraswat,Daffodils Nursery Wll</t>
  </si>
  <si>
    <t>NAPS ATM,309521741168,4018  0301XXXXXXX0137,MAR HIA  AL MAHA LOUNGOHA,4342041934720023 05/04 21.06,63417000000</t>
  </si>
  <si>
    <t>ELECTRON,AUTH 043216,RASOI GHAR RESTAURANT    Abu Dhabi,CARD NO  4342XXXXXXXX0023,06/04 AED 59.00  0</t>
  </si>
  <si>
    <t>TELEGRAPHIC TRANSFER REC,CDD 30409H009724,QCH9004116860000 QAR,QATAR AIRWAYS,29/TRAV,APR23 DT ADVANCE</t>
  </si>
  <si>
    <t>CHEQUE PAID,000001000047,ARAB - MAIN OFFICE</t>
  </si>
  <si>
    <t>NAPS PURCHASE,310316280724,4018  0262XXXXXX9412,Al Rayes Laundry      DOHDOHA,4342041934720023 13/04 19.33,63408000000</t>
  </si>
  <si>
    <t>TRANSFER - DEBIT,160423L02378,movers and packer,FAISAL KULANGARAKATH  VATTAPARAMBIL</t>
  </si>
  <si>
    <t>CBQ PURCHASE,310417065699,4010  0656XXXXXXX1236,NEW INDIAN SUP MARKET    DOHA,4342041934720023 14/04 20.02</t>
  </si>
  <si>
    <t>SALARY TRANSFER,CDD 30419H006749,QCH5398936320000 QAR,QATAR AIRWAYS,2/SALA</t>
  </si>
  <si>
    <t>WASEEF</t>
  </si>
  <si>
    <t>KAHRAMAA BANKDIRECT IVR P DOHA QA AUTH NO. 057851</t>
  </si>
  <si>
    <t>UBERBV UBER TRIP HELP.UBE HELP.UBER.COM 528 AUTH NO. 006499</t>
  </si>
  <si>
    <t>BIKANERVALA RESTAURANT DOHA 634 AUTH NO. 099557</t>
  </si>
  <si>
    <t>UBERBV UBER TRIP HELP.UBE HELP.UBER.COM 528 AUTH NO. 065314</t>
  </si>
  <si>
    <t>UBERBV UBER TRIP HELP.UBE HELP.UBER.COM 528 AUTH NO. 002691</t>
  </si>
  <si>
    <t>FAMILY FOOD CENTRE DOHA 634 AUTH NO. 050962</t>
  </si>
  <si>
    <t>UBERBV UBER TRIP HELP.UBE HELP.UBER.COM 528 AUTH NO. 029367</t>
  </si>
  <si>
    <t>UBERBV UBER TRIP HELP.UBE HELP.UBER.COM 528 AUTH NO. 039791</t>
  </si>
  <si>
    <t>UBERBV UBER TRIP HELP.UBE HELP.UBER.COM 528 AUTH NO. 071708</t>
  </si>
  <si>
    <t>UBERBV UBER TRIP HELP.UBE HELP.UBER.COM 528 AUTH NO. 098480</t>
  </si>
  <si>
    <t>TOTAL FRESH HYPERMARKET DOHA 634 AUTH NO. 016410</t>
  </si>
  <si>
    <t>BIKANERVALA RESTAURANT DOHA 634 AUTH NO. 078066</t>
  </si>
  <si>
    <t>UBERBV UBER TRIP HELP.UBE HELP.UBER.COM 528 AUTH NO. 017338</t>
  </si>
  <si>
    <t>KAILASH PARBAT RESTAURANT DOHA 634 AUTH NO. 054613</t>
  </si>
  <si>
    <t>UBERBV UBER TRIP HELP.UBE HELP.UBER.COM 528 AUTH NO. 034050</t>
  </si>
  <si>
    <t>UBERBV UBER TRIP HELP.UBE HELP.UBER.COM 528 AUTH NO. 034307</t>
  </si>
  <si>
    <t>UBERBV UBER TRIP HELP.UBE HELP.UBER.COM 528 AUTH NO. 032611</t>
  </si>
  <si>
    <t>UBERBV UBER TRIP HELP.UBE HELP.UBER.COM 528 AUTH NO. 097234</t>
  </si>
  <si>
    <t>UBERBV UBER TRIP HELP.UBE HELP.UBER.COM 528 AUTH NO. 069433</t>
  </si>
  <si>
    <t>UBERBV UBER TRIP HELP.UBE HELP.UBER.COM 528 AUTH NO. 045652</t>
  </si>
  <si>
    <t>UBERBV UBER TRIP HELP.UBE HELP.UBER.COM 528 AUTH NO. 082970</t>
  </si>
  <si>
    <t>UBERBV UBER TRIP HELP.UBE HELP.UBER.COM 528 AUTH NO. 059017</t>
  </si>
  <si>
    <t>UBERBV UBER TRIP HELP.UBE HELP.UBER.COM 528 AUTH NO. 038047</t>
  </si>
  <si>
    <t>UBERBV UBER TRIP HELP.UBE HELP.UBER.COM 528 AUTH NO. 055669</t>
  </si>
  <si>
    <t>UBERBV UBER TRIP HELP.UBE HELP.UBER.COM 528 AUTH NO. 043206</t>
  </si>
  <si>
    <t>FUWAIRIT KITE BEACH TAPES DOHA 634 AUTH NO. 044467</t>
  </si>
  <si>
    <t>BIKANERVALA RESTAURANT DOHA 634 AUTH NO. 084813</t>
  </si>
  <si>
    <t>BIKANERVALA RESTAURANT DOHA 634 AUTH NO. 051821</t>
  </si>
  <si>
    <t>UBERBV UBER TRIP HELP.UBE HELP.UBER.COM 528 AUTH NO. 061082</t>
  </si>
  <si>
    <t>LULU HYPERMARKET DOHA 634 AUTH NO. 059965</t>
  </si>
  <si>
    <t>LULU HYPERMARKET DOHA 634 AUTH NO. 048041</t>
  </si>
  <si>
    <t>UBERBV UBER TRIP HELP.UBE HELP.UBER.COM 528 AUTH NO. 062585</t>
  </si>
  <si>
    <t>BHARATH RESTAURANT-OLD DOHA QAT AUTH NO. 097812</t>
  </si>
  <si>
    <t>WISH BOX  TECHNOLOGY DOHA QAT AUTH NO. 066933</t>
  </si>
  <si>
    <t>NEW INDIAN SUP MARKET DOHA QAT AUTH NO. 054918</t>
  </si>
  <si>
    <t>WISH BOX  TECHNOLOGY DOHA QAT AUTH NO. 055053</t>
  </si>
  <si>
    <t>THE COFFEE SHOP QR TOW DOHA QAT AUTH NO. 002471</t>
  </si>
  <si>
    <t>THE COFFEE SHOP QR TOW DOHA QAT AUTH NO. 052622</t>
  </si>
  <si>
    <t>THE COFFEE SHOP QR TOW DOHA QAT AUTH NO. 021292</t>
  </si>
  <si>
    <t>THE COFFEE SHOP QR TOW DOHA QAT AUTH NO. 077869</t>
  </si>
  <si>
    <t>QDF CONCOURSE C DOHA QAT AUTH NO. 031257</t>
  </si>
  <si>
    <t>TAWASUL TRANSPORT LLC ABU DHABI ARE AUTH NO. 050660</t>
  </si>
  <si>
    <t>PAPA JOHNS ABUDHABI ARE AUTH NO. 046017</t>
  </si>
  <si>
    <t>MCDONALDS-MUSHRIF MALL ABU DHABI ARE AUTH NO. 086052</t>
  </si>
  <si>
    <t>EMIRATES TAXI ABU DHABI ARE AUTH NO. 030394</t>
  </si>
  <si>
    <t>FARAH EXP. LLC (FW F&amp;B ABU DHABI ARE AUTH NO. 037830</t>
  </si>
  <si>
    <t>AL JABER GALLERY LLC ABU DHABI ARE AUTH NO. 023654</t>
  </si>
  <si>
    <t>NOVOTEL HOTEL AL BUSTA ABU DHABI ARE AUTH NO. 013293</t>
  </si>
  <si>
    <t>MOWASALAT KARWA COMPAN DOHA QAT AUTH NO. 013405</t>
  </si>
  <si>
    <t>LULU HYPERMARKET DOHA QAT AUTH NO. 064418</t>
  </si>
  <si>
    <t>BIKANERVALA RESTAURANT DOHA QAT AUTH NO. 041675</t>
  </si>
  <si>
    <t>NEW INDIAN SUP MARKET DOHA QAT AUTH NO. 011956</t>
  </si>
  <si>
    <t>THE COFFEE SHOP QR TOW DOHA QAT AUTH NO. 012425</t>
  </si>
  <si>
    <t>MR VALET PARKING DOHA QAT AUTH NO. 045701</t>
  </si>
  <si>
    <t>WOQOD UMGHUWALINA PS D DOHA QAT AUTH NO. 097690</t>
  </si>
  <si>
    <t>WISH BOX  TECHNOLOGY DOHA QAT AUTH NO. 003086</t>
  </si>
  <si>
    <t>THE COFFEE SHOP QR TOW DOHA QAT AUTH NO. 010573</t>
  </si>
  <si>
    <t>WISH BOX  TECHNOLOGY DOHA QAT AUTH NO. 038193</t>
  </si>
  <si>
    <t>NOQOODY KIOSK DOHA QAT AUTH NO. 085708</t>
  </si>
  <si>
    <t>THE COFFEE SHOP QR TOW DOHA QAT AUTH NO. 086547</t>
  </si>
  <si>
    <t>THE COFFEE SHOP QR TOW DOHA QAT AUTH NO. 065325</t>
  </si>
  <si>
    <t>BHARATH RESTAURANT-OLD DOHA QAT AUTH NO. 026575</t>
  </si>
  <si>
    <t>BIKANERVALA RESTAURANT DOHA QAT AUTH NO. 078812</t>
  </si>
  <si>
    <t>WISH BOX  TECHNOLOGY DOHA QAT AUTH NO. 061728</t>
  </si>
  <si>
    <t>WISH BOX  TECHNOLOGY DOHA QAT AUTH NO. 039329</t>
  </si>
  <si>
    <t>PRIMARY HEALTH CARE CO DOHA QAT AUTH NO. 059718</t>
  </si>
  <si>
    <t>SHRIJI RESTAURANT DOHA QAT AUTH NO. 057493</t>
  </si>
  <si>
    <t>BIKANERVALA RESTAURANT DOHA QAT AUTH NO. 023182</t>
  </si>
  <si>
    <t>THE COFFEE SHOP QR TOW DOHA QAT AUTH NO. 043232</t>
  </si>
  <si>
    <t>THE COFFEE SHOP QR TOW DOHA QAT AUTH NO. 016302</t>
  </si>
  <si>
    <t>THE COFFEE SHOP QR TOW DOHA QAT AUTH NO. 014568</t>
  </si>
  <si>
    <t>WISH BOX  TECHNOLOGY DOHA QAT AUTH NO. 067244</t>
  </si>
  <si>
    <t>THE COFFEE SHOP QR TOW DOHA QAT AUTH NO. 083728</t>
  </si>
  <si>
    <t>PRET-A-PORTRAIT LIMITE BUNTINGFORD GBR AUTH NO. 003750</t>
  </si>
  <si>
    <t>BIKANERVALA RESTAURANT DOHA QAT AUTH NO. 080085</t>
  </si>
  <si>
    <t>NEW INDIAN SUP MARKET DOHA QAT AUTH NO. 030306</t>
  </si>
  <si>
    <t>THE COFFEE SHOP QR TOW DOHA QAT AUTH NO. 075268</t>
  </si>
  <si>
    <t>WISH BOX TECHNOLOGY DOHA QAT AUTH NO. 073318</t>
  </si>
  <si>
    <t>THE COFFEE SHOP QR TOW DOHA QAT AUTH NO. 048027</t>
  </si>
  <si>
    <t>WISH BOX TECHNOLOGY DOHA QAT AUTH NO. 052094</t>
  </si>
  <si>
    <t>WISH BOX TECHNOLOGY DOHA QAT AUTH NO. 055441</t>
  </si>
  <si>
    <t>NOVOTEL</t>
  </si>
  <si>
    <t>ABU DHABI</t>
  </si>
  <si>
    <t>NAPS PURCHASE,000001956005,4018  0131XXXXXXX4910,OOREDOO LULU HYPER MARDOHA,4342041934720023 24/04 21.23,63409000000</t>
  </si>
  <si>
    <t>CBQ PURCHASE,311515000246,4010  0002XXXXXXX2825,LULU HYPERMARKET         DOHA,4342041934720023 25/04 18.18</t>
  </si>
  <si>
    <t>CBQ PURCHASE,311409008804,4010  0088XXXXXXX4209,DESERT PALACE            DOHA,4342041934720023 24/04 12.25</t>
  </si>
  <si>
    <t>CARD BILL PAYMENT,260423K05047,CARD NO 3643XXXXXX1825,Paid using bankDirect</t>
  </si>
  <si>
    <t>ATM CASH WITHDRAWAL,311608091115,4928  XXX115,COMM. BANK OF QATAR    DOHA,4342041934720023 26/04 11.21</t>
  </si>
  <si>
    <t>NAPS PURCHASE,000001036199,4018  0031XXXXXXX1201,THE COFFEE SHOP QR TOWDOHA,4642374661502661 30/04 09.26,63409000000</t>
  </si>
  <si>
    <t>NAPS PURCHASE,000001036170,4018  0320XXXXXXX1201,THE COFFEE SHOP QR TOWDOHA,4642374661502661 30/04 09.04,63409000000</t>
  </si>
  <si>
    <t>NAPS PURCHASE,000001448014,4018  0256XXXXXXX0101,DESI DHABA RESTAURANT DOHA,4642374661502661 29/04 19.59,63409000000</t>
  </si>
  <si>
    <t>NAPS PURCHASE,311913554699,4018  0030XXXXXX0033,Mr Popcorn            DOHDOHA,4642374661502661 29/04 16.04,63408000000</t>
  </si>
  <si>
    <t>PROCESSING COMMISSION,280423T03410</t>
  </si>
  <si>
    <t>CORRESPONDENT BANK CHARGES,280423T03410</t>
  </si>
  <si>
    <t>TRANSFER CHARGE,280423T03410,Funds Transfer Charges</t>
  </si>
  <si>
    <t>FUNDS TRANSFER,280423T03410,Chile Visa Fee including Bank Chrgs,EMBASSY OF CHILE</t>
  </si>
  <si>
    <t>NAPS PURCHASE,312217975885,4018  0011XXXXXXX1001,SHRIJI RESTAURANT        DOHA,4342041934720023 02/05 20.57,63405000000</t>
  </si>
  <si>
    <t>TELEGRAPHIC TRANSFER REC,CDD 30503H010441,QCH1391626488000 QAR,QATAR GENERAL ELEC AND WATER CORP,19/PFLB,S0PYMENTS</t>
  </si>
  <si>
    <t>TRANSFER - DEBIT,040523L17638,from amit,Sameer Singh</t>
  </si>
  <si>
    <t>TRANSFER - DEBIT,040523L15279,amit needed,AMIT KUMAR SINGH</t>
  </si>
  <si>
    <t>NAPS PURCHASE,033129031154,4018  0021XXXXXX2434,QPay Payment          TECHNICAL EN,4342041934720023 09/05 17.21,63493000000</t>
  </si>
  <si>
    <t>CARD BILL PAYMENT,130523K00616,CARD NO 3643XXXXXX1825,Paid using bankDirect</t>
  </si>
  <si>
    <t>NAPS PURCHASE,000001646102,4018  0178XXXXXXX3132,PRIMARY HEALTH CARE CODOHA,4342041934720023 15/05 18.19,63409000000</t>
  </si>
  <si>
    <t>TELEGRAPHIC TRANSFER REC,CDD 30518H001374,QCH1292932439000 QAR,QATAR AIRWAYS,29/TRAV,MAY23 DT ADVANCE</t>
  </si>
  <si>
    <t>ELECTRON,AUTH 460010,PAYU   UBER TRIP        SANTIAGO,CARD NO  4342XXXXXXXX0023,25/05 CLP 28,807.00</t>
  </si>
  <si>
    <t>ELECTRON,AUTH 078249,SUB T3 LANCHONETE LTDA   GUARULHOS,CARD NO  4342XXXXXXXX0023,25/05 986 22.00  0</t>
  </si>
  <si>
    <t>CARD BILL PAYMENT,300523K14272,CARD NO  3643XXXXXX1825,Paid using bankDirect</t>
  </si>
  <si>
    <t>SALARY TRANSFER,CDD 30530H010648,QCH2106528486000 QAR,QATAR AIRWAYS,2/SALA</t>
  </si>
  <si>
    <t>NAPS PURCHASE,000001132044,4018  0313XXXXXXX2402,SAFARI BARWA VILLAGE  DOHA,4642374661502661 31/05 17.52,63409000000</t>
  </si>
  <si>
    <t>NAPS PURCHASE,000001060403,4018  0156XXXXXXX1203,THE COFFEE SHOP QR TOWDOHA,4642374661502661 31/05 13.16,63409000000</t>
  </si>
  <si>
    <t>NAPS PURCHASE,000001065098,4018  0039XXXXXXX1201,THE COFFEE SHOP QR TOWDOHA,4642374661502661 01/06 14.24,63409000000</t>
  </si>
  <si>
    <t>NAPS ATM,315216111745,4018  0072XXXXXXX0346,DUKHAN QATAR          DOHA,4342041934720023 01/06 16.17,63420000000</t>
  </si>
  <si>
    <t>OOREDOO DOHA QA AUTH NO. 029035</t>
  </si>
  <si>
    <t>OOREDOO DOHA QA AUTH NO. 077437</t>
  </si>
  <si>
    <t>LULU HYPERMARKET DOHA 634 AUTH NO. 041574</t>
  </si>
  <si>
    <t>NEW INDIAN SUP MARKET DOHA 634 AUTH NO. 076937</t>
  </si>
  <si>
    <t>BIKANERVALA RESTAURANT DOHA 634 AUTH NO. 003944</t>
  </si>
  <si>
    <t>KALYAN JEWELLERS DOHA 634 AUTH NO. 091454</t>
  </si>
  <si>
    <t>LULU HYPERMARKET DOHA 634 AUTH NO. 007361</t>
  </si>
  <si>
    <t>UBERBV UBER TRIP HELP.UBE HELP.UBER.COM 528 AUTH NO. 010305</t>
  </si>
  <si>
    <t>UBERBV UBER TRIP HELP.UBE HELP.UBER.COM 528 AUTH NO. 055557</t>
  </si>
  <si>
    <t>IKEA DOHA 634 AUTH NO. 073451</t>
  </si>
  <si>
    <t>UBERBV UBER TRIP HELP.UBE HELP.UBER.COM 528 AUTH NO. 015940</t>
  </si>
  <si>
    <t>UBERBV UBER TRIP HELP.UBE HELP.UBER.COM 528 AUTH NO. 033328</t>
  </si>
  <si>
    <t>OOREDOO DOHA QA AUTH NO. 032596</t>
  </si>
  <si>
    <t>KAHRAMAA BANKDIRECT IVR P DOHA QA AUTH NO. 036328</t>
  </si>
  <si>
    <t>WOQOD UMGHUWALINA PS D DOHA QAT AUTH NO. 079317</t>
  </si>
  <si>
    <t>BIKANERVALA RESTAURANT DOHA QAT AUTH NO. 027730</t>
  </si>
  <si>
    <t>WISH BOX  TECHNOLOGY DOHA QAT AUTH NO. 020660</t>
  </si>
  <si>
    <t>WISH BOX  TECHNOLOGY DOHA QAT AUTH NO. 044392</t>
  </si>
  <si>
    <t>WISH BOX  TECHNOLOGY DOHA QAT AUTH NO. 054841</t>
  </si>
  <si>
    <t>WISH BOX  TECHNOLOGY DOHA QAT AUTH NO. 032344</t>
  </si>
  <si>
    <t>MALKI FOOD CENTRE DOHA QAT AUTH NO. 053479</t>
  </si>
  <si>
    <t>WISH BOX  TECHNOLOGY DOHA QAT AUTH NO. 074099</t>
  </si>
  <si>
    <t>THE COFFEE SHOP QR TOW DOHA QAT AUTH NO. 080315</t>
  </si>
  <si>
    <t>WISH BOX  TECHNOLOGY DOHA QAT AUTH NO. 084790</t>
  </si>
  <si>
    <t>BIKANERVALA RESTAURANT DOHA QAT AUTH NO. 076493</t>
  </si>
  <si>
    <t>BIKANERVALA RESTAURANT DOHA QAT AUTH NO. 088635</t>
  </si>
  <si>
    <t>EVENTS AND ENTERTAINME DOHA QAT AUTH NO. 094626</t>
  </si>
  <si>
    <t>AND MARKETING AND EVEN DOHA QAT AUTH NO. 086547</t>
  </si>
  <si>
    <t>EVENTS AND ENTERTAINME DOHA QAT AUTH NO. 049692</t>
  </si>
  <si>
    <t>AND MARKETING AND EVEN DOHA QAT AUTH NO. 082025</t>
  </si>
  <si>
    <t>THE COFFEE SHOP QR TOW DOHA QAT AUTH NO. 082836</t>
  </si>
  <si>
    <t>WISH BOX  TECHNOLOGY DOHA QAT AUTH NO. 023071</t>
  </si>
  <si>
    <t>THE COFFEE SHOP QR TOW DOHA QAT AUTH NO. 051037</t>
  </si>
  <si>
    <t>THE COFFEE SHOP QR TOW DOHA QAT AUTH NO. 061506</t>
  </si>
  <si>
    <t>TALABAT DOHA QAT AUTH NO. 005441</t>
  </si>
  <si>
    <t>THE COFFEE SHOP QR TOW DOHA QAT AUTH NO. 099801</t>
  </si>
  <si>
    <t>WISH BOX  TECHNOLOGY DOHA QAT AUTH NO. 021457</t>
  </si>
  <si>
    <t>WOQOD UMGHUWALINA PS D DOHA QAT AUTH NO. 026122</t>
  </si>
  <si>
    <t>LULU HYPER MARKET DOHA QAT AUTH NO. 072738</t>
  </si>
  <si>
    <t>THE COFFEE SHOP QR TOW DOHA QAT AUTH NO. 082497</t>
  </si>
  <si>
    <t>JAMOCHA CAFE DOHA QAT AUTH NO. 013788</t>
  </si>
  <si>
    <t>AL RAYES LAUNDRY DOHA QAT AUTH NO. 033961</t>
  </si>
  <si>
    <t>QALAA ISTANBUL REST DOHA QAT AUTH NO. 075625</t>
  </si>
  <si>
    <t>TALABAT DOHA QAT AUTH NO. 006841</t>
  </si>
  <si>
    <t>THE COFFEE SHOP QR TOW DOHA QAT AUTH NO. 046951</t>
  </si>
  <si>
    <t>QALAA ISTANBUL REST DOHA QAT AUTH NO. 068069</t>
  </si>
  <si>
    <t>MALKI FOOD CENTRE DOHA QAT AUTH NO. 044326</t>
  </si>
  <si>
    <t>WISH BOX  TECHNOLOGY DOHA QAT AUTH NO. 092259</t>
  </si>
  <si>
    <t>BIKANERVALA RESTAURANT DOHA QAT AUTH NO. 040099</t>
  </si>
  <si>
    <t>THE COFFEE SHOP QR TOW DOHA QAT AUTH NO. 008164</t>
  </si>
  <si>
    <t>THE COFFEE SHOP QR TOW DOHA QAT AUTH NO. 019548</t>
  </si>
  <si>
    <t>WISH BOX  TECHNOLOGY DOHA QAT AUTH NO. 088758</t>
  </si>
  <si>
    <t>THE COFFEE SHOP QR TOW DOHA QAT AUTH NO. 033968</t>
  </si>
  <si>
    <t>WISH BOX  TECHNOLOGY DOHA QAT AUTH NO. 048993</t>
  </si>
  <si>
    <t>LULU HYPER MARKET DOHA QAT AUTH NO. 002196</t>
  </si>
  <si>
    <t>WISH BOX  TECHNOLOGY DOHA QAT AUTH NO. 006646</t>
  </si>
  <si>
    <t>WISH BOX  TECHNOLOGY DOHA QAT AUTH NO. 073764</t>
  </si>
  <si>
    <t>DOUBLETREE BY HILTON SANTIAGO CHL AUTH NO. 047639</t>
  </si>
  <si>
    <t>SUMUP C*CARLOS PATRICI SANTIAGO CHL AUTH NO. 089090</t>
  </si>
  <si>
    <t>LA MARTINA COSTANERA C SANTIAGO CHL AUTH NO. 012089</t>
  </si>
  <si>
    <t>CAFETERIA DOUBLETREE SANTIAGO CHL AUTH NO. 045731</t>
  </si>
  <si>
    <t>RUMBO SUR SCL MANQUEHU SANTIAGO CHL AUTH NO. 049732</t>
  </si>
  <si>
    <t>RUMBO SUR SCL ESPIGON SANTIAGO CHL AUTH NO. 057349</t>
  </si>
  <si>
    <t>TALABAT DOHA QAT AUTH NO. 083330</t>
  </si>
  <si>
    <t>MR VALET PARKING DOHA QAT AUTH NO. 071738</t>
  </si>
  <si>
    <t>BIKANERVALA RESTAURANT DOHA QAT AUTH NO. 012498</t>
  </si>
  <si>
    <t>WISH BOX  TECHNOLOGY DOHA QAT AUTH NO. 011245</t>
  </si>
  <si>
    <t>WISH BOX  TECHNOLOGY DOHA QAT AUTH NO. 057505</t>
  </si>
  <si>
    <t>THE COFFEE SHOP QR TOW DOHA QAT AUTH NO. 008405</t>
  </si>
  <si>
    <t>TALABAT DOHA QAT AUTH NO. 054944</t>
  </si>
  <si>
    <t>CHILE</t>
  </si>
  <si>
    <t>SAFARI</t>
  </si>
  <si>
    <t>HILTON</t>
  </si>
  <si>
    <t>SCHAEFFLER</t>
  </si>
  <si>
    <t>SUNDARMFIN</t>
  </si>
  <si>
    <t>SCHAEFFLER.NS</t>
  </si>
  <si>
    <t>SUNDARMFIN.NS</t>
  </si>
  <si>
    <t>Consumer Finance</t>
  </si>
  <si>
    <t>Auto Parts</t>
  </si>
  <si>
    <t>NAPS PURCHASE,033153039490,4018  0059XXXXXX2434,QPay Payment          TECHNICAL EN,4342041934720023 02/06 16.07,63493000000</t>
  </si>
  <si>
    <t>CHEQUE PAID,000001000053,CBQ - OPS,OnUs- 1034XXXXXXX2015,RAWASI REAL ESTATE DEVELOPMENT</t>
  </si>
  <si>
    <t>NAPS PURCHASE,000001048917,4018  0156XXXXXXX0908,CARREFOUR - WAKRA     DOHA,4342041934720023 09/06 19.40,63409000000</t>
  </si>
  <si>
    <t>NAPS PURCHASE,033160030080,4018  0200XXXXXX2993,QPay Payment          M.H.ALSHAYA,4342041934720023 09/06 14.04,63493000000</t>
  </si>
  <si>
    <t>TRANSFER TO OWN ACCOUNT,150623W02768,Transfer To  4700XXXXX2115,VINEET KUMAR SARASWAT</t>
  </si>
  <si>
    <t>NAPS PURCHASE,000001016060,4018  0175XXXXXXX2401,WOQOD UMGHUWALINA PS DDOHA,4342041934720023 18/06 17.24,63409000000</t>
  </si>
  <si>
    <t>SALARY TRANSFER,CDD 30625H018208,QCH1888659767000 QAR,QATAR AIRWAYS,2/SALA</t>
  </si>
  <si>
    <t>VODAFONE-DIRECT DEBIT,290623160616,VF-PostPaid- XXXX8391,230629020945534</t>
  </si>
  <si>
    <t>CARD BILL PAYMENT,290623K03664,CARD NO  3643XXXXXX1825,Paid using bankDirect</t>
  </si>
  <si>
    <t>TRANSFER - CREDIT,270623L00841,Transfer From  4840XXXXX8101,JITHIN LAL  LALCHAND SREEDEVI</t>
  </si>
  <si>
    <t>CBQ PURCHASE,317722001945,4010  0019XXXXXXX0014,TRAVELEX QATAR           DOHA,4342041934720023 27/06 01.23</t>
  </si>
  <si>
    <t>NAPS PURCHASE,033183035298,4018  0297XXXXXX2434,QPay Payment          TECHNICAL EN,4342041934720023 02/07 08.57,63493000000</t>
  </si>
  <si>
    <t>TRANSFER TO OWN ACCOUNT,040723W00530,Transfer To  4610XXXXX2115,VINEET KUMAR SARASWAT</t>
  </si>
  <si>
    <t>CHEQUE PAID,000001000054,CBQ - OPS,OnUs- 1053XXXXXXX2005,RAWASI REAL ESTATE DEVELOPMENT</t>
  </si>
  <si>
    <t>TRANSFER - DEBIT,160723L03095,Viraaj Saraswat FS2 Term 1,Oryx International School</t>
  </si>
  <si>
    <t>CARD BILL PAYMENT,250723K01700,CARD NO 3643XXXXXX1825,Paid using bankDirect</t>
  </si>
  <si>
    <t>NAPS PURCHASE,033211035281,4018  0010XXXXXX2434,QPay Payment          TECHNICAL EN,4342041934720023 30/07 20.40,63493000000</t>
  </si>
  <si>
    <t>NAPS PURCHASE,000001060016,4018  0138XXXXXXX1202,THE COFFEE SHOP QR TOWDOHA,4642374661502661 30/07 15.11,63409000000</t>
  </si>
  <si>
    <t>NAPS PURCHASE,000001059374,4018  0005XXXXXXX1202,THE COFFEE SHOP QR TOWDOHA,4642374661502661 30/07 12.05,63409000000</t>
  </si>
  <si>
    <t>SALARY TRANSFER,CDD 30730H015729,QCH6528440360000 QAR,QATAR AIRWAYS,2/SALA,SALARY CHANGES</t>
  </si>
  <si>
    <t>CARD BILL PAYMENT,290723K04824,CARD NO 3643XXXXXX1825,Paid using bankDirect</t>
  </si>
  <si>
    <t>TRANSFER TO OWN ACCOUNT,310723W08224,Transfer To  4700XXXXX2115,VINEET KUMAR SARASWAT</t>
  </si>
  <si>
    <t>CBQ PURCHASE,321214000902,4010  0009XXXXXXX6909,NEW INDIAN SUP MARKET    DOHA,4642374661502661 31/07 17.23</t>
  </si>
  <si>
    <t>TRANSFER - CREDIT,030823L13000,coffee,AKSHIT WALIA</t>
  </si>
  <si>
    <t>NAPS ATM,321511152538,4018  0071XXXXXXX0346,DUKHAN QATAR          DOHA,4342041934720023 03/08 11.59,63420000000</t>
  </si>
  <si>
    <t>ELECTRON,AUTH 472526,TALABAT COM              QATAR,CARD NO  4342XXXXXXXX0023,31/07 QAR 42.00  0</t>
  </si>
  <si>
    <t>CHEQUE PAID,000001000055,CBQ - OPS,OnUs- 1071XXXXXXX2013,RAWASI REAL ESTATE DEVELOPMENT</t>
  </si>
  <si>
    <t>WISH BOX  TECHNOLOGY DOHA QAT AUTH NO. 056388</t>
  </si>
  <si>
    <t>WOQOD AL THUMAMA PS DOHA QAT AUTH NO. 056886</t>
  </si>
  <si>
    <t>BHARATH RESTAURANT-OLD DOHA QAT AUTH NO. 078302</t>
  </si>
  <si>
    <t>QALAA ISTANBUL REST DOHA QAT AUTH NO. 007778</t>
  </si>
  <si>
    <t>WISH BOX  TECHNOLOGY DOHA QAT AUTH NO. 051435</t>
  </si>
  <si>
    <t>THE COFFEE SHOP QR TOW DOHA QAT AUTH NO. 076495</t>
  </si>
  <si>
    <t>TALABAT DOHA QAT AUTH NO. 068839</t>
  </si>
  <si>
    <t>AL RAYES LAUNDRY DOHA QAT AUTH NO. 011827</t>
  </si>
  <si>
    <t>TALABAT DOHA QAT AUTH NO. 005631</t>
  </si>
  <si>
    <t>NEW INDIAN SUP MARKET DOHA QAT AUTH NO. 002333</t>
  </si>
  <si>
    <t>TALABAT DOHA QAT AUTH NO. 023186</t>
  </si>
  <si>
    <t>DISNEY PLUS LONDON GBR AUTH NO. 003293</t>
  </si>
  <si>
    <t>BAWARCHI RESTAURANT DOHA QAT AUTH NO. 011370</t>
  </si>
  <si>
    <t>LULU HYPERMARKET DOHA QAT AUTH NO. 076415</t>
  </si>
  <si>
    <t>MALKI FOOD CENTRE DOHA QAT AUTH NO. 061895</t>
  </si>
  <si>
    <t>QALAA ISTANBUL REST DOHA QAT AUTH NO. 010042</t>
  </si>
  <si>
    <t>THE COFFEE SHOP QR TOW DOHA QAT AUTH NO. 098706</t>
  </si>
  <si>
    <t>AGRA SWEETS KANPUR IND AUTH NO. 064406</t>
  </si>
  <si>
    <t>TALABAT DOHA QAT AUTH NO. 085476</t>
  </si>
  <si>
    <t>TALABAT DOHA QAT AUTH NO. 010577</t>
  </si>
  <si>
    <t>THE COFFEE SHOP QR TOW DOHA QAT AUTH NO. 007079</t>
  </si>
  <si>
    <t>WISH BOX  TECHNOLOGY DOHA QAT AUTH NO. 059899</t>
  </si>
  <si>
    <t>QALAA ISTANBUL REST DOHA QAT AUTH NO. 082165</t>
  </si>
  <si>
    <t>TALABAT DOHA QAT AUTH NO. 054941</t>
  </si>
  <si>
    <t>QALAA ISTANBUL REST DOHA QAT AUTH NO. 051125</t>
  </si>
  <si>
    <t>MALKI FOOD CENTRE DOHA QAT AUTH NO. 042543</t>
  </si>
  <si>
    <t>WISH BOX  TECHNOLOGY DOHA QAT AUTH NO. 078950</t>
  </si>
  <si>
    <t>WISH BOX  TECHNOLOGY DOHA QAT AUTH NO. 056878</t>
  </si>
  <si>
    <t>TALABAT DOHA QAT AUTH NO. 048383</t>
  </si>
  <si>
    <t>AL RAYES LAUNDRY DOHA QAT AUTH NO. 089682</t>
  </si>
  <si>
    <t>LULU HYPER MARKET DOHA QAT AUTH NO. 044528</t>
  </si>
  <si>
    <t>LULU HYPER MARKET DOHA QAT AUTH NO. 084570</t>
  </si>
  <si>
    <t>LULU HYPERMARKET DOHA QAT AUTH NO. 035605</t>
  </si>
  <si>
    <t>DESI CHAAT RESTAURANT DOHA QAT AUTH NO. 050336</t>
  </si>
  <si>
    <t>TALABAT DOHA QAT AUTH NO. 040613</t>
  </si>
  <si>
    <t>WISH BOX  TECHNOLOGY DOHA QAT AUTH NO. 079909</t>
  </si>
  <si>
    <t>THE COFFEE SHOP QR TOW DOHA QAT AUTH NO. 054719</t>
  </si>
  <si>
    <t>THE COFFEE SHOP QR TOW DOHA QAT AUTH NO. 065985</t>
  </si>
  <si>
    <t>THE COFFEE SHOP QR TOW DOHA QAT AUTH NO. 082088</t>
  </si>
  <si>
    <t>QATAR E-GOVERNMENT DOHA QAT AUTH NO. 074737</t>
  </si>
  <si>
    <t>WISH BOX  TECHNOLOGY DOHA QAT AUTH NO. 014994</t>
  </si>
  <si>
    <t>MALKI FOOD CENTRE DOHA QAT AUTH NO. 004629</t>
  </si>
  <si>
    <t>THE COFFEE SHOP QR TOW DOHA QAT AUTH NO. 099737</t>
  </si>
  <si>
    <t>PAPA JOHNS EZDAN MALL DOHA QAT AUTH NO. 005747</t>
  </si>
  <si>
    <t>AL ANEES ELECTRONICS-E DOHA QAT AUTH NO. 047734</t>
  </si>
  <si>
    <t>VODAFONE MOBILE APP DOHA 634 AUTH NO. 046326</t>
  </si>
  <si>
    <t>TALABAT DOHA QAT AUTH NO. 077106</t>
  </si>
  <si>
    <t>THE COFFEE SHOP QR TOW DOHA QAT AUTH NO. 078890</t>
  </si>
  <si>
    <t>THE COFFEE SHOP QR TOW DOHA QAT AUTH NO. 041811</t>
  </si>
  <si>
    <t>THE COFFEE SHOP QR TOW DOHA QAT AUTH NO. 073467</t>
  </si>
  <si>
    <t>THE COFFEE SHOP QR TOW DOHA QAT AUTH NO. 040384</t>
  </si>
  <si>
    <t>TALABAT DOHA QAT AUTH NO. 000021</t>
  </si>
  <si>
    <t>THE COFFEE SHOP QR TOW DOHA QAT AUTH NO. 005506</t>
  </si>
  <si>
    <t>THE COFFEE SHOP QR TOW DOHA QAT AUTH NO. 085222</t>
  </si>
  <si>
    <t>THE COFFEE SHOP QR TOW DOHA QAT AUTH NO. 031768</t>
  </si>
  <si>
    <t>THE COFFEE SHOP QR TOW DOHA QAT AUTH NO. 000452</t>
  </si>
  <si>
    <t>TALABAT DOHA QAT AUTH NO. 088722</t>
  </si>
  <si>
    <t>NOVO CINEMAS SOUQ WAQI DOHA QAT AUTH NO. 060944</t>
  </si>
  <si>
    <t>TEA TIME HOSPITALITY AND DOHA 634 AUTH NO. 090447</t>
  </si>
  <si>
    <t>NEW INDIAN SUP MARKET DOHA QAT AUTH NO. 044871</t>
  </si>
  <si>
    <t>WISH BOX  TECHNOLOGY DOHA QAT AUTH NO. 052423</t>
  </si>
  <si>
    <t>WOQOD AL THUMAMA PS DOHA QAT AUTH NO. 072946</t>
  </si>
  <si>
    <t>QATAR AUTOMOBILES COMP DOHA QAT AUTH NO. 030223</t>
  </si>
  <si>
    <t>TEA TIME HOSPITALITY AND DOHA 634 AUTH NO. 050570</t>
  </si>
  <si>
    <t>THE COFFEE SHOP QR TOW DOHA QAT AUTH NO. 019741</t>
  </si>
  <si>
    <t>WISH BOX  TECHNOLOGY DOHA QAT AUTH NO. 047317</t>
  </si>
  <si>
    <t>WISH BOX  TECHNOLOGY DOHA QAT AUTH NO. 001746</t>
  </si>
  <si>
    <t>TALABAT DOHA QAT AUTH NO. 043337</t>
  </si>
  <si>
    <t>BIKANERVALA RESTAURANT DOHA QAT AUTH NO. 037415</t>
  </si>
  <si>
    <t>NEW INDIAN SUP MARKET DOHA QAT AUTH NO. 086253</t>
  </si>
  <si>
    <t>TALABAT DOHA QAT AUTH NO. 023633</t>
  </si>
  <si>
    <t>QALAA ISTANBUL REST DOHA QAT AUTH NO. 074607</t>
  </si>
  <si>
    <t>NEW INDIAN SUP MARKET DOHA QAT AUTH NO. 008933</t>
  </si>
  <si>
    <t>QALAA ISTANBUL REST DOHA QAT AUTH NO. 066121</t>
  </si>
  <si>
    <t>NASEEM AL RABEEH MEDIC DOHA QAT AUTH NO. 056120</t>
  </si>
  <si>
    <t>MANGO SUPERMARKET DOHA QAT AUTH NO. 090086</t>
  </si>
  <si>
    <t>UBER   * PENDING AMSTERDAM NLD AUTH NO. 038064</t>
  </si>
  <si>
    <t>UBER * PENDING VORDEN NLD AUTH NO. 093559</t>
  </si>
  <si>
    <t>UBER   * PENDING AMSTERDAM NLD AUTH NO. 011866</t>
  </si>
  <si>
    <t>WISH BOX TECHNOLOGY DOHA QAT AUTH NO. 058815</t>
  </si>
  <si>
    <t>NASEEM AL RABEEH MEDICAL DOHA 634 AUTH NO. 033318</t>
  </si>
  <si>
    <t>WISH BOX TECHNOLOGY DOHA QAT AUTH NO. 074454</t>
  </si>
  <si>
    <t>KAHRAMAA BANKDIRECT IVR P DOHA QA AUTH NO. 095101</t>
  </si>
  <si>
    <t>NEW INDIAN SUP MARKET DOHA 634 AUTH NO. 080724</t>
  </si>
  <si>
    <t>UBERBV UBER TRIP HELP.UBE HELP.UBER.COM 528 AUTH NO. 093823</t>
  </si>
  <si>
    <t>UBERBV UBER TRIP HELP.UBE HELP.UBER.COM 528 AUTH NO. 071447</t>
  </si>
  <si>
    <t>OOREDOO DOHA QA AUTH NO. 031047</t>
  </si>
  <si>
    <t>UBERBV UBER TRIP HELP.UBE HELP.UBER.COM 528 AUTH NO. 082506</t>
  </si>
  <si>
    <t>UBERBV UBER TRIP HELP.UBE HELP.UBER.COM 528 AUTH NO. 012622</t>
  </si>
  <si>
    <t>UBERBV UBER TRIP HELP.UBE HELP.UBER.COM 528 AUTH NO. 014050</t>
  </si>
  <si>
    <t>UBERBV UBER TRIP HELP.UBE HELP.UBER.COM 528 AUTH NO. 034436</t>
  </si>
  <si>
    <t>UBERBV UBER TRIP HELP.UBE HELP.UBER.COM 528 AUTH NO. 077408</t>
  </si>
  <si>
    <t>KAHRAMAA BANKDIRECT IVR P DOHA QA AUTH NO. 001090</t>
  </si>
  <si>
    <t>TOTAL FRESH HYPERMARKET DOHA 634 AUTH NO. 010834</t>
  </si>
  <si>
    <t>UBERBV UBER TRIP HELP.UBE HELP.UBER.COM 528 AUTH NO. 028860</t>
  </si>
  <si>
    <t>UBERBV UBER TRIP HELP.UBE HELP.UBER.COM 528 AUTH NO. 068774</t>
  </si>
  <si>
    <t>OOREDOO DOHA QA AUTH NO. 081814</t>
  </si>
  <si>
    <t>VODAFONE DOHA QA AUTH NO. 030346</t>
  </si>
  <si>
    <t>KAHRAMAA BANKDIRECT IVR P DOHA QA AUTH NO. 086574</t>
  </si>
  <si>
    <t>QATAR AUTOMOBILES</t>
  </si>
  <si>
    <t>BARWA</t>
  </si>
  <si>
    <t>MANGO</t>
  </si>
  <si>
    <t>Stocks/ETFs</t>
  </si>
  <si>
    <t>Holdings - 24-Nov-23 IST</t>
  </si>
  <si>
    <t>Security</t>
  </si>
  <si>
    <t>No. of Smallcases</t>
  </si>
  <si>
    <t>Quantity</t>
  </si>
  <si>
    <t>Average Cost â‚¹</t>
  </si>
  <si>
    <t>Portfolio Weight %</t>
  </si>
  <si>
    <t>LTP â‚¹</t>
  </si>
  <si>
    <t>Invested Value â‚¹</t>
  </si>
  <si>
    <t>Current Value â‚¹</t>
  </si>
  <si>
    <t>P &amp; L â‚¹</t>
  </si>
  <si>
    <t>Net Change %</t>
  </si>
  <si>
    <t>Daily Change â‚¹</t>
  </si>
  <si>
    <t>Daily Change %</t>
  </si>
  <si>
    <t>ASIANPAINT</t>
  </si>
  <si>
    <t>JIOFIN</t>
  </si>
  <si>
    <t>Smallcases</t>
  </si>
  <si>
    <t>Dividend Aristocrats</t>
  </si>
  <si>
    <t>-</t>
  </si>
  <si>
    <t>Fund Name</t>
  </si>
  <si>
    <t>AMC Name</t>
  </si>
  <si>
    <t>Category</t>
  </si>
  <si>
    <t>Sub-Category</t>
  </si>
  <si>
    <t>Plan Type</t>
  </si>
  <si>
    <t>Option Type</t>
  </si>
  <si>
    <t>NAV â‚¹</t>
  </si>
  <si>
    <t>Units</t>
  </si>
  <si>
    <t>Invested Amt â‚¹</t>
  </si>
  <si>
    <t>Weight %</t>
  </si>
  <si>
    <t>P&amp;L â‚¹</t>
  </si>
  <si>
    <t>P&amp;L %</t>
  </si>
  <si>
    <t>XIRR %</t>
  </si>
  <si>
    <t>Invested Since</t>
  </si>
  <si>
    <t>Aditya Birla SL MNC Fund</t>
  </si>
  <si>
    <t>Aditya Birla Sun Life AMC Limited</t>
  </si>
  <si>
    <t>Equity</t>
  </si>
  <si>
    <t>Thematic Fund - MNC</t>
  </si>
  <si>
    <t>Standard</t>
  </si>
  <si>
    <t>Growth</t>
  </si>
  <si>
    <t>Aditya Birla SL Multi-Cap Fund</t>
  </si>
  <si>
    <t>Multi Cap Fund</t>
  </si>
  <si>
    <t>HDFC Balanced Advantage Fund</t>
  </si>
  <si>
    <t>HDFC Asset Management Company Limited</t>
  </si>
  <si>
    <t>Hybrid</t>
  </si>
  <si>
    <t>Balanced Advantage Fund</t>
  </si>
  <si>
    <t>Kotak Mahindra Asset Management Company Limited</t>
  </si>
  <si>
    <t>Focused Fund</t>
  </si>
  <si>
    <t>Parag Parikh Flexi Cap Fund</t>
  </si>
  <si>
    <t>PPFAS Asset Management Pvt. Ltd.</t>
  </si>
  <si>
    <t>Nippon Life India Asset Management Limited</t>
  </si>
  <si>
    <t>FoFs - Gold</t>
  </si>
  <si>
    <t>Sectoral Fund - Pharma &amp; Health Care</t>
  </si>
  <si>
    <t>Nippon India Small Cap Fund</t>
  </si>
  <si>
    <t>Small Cap Fund</t>
  </si>
  <si>
    <t>Value Fund</t>
  </si>
  <si>
    <t>Total</t>
  </si>
  <si>
    <t>CBQ PURCHASE,336117630482,4010  0643XXXXXXX1710,MOWASALAT (KARWA) QPSC   DOHA,53584XXXXXXX0028 27/12 20.30</t>
  </si>
  <si>
    <t>NAPS PURCHASE,000001020028,4018  9387XXXXXXX6001,ACC AL5               DOHA,53584XXXXXXX0028 27/12 12.44,63409000000</t>
  </si>
  <si>
    <t>ELECTRON,AUTH 127043,TALABAT COM              QATAR,CARD NO 535849XXXXXX0028,23/12 QAR 32.000000000000</t>
  </si>
  <si>
    <t>TRANSFER TO OWN ACCOUNT,241223W04109,saving,VINEET KUMAR SARASWAT</t>
  </si>
  <si>
    <t>TRANSFER - CREDIT,241223L05528,Transfer From  4010XXXXX5001,AKSHIT WALIA</t>
  </si>
  <si>
    <t>SALARY TRANSFER,CDD 31224H012263,QCH6051926670000 QAR,QATAR AIRWAYS,2/SALA</t>
  </si>
  <si>
    <t>NAPS PURCHASE,000001548072,4018  1094XXXXXXX0105,HAMAD HOSPITAL        DOHA,53584XXXXXXX0028 19/12 12.56,63409000000</t>
  </si>
  <si>
    <t>NAPS PURCHASE,000001548071,4018  1093XXXXXXX0105,HAMAD HOSPITAL        DOHA,53584XXXXXXX0028 19/12 12.55,63409000000</t>
  </si>
  <si>
    <t>NAPS PURCHASE,000001536108,4018  0566XXXXXXX0105,HAMAD HOSPITAL        DOHA,53584XXXXXXX0028 10/12 15.22</t>
  </si>
  <si>
    <t>NAPS ATM,334116903993,4018  3074XXXXXXX0346,DUKHAN QATAR          DOHA,53584XXXXXXX0028 07/12 16.30</t>
  </si>
  <si>
    <t>CHEQUE PAID,000001000059,CBQ - OPS,OnUs- 1162XXXXXXX2012,RAWASI REAL ESTATE DEVELOPMENT</t>
  </si>
  <si>
    <t>TRANSFER - DEBIT,031223L05523,Term 2 Fee Viraaj Saraswat FS2 Myan,Oryx International School</t>
  </si>
  <si>
    <t>DEBIT STANDING ORDER,241123440001,4610193472115,,QAR/QAR/500</t>
  </si>
  <si>
    <t>CARD BILL PAYMENT,291123K04199,CARD NO 3643XXXXXX1825,Paid using bankDirect</t>
  </si>
  <si>
    <t>SALARY TRANSFER,CDD 31129H010166,QCH9568970790000 QAR,QATAR AIRWAYS,2/SALA</t>
  </si>
  <si>
    <t>ELECTRON,AUTH 488381,TALABAT COM              DOHA,CARD NO 5358491934720028,23/11 QAR 63.00  00  0</t>
  </si>
  <si>
    <t>ELECTRON,AUTH 102108,TALABAT COM              DOHA,CARD NO 5358491934720028,22/11 QAR 60.00  5 0 0</t>
  </si>
  <si>
    <t>TELEGRAPHIC TRANSFER REC,CDD 31123H011944,QCH8118070220000 QAR,QATAR AIRWAYS,29/TRAV,NOV23 DT ADVANCE</t>
  </si>
  <si>
    <t>NAPS ATM,332416195315,4018  0020XXXXXXX0346,DUKHAN QATAR          DOHA, 5358XXXXXXXX0028 20/11 16.35,63420000000</t>
  </si>
  <si>
    <t>TRANSFER - DEBIT,191123L12042,to akshit,Akshit Walia</t>
  </si>
  <si>
    <t>TRANSFER - DEBIT,191123L06384,Viraaj Saraswat FS2 Myanmar,Oryx International School</t>
  </si>
  <si>
    <t>TRANSFER - DEBIT,191123L06321,Viraaj Saraswat FS2 Myanmar,Oryx International School</t>
  </si>
  <si>
    <t>TRANSFER TO OWN ACCOUNT,101123W04373,saving,VINEET KUMAR SARASWAT</t>
  </si>
  <si>
    <t>CHEQUE PAID,000001000058,CBQ - OPS,OnUs- 1134XXXXXXX2068,RAWASI REAL ESTATE DEVELOPMENT</t>
  </si>
  <si>
    <t>TRANSFER - CREDIT,041123L14470,Previous Settlement,SAURABH SHARMA</t>
  </si>
  <si>
    <t>TELEGRAPHIC TRANSFER REC,CDD 31101H014006,QCH1890752904000 QAR,QATAR AIRWAYS,29/TRAV,OCT23 DT ADVANCE</t>
  </si>
  <si>
    <t>CBQ PURCHASE,330408000135,4010  0001XXXXXXX2301,PIZZA PAPA JOHNS         DOHA, 5358XXXXXXXX0028 31/10 11.37</t>
  </si>
  <si>
    <t>NAPS ATM,330414008409,4018  0038XXXXXXX0346,DUKHAN QATAR          DOHA, 5358XXXXXXXX0028 31/10 14.34,63420000000</t>
  </si>
  <si>
    <t>CARD BILL PAYMENT,311023K00770,CARD NO 3643XXXXXX1825,Paid using bankDirect</t>
  </si>
  <si>
    <t>CBQ PURCHASE,330315028376,4010  0283XXXXXXX3541,MANGO SUPERMARKET        DOHA, 5358XXXXXXXX0028 30/10 18.04</t>
  </si>
  <si>
    <t>CBQ PURCHASE,330314017916,4010  0179XXXXXXX6908,NEW INDIAN SUP MARKET    DOHA, 5358XXXXXXXX0028 30/10 17.42</t>
  </si>
  <si>
    <t>CBQ PURCHASE,330314003642,4010  0036XXXXXXX5008,BANGLE SELLER TRADING    DOHA, 5358XXXXXXXX0028 30/10 17.33</t>
  </si>
  <si>
    <t>SALARY TRANSFER,CDD 31030H009268,QCH1488033900000 QAR,QATAR AIRWAYS,2/SALA</t>
  </si>
  <si>
    <t>ELECTRON,AUTH 228850,TALABAT COM              DOHA,CARD NO 5358491934720028,25/10 QAR 65.00 00   0</t>
  </si>
  <si>
    <t>NAPS PURCHASE,000001265028,4018  0272XXXXXXX0139,LULU HYPER MARKET     DOHA, 5412XXXXXXXX6885 28/10 10.45,63409000000</t>
  </si>
  <si>
    <t>TRANSFER - DEBIT,221023L13084,Mesaieed Ground Bookind Dinesh,OMAR KASSIM MWARUA</t>
  </si>
  <si>
    <t>TRANSFER - CREDIT,221023L04110,Cricket,MOHAMMED KHASIM</t>
  </si>
  <si>
    <t>ELECTRON,AUTH 947965,UBER   TRIP             HELP.UBER.,CARD NO 4342041934720023,17/10 QAR 11.03  0 0 0</t>
  </si>
  <si>
    <t>ELECTRON,AUTH 281334,UBER   TRIP             HELP.UBER.,CARD NO 4342041934720023,17/10 QAR 9.15   0 0 0</t>
  </si>
  <si>
    <t>ATM CASH WITHDRAWAL,329214003272,4534  XXX272,COMM. BANK OF QATAR    DOHA, 4342XXXXXXXX0023 19/10 17.34</t>
  </si>
  <si>
    <t>CBQ PURCHASE,328707009539,4010  0095XXXXXXX2085,FLORANZA INTL. NURSERY   DOHA, 4642XXXXXXXX2661 14/10 10.50</t>
  </si>
  <si>
    <t>ELECTRON,AUTH 446633,TALABAT COM              QATAR,CARD NO 4342041934720023,04/10 QAR 76.50  5</t>
  </si>
  <si>
    <t>CHEQUE PAID,000001000057,CBQ - OPS,OnUs- 1112XXXXXXX2026,RAWASI REAL ESTATE DEVELOPMENT</t>
  </si>
  <si>
    <t>NAPS PURCHASE,033276031871,4018  0028XXXXXX2434,QPay Payment          TECHNICAL EN, 4342XXXXXXXX0023 03/10 10.35,63493000000</t>
  </si>
  <si>
    <t>NAPS PURCHASE,033276031629,4018  0243XXXXXX2434,QPay Payment          TECHNICAL EN, 4342XXXXXXXX0023 03/10 09.52,63493000000</t>
  </si>
  <si>
    <t>ELECTRON,AUTH 679863,UBER   TRIP             HELP.UBER.,CARD NO 4342041934720023,29/09 QAR 26.75  0</t>
  </si>
  <si>
    <t>TRANSFER TO OWN ACCOUNT,031023W00731,save,VINEET KUMAR SARASWAT</t>
  </si>
  <si>
    <t>ELECTRON,AUTH 983550,TALABAT COM              QATAR,CARD NO 4342041934720023,30/09 QAR 58.00  0</t>
  </si>
  <si>
    <t>ELECTRON,AUTH 241036,TALABAT COM              QATAR,CARD NO 4342041934720023,30/09 QAR 45.00  6</t>
  </si>
  <si>
    <t>ELECTRON,AUTH 019660,UBER   TRIP             HELP.UBER.,CARD NO 4342041934720023,28/09 QAR 19.98  0   0</t>
  </si>
  <si>
    <t>NAPS PURCHASE,000001012960,4018  0252XXXXXXX0910,CARREFOUR - WAKRA     DOHA, 4642XXXXXXXX2661 30/09 18.34,63409000000</t>
  </si>
  <si>
    <t>NAPS PURCHASE,000001109112,4018  0141XXXXXXX0301,APPAREL INTERNATIONAL DOHA, 4642XXXXXXXX2661 30/09 18.14,63409000000</t>
  </si>
  <si>
    <t>ELECTRON,AUTH 642312,UBER   TRIP             HELP.UBER.,CARD NO 4342041934720023,27/09 QAR 65.90  58 .00</t>
  </si>
  <si>
    <t>CARD BILL PAYMENT,290923K07491,CARD NO  3643XXXXXX1825,Paid using bankDirect</t>
  </si>
  <si>
    <t>CARD BILL PAYMENT,280923K11577,CARD NO 3643XXXXXX1825,Paid using bankDirect</t>
  </si>
  <si>
    <t>SALARY TRANSFER,CDD 30927H010901,QCH7968509020000 QAR,QATAR AIRWAYS,2/SALA</t>
  </si>
  <si>
    <t>ELECTRON,AUTH 839776,UBER   TRIP             HELP.UBER.,CARD NO 4342041934720023,24/09 QAR 15.78  00  0</t>
  </si>
  <si>
    <t>ELECTRON,AUTH 884690,UBER   TRIP             HELP.UBER.,CARD NO 4342041934720023,23/09 QAR 26.83  00  0</t>
  </si>
  <si>
    <t>ELECTRON,AUTH 818012,UBER TRIP HELP.UBER.COM help.uber.,CARD NO 4342041934720023,24/09 QAR 18.76  9   0</t>
  </si>
  <si>
    <t>ELECTRON,AUTH 534697,UBER TRIP HELP.UBER.COM help.uber.,CARD NO 4342041934720023,20/09 QAR 19.92  00  0</t>
  </si>
  <si>
    <t>NAPS ATM,326612008641,4018  0027XXXXXXX0325,DUKHAN QATAR          DOHA, 4342XXXXXXXX0023 23/09 12.32,63420000000</t>
  </si>
  <si>
    <t>ELECTRON,AUTH 865026,UBER TRIP HELP.UBER.COM help.uber.,CARD NO 4342041934720023,14/09 QAR 20.06  00  0</t>
  </si>
  <si>
    <t>ELECTRON,AUTH 800264,UBER TRIP HELP.UBER.COM help.uber.,CARD NO 4342041934720023,14/09 QAR 26.31  00  0</t>
  </si>
  <si>
    <t>TRANSFER TO OWN ACCOUNT,120923W04397,saving,VINEET KUMAR SARASWAT</t>
  </si>
  <si>
    <t>TRANSFER - CREDIT,050923L18509,OfficeParty,MOHAMMED KHASIM</t>
  </si>
  <si>
    <t>CHEQUE PAID,000001000056,CBQ - OPS,OnUs- 1086XXXXXXX2009,RAWASI REAL ESTATE DEVELOPMENT</t>
  </si>
  <si>
    <t>ELECTRON,AUTH 398107,UBER TRIP HELP.UBER.COM help.uber.,CARD NO 4342041934720023,02/09 QAR 27.08  4   0</t>
  </si>
  <si>
    <t>ELECTRON,AUTH 025871,UBER TRIP HELP.UBER.COM help.uber.,CARD NO 4342041934720023,31/08 QAR 19.88  7</t>
  </si>
  <si>
    <t>CARD BILL PAYMENT,020923K01566,CARD NO 3643XXXXXX1825,Paid using bankDirect</t>
  </si>
  <si>
    <t>NAPS PURCHASE,033242035090,4018  0147XXXXXX2434,QPay Payment          TECHNICAL EN, 4342XXXXXXXX0023 30/08 17.34,63493000000</t>
  </si>
  <si>
    <t>SALARY TRANSFER,CDD 30829H006587,QCH5177786200000 QAR,QATAR AIRWAYS,2/SALA</t>
  </si>
  <si>
    <t>NAPS ATM,323216553070,4018  0312XXXXXXX0346,DUKHAN QATAR          DOHA, 4342XXXXXXXX0023 20/08 16.46,63420000000</t>
  </si>
  <si>
    <t>ELECTRON,AUTH 449122,UBER   TRIP             HELP.UBER.,CARD NO 4342041934720023,16/08 QAR 21.64  0 0 0</t>
  </si>
  <si>
    <t>ELECTRON,AUTH 496101,UBER TRIP HELP.UBER.COM help.uber.,CARD NO 4342041934720023,16/08 QAR 20.98  0   0</t>
  </si>
  <si>
    <t>ELECTRON,AUTH 190636,UBER   TRIP             HELP.UBER.,CARD NO 4342041934720023,16/08 QAR 21.89 00   0</t>
  </si>
  <si>
    <t>ELECTRON,AUTH 686184,UBER   TRIP             HELP.UBER.,CARD NO 4342041934720023,16/08 QAR 21.79  0 0 0</t>
  </si>
  <si>
    <t>NAPS PURCHASE,000001373055,4018  0010XXXXXXX0106,ALRAYYAN CAR PARKING MDOHA, 4342XXXXXXXX0023 19/08 00.37,63409000000</t>
  </si>
  <si>
    <t>ELECTRON,AUTH 339455,UBER   TRIP             HELP.UBER.,CARD NO 4342041934720023,09/08 QAR 9.45   00 00</t>
  </si>
  <si>
    <t>ELECTRON,AUTH 472526,TALABAT COM              QATAR,CARD NO 4342041934720023,31/07 QAR 42.00  0</t>
  </si>
  <si>
    <t>NAPS ATM,321511152538,4018  0071XXXXXXX0346,DUKHAN QATAR          DOHA, 4342XXXXXXXX0023 03/08 11.59,63420000000</t>
  </si>
  <si>
    <t>NAPS PURCHASE,033211035281,4018  0010XXXXXX2434,QPay Payment          TECHNICAL EN, 4342XXXXXXXX0023 30/07 20.40,63493000000</t>
  </si>
  <si>
    <t>NAPS PURCHASE,000001060016,4018  0138XXXXXXX1202,THE COFFEE SHOP QR TOWDOHA, 4642XXXXXXXX2661 30/07 15.11,63409000000</t>
  </si>
  <si>
    <t>NAPS PURCHASE,000001059374,4018  0005XXXXXXX1202,THE COFFEE SHOP QR TOWDOHA, 4642XXXXXXXX2661 30/07 12.05,63409000000</t>
  </si>
  <si>
    <t>NAPS PURCHASE,033183035298,4018  0297XXXXXX2434,QPay Payment          TECHNICAL EN, 4342XXXXXXXX0023 02/07 08.57,63493000000</t>
  </si>
  <si>
    <t>UBER   * PENDING AMSTERDAM NLD AUTH NO. 003202</t>
  </si>
  <si>
    <t>UBER * PENDING VORDEN NLD AUTH NO. 010716</t>
  </si>
  <si>
    <t>MALKI FOOD CENTRE DOHA QAT AUTH NO. 006853</t>
  </si>
  <si>
    <t>MALKI FOOD CENTRE DOHA QAT AUTH NO. 000221</t>
  </si>
  <si>
    <t>UBER *TRIP HELP.UBER.C VORDEN NLD AUTH NO. 031944</t>
  </si>
  <si>
    <t>UBER   *TRIP HELP.UBER.COM NLD AUTH NO. 051874</t>
  </si>
  <si>
    <t>MALKI FOOD CENTRE DOHA QAT AUTH NO. 092961</t>
  </si>
  <si>
    <t>LULU HYPERMARKET DOHA 634 AUTH NO. 057643</t>
  </si>
  <si>
    <t>LULU HYPERMARKET DOHA 634 AUTH NO. 064512</t>
  </si>
  <si>
    <t>KALYAN JEWELLERS DOHA 634 AUTH NO. 094782</t>
  </si>
  <si>
    <t>TALABAT DOHA QAT AUTH NO. 033591</t>
  </si>
  <si>
    <t>UBER *TRIP HELP.UBER.C VORDEN NLD AUTH NO. 076265</t>
  </si>
  <si>
    <t>HAMAD HOSPITAL DOHA QAT AUTH NO. 045461</t>
  </si>
  <si>
    <t>UBER   *TRIP HELP.UBER.COM NLD AUTH NO. 090482</t>
  </si>
  <si>
    <t>AIR INDIA0982162846425 WWW.AIRINDIA. QAT AUTH NO. 098864</t>
  </si>
  <si>
    <t>SUPERMARKET MANGO DOHA QAT AUTH NO. 028745</t>
  </si>
  <si>
    <t>TALABAT DOHA QAT AUTH NO. 093655</t>
  </si>
  <si>
    <t>UBER   *TRIP HELP.UBER.COM NLD AUTH NO. 007900</t>
  </si>
  <si>
    <t>UBER   *TRIP HELP.UBER.COM NLD AUTH NO. 097418</t>
  </si>
  <si>
    <t>QALAA ISTANBUL REST DOHA QAT AUTH NO. 040557</t>
  </si>
  <si>
    <t>NEW INDIAN SUP MARKET DOHA 634 AUTH NO. 081603</t>
  </si>
  <si>
    <t>BANGLE SELLER TRADING DOHA 634 AUTH NO. 070317</t>
  </si>
  <si>
    <t>UBER   * PENDING AMSTERDAM NLD AUTH NO. 025382</t>
  </si>
  <si>
    <t>UBER *TRIP HELP.UBER.C VORDEN NLD AUTH NO. 072883</t>
  </si>
  <si>
    <t>UBER   *TRIP HELP.UBER.COM NLD AUTH NO. 025382</t>
  </si>
  <si>
    <t>UBER   *TRIP HELP.UBER.COM NLD AUTH NO. 057061</t>
  </si>
  <si>
    <t>UBER   *TRIP HELP.UBER.COM NLD AUTH NO. 000822</t>
  </si>
  <si>
    <t>UBER   *TRIP AMSTERDAM NLD AUTH NO. 015987</t>
  </si>
  <si>
    <t>UBER   *TRIP AMSTERDAM NLD AUTH NO. 044662</t>
  </si>
  <si>
    <t>UBER *TRIP HELP.UBER.C VORDEN NLD AUTH NO. 086558</t>
  </si>
  <si>
    <t>UBER   *TRIP HELP.UBER.COM NLD AUTH NO. 097625</t>
  </si>
  <si>
    <t>UBER   *TRIP HELP.UBER.COM NLD AUTH NO. 041316</t>
  </si>
  <si>
    <t>UBER *TRIP HELP.UBER.C VORDEN NLD AUTH NO. 075636</t>
  </si>
  <si>
    <t>UBER   *TRIP AMSTERDAM NLD AUTH NO. 090139</t>
  </si>
  <si>
    <t>UBER   *TRIP HELP.UBER.COM NLD AUTH NO. 033648</t>
  </si>
  <si>
    <t>UBER *TRIP HELP.UBER.C VORDEN NLD AUTH NO. 065652</t>
  </si>
  <si>
    <t>UBER *TRIP HELP.UBER.C VORDEN NLD AUTH NO. 052874</t>
  </si>
  <si>
    <t>UBER   *TRIP HELP.UBER.COM NLD AUTH NO. 004952</t>
  </si>
  <si>
    <t>UBER   *TRIP HELP.UBER.COM NLD AUTH NO. 040444</t>
  </si>
  <si>
    <t>UBER   *TRIP HELP.UBER.COM NLD AUTH NO. 049567</t>
  </si>
  <si>
    <t>UBER   *TRIP HELP.UBER.COM NLD AUTH NO. 068260</t>
  </si>
  <si>
    <t>UBER *TRIP HELP.UBER.C VORDEN NLD AUTH NO. 094107</t>
  </si>
  <si>
    <t>UBER *TRIP HELP.UBER.C VORDEN NLD AUTH NO. 005089</t>
  </si>
  <si>
    <t>UBER   *TRIP HELP.UBER.COM NLD AUTH NO. 028575</t>
  </si>
  <si>
    <t>SUPERMARKET MANGO DOHA QAT AUTH NO. 065938</t>
  </si>
  <si>
    <t>UBER   *TRIP HELP.UBER.COM NLD AUTH NO. 009054</t>
  </si>
  <si>
    <t>UBER   *TRIP HELP.UBER.COM NLD AUTH NO. 028671</t>
  </si>
  <si>
    <t>UBER *TRIP HELP.UBER.C VORDEN NLD AUTH NO. 049140</t>
  </si>
  <si>
    <t>UBER   *TRIP HELP.UBER.COM NLD AUTH NO. 090063</t>
  </si>
  <si>
    <t>UBER   *TRIP HELP.UBER.COM NLD AUTH NO. 026501</t>
  </si>
  <si>
    <t>UBER *TRIP HELP.UBER.C VORDEN NLD AUTH NO. 027194</t>
  </si>
  <si>
    <t>UBER   *TRIP HELP.UBER.COM NLD AUTH NO. 080360</t>
  </si>
  <si>
    <t>UBER   *TRIP HELP.UBER.COM NLD AUTH NO. 085888</t>
  </si>
  <si>
    <t>UBER   *TRIP HELP.UBER.COM NLD AUTH NO. 061571</t>
  </si>
  <si>
    <t>UBER   *TRIP HELP.UBER.COM NLD AUTH NO. 069608</t>
  </si>
  <si>
    <t>LULU HYPERMARKET DOHA QAT AUTH NO. 058437</t>
  </si>
  <si>
    <t>MANGO SUPERMARKET DOHA QAT AUTH NO. 073736</t>
  </si>
  <si>
    <t>KASHRI AL AMDA DOHA QAT AUTH NO. 075763</t>
  </si>
  <si>
    <t>KARAK STOP WLL DOHA QAT AUTH NO. 027890</t>
  </si>
  <si>
    <t>VIRGIN MEGASTORE MALL DOHA QAT AUTH NO. 099410</t>
  </si>
  <si>
    <t>HAMAD INTERNATIONAL AI DOHA QAT AUTH NO. 099502</t>
  </si>
  <si>
    <t>KARAK STOP WLL DOHA 634 AUTH NO. 088587</t>
  </si>
  <si>
    <t>QATAR INSURANCE COMPAN DOHA QAT AUTH NO. 063702</t>
  </si>
  <si>
    <t>OOREDOO TOP UP DOHA QAT AUTH NO. 011674</t>
  </si>
  <si>
    <t>OOREDOO BRANCH-HQ2 DOHA QAT AUTH NO. 054508</t>
  </si>
  <si>
    <t>NEW INDIAN SUP MARKET DOHA QAT AUTH NO. 029390</t>
  </si>
  <si>
    <t>TALABAT DOHA QAT AUTH NO. 082787</t>
  </si>
  <si>
    <t>APPAREL QATAR WLL DOHA QAT AUTH NO. 078786</t>
  </si>
  <si>
    <t>UBER   *TRIP HELP.UBER.COM NLD AUTH NO. 015657</t>
  </si>
  <si>
    <t>UBER   *TRIP HELP.UBER.COM NLD AUTH NO. 008381</t>
  </si>
  <si>
    <t>UBER   *TRIP HELP.UBER.COM NLD AUTH NO. 005840</t>
  </si>
  <si>
    <t>THE COFFEE SHOP QR TOW DOHA QAT AUTH NO. 018022</t>
  </si>
  <si>
    <t>TALABAT DOHA QAT AUTH NO. 009739</t>
  </si>
  <si>
    <t>MOWASALAT KARWA COMPAN DOHA QAT AUTH NO. 028796</t>
  </si>
  <si>
    <t>TAXI GOTEBORG GOTEBORG SWE AUTH NO. 041794</t>
  </si>
  <si>
    <t>JOEANDTHEJUICE LANDVETTER SWE AUTH NO. 069859</t>
  </si>
  <si>
    <t>PRALINEHUSET GÖTEBORG SWE AUTH NO. 039722</t>
  </si>
  <si>
    <t>OOREDOO TOP UP DOHA QAT AUTH NO. 038015</t>
  </si>
  <si>
    <t>OOREDOO TOP UP DOHA QAT AUTH NO. 022758</t>
  </si>
  <si>
    <t>TANDOORI KITCHEN NORDS GOTEBORG SWE AUTH NO. 000061</t>
  </si>
  <si>
    <t>LIDL GÖTEBORG SWE AUTH NO. 058170</t>
  </si>
  <si>
    <t>UBER   *TRIP HELP.UBER.COM NLD AUTH NO. 083950</t>
  </si>
  <si>
    <t>UBER   *TRIP HELP.UBER.COM NLD AUTH NO. 027262</t>
  </si>
  <si>
    <t>STAR BOWLING GA.TEBORG GA.TEBORG SWE AUTH NO. 014982</t>
  </si>
  <si>
    <t>CLAS OHLSON GOTEBORG SWE AUTH NO. 057884</t>
  </si>
  <si>
    <t>STADIUM OUTLET GOTEBORG SWE AUTH NO. 037002</t>
  </si>
  <si>
    <t>POTTAN - GÖTEBO GOTEBORG SWE AUTH NO. 024167</t>
  </si>
  <si>
    <t>FLODA JARNVAGSBUTIK AB FLODA SWE AUTH NO. 091134</t>
  </si>
  <si>
    <t>SUBWAY GOTEBORG CENTRA GOTEBORG SWE AUTH NO. 072283</t>
  </si>
  <si>
    <t>VÄSTTRAFIK NILS GOTEBORG SWE AUTH NO. 078438</t>
  </si>
  <si>
    <t>CLARIONCOLLECTIONH GOTHENBURG SWE AUTH NO. 038179</t>
  </si>
  <si>
    <t>UBER *TRIP HELP.UBER.C VORDEN NLD AUTH NO. 014713</t>
  </si>
  <si>
    <t>NEW INDIAN SUP MARKET DOHA QAT AUTH NO. 027495</t>
  </si>
  <si>
    <t>AL RAYES LAUNDRY DOHA QAT AUTH NO. 025392</t>
  </si>
  <si>
    <t>DESI CHAAT RESTAURANT DOHA QAT AUTH NO. 098326</t>
  </si>
  <si>
    <t>MAX DOHA 634 AUTH NO. 066203</t>
  </si>
  <si>
    <t>PRET-A-PORTRAIT LIMITE BUNTINGFORD GBR AUTH NO. 097272</t>
  </si>
  <si>
    <t>MANGO SUPERMARKET DOHA 634 AUTH NO. 017605</t>
  </si>
  <si>
    <t>UBER *TRIP HELP.UBER.C VORDEN NLD AUTH NO. 064825</t>
  </si>
  <si>
    <t>HAMAD HOSPITAL DOHA QAT AUTH NO. 018122</t>
  </si>
  <si>
    <t>UBER   *TRIP HELP.UBER.COM NLD AUTH NO. 083207</t>
  </si>
  <si>
    <t>WOQOD - AL THUMAMA PS DOHA 634 AUTH NO. 075995</t>
  </si>
  <si>
    <t>UBER   *TRIP HELP.UBER.COM NLD AUTH NO. 015143</t>
  </si>
  <si>
    <t>THE COFFEE SHOP QR TOW DOHA QAT AUTH NO. 076505</t>
  </si>
  <si>
    <t>UBER   *TRIP HELP.UBER.COM NLD AUTH NO. 088886</t>
  </si>
  <si>
    <t>NASEEM AL RABEEH MEDIC DOHA QAT AUTH NO. 079260</t>
  </si>
  <si>
    <t>MRA RESTAURANT BAKERY DOHA QAT AUTH NO. 029812</t>
  </si>
  <si>
    <t>BIKANERVALA RESTAURANT DOHA QAT AUTH NO. 086150</t>
  </si>
  <si>
    <t>NEW INDIAN SUP MARKET DOHA QAT AUTH NO. 052523</t>
  </si>
  <si>
    <t>THE COFFEE SHOP QR TOW DOHA QAT AUTH NO. 009065</t>
  </si>
  <si>
    <t>MALKI FOOD CENTRE DOHA QAT AUTH NO. 057971</t>
  </si>
  <si>
    <t>TALABAT DOHA QAT AUTH NO. 075320</t>
  </si>
  <si>
    <t>MANGO SUPERMARKET DOHA QAT AUTH NO. 038656</t>
  </si>
  <si>
    <t>MOWASALAT KARWA COMPAN DOHA QAT AUTH NO. 067255</t>
  </si>
  <si>
    <t>QATAR INSURANCE COMPAN DOHA QAT AUTH NO. 046325</t>
  </si>
  <si>
    <t>MOI MAIN NON DOHA QAT AUTH NO. 017151</t>
  </si>
  <si>
    <t>JTGEXPRESS HIA QATAR DOHA QAT AUTH NO. 091487</t>
  </si>
  <si>
    <t>UBER *TRIP HELP.UBER.C VORDEN NLD AUTH NO. 095913</t>
  </si>
  <si>
    <t>SAFARI BARWA VILLAGE DOHA QAT AUTH NO. 097672</t>
  </si>
  <si>
    <t>MOWASALAT KARWA COMPAN DOHA QAT AUTH NO. 053469</t>
  </si>
  <si>
    <t>WESTIN ALEXANDRIA ALEXANDRIA USA AUTH NO. 085951</t>
  </si>
  <si>
    <t>UBER   TRIP 8005928996 USA AUTH NO. 090177</t>
  </si>
  <si>
    <t>NAMASTE JALSA ALEXANDRIA USA AUTH NO. 017323</t>
  </si>
  <si>
    <t>I RELAX -MASSAGE DULLES USA AUTH NO. 060955</t>
  </si>
  <si>
    <t>WAL-MART #2194 ALEXANDRIA USA AUTH NO. 028082</t>
  </si>
  <si>
    <t>WAL-MART #2194 ALEXANDRIA USA AUTH NO. 010499</t>
  </si>
  <si>
    <t>WAL-MART #2194 ALEXANDRIA USA AUTH NO. 059603</t>
  </si>
  <si>
    <t>KOHL'S #0270 KINGSTOWNE USA AUTH NO. 006192</t>
  </si>
  <si>
    <t>STARBUCKS STORE 11824 ALEXANDRIA USA AUTH NO. 066548</t>
  </si>
  <si>
    <t>PANERA BREAD #607007 K ALEXANDRIA USA AUTH NO. 097376</t>
  </si>
  <si>
    <t>AMERICASNATLPARK305W WASHINGTON USA AUTH NO. 000640</t>
  </si>
  <si>
    <t>PANERA BREAD #607007 P ALEXANDRIA USA AUTH NO. 066219</t>
  </si>
  <si>
    <t>OOREDOO TOP UP DOHA QAT AUTH NO. 011939</t>
  </si>
  <si>
    <t>OOREDOO TOP UP DOHA QAT AUTH NO. 048680</t>
  </si>
  <si>
    <t>TST* MURPHY'S GRAND IR ALEXANDRIA USA AUTH NO. 008361</t>
  </si>
  <si>
    <t>QATAR E-GOVERNMENT DOHA QAT AUTH NO. 075193</t>
  </si>
  <si>
    <t>UBER   *TRIP HELP.UBER.COM NLD AUTH NO. 027033</t>
  </si>
  <si>
    <t>CARREFOUR - WAKRA DOHA QAT AUTH NO. 025043</t>
  </si>
  <si>
    <t>TALABAT DOHA QAT AUTH NO. 060450</t>
  </si>
  <si>
    <t>TALABAT DOHA QAT AUTH NO. 082595</t>
  </si>
  <si>
    <t>TALABAT DOHA QAT AUTH NO. 026049</t>
  </si>
  <si>
    <t>UBER *TRIP HELP.UBER.C VORDEN NLD AUTH NO. 037691</t>
  </si>
  <si>
    <t>AL RAYES LAUNDRY DOHA QAT AUTH NO. 006523</t>
  </si>
  <si>
    <t>LULU HYPERMARKET DOHA 634 AUTH NO. 031039</t>
  </si>
  <si>
    <t>TALABAT DOHA QAT AUTH NO. 014011</t>
  </si>
  <si>
    <t>KAILASH PARBAT RESTAUR DOHA QAT AUTH NO. 036686</t>
  </si>
  <si>
    <t>THE COFFEE SHOP QR TOW DOHA QAT AUTH NO. 064659</t>
  </si>
  <si>
    <t>TALABAT DOHA QAT AUTH NO. 006085</t>
  </si>
  <si>
    <t>ASTER HOSPITAL DOHA QAT AUTH NO. 066253</t>
  </si>
  <si>
    <t>DR.MOOPENS ASTER HOSPI DOHA QAT AUTH NO. 000306</t>
  </si>
  <si>
    <t>ASTER HOSPITAL DOHA 634 AUTH NO. 032883</t>
  </si>
  <si>
    <t>ASTER HOSPITAL DOHA 634 AUTH NO. 084700</t>
  </si>
  <si>
    <t>OOREDOO TOP UP DOHA QAT AUTH NO. 068221</t>
  </si>
  <si>
    <t>OOREDOO TOP UP DOHA QAT AUTH NO. 066766</t>
  </si>
  <si>
    <t>MALKI FOOD CENTRE DOHA QAT AUTH NO. 023945</t>
  </si>
  <si>
    <t>WOQOD - AL THUMAMA PS DOHA 634 AUTH NO. 038714</t>
  </si>
  <si>
    <t>TALABAT DOHA QAT AUTH NO. 018234</t>
  </si>
  <si>
    <t>MALKI FOOD CENTRE DOHA QAT AUTH NO. 013451</t>
  </si>
  <si>
    <t>THE COFFEE SHOP QR TOW DOHA QAT AUTH NO. 047972</t>
  </si>
  <si>
    <t>SIGNET UNIFORMS DOHA QAT AUTH NO. 079732</t>
  </si>
  <si>
    <t>UBER *TRIP HELP.UBER.C VORDEN NLD AUTH NO. 072020</t>
  </si>
  <si>
    <t>UBER   *TRIP HELP.UBER.COM NLD AUTH NO. 070604</t>
  </si>
  <si>
    <t>UBER   *TRIP HELP.UBER.COM NLD AUTH NO. 003384</t>
  </si>
  <si>
    <t>UBER   *TRIP HELP.UBER.COM NLD AUTH NO. 002788</t>
  </si>
  <si>
    <t>UBER   *TRIP HELP.UBER.COM NLD AUTH NO. 012952</t>
  </si>
  <si>
    <t>MANNAI TRADING CO WLL (VF DOHA 634 AUTH NO. 020450</t>
  </si>
  <si>
    <t>VFS GCC LLC DUBAI ARE AUTH NO. 018458</t>
  </si>
  <si>
    <t>THE COFFEE SHOP QR TOW DOHA QAT AUTH NO. 094323</t>
  </si>
  <si>
    <t>WISH BOX  TECHNOLOGY DOHA QAT AUTH NO. 035321</t>
  </si>
  <si>
    <t>R AND B KIDS EZDAN WAK DOHA QAT AUTH NO. 073326</t>
  </si>
  <si>
    <t>FUNVILLE DOHA QAT AUTH NO. 014836</t>
  </si>
  <si>
    <t>CARREFOUR - WAKRA DOHA QAT AUTH NO. 098483</t>
  </si>
  <si>
    <t>OOREDOO BILL PAYMENT DOHA QAT AUTH NO. 034695</t>
  </si>
  <si>
    <t>WISH BOX  TECHNOLOGY DOHA QAT AUTH NO. 041685</t>
  </si>
  <si>
    <t>MRA RESTAURANT BAKERY DOHA QAT AUTH NO. 018063</t>
  </si>
  <si>
    <t>TALABAT DOHA QAT AUTH NO. 014037</t>
  </si>
  <si>
    <t>BOMBAY CHOWPATTY FFC DOHA QAT AUTH NO. 068404</t>
  </si>
  <si>
    <t>WISH BOX  TECHNOLOGY DOHA QAT AUTH NO. 086485</t>
  </si>
  <si>
    <t>NOBLE HOUSE TRADING DOHA QAT AUTH NO. 002759</t>
  </si>
  <si>
    <t>DOMINO'S PIZZA DOHA QAT AUTH NO. 063640</t>
  </si>
  <si>
    <t>NEW INDIAN SUP MARKET DOHA QAT AUTH NO. 056802</t>
  </si>
  <si>
    <t>NEW INDIAN SUP MARKET DOHA QAT AUTH NO. 098076</t>
  </si>
  <si>
    <t>WOQOD - AL THUMAMA PS DOHA QAT AUTH NO. 035459</t>
  </si>
  <si>
    <t>VFS GCC LLC DUBAI ARE AUTH NO. 056763</t>
  </si>
  <si>
    <t>WISH BOX  TECHNOLOGY DOHA QAT AUTH NO. 026421</t>
  </si>
  <si>
    <t>BIKANERVALA RESTAURANT DOHA 634 AUTH NO. 089708</t>
  </si>
  <si>
    <t>BIKANERVALA RESTAURANT DOHA QAT AUTH NO. 007863</t>
  </si>
  <si>
    <t>BIKANERVALA RESTAURANT DOHA QAT AUTH NO. 037477</t>
  </si>
  <si>
    <t>MALKI FOOD CENTRE DOHA QAT AUTH NO. 080604</t>
  </si>
  <si>
    <t>TALABAT DOHA QAT AUTH NO. 022568</t>
  </si>
  <si>
    <t>MALKI FOOD CENTRE DOHA QAT AUTH NO. 031519</t>
  </si>
  <si>
    <t>TALABAT DOHA QAT AUTH NO. 042398</t>
  </si>
  <si>
    <t>WISH BOX  TECHNOLOGY DOHA QAT AUTH NO. 024072</t>
  </si>
  <si>
    <t>NEW INDIAN SUP MARKET DOHA QAT AUTH NO. 019512</t>
  </si>
  <si>
    <t>WISH BOX  TECHNOLOGY DOHA QAT AUTH NO. 044429</t>
  </si>
  <si>
    <t>MANGO SUPERMARKET DOHA QAT AUTH NO. 025004</t>
  </si>
  <si>
    <t>TALABAT DOHA QAT AUTH NO. 009240</t>
  </si>
  <si>
    <t>QALAA ISTANBUL REST DOHA QAT AUTH NO. 082152</t>
  </si>
  <si>
    <t>MALKI FOOD CENTRE DOHA QAT AUTH NO. 038069</t>
  </si>
  <si>
    <t>SAFARI MALL DOHA QAT AUTH NO. 064626</t>
  </si>
  <si>
    <t>GOOGLE *PLAYCO G.CO/HELPPAY# USA AUTH NO. 054412</t>
  </si>
  <si>
    <t>BBW- QATAR ECOMMERCE DOHA QAT AUTH NO. 090377</t>
  </si>
  <si>
    <t>THE COFFEE SHOP QR TOW DOHA QAT AUTH NO. 020972</t>
  </si>
  <si>
    <t>BIKANERVALA RESTAURANT DOHA QAT AUTH NO. 035028</t>
  </si>
  <si>
    <t>BIKANERVALA RESTAURANT DOHA QAT AUTH NO. 026117</t>
  </si>
  <si>
    <t>PIZZA HUT DOHA QAT AUTH NO. 006718</t>
  </si>
  <si>
    <t>LULU HYPER MARKET DOHA QAT AUTH NO. 017051</t>
  </si>
  <si>
    <t>BIKANERVALA RESTAURANT DOHA QAT AUTH NO. 050350</t>
  </si>
  <si>
    <t>LULU HYPER MARKET DOHA QAT AUTH NO. 076970</t>
  </si>
  <si>
    <t>LULU HYPER MARKET DOHA QAT AUTH NO. 054336</t>
  </si>
  <si>
    <t>WOQOD - AL THUMAMA PS DOHA 634 AUTH NO. 043800</t>
  </si>
  <si>
    <t>UBER *TRIP HELP.UBER.C VORDEN NLD AUTH NO. 069870</t>
  </si>
  <si>
    <t>THE COFFEE SHOP QR TOW DOHA QAT AUTH NO. 034546</t>
  </si>
  <si>
    <t>MALKI FOOD CENTRE DOHA QAT AUTH NO. 063878</t>
  </si>
  <si>
    <t>MOI - SERVICES ( QATAR DOHA QAT AUTH NO. 034985</t>
  </si>
  <si>
    <t>NOBLE HOUSE TRADING DOHA QAT AUTH NO. 028470</t>
  </si>
  <si>
    <t>NEW INDIAN SUP MARKET DOHA QAT AUTH NO. 081882</t>
  </si>
  <si>
    <t>NEW INDIAN SUP MARKET DOHA QAT AUTH NO. 008519</t>
  </si>
  <si>
    <t>HAMAD HOSPITAL DOHA QAT AUTH NO. 038257</t>
  </si>
  <si>
    <t>THE COFFEE SHOP QR TOW DOHA QAT AUTH NO. 033028</t>
  </si>
  <si>
    <t>LULU HYPERMARKET DOHA QAT AUTH NO. 014038</t>
  </si>
  <si>
    <t>WISH BOX  TECHNOLOGY DOHA QAT AUTH NO. 046163</t>
  </si>
  <si>
    <t>UBER *TRIP HELP.UBER.C VORDEN NLD AUTH NO. 089788</t>
  </si>
  <si>
    <t>UBER *TRIP HELP.UBER.C VORDEN NLD AUTH NO. 053321</t>
  </si>
  <si>
    <t>UBER *TRIP HELP.UBER.C VORDEN NLD AUTH NO. 024962</t>
  </si>
  <si>
    <t>UBER *TRIP HELP.UBER.C VORDEN NLD AUTH NO. 005648</t>
  </si>
  <si>
    <t>UBER *TRIP HELP.UBER.C VORDEN NLD AUTH NO. 039012</t>
  </si>
  <si>
    <t>UBER *TRIP HELP.UBER.C VORDEN NLD AUTH NO. 032595</t>
  </si>
  <si>
    <t>WISH BOX  TECHNOLOGY DOHA QAT AUTH NO. 027222</t>
  </si>
  <si>
    <t>WISH BOX  TECHNOLOGY DOHA QAT AUTH NO. 069161</t>
  </si>
  <si>
    <t>TALABAT DOHA QAT AUTH NO. 044737</t>
  </si>
  <si>
    <t>NEW INDIAN SUP MARKET DOHA QAT AUTH NO. 009004</t>
  </si>
  <si>
    <t>STARBUCKS DOHA QAT AUTH NO. 072313</t>
  </si>
  <si>
    <t>AL RAYES LAUNDRY DOHA QAT AUTH NO. 083868</t>
  </si>
  <si>
    <t>WISH BOX  TECHNOLOGY DOHA QAT AUTH NO. 027515</t>
  </si>
  <si>
    <t>WISH BOX  TECHNOLOGY DOHA QAT AUTH NO. 050550</t>
  </si>
  <si>
    <t>NEW INDIAN SUP MARKET DOHA QAT AUTH NO. 088632</t>
  </si>
  <si>
    <t>BIKANERVALA RESTAURANT DOHA 634 AUTH NO. 081352</t>
  </si>
  <si>
    <t>WISH BOX  TECHNOLOGY DOHA QAT AUTH NO. 022558</t>
  </si>
  <si>
    <t>WISH BOX  TECHNOLOGY DOHA QAT AUTH NO. 065913</t>
  </si>
  <si>
    <t>WOQOD - UMGHUWALINA  (DIA DOHA 634 AUTH NO. 063580</t>
  </si>
  <si>
    <t>TALABAT DOHA QAT AUTH NO. 049014</t>
  </si>
  <si>
    <t>NEW INDIAN SUP MARKET DOHA 634 AUTH NO. 002487</t>
  </si>
  <si>
    <t>TALABAT DOHA QAT AUTH NO. 084321</t>
  </si>
  <si>
    <t>WISH BOX  TECHNOLOGY DOHA QAT AUTH NO. 069035</t>
  </si>
  <si>
    <t>WISH BOX  TECHNOLOGY DOHA QAT AUTH NO. 022874</t>
  </si>
  <si>
    <t>NEW INDIAN SUP MARKET DOHA QAT AUTH NO. 074836</t>
  </si>
  <si>
    <t>WISH BOX  TECHNOLOGY DOHA QAT AUTH NO. 009617</t>
  </si>
  <si>
    <t>PAPA JOHNS OLD AIRPORT DOHA QAT AUTH NO. 075382</t>
  </si>
  <si>
    <t>NEW INDIAN SUP MARKET DOHA QAT AUTH NO. 053163</t>
  </si>
  <si>
    <t>TALABAT DOHA QAT AUTH NO. 091046</t>
  </si>
  <si>
    <t>HOTEL MARINHA KATHMANDU NPL AUTH NO. 023427</t>
  </si>
  <si>
    <t>WISH BOX  TECHNOLOGY DOHA QAT AUTH NO. 079758</t>
  </si>
  <si>
    <t>WISH BOX  TECHNOLOGY DOHA QAT AUTH NO. 039761</t>
  </si>
  <si>
    <t>CGI FEDERAL INC DOHA 634 AUTH NO. 019649</t>
  </si>
  <si>
    <t>WISH BOX  TECHNOLOGY DOHA QAT AUTH NO. 089704</t>
  </si>
  <si>
    <t>AL RAYES LAUNDRY DOHA QAT AUTH NO. 038086</t>
  </si>
  <si>
    <t>HAMAD HOSPITAL DOHA QAT AUTH NO. 088823</t>
  </si>
  <si>
    <t>WOQOD AL THUMAMA PS DOHA QAT AUTH NO. 021947</t>
  </si>
  <si>
    <t>PAPA JOHNS MALL OF QAT DOHA QAT AUTH NO. 077498</t>
  </si>
  <si>
    <t>NEW INDIAN SUP MARKET DOHA QAT AUTH NO. 070333</t>
  </si>
  <si>
    <t>TALABAT DOHA QAT AUTH NO. 028869</t>
  </si>
  <si>
    <t>WISH BOX  TECHNOLOGY DOHA QAT AUTH NO. 056739</t>
  </si>
  <si>
    <t>QALAA ISTANBUL REST DOHA QAT AUTH NO. 032252</t>
  </si>
  <si>
    <t>ALBATRA RESTAURANT DOHA QAT AUTH NO. 067770</t>
  </si>
  <si>
    <t>LULU HYPERMARKET DOHA 634 AUTH NO. 027921</t>
  </si>
  <si>
    <t>THE VILLAGE  SOUQ WAQI DOHA QAT AUTH NO. 027969</t>
  </si>
  <si>
    <t>MANGO SUPERMARKET DOHA QAT AUTH NO. 036596</t>
  </si>
  <si>
    <t>QALAA ISTANBUL REST DOHA QAT AUTH NO. 025215</t>
  </si>
  <si>
    <t>MANGO SUPERMARKET DOHA QAT AUTH NO. 052434</t>
  </si>
  <si>
    <t>BIKANERVALA RESTAURANT DOHA QAT AUTH NO. 088973</t>
  </si>
  <si>
    <t>WISH BOX  TECHNOLOGY DOHA QAT AUTH NO. 091207</t>
  </si>
  <si>
    <t>WISH BOX  TECHNOLOGY DOHA QAT AUTH NO. 066832</t>
  </si>
  <si>
    <t>WOQOD UMGHUWALINA PS D DOHA QAT AUTH NO. 048322</t>
  </si>
  <si>
    <t>LULU HYPER MARKET DOHA QAT AUTH NO. 048132</t>
  </si>
  <si>
    <t>R AND B KIDS EZDAN WAK DOHA QAT AUTH NO. 072528</t>
  </si>
  <si>
    <t>WISH BOX  TECHNOLOGY DOHA QAT AUTH NO. 074454</t>
  </si>
  <si>
    <t>UBER *TRIP HELP.UBER.C VORDEN NLD AUTH NO. 093559</t>
  </si>
  <si>
    <t>WISH BOX  TECHNOLOGY DOHA QAT AUTH NO. 058815</t>
  </si>
  <si>
    <t>UBER   *TRIP HELP.UBER.COM NLD AUTH NO. 038064</t>
  </si>
  <si>
    <t>UBER   *TRIP HELP.UBER.COM NLD AUTH NO. 011866</t>
  </si>
  <si>
    <t>LULU HYPERMARKET DOHA QA AUTH NO. 092671</t>
  </si>
  <si>
    <t>OOREDOO DOHA QA AUTH NO. 064980</t>
  </si>
  <si>
    <t>VODAFONE DOHA QA AUTH NO. 053123</t>
  </si>
  <si>
    <t>KAHRAMAA BANKDIRECT IVR P DOHA QA AUTH NO. 030846</t>
  </si>
  <si>
    <t>MAX DOHA 634 AUTH NO. 096743</t>
  </si>
  <si>
    <t>LULU HYPERMARKET DOHA 634 AUTH NO. 071028</t>
  </si>
  <si>
    <t>VODAFONE DOHA QA AUTH NO. 092279</t>
  </si>
  <si>
    <t>OOREDOO DOHA QA AUTH NO. 083640</t>
  </si>
  <si>
    <t>KAHRAMAA BANKDIRECT IVR P DOHA QA AUTH NO. 028791</t>
  </si>
  <si>
    <t>LULU HYPERMARKET DOHA 634 AUTH NO. 039319</t>
  </si>
  <si>
    <t>LULU HYPERMARKET DOHA 634 AUTH NO. 013883</t>
  </si>
  <si>
    <t>RADISSON BLU HOTEL DOHA DOHA 634 AUTH NO. 035362</t>
  </si>
  <si>
    <t>RADISSON BLU HOTEL DOHA DOHA 634 AUTH NO. 070511</t>
  </si>
  <si>
    <t>SIGNET UNIFORMS DOHA 634 AUTH NO. 028902</t>
  </si>
  <si>
    <t>OOREDOO DOHA QA AUTH NO. 034672</t>
  </si>
  <si>
    <t>VODAFONE DOHA QA AUTH NO. 029510</t>
  </si>
  <si>
    <t>KAHRAMAA BANKDIRECT IVR P DOHA QA AUTH NO. 074740</t>
  </si>
  <si>
    <t>OOREDOO DOHA QA AUTH NO. 098820</t>
  </si>
  <si>
    <t>KAHRAMAA BANKDIRECT IVR P DOHA QA AUTH NO. 024401</t>
  </si>
  <si>
    <t>VODAFONE DOHA QA AUTH NO. 093007</t>
  </si>
  <si>
    <t>NEW INDIAN SUP MARKET DOHA 634 AUTH NO. 072715</t>
  </si>
  <si>
    <t>OOREDOO DOHA QA AUTH NO. 027305</t>
  </si>
  <si>
    <t>NEW INDIAN SUP MARKET DOHA 634 AUTH NO. 069897</t>
  </si>
  <si>
    <t>LULU HYPERMARKET DOHA 634 AUTH NO. 086927</t>
  </si>
  <si>
    <t>PIZZA HUT DOHA 634 AUTH NO. 022088</t>
  </si>
  <si>
    <t>SHAMIANA DOHA 634 AUTH NO. 043474</t>
  </si>
  <si>
    <t>REDROSE</t>
  </si>
  <si>
    <t>HAMAD</t>
  </si>
  <si>
    <t>To Akshit</t>
  </si>
  <si>
    <t>KARWA</t>
  </si>
  <si>
    <t>SAURABH</t>
  </si>
  <si>
    <t>PERSONAL</t>
  </si>
  <si>
    <t>INDIGO</t>
  </si>
  <si>
    <t>FROM AKSHIT</t>
  </si>
  <si>
    <t>AMIT TICKET</t>
  </si>
  <si>
    <t>KHASIM</t>
  </si>
  <si>
    <t>APPAREL INTERNATIONAL</t>
  </si>
  <si>
    <t>Pravsh</t>
  </si>
  <si>
    <t>INSURANCE</t>
  </si>
  <si>
    <t>GOT</t>
  </si>
  <si>
    <t>PRET</t>
  </si>
  <si>
    <t>WESTIN</t>
  </si>
  <si>
    <t>WALMART</t>
  </si>
  <si>
    <t>KOHL'S</t>
  </si>
  <si>
    <t>PLANTS</t>
  </si>
  <si>
    <t>FLORANZA</t>
  </si>
  <si>
    <t>PARKING</t>
  </si>
  <si>
    <t xml:space="preserve">QALA </t>
  </si>
  <si>
    <t>VIRGIN</t>
  </si>
  <si>
    <t>SIGNET</t>
  </si>
  <si>
    <t>VFS</t>
  </si>
  <si>
    <t>FUNVILLE</t>
  </si>
  <si>
    <t>NOBLE HOUSE</t>
  </si>
  <si>
    <t>BBW</t>
  </si>
  <si>
    <t>KTM</t>
  </si>
  <si>
    <t>USA</t>
  </si>
  <si>
    <t>NOVO</t>
  </si>
  <si>
    <t>KAHRAMAA</t>
  </si>
  <si>
    <t>REDISSON</t>
  </si>
  <si>
    <t>HINDUNILVR.NS</t>
  </si>
  <si>
    <t>INFY.NS</t>
  </si>
  <si>
    <t>PERSISTENT.NS</t>
  </si>
  <si>
    <t>PIDILITIND.NS</t>
  </si>
  <si>
    <t>Tata Gold ETF Fund of Fund</t>
  </si>
  <si>
    <t>CBQ PURCHASE,408918005035,4010  5812XXXXXXX2890,WELLCARE PHARMACY MADINATDOHA,53584XXXXXXX0028 29/03 21.49</t>
  </si>
  <si>
    <t>TRANSFER TO OWN ACCOUNT,280324W09371,Transfer To  4700XXXXX2115,VINEET KUMAR SARASWAT</t>
  </si>
  <si>
    <t>SALARY TRANSFER,CDD 40326H008881,QCH4048366830000 QAR,QATAR AIRWAYS,2/SALA</t>
  </si>
  <si>
    <t>NAPS PURCHASE,034076738225,4018  6708XXXXXX2434,Ooredoo Money          doha,53584XXXXXXX0028 16/03 18.50,63493000000</t>
  </si>
  <si>
    <t>NAPS PURCHASE,034076738042,4018  6694XXXXXX2434,Ooredoo Money          doha,53584XXXXXXX0028 16/03 18.43,63493000000</t>
  </si>
  <si>
    <t>TRANSFER - DEBIT,150324L01819,to dinesh,Dinesh Sharma</t>
  </si>
  <si>
    <t>NAPS PURCHASE,000001051082,4018  2392XXXXXXX0901,CARREFOUR - WAKRA     DOHA,53584XXXXXXX0028 14/03 18.09,63409000000</t>
  </si>
  <si>
    <t>CBQ PURCHASE,407115003779,4010  6180XXXXXXX2808,LULU HYPERMARKET         DOHA,53584XXXXXXX0028 11/03 18.34</t>
  </si>
  <si>
    <t>NAPS PURCHASE,406903392287,4018  9694XXXXXXX1101,METRO RESTAURANT WLL     DOHA,53584XXXXXXX0028 09/03 06.38,63405000000</t>
  </si>
  <si>
    <t>CBQ PURCHASE,406713026510,4010  5380XXXXXXX5395,WOQOD - UMGHUWALINA  (DIADOHA,53584XXXXXXX0028 07/03 16.34</t>
  </si>
  <si>
    <t>CHEQUE PAID,000001000062,CBQ - OPS,OnUs- 1234XXXXXXX2010,RAWASI REAL ESTATE DEVELOPMENT</t>
  </si>
  <si>
    <t>NAPS PURCHASE,000001152036,4018  2365XXXXXXX0101,DESI CHAAT RESTAURANT DOHA,53584XXXXXXX0028 02/03 18.47,63409000000</t>
  </si>
  <si>
    <t>CBQ PURCHASE,406216043521,4010  2490XXXXXXX3541,MANGO SUPERMARKET        DOHA,53584XXXXXXX0028 02/03 19.21</t>
  </si>
  <si>
    <t>CBQ PURCHASE,406215008922,4010  2394XXXXXXX3097,GHASHAM INTERNATIONAL W.LDOHA,53584XXXXXXX0028 02/03 18.55</t>
  </si>
  <si>
    <t>CBQ PURCHASE,406207012558,4010  0865XXXXXXX2581,CARIBOU COFFEE           DOHA,53584XXXXXXX0028 02/03 10.01</t>
  </si>
  <si>
    <t>NAPS PURCHASE,406110013509,4018  8473XXXXXXX0541,EXIT FIFTY FIVE EVENTSOHDOHA,53584XXXXXXX0028 01/03 13.58,63417000000</t>
  </si>
  <si>
    <t>CBQ PURCHASE,406003043147,4010  4354XXXXXXX3541,MANGO SUPERMARKET        DOHA,53584XXXXXXX0028 29/02 06.08</t>
  </si>
  <si>
    <t>CBQ PURCHASE,405913003252,4010  2857XXXXXXX7894,PARTY KINGDOM            DOHA,53584XXXXXXX0028 28/02 16.59</t>
  </si>
  <si>
    <t>CBQ PURCHASE,405816003288,4010  0741XXXXXXX2829,LULU HYPERMARKET         DOHA,53584XXXXXXX0028 27/02 19.59</t>
  </si>
  <si>
    <t>CBQ PURCHASE,405816009602,4010  0646XXXXXXX2828,LULU HYPERMARKET         DOHA,53584XXXXXXX0028 27/02 19.30</t>
  </si>
  <si>
    <t>CBQ PURCHASE,405816003913,4010  0637XXXXXXX2827,LULU HYPERMARKET         DOHA,53584XXXXXXX0028 27/02 19.27</t>
  </si>
  <si>
    <t>TRANSFER TO OWN ACCOUNT,270224W00459,saving,VINEET KUMAR SARASWAT</t>
  </si>
  <si>
    <t>CARD BILL PAYMENT,270224K00524,CARD NO 3643XXXXXX1825,Paid using bankDirect</t>
  </si>
  <si>
    <t>SALARY TRANSFER,CDD 40226H011179,QCH1898229789000 QAR,QATAR AIRWAYS,2/SALA</t>
  </si>
  <si>
    <t>CBQ PURCHASE,405614024900,4010  5455XXXXXXX5395,WOQOD - UMGHUWALINA  (DIADOHA,53584XXXXXXX0028 25/02 17.03</t>
  </si>
  <si>
    <t>TRANSFER - DEBIT,240224L01551,Annual Seat Reserve Viraaj Saraswat,Oryx International School</t>
  </si>
  <si>
    <t>NAPS PURCHASE,405217707376,4018  6981XXXXXX8874,MALKI FOOD CENTRE     DOHDOHA,53584XXXXXXX0028 21/02 20.34,63408000000</t>
  </si>
  <si>
    <t>NAPS PURCHASE,034045037364,4018  9609XXXXXX2434,QPay Payment          TECHNICAL EN,53584XXXXXXX0028 14/02 10.40,63493000000</t>
  </si>
  <si>
    <t>NAPS PURCHASE,000001006892,4018  4583XXXXXXX5327,PARKING MEDICAL CITY KDOHA,53584XXXXXXX0028 12/02 09.55,63409000000</t>
  </si>
  <si>
    <t>NAPS PURCHASE,000001050004,4018  4425XXXXXXX6001,ACC AL5               DOHA,53584XXXXXXX0028 12/02 08.10,63409000000</t>
  </si>
  <si>
    <t>NAPS PURCHASE,000001737175,4018  2826XXXXXXX0103,HAMAD HOSPITAL        DOHA,53584XXXXXXX0028 11/02 14.22,63409000000</t>
  </si>
  <si>
    <t>NAPS PURCHASE,000001188010,4018  9650XXXXXXX0109,HAMAD INTERNATIONAL AIDOHA,53584XXXXXXX0028 10/02 07.06,63409000000</t>
  </si>
  <si>
    <t>CHEQUE PAID,000001000061,CBQ - OPS,OnUs- 1204XXXXXXX2030,RAWASI REAL ESTATE DEVELOPMENT</t>
  </si>
  <si>
    <t>CBQ PURCHASE,403814021921,4010  3057XXXXXXX5393,WOQOD - UMGHUWALINA  (DIADOHA,53584XXXXXXX0028 07/02 17.00</t>
  </si>
  <si>
    <t>CBQ PURCHASE,403716009755,4010  0997XXXXXXX0304,CENTREPOINT              DOHA,53584XXXXXXX0028 06/02 19.25</t>
  </si>
  <si>
    <t>CBQ PURCHASE,403716009086,4010  0956XXXXXXX0314,MAX                      DOHA,53584XXXXXXX0028 06/02 19.12</t>
  </si>
  <si>
    <t>NAPS PURCHASE,403414394200,4018  3045XXXXXX8874,MALKI FOOD CENTRE     DOHDOHA,53584XXXXXXX0028 03/02 17.36,63408000000</t>
  </si>
  <si>
    <t>CBQ PURCHASE,403310034245,4010  9629XXXXXXX1091,BIKANERVALA RESTAURANT   DOHA,53584XXXXXXX0028 02/02 13.21</t>
  </si>
  <si>
    <t>CBQ PURCHASE,403306042771,4010  9257XXXXXXX5554,WOQOD - AL THUMAMA SIDRA DOHA,53584XXXXXXX0028 02/02 09.54</t>
  </si>
  <si>
    <t>NAPS PURCHASE,000001157004,4018  5996XXXXXXX0102,SUPERMARKET MANGO     DOHA,53584XXXXXXX0028 01/02 07.10,63409000000</t>
  </si>
  <si>
    <t>CARD BILL PAYMENT,310124K07018,CARD NO 3643XXXXXX1825,Paid using bankDirect</t>
  </si>
  <si>
    <t>NAPS PURCHASE,000001033020,4018  2384XXXXXXX0104,SUPERMARKET MANGO     DOHA,53584XXXXXXX0028 30/01 19.59,63409000000</t>
  </si>
  <si>
    <t>ELECTRON,AUTH 615792,TALABAT COM              QATAR,CARD NO 535849XXXXXX0028,28/01 QAR 103.200000000000</t>
  </si>
  <si>
    <t>TRANSFER - CREDIT,290124L02930,GothenburgNov23,WALES MATHEW</t>
  </si>
  <si>
    <t>CBQ PURCHASE,402815016047,4010  6836XXXXXXX2525,BIKANERVALA RESTAURANT   DOHA,53584XXXXXXX0028 28/01 18.17</t>
  </si>
  <si>
    <t>CBQ PURCHASE,402815124274,4010  6797XXXXXXX1238,NEW INDIAN SUP MARKET    DOHA,53584XXXXXXX0028 28/01 18.06</t>
  </si>
  <si>
    <t>NAPS PURCHASE,014026455404,4018  0916XXXXXXX2001,QATAR INSURANCE COMPANYdoha,53584XXXXXXX0028 26/01 10.39,63493000000</t>
  </si>
  <si>
    <t>SALARY TRANSFER,CDD 40125H008716,QCH1897753351000 QAR,QATAR AIRWAYS,2/SALA,LEAVE DEDUCTION</t>
  </si>
  <si>
    <t>CBQ PURCHASE,402312006001,4010  4656XXXXXXX6379,FAHES- Wakra             DOHA,53584XXXXXXX0028 23/01 15.32</t>
  </si>
  <si>
    <t>ELECTRON,AUTH 037494,VIRTUALSERVER            BASILDON,CARD NO 535849XXXXXX0028,15/01 USD 3.000000000000</t>
  </si>
  <si>
    <t>ELECTRON,AUTH 147979,TALABAT COM              QATAR,CARD NO 535849XXXXXX0028,13/01 QAR 84.000000000000</t>
  </si>
  <si>
    <t>TRANSFER - DEBIT,090124L11220,Viraaj Saraswat MIA Park Picnic,Oryx International School</t>
  </si>
  <si>
    <t>CHEQUE PAID,000001000060,CBQ - OPS,OnUs- 1185XXXXXXX2028,RAWASI REAL ESTATE DEVELOPMENT</t>
  </si>
  <si>
    <t>TRANSFER TO OWN ACCOUNT,050124W05780,Arti Savings,VINEET KUMAR SARASWAT</t>
  </si>
  <si>
    <t>TRANSFER TO OWN ACCOUNT,030124W06661,Transfer To  4700XXXXX2115,VINEET KUMAR SARASWAT</t>
  </si>
  <si>
    <t>TRANSFER - CREDIT,030124L19190,Transfer From  4010XXXXX5001,DINESH  SHARMA</t>
  </si>
  <si>
    <t>TRANSFER - DEBIT,030124L10092,Viraaj Saraswat FS2-MYANMAR,New Image Building Services Gulf St</t>
  </si>
  <si>
    <t>TELEGRAPHIC TRANSFER REC,CDD 40102H018494,QCH1405013215000 QAR,AL-KOOT INSURANCE REINSURANCE CO,19/PFLB,G0PYMENTS</t>
  </si>
  <si>
    <t>ELECTRON,AUTH 326973,TALABAT COM              QATAR,CARD NO 535849XXXXXX0028,31/12 QAR 118.000000000000</t>
  </si>
  <si>
    <t>NAPS PURCHASE,000001163016,4018  0729XXXXXXX0903,CARREFOUR - WAKRA     DOHA,53584XXXXXXX0028 31/12 15.57,63409000000</t>
  </si>
  <si>
    <t>NAPS PURCHASE,013365010896,4018  XXX544 31,QPay Payment          LOCAET,53584XXXXXXX0028 31/12 13.01,63493000000</t>
  </si>
  <si>
    <t>CARD BILL PAYMENT,311223K07894,CARD NO 3643XXXXXX1825,Paid using bankDirect</t>
  </si>
  <si>
    <t>CBQ PURCHASE,336513001827,4010  0771XXXXXXX2353,PIZZA PAPA JOHNS         DOHA,53584XXXXXXX0028 31/12 16.12</t>
  </si>
  <si>
    <t>CBQ PURCHASE,336512015348,4010  0624XXXXXXX6740,FUNVILLE                 DOHA,53584XXXXXXX0028 31/12 15.18</t>
  </si>
  <si>
    <t>CBQ PURCHASE,336508010169,4010  0069XXXXXXX8646,NEW INDIAN SUP MARKET    DOHA,53584XXXXXXX0028 31/12 11.44</t>
  </si>
  <si>
    <t>NAPS PURCHASE,033364039935,4018  7175XXXXXX2434,QPay Payment          TECHNICAL EN,53584XXXXXXX0028 30/12 10.19,63493000000</t>
  </si>
  <si>
    <t>NAPS PURCHASE,336407784085,4018  7166XXXXXX8874,MALKI FOOD CENTRE     DOHDOHA,53584XXXXXXX0028 30/12 10.13,63408000000</t>
  </si>
  <si>
    <t>CARD BILL PAYMENT,301223K02462,CARD NO 3643XXXXXX5676,Paid using bankDirect</t>
  </si>
  <si>
    <t>CARD BILL PAYMENT,291223K05446,CARD NO 3643XXXXXX1825,Paid using bankDirect</t>
  </si>
  <si>
    <t>NAPS PURCHASE,000001947006,4018  1800XXXXXXX3601,ACC SPH 5F1           DOHA,53584XXXXXXX0028 28/12 11.53,63409000000</t>
  </si>
  <si>
    <t>NAPS PURCHASE,000001583059,4018  1756XXXXXXX5705,ACC POG               DOHA,53584XXXXXXX0028 28/12 11.34,63409000000</t>
  </si>
  <si>
    <t>AMAZON.COM AMZN.COM/BILU SA AUTH NO. 081647</t>
  </si>
  <si>
    <t>OOREDOO DOHA QA AUTH NO. 045803</t>
  </si>
  <si>
    <t>MANGO SUPERMARKET DOHA 634 AUTH NO. 020289</t>
  </si>
  <si>
    <t>LULU HYPERMARKET DOHA 634 AUTH NO. 062047</t>
  </si>
  <si>
    <t>VODAFONE DOHA QA AUTH NO. 017418</t>
  </si>
  <si>
    <t>KAHRAMAA BANKDIRECT IVR P DOHA QA AUTH NO. 007815</t>
  </si>
  <si>
    <t>OOREDOO DOHA QA AUTH NO. 057058</t>
  </si>
  <si>
    <t>VODAFONE DOHA QA AUTH NO. 059557</t>
  </si>
  <si>
    <t>ASTER HOSPITAL DOHA 634 AUTH NO. 082235</t>
  </si>
  <si>
    <t>IKEA DOHA 634 AUTH NO. 003070</t>
  </si>
  <si>
    <t>VODAFONE DOHA QA AUTH NO. 020354</t>
  </si>
  <si>
    <t>KAHRAMAA BANKDIRECT IVR P DOHA QA AUTH NO. 029566</t>
  </si>
  <si>
    <t>HAMAD PORT VISITOR CENTRE DOHA 634 AUTH NO. 064243</t>
  </si>
  <si>
    <t>UBER   *TRIP HELP.UBER.COM NLD AUTH NO. 074575</t>
  </si>
  <si>
    <t>UBER   *TRIP HELP.UBER.COM NLD AUTH NO. 055697</t>
  </si>
  <si>
    <t>UBER *TRIP HELP.UBER.C VORDEN NLD AUTH NO. 007179</t>
  </si>
  <si>
    <t>JARIR BOOKSTORE DOHA QAT AUTH NO. 009906</t>
  </si>
  <si>
    <t>OOREDOO TOP UP DOHA QAT AUTH NO. 095353</t>
  </si>
  <si>
    <t>OOREDOO TOP UP DOHA QAT AUTH NO. 078701</t>
  </si>
  <si>
    <t>TALABAT DOHA QAT AUTH NO. 010418</t>
  </si>
  <si>
    <t>WOQOD - AL THUMAMA PS DOHA QAT AUTH NO. 047676</t>
  </si>
  <si>
    <t>UBER   *TRIP HELP.UBER.COM NLD AUTH NO. 037326</t>
  </si>
  <si>
    <t>UBER *TRIP HELP.UBER.C VORDEN NLD AUTH NO. 098537</t>
  </si>
  <si>
    <t>TEA TIME HOSPITALITY A DOHA QAT AUTH NO. 004096</t>
  </si>
  <si>
    <t>DETOX NATURAL DOHA QAT AUTH NO. 066536</t>
  </si>
  <si>
    <t>UBER *TRIP HELP.UBER.C VORDEN NLD AUTH NO. 084225</t>
  </si>
  <si>
    <t>UBER *TRIP HELP.UBER.C VORDEN NLD AUTH NO. 066766</t>
  </si>
  <si>
    <t>LULU HYPERMARKET DOHA QAT AUTH NO. 059061</t>
  </si>
  <si>
    <t>LULU HYPERMARKET DOHA QAT AUTH NO. 023370</t>
  </si>
  <si>
    <t>TALABAT DOHA QAT AUTH NO. 040121</t>
  </si>
  <si>
    <t>NEW INDIAN SUP MARKET DOHA QAT AUTH NO. 023337</t>
  </si>
  <si>
    <t>MALKI FOOD CENTRE DOHA QAT AUTH NO. 013873</t>
  </si>
  <si>
    <t>SUPERMARKET MANGO DOHA QAT AUTH NO. 049963</t>
  </si>
  <si>
    <t>MANGO SUPERMARKET DOHA QAT AUTH NO. 020332</t>
  </si>
  <si>
    <t>MALKI FOOD CENTRE DOHA QAT AUTH NO. 007781</t>
  </si>
  <si>
    <t>DESI CHAAT RESTAURANT DOHA QAT AUTH NO. 020027</t>
  </si>
  <si>
    <t>MALKI FOOD CENTRE DOHA QAT AUTH NO. 004798</t>
  </si>
  <si>
    <t>QSS AFCASIA CUP 23 ABA DOHA QAT AUTH NO. 023155</t>
  </si>
  <si>
    <t>QSS AFCASIA CUP 23 ABA DOHA QAT AUTH NO. 032512</t>
  </si>
  <si>
    <t>BIKANERVALA RESTAURANT DOHA QAT AUTH NO. 065245</t>
  </si>
  <si>
    <t>NEW INDIAN SUPERMARKET DOHA QAT AUTH NO. 098755</t>
  </si>
  <si>
    <t>QATAR INSURANCE COMPAN DOHA QAT AUTH NO. 057638</t>
  </si>
  <si>
    <t>THE COFFEE SHOP QR TOW DOHA QAT AUTH NO. 054132</t>
  </si>
  <si>
    <t>SUPERMARKET MANGO DOHA QAT AUTH NO. 056424</t>
  </si>
  <si>
    <t>TALABAT DOHA QAT AUTH NO. 078185</t>
  </si>
  <si>
    <t>NASEEM AL RABEEH MEDIC DOHA QAT AUTH NO. 085841</t>
  </si>
  <si>
    <t>BIKANERVALA RESTAURANT DOHA QAT AUTH NO. 019709</t>
  </si>
  <si>
    <t>UBER *TRIP HELP.UBER.C VORDEN NLD AUTH NO. 046311</t>
  </si>
  <si>
    <t>UBER *TRIP HELP.UBER.C VORDEN NLD AUTH NO. 013760</t>
  </si>
  <si>
    <t>UBER *TRIP HELP.UBER.C VORDEN NLD AUTH NO. 023398</t>
  </si>
  <si>
    <t>MANGO SUPERMARKET DOHA 634 AUTH NO. 016932</t>
  </si>
  <si>
    <t>LULU HYPER MARKET DOHA QAT AUTH NO. 048354</t>
  </si>
  <si>
    <t>TANISHQ DOHA QAT AUTH NO. 007633</t>
  </si>
  <si>
    <t>MALKI FOOD CENTRE DOHA QAT AUTH NO. 055095</t>
  </si>
  <si>
    <t>SUPERMARKET MANGO DOHA QAT AUTH NO. 006999</t>
  </si>
  <si>
    <t>WOQOD - UMGHUWALINA  ( DOHA QAT AUTH NO. 047495</t>
  </si>
  <si>
    <t>NEW INDIAN SUP MARKET DOHA QAT AUTH NO. 099654</t>
  </si>
  <si>
    <t>NEW INDIAN SUP MARKET DOHA QAT AUTH NO. 010905</t>
  </si>
  <si>
    <t>MALKI FOOD CENTRE DOHA QAT AUTH NO. 076630</t>
  </si>
  <si>
    <t>QDF STAFF SHOP TOWER 2 DOHA QAT AUTH NO. 064338</t>
  </si>
  <si>
    <t>UBER   *TRIP HELP.UBER.COM NLD AUTH NO. 039654</t>
  </si>
  <si>
    <t>ASTER HOSPITAL DOHA 634 AUTH NO. 043294</t>
  </si>
  <si>
    <t>ASTER HOSPITAL DOHA 634 AUTH NO. 086995</t>
  </si>
  <si>
    <t>UBER   *TRIP HELP.UBER.COM NLD AUTH NO. 016826</t>
  </si>
  <si>
    <t>NASEEM AL RABEEH MEDIC DOHA QAT AUTH NO. 015245</t>
  </si>
  <si>
    <t>NASEEM AL RABEEH MEDIC DOHA QAT AUTH NO. 063035</t>
  </si>
  <si>
    <t>NASEEM AL RABEEH MEDIC DOHA QAT AUTH NO. 005442</t>
  </si>
  <si>
    <t>MALKI FOOD CENTRE DOHA QAT AUTH NO. 091117</t>
  </si>
  <si>
    <t>NOBLE HOUSE TRADING DOHA QAT AUTH NO. 091225</t>
  </si>
  <si>
    <t>MALKI FOOD CENTRE DOHA QAT AUTH NO. 036149</t>
  </si>
  <si>
    <t>OOREDOO DOHA QA AUTH NO. 082357</t>
  </si>
  <si>
    <t>UBER *TRIP HELP.UBER.C VORDEN NLD AUTH NO. 069969</t>
  </si>
  <si>
    <t>DAISO EZDAN AL WAKRA DOHA QAT AUTH NO. 077100</t>
  </si>
  <si>
    <t>STARBUCKS DOHA QAT AUTH NO. 078761</t>
  </si>
  <si>
    <t>AL RAYES LAUNDRY DOHA QAT AUTH NO. 009628</t>
  </si>
  <si>
    <t>TALABAT DOHA QAT AUTH NO. 029244</t>
  </si>
  <si>
    <t>UBER   *TRIP HELP.UBER.COM NLD AUTH NO. 033175</t>
  </si>
  <si>
    <t>OOREDOO TOP UP DOHA QAT AUTH NO. 031284</t>
  </si>
  <si>
    <t>OOREDOO TOP UP DOHA QAT AUTH NO. 086674</t>
  </si>
  <si>
    <t>R AND B OLD AIRPORT DOHA QAT AUTH NO. 074616</t>
  </si>
  <si>
    <t>MANGO SUPERMARKET DOHA QAT AUTH NO. 016721</t>
  </si>
  <si>
    <t>NEW INDIAN SUP MARKET DOHA QAT AUTH NO. 098851</t>
  </si>
  <si>
    <t>TALABAT DOHA QAT AUTH NO. 045851</t>
  </si>
  <si>
    <t>MANGO SUPERMARKET DOHA QAT AUTH NO. 043528</t>
  </si>
  <si>
    <t>NEW INDIAN SUP MARKET DOHA QAT AUTH NO. 082054</t>
  </si>
  <si>
    <t>WELLCARE PHARMACY 24H DOHA QAT AUTH NO. 040585</t>
  </si>
  <si>
    <t>SUPERMARKET MANGO DOHA QAT AUTH NO. 066191</t>
  </si>
  <si>
    <t>MOI MAIN NON DOHA QAT AUTH NO. 042728</t>
  </si>
  <si>
    <t>SUPERMARKET MANGO DOHA QAT AUTH NO. 050351</t>
  </si>
  <si>
    <t>DESI CHAAT RESTAURANT DOHA QAT AUTH NO. 031268</t>
  </si>
  <si>
    <t>MRA RESTAURANT BAKERY DOHA QAT AUTH NO. 017416</t>
  </si>
  <si>
    <t>THE COFFEE SHOP QR TOW DOHA QAT AUTH NO. 068200</t>
  </si>
  <si>
    <t>LULU HYPERMARKET DOHA QAT AUTH NO. 053230</t>
  </si>
  <si>
    <t>AL MEERA - AIRPORT ST. DOHA QAT AUTH NO. 005928</t>
  </si>
  <si>
    <t>SUPERMARKET MANGO DOHA QAT AUTH NO. 096023</t>
  </si>
  <si>
    <t>UBER   *TRIP HELP.UBER.COM NLD AUTH NO. 063887</t>
  </si>
  <si>
    <t>UBER   *TRIP HELP.UBER.COM NLD AUTH NO. 069556</t>
  </si>
  <si>
    <t>TALABAT DOHA QAT AUTH NO. 049528</t>
  </si>
  <si>
    <t>UBER   *TRIP HELP.UBER.COM NLD AUTH NO. 851311</t>
  </si>
  <si>
    <t>UBER   *TRIP HELP.UBER.COM NLD AUTH NO. 092122</t>
  </si>
  <si>
    <t>BIKANERVALA RESTAURANT DOHA QAT AUTH NO. 009261</t>
  </si>
  <si>
    <t>TALABAT DOHA QAT AUTH NO. 017576</t>
  </si>
  <si>
    <t>TALABAT DOHA QAT AUTH NO. 014767</t>
  </si>
  <si>
    <t>TALABAT DOHA QAT AUTH NO. 038743</t>
  </si>
  <si>
    <t>THE COFFEE SHOP QR TOW DOHA QAT AUTH NO. 020434</t>
  </si>
  <si>
    <t>QALAA ISTANBUL REST DOHA QAT AUTH NO. 088419</t>
  </si>
  <si>
    <t>QATAR DUTY FREE CORE P DOHA QAT AUTH NO. 008364</t>
  </si>
  <si>
    <t>QDF CONCOURSE C DOHA QAT AUTH NO. 046601</t>
  </si>
  <si>
    <t>UBER   *TRIP HELP.UBER.COM NLD AUTH NO. 070492</t>
  </si>
  <si>
    <t>TALABAT DOHA QAT AUTH NO. 054759</t>
  </si>
  <si>
    <t>MOWASALAT KARWA COMPAN DOHA QAT AUTH NO. 075574</t>
  </si>
  <si>
    <t>MANGO SUPERMARKET DOHA QAT AUTH NO. 018428</t>
  </si>
  <si>
    <t>NEW INDIAN SUP MARKET DOHA QAT AUTH NO. 013643</t>
  </si>
  <si>
    <t>R AND B OLD AIRPORT DOHA QAT AUTH NO. 032402</t>
  </si>
  <si>
    <t>TALABAT DOHA QAT AUTH NO. 070757</t>
  </si>
  <si>
    <t>UBER   *TRIP HELP.UBER.COM NLD AUTH NO. 083339</t>
  </si>
  <si>
    <t>MOI MAIN NON DOHA QAT AUTH NO. 085222</t>
  </si>
  <si>
    <t>BIKANERVALA RESTAURANT DOHA QAT AUTH NO. 012368</t>
  </si>
  <si>
    <t>BIKANERVALA RESTAURANT DOHA QAT AUTH NO. 064524</t>
  </si>
  <si>
    <t>R&amp;B   EZDAN WAKRA MALL WAKRA QAT AUTH NO. 094093</t>
  </si>
  <si>
    <t>FUNVILLE DOHA QAT AUTH NO. 045128</t>
  </si>
  <si>
    <t>PIZZA PAPA JOHNS DOHA QAT AUTH NO. 032522</t>
  </si>
  <si>
    <t>BIKANERVALA RESTAURANT DOHA QAT AUTH NO. 067054</t>
  </si>
  <si>
    <t>MALKI FOOD CENTRE DOHA QAT AUTH NO. 098164</t>
  </si>
  <si>
    <t>AL RAYES LAUNDRY DOHA QAT AUTH NO. 088020</t>
  </si>
  <si>
    <t>MRA RESTAURANT BAKERY DOHA QAT AUTH NO. 077518</t>
  </si>
  <si>
    <t>TALABAT DOHA QAT AUTH NO. 007267</t>
  </si>
  <si>
    <t>SUPERMARKET MANGO ALSA DOHA QAT AUTH NO. 042379</t>
  </si>
  <si>
    <t>TALABAT DOHA QAT AUTH NO. 066243</t>
  </si>
  <si>
    <t>MALKI FOOD CENTRE DOHA QAT AUTH NO. 028705</t>
  </si>
  <si>
    <t>TALABAT DOHA QAT AUTH NO. 000919</t>
  </si>
  <si>
    <t>OOREDOO TOP UP DOHA QAT AUTH NO. 063615</t>
  </si>
  <si>
    <t>OOREDOO TOP UP DOHA QAT AUTH NO. 022542</t>
  </si>
  <si>
    <t>THE COFFEE SHOP QR TOW DOHA QAT AUTH NO. 048063</t>
  </si>
  <si>
    <t>BIKANERVALA RESTAURANT DOHA QAT AUTH NO. 074399</t>
  </si>
  <si>
    <t>BIKANERVALA RESTAURANT DOHA QAT AUTH NO. 078734</t>
  </si>
  <si>
    <t>MRA RESTAURANT BAKERY DOHA QAT AUTH NO. 008202</t>
  </si>
  <si>
    <t>SUPERMARKET MANGO DOHA QAT AUTH NO. 044723</t>
  </si>
  <si>
    <t>MRA RESTAURANT BAKERY DOHA QAT AUTH NO. 068805</t>
  </si>
  <si>
    <t>NEW INDIAN SUP MARKET DOHA QAT AUTH NO. 050900</t>
  </si>
  <si>
    <t>MALKI FOOD CENTRE DOHA QAT AUTH NO. 089522</t>
  </si>
  <si>
    <t>LULU HYPERMARKET DOHA QAT AUTH NO. 010004</t>
  </si>
  <si>
    <t>BIKANERVALA RESTAURANT DOHA QAT AUTH NO. 032249</t>
  </si>
  <si>
    <t>MRA RESTAURANT BAKERY DOHA QAT AUTH NO. 038279</t>
  </si>
  <si>
    <t>TALABAT DOHA QAT AUTH NO. 054222</t>
  </si>
  <si>
    <t>SUPERMARKET MANGO DOHA QAT AUTH NO. 079703</t>
  </si>
  <si>
    <t>LULU HYPERMARKET DOHA QAT AUTH NO. 076643</t>
  </si>
  <si>
    <t>STARBUCKS DOHA QAT AUTH NO. 004795</t>
  </si>
  <si>
    <t>SUPERMARKET MANGO ALSA DOHA QAT AUTH NO. 088154</t>
  </si>
  <si>
    <t>DAISO EZDAN AL WAKRA DOHA QAT AUTH NO. 091984</t>
  </si>
  <si>
    <t>INDIAN COFFEE HOUSE RE DOHA QAT AUTH NO. 096359</t>
  </si>
  <si>
    <t>REDTAG DOHA QAT AUTH NO. 016457</t>
  </si>
  <si>
    <t>AL RAYES LAUNDRY DOHA QAT AUTH NO. 098887</t>
  </si>
  <si>
    <t>MANGO SUPERMARKET DOHA QAT AUTH NO. 027842</t>
  </si>
  <si>
    <t>TALABAT DOHA QAT AUTH NO. 099392</t>
  </si>
  <si>
    <t>SUPERMARKET MANGO DOHA QAT AUTH NO. 081813</t>
  </si>
  <si>
    <t>LULU HYPERMARKET DOHA QAT AUTH NO. 069304</t>
  </si>
  <si>
    <t>TALABAT DOHA QAT AUTH NO. 029149</t>
  </si>
  <si>
    <t>SUPERMARKET MANGO DOHA QAT AUTH NO. 084294</t>
  </si>
  <si>
    <t>NASEEM AL RABEEH MEDIC DOHA QAT AUTH NO. 030922</t>
  </si>
  <si>
    <t>NASEEM AL RABEEH MEDIC DOHA QAT AUTH NO. 009890</t>
  </si>
  <si>
    <t>NEW INDIAN SUP MARKET DOHA QAT AUTH NO. 086136</t>
  </si>
  <si>
    <t>SUPERMARKET MANGO DOHA QAT AUTH NO. 033517</t>
  </si>
  <si>
    <t>WOQOD - UMGHUWALINA  ( DOHA QAT AUTH NO. 017509</t>
  </si>
  <si>
    <t>TALABAT DOHA QAT AUTH NO. 081951</t>
  </si>
  <si>
    <t>TALABAT DOHA QAT AUTH NO. 009814</t>
  </si>
  <si>
    <t>UBER   *TRIP HELP.UBER.COM NLD AUTH NO. 089824</t>
  </si>
  <si>
    <t>SUPERMARKET MANGO DOHA QAT AUTH NO. 070554</t>
  </si>
  <si>
    <t>UBER *TRIP HELP.UBER.C VORDEN NLD AUTH NO. 050128</t>
  </si>
  <si>
    <t>BIKANERVALA RESTAURANT DOHA QAT AUTH NO. 099516</t>
  </si>
  <si>
    <t>R AND B OLD AIRPORT DOHA QAT AUTH NO. 087472</t>
  </si>
  <si>
    <t>NEW INDIAN SUP MARKET DOHA 634 AUTH NO. 041105</t>
  </si>
  <si>
    <t>RADISSON BLU HOTEL YAS ABU DHABI ARE AUTH NO. 048327</t>
  </si>
  <si>
    <t>BIKANERVALA RESTAURANT DOHA QAT AUTH NO. 087253</t>
  </si>
  <si>
    <t>BIKANERVALA RESTAURANT DOHA QAT AUTH NO. 015106</t>
  </si>
  <si>
    <t>TALABAT DOHA QAT AUTH NO. 049225</t>
  </si>
  <si>
    <t>MANGO SUPERMARKET DOHA QAT AUTH NO. 045440</t>
  </si>
  <si>
    <t>SUPERMARKET MANGO DOHA QAT AUTH NO. 022771</t>
  </si>
  <si>
    <t>SUPERMARKET MANGO DOHA QAT AUTH NO. 071329</t>
  </si>
  <si>
    <t>WOQOD - UMGHUWALINA  ( DOHA QAT AUTH NO. 052018</t>
  </si>
  <si>
    <t>FUNVILLE DOHA QAT AUTH NO. 015401</t>
  </si>
  <si>
    <t>FUNVILLE DOHA QAT AUTH NO. 024820</t>
  </si>
  <si>
    <t>MANGO SUPERMARKET DOHA QAT AUTH NO. 056942</t>
  </si>
  <si>
    <t>REDTAG DOHA 634 AUTH NO. 041466</t>
  </si>
  <si>
    <t>UBER   *TRIP HELP.UBER.COM NLD AUTH NO. 067054</t>
  </si>
  <si>
    <t>UBER *TRIP HELP.UBER.C VORDEN NLD AUTH NO. 030922</t>
  </si>
  <si>
    <t>SUPERMARKET MANGO DOHA QAT AUTH NO. 023608</t>
  </si>
  <si>
    <t>SUPERMARKET MANGO DOHA QAT AUTH NO. 092553</t>
  </si>
  <si>
    <t>KAHRA MAA MOBILE PAYME DOHA QAT AUTH NO. 044178</t>
  </si>
  <si>
    <t>TEA TIME HOSPITALITY AND DOHA 634 AUTH NO. 026875</t>
  </si>
  <si>
    <t>Water Deposit</t>
  </si>
  <si>
    <t>JARIR</t>
  </si>
  <si>
    <t>HAMAD PORT</t>
  </si>
  <si>
    <t>ALKOOT</t>
  </si>
  <si>
    <t>DAISO</t>
  </si>
  <si>
    <t>WALES</t>
  </si>
  <si>
    <t>AFC</t>
  </si>
  <si>
    <t>MISC</t>
  </si>
  <si>
    <t>VERTUAL</t>
  </si>
  <si>
    <t>TANISHQ</t>
  </si>
  <si>
    <t>LOCAET</t>
  </si>
  <si>
    <t>FAHES</t>
  </si>
  <si>
    <t>Parking</t>
  </si>
  <si>
    <t>TO Dinesh</t>
  </si>
  <si>
    <t>PROP</t>
  </si>
  <si>
    <t>AMAZON</t>
  </si>
  <si>
    <t>2022-23</t>
  </si>
  <si>
    <t>2023-24</t>
  </si>
  <si>
    <t>2024-25</t>
  </si>
  <si>
    <t>SUPERMARKET MANGO DOHA QAT AUTH NO. 021941</t>
  </si>
  <si>
    <t>TALABAT DOHA QAT AUTH NO. 058488</t>
  </si>
  <si>
    <t>RADISSON BLU HOTEL YAS ABU DHABI ARE AUTH NO. 047126</t>
  </si>
  <si>
    <t>OOREDOO BILL PAYMENT DOHA QAT AUTH NO. 049760</t>
  </si>
  <si>
    <t>CAREEM RIDE DUBAI ARE AUTH NO. 033804</t>
  </si>
  <si>
    <t>YAS ISLAND ROTANA HOTE ABU DHABI ARE AUTH NO. 042380</t>
  </si>
  <si>
    <t>ARABIA TAXI ABU DHABI ARE AUTH NO. 020013</t>
  </si>
  <si>
    <t>CARS TAXI ABU DHABI ARE AUTH NO. 060764</t>
  </si>
  <si>
    <t>TAWASUL TRANSPORT LLC ABU DHABI ARE AUTH NO. 054074</t>
  </si>
  <si>
    <t>ABU DHABI THEME PARKS ABU DHABI ARE AUTH NO. 090754</t>
  </si>
  <si>
    <t>ABU DHABI THEME PARKS ABU DHABI ARE AUTH NO. 044188</t>
  </si>
  <si>
    <t>ABU DHABI THEME PARKS ABU DHABI ARE AUTH NO. 042562</t>
  </si>
  <si>
    <t>RADISSON BLU HOTEL YAS ABU DHABI ARE AUTH NO. 025738</t>
  </si>
  <si>
    <t>MIRAL EXP.LLC (WB F&amp;B) ABU DHABI ARE AUTH NO. 010735</t>
  </si>
  <si>
    <t>MIRAL EXPERIENCES LLC ABU DHABI ARE AUTH NO. 099839</t>
  </si>
  <si>
    <t>TALABAT DUBAI ARE AUTH NO. 092515</t>
  </si>
  <si>
    <t>AMAN TAXI ABU DHABI ARE AUTH NO. 096695</t>
  </si>
  <si>
    <t>MIRAL EXPERIENCES LLC ABU DHABI ARE AUTH NO. 046615</t>
  </si>
  <si>
    <t>MIRAL EXPERIENCES LLC ABU DHABI ARE AUTH NO. 048022</t>
  </si>
  <si>
    <t>TALABAT DUBAI ARE AUTH NO. 001014</t>
  </si>
  <si>
    <t>PENNY PRESS VENDING MA DUBAI ARE AUTH NO. 010891</t>
  </si>
  <si>
    <t>AL JABER NOVELTY STORE DUBAI ARE AUTH NO. 065060</t>
  </si>
  <si>
    <t>KHAU GALLI RESTAURANT DUBAI ARE AUTH NO. 003034</t>
  </si>
  <si>
    <t>CAREEM RIDE DUBAI ARE AUTH NO. 009798</t>
  </si>
  <si>
    <t>KLOOK TRAVEL TECH LTD HONG KONG HKG AUTH NO. 094412</t>
  </si>
  <si>
    <t>TALABAT DUBAI ARE AUTH NO. 022271</t>
  </si>
  <si>
    <t>TALABAT DUBAI ARE AUTH NO. 001084</t>
  </si>
  <si>
    <t>CORN AND CHESTNUT DUBAI ARE AUTH NO. 041179</t>
  </si>
  <si>
    <t>ZAHRAT ABEER RESTAURAN DUBAI ARE AUTH NO. 056186</t>
  </si>
  <si>
    <t>CAREEM RIDE DUBAI ARE AUTH NO. 000075</t>
  </si>
  <si>
    <t>GODIVA CHOCOLATIER DUBAI ARE AUTH NO. 050219</t>
  </si>
  <si>
    <t>DUBAI MUNICIPALITY DUBAI ARE AUTH NO. 008713</t>
  </si>
  <si>
    <t>METRO TAXI DUBAI ARE AUTH NO. 011662</t>
  </si>
  <si>
    <t>DUBAI TAXI DUBAI ARE AUTH NO. 053918</t>
  </si>
  <si>
    <t>WEST ZONE FRESH SUPERM DUBAI ARE AUTH NO. 017803</t>
  </si>
  <si>
    <t>KLOOK TRAVEL TECH LTD HONG KONG HKG AUTH NO. 029482</t>
  </si>
  <si>
    <t>KLOOK TRAVEL TECH LTD HONG KONG HKG AUTH NO. 097601</t>
  </si>
  <si>
    <t>EMAAR DUBAI ARE AUTH NO. 006586</t>
  </si>
  <si>
    <t>AT THE TOP LLC DUBAI ARE AUTH NO. 076067</t>
  </si>
  <si>
    <t>AT THE TOP LLC DUBAI ARE AUTH NO. 041189</t>
  </si>
  <si>
    <t>INDIA PALACE EXPRESS R ABU DHABI ARE AUTH NO. 072070</t>
  </si>
  <si>
    <t>INDIA PALACE EXPRESS R ABU DHABI ARE AUTH NO. 029610</t>
  </si>
  <si>
    <t>TALABAT DUBAI ARE AUTH NO. 033948</t>
  </si>
  <si>
    <t>DUBAI TAXI DUBAI ARE AUTH NO. 041789</t>
  </si>
  <si>
    <t>DUBAI TAXI DUBAI ARE AUTH NO. 075909</t>
  </si>
  <si>
    <t>WWW.HEADOUT.COM 135157 BERLIN DEU AUTH NO. 008121</t>
  </si>
  <si>
    <t>KLOOK TRAVEL TECH LTD HONG KONG HKG AUTH NO. 017220</t>
  </si>
  <si>
    <t>UBER   * PENDING AMSTERDAM NLD AUTH NO. 067996</t>
  </si>
  <si>
    <t>GLOBAL VILLAGE PARTNER DUBAI ARE AUTH NO. 023017</t>
  </si>
  <si>
    <t>GLOBAL VILLAGE PARTNER DUBAI ARE AUTH NO. 068428</t>
  </si>
  <si>
    <t>GLOBAL VILLAGE-ENTRY T DUBAI ARE AUTH NO. 047812</t>
  </si>
  <si>
    <t>GLOBAL VILLAGE-BLUE GL DUBAI ARE AUTH NO. 045366</t>
  </si>
  <si>
    <t>DUBAI TAXI DUBAI ARE AUTH NO. 006281</t>
  </si>
  <si>
    <t>MARHABA SERVICE DUBAI ARE AUTH NO. 045664</t>
  </si>
  <si>
    <t>DUBAI TAXI DUBAI ARE AUTH NO. 041755</t>
  </si>
  <si>
    <t>ROSE PARK HOTEL DUBAI ARE AUTH NO. 085882</t>
  </si>
  <si>
    <t>DUBAI MIRACLE GARDEN DUBAI ARE AUTH NO. 086830</t>
  </si>
  <si>
    <t>GOLDEN TASTY RESTAURAN DUBAI ARE AUTH NO. 046989</t>
  </si>
  <si>
    <t>WEST ZONE FRESH SUPERM DUBAI ARE AUTH NO. 022072</t>
  </si>
  <si>
    <t>UBER   *TRIP HELP.UBER.COM NLD AUTH NO. 067996</t>
  </si>
  <si>
    <t>AL RAYES LAUNDRY DOHA QAT AUTH NO. 058712</t>
  </si>
  <si>
    <t>DECATHLON VILLAGGIO DOHA QAT AUTH NO. 074731</t>
  </si>
  <si>
    <t>R AND B OLD AIRPORT DOHA QAT AUTH NO. 028825</t>
  </si>
  <si>
    <t>KLOOK TRAVEL TECH LTD HONG KONG HKG AUTH NO. 089619</t>
  </si>
  <si>
    <t>MANGO SUPERMARKET DOHA QAT AUTH NO. 012962</t>
  </si>
  <si>
    <t>TALABAT DOHA QAT AUTH NO. 034090</t>
  </si>
  <si>
    <t>UBER *TRIP HELP.UBER.C VORDEN NLD AUTH NO. 086840</t>
  </si>
  <si>
    <t>UBER   *TRIP HELP.UBER.COM NLD AUTH NO. 020886</t>
  </si>
  <si>
    <t>VODAFONE - GOOGLE PAY DOHA QAT AUTH NO. 031878</t>
  </si>
  <si>
    <t>MANGO SUPERMARKET DOHA QAT AUTH NO. 013049</t>
  </si>
  <si>
    <t>LULU HYPERMARKET DOHA QAT AUTH NO. 026207</t>
  </si>
  <si>
    <t>TALABAT DOHA QAT AUTH NO. 048936</t>
  </si>
  <si>
    <t>WOQOD - AL THUMAMA SID DOHA QAT AUTH NO. 077278</t>
  </si>
  <si>
    <t>MANGO SUPERMARKET DOHA QAT AUTH NO. 017834</t>
  </si>
  <si>
    <t>LULU HYPERMARKET DOHA QAT AUTH NO. 099544</t>
  </si>
  <si>
    <t>LULU HYPERMARKET DOHA QAT AUTH NO. 058037</t>
  </si>
  <si>
    <t>TALABAT DOHA QAT AUTH NO. 048798</t>
  </si>
  <si>
    <t>OOREDOO TOP UP DOHA QAT AUTH NO. 094117</t>
  </si>
  <si>
    <t>WOQOD - AL THUMAMA PS DOHA QAT AUTH NO. 013635</t>
  </si>
  <si>
    <t>TALABAT DOHA QAT AUTH NO. 013793</t>
  </si>
  <si>
    <t>KAHRA MAA MOBILE PAYME DOHA QAT AUTH NO. 030831</t>
  </si>
  <si>
    <t>TALABAT DOHA QAT AUTH NO. 029035</t>
  </si>
  <si>
    <t>UBER *TRIP HELP.UBER.C VORDEN NLD AUTH NO. 098171</t>
  </si>
  <si>
    <t>UBER   *TRIP HELP.UBER.COM NLD AUTH NO. 007317</t>
  </si>
  <si>
    <t>UBER   *TRIP HELP.UBER.COM NLD AUTH NO. 090670</t>
  </si>
  <si>
    <t>UBER   *TRIP HELP.UBER.COM NLD AUTH NO. 046845</t>
  </si>
  <si>
    <t>Flight AUH-DOH</t>
  </si>
  <si>
    <t>Flight DOH-DXB</t>
  </si>
  <si>
    <t>DECATHLON</t>
  </si>
  <si>
    <t>ABU DHABI ABU DHABI 784 AUTH NO. 032592</t>
  </si>
  <si>
    <t>MANGO SUPERMARKET DOHA 634 AUTH NO. 091366</t>
  </si>
  <si>
    <t>ELECTRON,AUTH 808475,CARS TAXI                ABU DHABI,CARD NO 535849XXXXXX0028,18/04 AED 12.000000000000</t>
  </si>
  <si>
    <t>GCC NAPS FEE,000000006939,4018  XXX967 TVXE2522,DUBAI AIRPORT TERMINALBAI       HS,53584XXXXXXX0028 11/04 12.45,784564151</t>
  </si>
  <si>
    <t>NAPS ATM,000000006939,4018  XXX967 TVXE2522,DUBAI AIRPORT TERMINALBAI       HS,53584XXXXXXX0028 11/04 12.45,784564151</t>
  </si>
  <si>
    <t>NAPS PURCHASE,000001041014,4018  6964XXXXXXX6437,LULU BARWA FAMILY HOUSDOHA,53584XXXXXXX0028 10/04 13.10,63409000000</t>
  </si>
  <si>
    <t>CHEQUE PAID,000001000063,CBQ - OPS,OnUs- 1259XXXXXXX2032,RAWASI REAL ESTATE DEVELOPMENT</t>
  </si>
  <si>
    <t>TRANSFER - DEBIT,050424L05904,FS2 Myanmar - Viraaj Saraswat,Oryx International School</t>
  </si>
  <si>
    <t>NAPS PURCHASE,000001222005,4018  2948XXXXXXX0102,SUPERMARKET MANGO     DOHA,53584XXXXXXX0028 05/04 07.08,63409000000</t>
  </si>
  <si>
    <t>NAPS ATM,409415050914,4018  8061XXXXXXX0346,DUKHAN QATAR          DOHA,53584XXXXXXX0028 03/04 15.01,63420000000</t>
  </si>
  <si>
    <t>NAPS PURCHASE,000001180007,4018  3472XXXXXXX0501,DUSIT HTL TROPICANA 36DOHA,53584XXXXXXX0028 01/04 19.39,63409000000</t>
  </si>
  <si>
    <t>NAPS PURCHASE,409213395520,4018  2928XXXXXX8874,MALKI FOOD CENTRE     DOHDOHA,53584XXXXXXX0028 01/04 16.20,63408000000</t>
  </si>
  <si>
    <t>NAPS PURCHASE,000001264029,4018  1358XXXXXXX3501,MITSUBISHI AL WAKRA   DOHA,53584XXXXXXX0028 31/03 22.52,63409000000</t>
  </si>
  <si>
    <t>CBQ PURCHASE,409116034756,4010  0680XXXXXXX6971,NASEEM AL RABEEH MEDICAL DOHA,53584XXXXXXX0028 31/03 19.20</t>
  </si>
  <si>
    <t>CBQ PURCHASE,409115034883,4010  0613XXXXXXX2391,NASEEM AL RABEEH MEDICAL DOHA,53584XXXXXXX0028 31/03 18.56</t>
  </si>
  <si>
    <t>NAPS PURCHASE,000001177020,4018  8170XXXXXXX0102,NAMMA VEEDU VASANTHA BDOHA,53584XXXXXXX0028 30/03 20.12,63409000000</t>
  </si>
  <si>
    <t>CARD BILL PAYMENT,300324K08320,CARD NO 3643XXXXXX1825,Paid using bankDirect</t>
  </si>
  <si>
    <t>CBQ PURCHASE,409016095789,4010  8038XXXXXXX2622,MEGAMART                 DOHA,53584XXXXXXX0028 30/03 19.26</t>
  </si>
  <si>
    <t>CBQ PURCHASE,409015080373,4010  7925XXXXXXX2618,MEGAMART                 DOHA,53584XXXXXXX0028 30/03 18.44</t>
  </si>
  <si>
    <t>CBQ PURCHASE,409015008830,4010  7891XXXXXXX7711,MAX                      DOHA,53584XXXXXXX0028 30/03 18.30</t>
  </si>
  <si>
    <t>CBQ PURCHASE,409015000666,4010  7856XXXXXXX6669,LANDMARK LEISURE WLL     DOHA,53584XXXXXXX0028 30/03 18.14</t>
  </si>
  <si>
    <t>CBQ PURCHASE,409015009967,4010  7841XXXXXXX7726,CENTREPOINT              DOHA,53584XXXXXXX0028 30/03 18.06</t>
  </si>
  <si>
    <t>CBQ PURCHASE,409014047251,4010  7741XXXXXXX3541,MANGO SUPERMARKET        DOHA,53584XXXXXXX0028 30/03 17.23</t>
  </si>
  <si>
    <t>CBQ PURCHASE,409007000103,4010  6741XXXXXXX8195,TEYSEER MOBILE SERVICE   DOHA,53584XXXXXXX0028 30/03 10.18</t>
  </si>
  <si>
    <t>MEGAMART</t>
  </si>
  <si>
    <t>TYSEER</t>
  </si>
  <si>
    <t>TYRE</t>
  </si>
  <si>
    <t>RED ROSE</t>
  </si>
  <si>
    <t>INF277KA1869</t>
  </si>
  <si>
    <t>TATA</t>
  </si>
  <si>
    <t>SUPERMARKET MANGO DOHA QAT AUTH NO. 085271</t>
  </si>
  <si>
    <t>OUTSTANDING</t>
  </si>
  <si>
    <t>THE VILLAGE RESTAURANT DOHA QAT AUTH NO. 066672</t>
  </si>
  <si>
    <t>SAFARI HYPERMARKET - A DOHA QAT AUTH NO. 046786</t>
  </si>
  <si>
    <t>MARZA HYPERMARKET DOHA QAT AUTH NO. 096160</t>
  </si>
  <si>
    <t>BIKANERVALA RESTAURANT DOHA QAT AUTH NO. 001012</t>
  </si>
  <si>
    <t>KAHRA MAA MOBILE PAYME DOHA QAT AUTH NO. 026400</t>
  </si>
  <si>
    <t>UNBILLED</t>
  </si>
  <si>
    <t>MALKI FOOD CENTRE DOHA QAT AUTH NO. 037966</t>
  </si>
  <si>
    <t>AL RAYES LAUNDRY DOHA QAT AUTH NO. 070911</t>
  </si>
  <si>
    <t>SUPERMARKET MANGO DOHA QAT AUTH NO. 061586</t>
  </si>
  <si>
    <t>LULU HYPERMARKET DOHA QAT AUTH NO. 064570</t>
  </si>
  <si>
    <t>TALABAT DOHA QAT AUTH NO. 044168</t>
  </si>
  <si>
    <t>MALKI FOOD CENTRE DOHA QAT AUTH NO. 095104</t>
  </si>
  <si>
    <t>MANGO SUPERMARKET DOHA 634 AUTH NO. 072495</t>
  </si>
  <si>
    <t>WOQOD - UMGHUWALINA  ( DOHA QAT AUTH NO. 047451</t>
  </si>
  <si>
    <t>SUPERMARKET MANGO DOHA QAT AUTH NO. 094960</t>
  </si>
  <si>
    <t>UBER   *TRIP HELP.UBER.COM NLD AUTH NO. 016626</t>
  </si>
  <si>
    <t>THE COFFEE SHOP QR TOW DOHA QAT AUTH NO. 087849</t>
  </si>
  <si>
    <t>SUPERMARKET MANGO DOHA QAT AUTH NO. 033599</t>
  </si>
  <si>
    <t>BIKANERVALA RESTAURANT DOHA QAT AUTH NO. 066165</t>
  </si>
  <si>
    <t>HILTON SALWA IVD IRD DOHA QAT AUTH NO. 097337</t>
  </si>
  <si>
    <t>HILTON SALWA IVD IRD DOHA QAT AUTH NO. 062699</t>
  </si>
  <si>
    <t>HILTON SALWA WI Q DOHA QAT AUTH NO. 010877</t>
  </si>
  <si>
    <t>TALABAT DOHA QAT AUTH NO. 045508</t>
  </si>
  <si>
    <t>THE COFFEE SHOP QR TOW DOHA QAT AUTH NO. 083088</t>
  </si>
  <si>
    <t>NEW INDIAN SUP MARKET DOHA QAT AUTH NO. 033400</t>
  </si>
  <si>
    <t>UBER   *TRIP HELP.UBER.COM NLD AUTH NO. 085783</t>
  </si>
  <si>
    <t>UBER   *TRIP HELP.UBER.COM NLD AUTH NO. 081948</t>
  </si>
  <si>
    <t>LULU HYPERMARKET DOHA 634 AUTH NO. 037322</t>
  </si>
  <si>
    <t>THE COFFEE SHOP QR TOW DOHA QAT AUTH NO. 012718</t>
  </si>
  <si>
    <t>ASTER HOSPITAL DOHA QAT AUTH NO. 073769</t>
  </si>
  <si>
    <t>ASTER HOSPITAL DOHA QAT AUTH NO. 010135</t>
  </si>
  <si>
    <t>THE COFFEE SHOP QR TOW DOHA QAT AUTH NO. 085577</t>
  </si>
  <si>
    <t>AJEEB RESTAURANT DOHA QAT AUTH NO. 067144</t>
  </si>
  <si>
    <t>MALKI FOOD CENTRE DOHA QAT AUTH NO. 001811</t>
  </si>
  <si>
    <t>R&amp;B   EZDAN WAKRA MALL WAKRA QAT AUTH NO. 064782</t>
  </si>
  <si>
    <t>UBER   *TRIP HELP.UBER.COM NLD AUTH NO. 074414</t>
  </si>
  <si>
    <t>UBER *TRIP HELP.UBER.C VORDEN NLD AUTH NO. 077910</t>
  </si>
  <si>
    <t>REDTAG DOHA 634 AUTH NO. 055604</t>
  </si>
  <si>
    <t>GOVARDHAN RESTAURANT DOHA QAT AUTH NO. 074080</t>
  </si>
  <si>
    <t>AL MARSH GARMENTS DOHA QAT AUTH NO. 009566</t>
  </si>
  <si>
    <t>NMOQ DOHA QAT AUTH NO. 072860</t>
  </si>
  <si>
    <t>WOQOD - AL THUMAMA PS DOHA 634 AUTH NO. 099309</t>
  </si>
  <si>
    <t>JUNGLE ZONE DOHA QAT AUTH NO. 054788</t>
  </si>
  <si>
    <t>JUNGLE ZONE DOHA QAT AUTH NO. 047828</t>
  </si>
  <si>
    <t>ASHA'S DOHA QAT AUTH NO. 011508</t>
  </si>
  <si>
    <t>FUN FAIR CO. DOHA QAT AUTH NO. 092341</t>
  </si>
  <si>
    <t>NOQOODY KIOSK DOHA QAT AUTH NO. 013673</t>
  </si>
  <si>
    <t>AL MEERA HYPERMARKET H DOHA QAT AUTH NO. 085354</t>
  </si>
  <si>
    <t>ASTER HOSPITAL DOHA QAT AUTH NO. 006671</t>
  </si>
  <si>
    <t>CLASSIC HAIR STATION DOHA QAT AUTH NO. 019156</t>
  </si>
  <si>
    <t>TALABAT DOHA QAT AUTH NO. 031064</t>
  </si>
  <si>
    <t>MANGO SUPERMARKET DOHA 634 AUTH NO. 044720</t>
  </si>
  <si>
    <t>SUPERMARKET MANGO DOHA QAT AUTH NO. 083043</t>
  </si>
  <si>
    <t>SUPERMARKET MANGO DOHA QAT AUTH NO. 031267</t>
  </si>
  <si>
    <t>MANGO SUPERMARKET DOHA 634 AUTH NO. 017778</t>
  </si>
  <si>
    <t>SUPERMARKET MANGO DOHA QAT AUTH NO. 093207</t>
  </si>
  <si>
    <t>TALABAT DOHA QAT AUTH NO. 058257</t>
  </si>
  <si>
    <t>MANGO SUPERMARKET DOHA 634 AUTH NO. 024850</t>
  </si>
  <si>
    <t>TALABAT DOHA QAT AUTH NO. 008568</t>
  </si>
  <si>
    <t>SUPERMARKET MANGO DOHA QAT AUTH NO. 025273</t>
  </si>
  <si>
    <t>ASTER HOSPITAL DOHA QAT AUTH NO. 016885</t>
  </si>
  <si>
    <t>SUPERMARKET MANGO DOHA QAT AUTH NO. 068853</t>
  </si>
  <si>
    <t>ASTER HOSPITAL DOHA 634 AUTH NO. 042911</t>
  </si>
  <si>
    <t>ASTER HOSPITAL DOHA 634 AUTH NO. 045729</t>
  </si>
  <si>
    <t>ASTER HOSPITAL DOHA 634 AUTH NO. 008320</t>
  </si>
  <si>
    <t>NEW INDIAN SUP MARKET DOHA 634 AUTH NO. 085973</t>
  </si>
  <si>
    <t>MOWASALAT (KARWA) QPSC DOHA QAT AUTH NO. 040002</t>
  </si>
  <si>
    <t>SUPERMARKET MANGO DOHA QAT AUTH NO. 074300</t>
  </si>
  <si>
    <t>UBER *TRIP HELP.UBER.C VORDEN NLD AUTH NO. 053524</t>
  </si>
  <si>
    <t>DOSA FACTORY DOHA QAT AUTH NO. 056727</t>
  </si>
  <si>
    <t>UBER   *TRIP HELP.UBER.COM NLD AUTH NO. 066954</t>
  </si>
  <si>
    <t>UBER   *TRIP HELP.UBER.COM NLD AUTH NO. 081826</t>
  </si>
  <si>
    <t>TALABAT DOHA QAT AUTH NO. 056103</t>
  </si>
  <si>
    <t>OOREDOO TOP UP DOHA QAT AUTH NO. 087163</t>
  </si>
  <si>
    <t>OOREDOO TOP UP DOHA QAT AUTH NO. 057081</t>
  </si>
  <si>
    <t>LULU BARWA FAMILY HOUS DOHA QAT AUTH NO. 053923</t>
  </si>
  <si>
    <t>MITSUBISHI AL WAKRA DOHA QAT AUTH NO. 070107</t>
  </si>
  <si>
    <t>SUPERMARKET MANGO DOHA QAT AUTH NO. 037035</t>
  </si>
  <si>
    <t>UBER *TRIP HELP.UBER.C VORDEN NLD AUTH NO. 053000</t>
  </si>
  <si>
    <t>FUNVILLE WAKRA MALL DOHA QAT AUTH NO. 049402</t>
  </si>
  <si>
    <t>CARREFOUR - WAKRA DOHA QAT AUTH NO. 008887</t>
  </si>
  <si>
    <t>BATH &amp; BODY WORKS DOHA QAT AUTH NO. 030173</t>
  </si>
  <si>
    <t>STARBUCKS DOHA QAT AUTH NO. 069678</t>
  </si>
  <si>
    <t>STARBUCKS DOHA QAT AUTH NO. 090359</t>
  </si>
  <si>
    <t>LULU BARWA FAMILY HOUS DOHA QAT AUTH NO. 094118</t>
  </si>
  <si>
    <t>TALABAT DOHA QAT AUTH NO. 046941</t>
  </si>
  <si>
    <t>TALABAT DOHA QAT AUTH NO. 055666</t>
  </si>
  <si>
    <t>MALKI FOOD CENTRE DOHA QAT AUTH NO. 071903</t>
  </si>
  <si>
    <t>MAX DOHA 634 AUTH NO. 040459</t>
  </si>
  <si>
    <t>BIKANERVALA RESTAURANT DOHA QAT AUTH NO. 067418</t>
  </si>
  <si>
    <t>BIKANERVALA RESTAURANT DOHA QAT AUTH NO. 068161</t>
  </si>
  <si>
    <t>AL RAYES LAUNDRY DOHA QAT AUTH NO. 014929</t>
  </si>
  <si>
    <t>SUPERMARKET MANGO DOHA QAT AUTH NO. 088364</t>
  </si>
  <si>
    <t>TALABAT DOHA QAT AUTH NO. 016966</t>
  </si>
  <si>
    <t>MALKI FOOD CENTRE DOHA QAT AUTH NO. 006555</t>
  </si>
  <si>
    <t>SUPERMARKET MANGO DOHA QAT AUTH NO. 098640</t>
  </si>
  <si>
    <t>SUPERMARKET MANGO DOHA QAT AUTH NO. 048332</t>
  </si>
  <si>
    <t>BIKANERVALA RESTAURANT DOHA QAT AUTH NO. 054774</t>
  </si>
  <si>
    <t>BIKANERVALA RESTAURANT DOHA QAT AUTH NO. 047308</t>
  </si>
  <si>
    <t>BIKANERVALA RESTAURANT DOHA QAT AUTH NO. 043968</t>
  </si>
  <si>
    <t>MALKI FOOD CENTRE DOHA QAT AUTH NO. 046949</t>
  </si>
  <si>
    <t>UBER   *TRIP HELP.UBER.COM NLD AUTH NO. 061500</t>
  </si>
  <si>
    <t>ASTER HOSPITAL DOHA 634 AUTH NO. 064410</t>
  </si>
  <si>
    <t>UBER   *TRIP HELP.UBER.COM NLD AUTH NO. 033682</t>
  </si>
  <si>
    <t>NEW INDIAN SUP MARKET DOHA QAT AUTH NO. 083404</t>
  </si>
  <si>
    <t>SUPERMARKET MANGO DOHA QAT AUTH NO. 065388</t>
  </si>
  <si>
    <t>MOWASALAT (KARWA) QPSC DOHA 634 AUTH NO. 016337</t>
  </si>
  <si>
    <t>TALABAT DUBAI ARE AUTH NO. 088391</t>
  </si>
  <si>
    <t>VODAFONE DOHA QA AUTH NO. 077527</t>
  </si>
  <si>
    <t>NAPS PURCHASE,000001047117,4018  5635XXXXXXX0105,ALRAYYAN CAR PARKING MDOHA,53584XXXXXXX0028 06/06 22.26,63409000000</t>
  </si>
  <si>
    <t>TELEGRAPHIC TRANSFER REC,CDD 40602H021334,QCH2452946760000 QAR,AL-KOOT INSURANCE REINSURANCE CO,19/PFLB,G0 PYMENTS</t>
  </si>
  <si>
    <t>CBQ PURCHASE,415218066569,4010  8004XXXXXXX1088,BIKANERVALA RESTAURANT   DOHA,53584XXXXXXX0028 31/05 21.54</t>
  </si>
  <si>
    <t>CBQ PURCHASE,415218144516,4010  7812XXXXXXX1239,NEW INDIAN SUP MARKET    DOHA,53584XXXXXXX0028 31/05 21.11</t>
  </si>
  <si>
    <t>ATM CASH WITHDRAWAL,415218091385,4928  XXX815,NEW INDIAN SUPER MKT     DOHA,53584XXXXXXX0028 31/05 21.10</t>
  </si>
  <si>
    <t>TRANSFER TO OWN ACCOUNT,300524W09863,Transfer To  4700XXXXX2115,VINEET KUMAR SARASWAT</t>
  </si>
  <si>
    <t>CARD BILL PAYMENT,300524K14964,CARD NO 3643XXXXXX1825,Paid using bankDirect</t>
  </si>
  <si>
    <t>NAPS PURCHASE,000001347008,4018  0757XXXXXXX0116,HAMAD INTERNATIONAL AIDOHA,53584XXXXXXX0028 29/05 18.22,63409000000</t>
  </si>
  <si>
    <t>NAPS PURCHASE,000001001117,4018  5247XXXXXXX0103,CITY CENTER MALL PARKIDOHA,53584XXXXXXX0028 27/05 19.36,63409000000</t>
  </si>
  <si>
    <t>NAPS PURCHASE,000001545047,4018  5142XXXXXXX0301,BURGER KING - CITY CENDOHA,53584XXXXXXX0028 27/05 19.06,63409000000</t>
  </si>
  <si>
    <t>NAPS PURCHASE,000001397046,4018  5135XXXXXXX8301,PIZZA HUT CITY CENT 2NDOHA,53584XXXXXXX0028 27/05 19.04,63409000000</t>
  </si>
  <si>
    <t>NAPS PURCHASE,000001747046,4018  5125XXXXXXX2703,TANDOOR CITY CENTER   DOHA,53584XXXXXXX0028 27/05 19.01,63409000000</t>
  </si>
  <si>
    <t>NAPS PURCHASE,000001001631,4018  5050XXXXXXX0101,PRIME PARK SERVICES   DOHA,53584XXXXXXX0028 27/05 18.39,63409000000</t>
  </si>
  <si>
    <t>CBQ PURCHASE,414815001727,4010  5037XXXXXXX0892,GLOBAL ATTRACTION ENTERTADOHA,53584XXXXXXX0028 27/05 18.35</t>
  </si>
  <si>
    <t>CBQ PURCHASE,414814001722,4010  4871XXXXXXX0892,GLOBAL ATTRACTION ENTERTADOHA,53584XXXXXXX0028 27/05 17.44</t>
  </si>
  <si>
    <t>SALARY TRANSFER,CDD 40526H014529,QCH1043057842000 QAR,QATAR AIRWAYS,2/SALA</t>
  </si>
  <si>
    <t>NAPS PURCHASE,000001037010,4018  6602XXXXXXX0304,HILTON SALWA IVD IRD  DOHA,53584XXXXXXX0028 24/05 11.59,63409000000</t>
  </si>
  <si>
    <t>TRANSFER CHARGE,240524L01590,ThirdParty Transfer Charges,240524L01590</t>
  </si>
  <si>
    <t>FUNDS TRANSFER,240524L01590,Viraaj Saraswat,Antonio Herrera Alonso</t>
  </si>
  <si>
    <t>NAPS PURCHASE,414261058082,4018  0468XXXXXXX0704,Souq AL Wakra Parking  DOHA,53584XXXXXXX0028 21/05 19.35,63409000000</t>
  </si>
  <si>
    <t>TRANSFER - DEBIT,130524L01181,medication,WALES MATHEW</t>
  </si>
  <si>
    <t>NAPS PURCHASE,000001292029,4018  5771XXXXXXX0116,HAMAD INTERNATIONAL AIDOHA,53584XXXXXXX0028 11/05 18.30,63409000000</t>
  </si>
  <si>
    <t>SELF CHEQUE BOOK FEE,803161859405</t>
  </si>
  <si>
    <t>ATM CASH WITHDRAWAL,412814003299,4534  XXX151,AIRPORT BRANCH ATM 3     DOHA,53584XXXXXXX0028 07/05 17.05</t>
  </si>
  <si>
    <t>CHEQUE PAID,000001000064,CBQ - OPS,OnUs- 1292XXXXXXX2007,RAWASI REAL ESTATE DEVELOPMENT</t>
  </si>
  <si>
    <t>NAPS PURCHASE,000001233089,4018  1934XXXXXXX0101,DESI CHAAT RESTAURANT DOHA,53584XXXXXXX0028 02/05 22.48,63409000000</t>
  </si>
  <si>
    <t>NAPS PURCHASE,000001126040,4018  5456XXXXXXX0104,SUPERMARKET MANGO     DOHA,53584XXXXXXX0028 30/04 20.02,63409000000</t>
  </si>
  <si>
    <t>CARD BILL PAYMENT,300424K03906,CARD NO 3643XXXXXX1825,Paid using bankDirect</t>
  </si>
  <si>
    <t>CBQ PURCHASE,412013033722,4010  1860XXXXXXX5393,WOQOD - UMGHUWALINA  (DIADOHA,53584XXXXXXX0028 29/04 16.50</t>
  </si>
  <si>
    <t>CARD BILL PAYMENT,270424K08832,CARD NO 3643XXXXXX1825,Paid using bankDirect</t>
  </si>
  <si>
    <t>CBQ PURCHASE,411816012025,4010  7077XXXXXXX2805,LULU HYPERMARKET         DOHA,53584XXXXXXX0028 27/04 19.46</t>
  </si>
  <si>
    <t>NAPS PURCHASE,000001057070,4018  4216XXXXXXX6437,LULU BARWA FAMILY HOUSDOHA,53584XXXXXXX0028 26/04 18.24,63409000000</t>
  </si>
  <si>
    <t>CBQ PURCHASE,411715002181,4010  4200XXXXXXX2831,LULU HYPERMARKET         DOHA,53584XXXXXXX0028 26/04 18.18</t>
  </si>
  <si>
    <t>NAPS PURCHASE,000001243019,4018  3278XXXXXXX0102,SUPERMARKET MANGO     DOHA,53584XXXXXXX0028 26/04 11.25,63409000000</t>
  </si>
  <si>
    <t>TRANSFER FROM OWN ACCOUNT,250424W09670,Transfer From  4700XXXXX2115,VINEET KUMAR SARASWAT</t>
  </si>
  <si>
    <t>CARD BILL PAYMENT,250424K12758,CARD NO 3643XXXXXX1825,Paid using bankDirect</t>
  </si>
  <si>
    <t>TRANSFER TO OWN ACCOUNT,250424W02727,saving,VINEET KUMAR SARASWAT</t>
  </si>
  <si>
    <t>SALARY TRANSFER,CDD 40425H010382,QCH6809168730000 QAR,QATAR AIRWAYS,2/SALA</t>
  </si>
  <si>
    <t>TRANSFER - DEBIT,220424L15446,Iftaar,ASIM SHABBIR HUSSAIN ALI</t>
  </si>
  <si>
    <t>MITSHUBISHI</t>
  </si>
  <si>
    <t>SALOON</t>
  </si>
  <si>
    <t>PERSONAL CARE</t>
  </si>
  <si>
    <t>JUNGLE ZONE</t>
  </si>
  <si>
    <t>BOAT</t>
  </si>
  <si>
    <t>AL MEERA</t>
  </si>
  <si>
    <t>DESERT FALL</t>
  </si>
  <si>
    <t>ILLUSION MUSM</t>
  </si>
  <si>
    <t>VIRAAJ TECHER</t>
  </si>
  <si>
    <t>MARZA</t>
  </si>
  <si>
    <t>TRANSFER - DEBIT,030124L10092,,Transfer From  4700XXXXX2115,VINEET KUMAR SARASWAT</t>
  </si>
  <si>
    <t>TRANSFER - DEBIT,031223L05523,Term 3 Fee Viraaj Saraswat FS2 Myan,Oryx International School</t>
  </si>
  <si>
    <t>TRANSFER - DEBIT,031223L05523,Transfer From  4700XXXXX2115,VINEET KUMAR SARASWAT</t>
  </si>
  <si>
    <t>KEI</t>
  </si>
  <si>
    <t>KEI.NS</t>
  </si>
  <si>
    <t>Cables</t>
  </si>
  <si>
    <t>NAPS PURCHASE,416116590428,4018  3560XXXXXX8874,MALKI FOOD CENTRE     DOHDOHA,53584XXXXXXX0028 09/06 19.55,63408000000</t>
  </si>
  <si>
    <t>NAPS PURCHASE,415915225343,4018  7643XXXXXXX0101,QUALITY WAY DISTRIBUTION DOHA,53584XXXXXXX0028 07/06 18.57,63405000000</t>
  </si>
  <si>
    <t>NAPS PURCHASE,000001092039,4018  7599XXXXXXX3107,AL MEERA - AIRPORT ST.DOHA,53584XXXXXXX0028 07/06 18.45,63409000000</t>
  </si>
  <si>
    <t>CBQ PURCHASE,415915019722,4010  7583XXXXXXX1524,WELL CARE PHARMACY       DOHA,53584XXXXXXX0028 07/06 18.41</t>
  </si>
  <si>
    <t>TELEGRAPHIC TRANSFER REC,CDD 40612H009452,QCH1485940673000 QAR,QATAR AIRWAYS,31/ALLW,ALLOWANCES</t>
  </si>
  <si>
    <t>ELECTRON,AUTH 902394,1026343                  GUDAURI,CARD NO 535849XXXXXX0028,17/06 EUR 203.000000000000</t>
  </si>
  <si>
    <t>ELECTRON,AUTH 477599,1020791                  TBILISI,CARD NO 535849XXXXXX0028,17/06 USD 701.000000000000</t>
  </si>
  <si>
    <t>ELECTRON,4700-193472-001,ELECTRON FEE</t>
  </si>
  <si>
    <t>ELECTRON,AUTH 488599,ATM TBC-642(Airports-    Tbilisi,CARD NO 535849XXXXXX0028,16/06 EUR 205.000000000000</t>
  </si>
  <si>
    <t>TRANSFER - DEBIT,160624L10364,Transfer To  4010XXXXX5001,Dinesh Sharma</t>
  </si>
  <si>
    <t>NAPS PURCHASE,000001157004,4018  6924XXXXXXX2405,SAFARI BARWA VILLAGE  DOHA,53584XXXXXXX0028 14/06 18.22,63409000000</t>
  </si>
  <si>
    <t>NAPS PURCHASE,034166262733,4018  6122XXXXXX2434,Ooredoo Money          doha,53584XXXXXXX0028 14/06 12.56,63493000000</t>
  </si>
  <si>
    <t>TRANSFER TO OWN ACCOUNT,140624W02818,Transfer To  4700XXXXX2115,VINEET KUMAR SARASWAT</t>
  </si>
  <si>
    <t>ELECTRON,AUTH 187783,ATM TBC-708 (agmash13    Tbilisi,CARD NO 535849XXXXXX0028,19/06 EUR 205.000000000000</t>
  </si>
  <si>
    <t>ELECTRON,AUTH 207219,ATU GEORGIA              TBILISI,CARD NO 535849XXXXXX0028,20/06 KWD 15.080000000000</t>
  </si>
  <si>
    <t>ELECTRON,AUTH 368877,UDEMYX ONLINE COURSES    SAN FRANCI,CARD NO 535849XXXXXX0028,23/06 USD 39.980000000000</t>
  </si>
  <si>
    <t>SALARY TRANSFER,CDD 40626H010871,QCH3569507150000 QAR,QATAR AIRWAYS,2/SALA</t>
  </si>
  <si>
    <t>OUTGOING FAWRAN PAYMENT,260624K14125,na,JUBAYER AHMED MD LEAKUAT ALI</t>
  </si>
  <si>
    <t>CARD BILL PAYMENT,290624K10141,CARD NO 3643XXXXXX1825,Paid using bankDirect</t>
  </si>
  <si>
    <t>TRANSFER TO OWN ACCOUNT,290624W04999,Transfer To  4700XXXXX2115,VINEET KUMAR SARASWAT</t>
  </si>
  <si>
    <t>NAPS ATM,418316390076,4018  8729XXXXXXX0346,DUKHAN QATAR          DOHA,53584XXXXXXX0028 01/07 16.40,63420000000</t>
  </si>
  <si>
    <t>CHEQUE PAID,000001000068,CBQ - OPS,OnUs- 1351XXXXXXX2072,RAWASI REAL ESTATE DEVELOPMENT</t>
  </si>
  <si>
    <t>AlM</t>
  </si>
  <si>
    <t>UDEMY</t>
  </si>
  <si>
    <t>TINTING</t>
  </si>
  <si>
    <t>TBILISI</t>
  </si>
  <si>
    <t>SUPERMARKET MANGO DOHA QAT AUTH NO. 095875</t>
  </si>
  <si>
    <t>UBER   *TRIP HELP.UBER.COM NLD AUTH NO. 032429</t>
  </si>
  <si>
    <t>UBER   *TRIP HELP.UBER.COM NLD AUTH NO. 038622</t>
  </si>
  <si>
    <t>UBER   *TRIP HELP.UBER.COM NLD AUTH NO. 057627</t>
  </si>
  <si>
    <t>SNOONU TRADING DOHA QAT AUTH NO. 021865</t>
  </si>
  <si>
    <t>ASTER HOSPITAL DOHA 634 AUTH NO. 048827</t>
  </si>
  <si>
    <t>OOREDOO CC TOP UP DOHA QAT AUTH NO. 031426</t>
  </si>
  <si>
    <t>NEW INDIAN SUP MARKET DOHA QAT AUTH NO. 081506</t>
  </si>
  <si>
    <t>UBER   *TRIP HELP.UBER.COM NLD AUTH NO. 023803</t>
  </si>
  <si>
    <t>UBER   *TRIP HELP.UBER.COM NLD AUTH NO. 091791</t>
  </si>
  <si>
    <t>AL RAYES LAUNDRY DOHA QAT AUTH NO. 015019</t>
  </si>
  <si>
    <t>WOQOD - UMGHUWALINA  ( DOHA QAT AUTH NO. 072488</t>
  </si>
  <si>
    <t>UBER   *TRIP HELP.UBER.COM NLD AUTH NO. 024589</t>
  </si>
  <si>
    <t>SUPERMARKET MANGO DOHA QAT AUTH NO. 004724</t>
  </si>
  <si>
    <t>UBER *TRIP HELP.UBER.C VORDEN NLD AUTH NO. 045005</t>
  </si>
  <si>
    <t>LULU HYPERMARKET DOHA QAT AUTH NO. 098979</t>
  </si>
  <si>
    <t>LULU HYPERMARKET DOHA QAT AUTH NO. 095696</t>
  </si>
  <si>
    <t>UBER   *TRIP HELP.UBER.COM NLD AUTH NO. 099117</t>
  </si>
  <si>
    <t>UBER *TRIP HELP.UBER.C VORDEN NLD AUTH NO. 049304</t>
  </si>
  <si>
    <t>R AND B KIDS EZDAN WAK DOHA QAT AUTH NO. 094229</t>
  </si>
  <si>
    <t>DAISO EZDAN AL WAKRA DOHA QAT AUTH NO. 057496</t>
  </si>
  <si>
    <t>FUNVILLE DOHA QAT AUTH NO. 051992</t>
  </si>
  <si>
    <t>FUNVILLE DOHA QAT AUTH NO. 001720</t>
  </si>
  <si>
    <t>TALABAT DOHA QAT AUTH NO. 071063</t>
  </si>
  <si>
    <t>SPORTS CORNER DOHA 634 AUTH NO. 037005</t>
  </si>
  <si>
    <t>BATH &amp; BODY WORKS DOHA 634 AUTH NO. 035609</t>
  </si>
  <si>
    <t>BATH &amp; BODY WORKS DOHA 634 AUTH NO. 077526</t>
  </si>
  <si>
    <t>LULU HYPERMARKET DOHA QAT AUTH NO. 078522</t>
  </si>
  <si>
    <t>LULU HYPERMARKET DOHA QAT AUTH NO. 031775</t>
  </si>
  <si>
    <t>MALKI FOOD CENTRE DOHA QAT AUTH NO. 073111</t>
  </si>
  <si>
    <t>UBER   *TRIP HELP.UBER.COM NLD AUTH NO. 092806</t>
  </si>
  <si>
    <t>UBER   *TRIP HELP.UBER.COM NLD AUTH NO. 048239</t>
  </si>
  <si>
    <t>SNOONU TRADING DOHA QAT AUTH NO. 087776</t>
  </si>
  <si>
    <t>UBER   *TRIP AMSTERDAM NLD AUTH NO. 076451</t>
  </si>
  <si>
    <t>UBER   *TRIP HELP.UBER.COM NLD AUTH NO. 027007</t>
  </si>
  <si>
    <t>UBER   *TRIP HELP.UBER.COM NLD AUTH NO. 086767</t>
  </si>
  <si>
    <t>SUPERMARKET MANGO DOHA QAT AUTH NO. 060753</t>
  </si>
  <si>
    <t>UBER   *TRIP HELP.UBER.COM NLD AUTH NO. 084917</t>
  </si>
  <si>
    <t>UBER   *TRIP HELP.UBER.COM NLD AUTH NO. 022322</t>
  </si>
  <si>
    <t>MCDONALD S BARWA VILLA DOHA QAT AUTH NO. 087028</t>
  </si>
  <si>
    <t>UJALA TRADING DOHA QAT AUTH NO. 073498</t>
  </si>
  <si>
    <t>KALYAN JEWELLERS - BAR DOHA QAT AUTH NO. 087234</t>
  </si>
  <si>
    <t>LULU HYPERMARKET DOHA QAT AUTH NO. 021976</t>
  </si>
  <si>
    <t>LULU HYPERMARKET DOHA QAT AUTH NO. 047091</t>
  </si>
  <si>
    <t>SUPERMARKET MANGO DOHA QAT AUTH NO. 063318</t>
  </si>
  <si>
    <t>PHCC RAWDAT AL KHAIL DOHA QAT AUTH NO. 065816</t>
  </si>
  <si>
    <t>SUPERMARKET MANGO DOHA QAT AUTH NO. 025573</t>
  </si>
  <si>
    <t>UBER *TRIP HELP.UBER.C VORDEN NLD AUTH NO. 043068</t>
  </si>
  <si>
    <t>OOREDOO CC BILL PAYMEN DOHA QAT AUTH NO. 056763</t>
  </si>
  <si>
    <t>CARREFOUR DOHA QAT AUTH NO. 096748</t>
  </si>
  <si>
    <t>CARREFOUR DOHA QAT AUTH NO. 013291</t>
  </si>
  <si>
    <t>EVENTS AND ENTERTAINME DOHA QAT AUTH NO. 001710</t>
  </si>
  <si>
    <t>R AND B KIDS CITY CENT DOHA QAT AUTH NO. 042649</t>
  </si>
  <si>
    <t>TALABAT DOHA QAT AUTH NO. 065192</t>
  </si>
  <si>
    <t>MANGO SUPERMARKET DOHA QAT AUTH NO. 011104</t>
  </si>
  <si>
    <t>LULU HYPERMARKET DOHA QAT AUTH NO. 058637</t>
  </si>
  <si>
    <t>LULU HYPERMARKET DOHA QAT AUTH NO. 054045</t>
  </si>
  <si>
    <t>WOQOD - AL THUMAMA PS DOHA 634 AUTH NO. 056291</t>
  </si>
  <si>
    <t>NEW INDIAN SUP MARKET DOHA QAT AUTH NO. 034542</t>
  </si>
  <si>
    <t>SUPERMARKET MANGO DOHA QAT AUTH NO. 071143</t>
  </si>
  <si>
    <t>BURGER KING MALL OF QA DOHA QAT AUTH NO. 072400</t>
  </si>
  <si>
    <t>ATM CASH WITHDRAWAL,419910012057,4135  XXX400,LULU G RING              DOHA,53584XXXXXXX0028 17/07 13.26</t>
  </si>
  <si>
    <t>NAPS PURCHASE,000001001626,4018  4650XXXXXXX0104,CITY CENTER MALL PARKIDOHA,53584XXXXXXX0028 19/07 21.11,63409000000</t>
  </si>
  <si>
    <t>CBQ PURCHASE,420115000888,4010  4066XXXXXXX0270,THE BABY SHOP WLL        DOHA,53584XXXXXXX0028 19/07 18.08</t>
  </si>
  <si>
    <t>SALARY TRANSFER,CDD 40725H009449,QCH1986166300000 QAR,QATAR AIRWAYS,2/SALA</t>
  </si>
  <si>
    <t>TRANSFER - DEBIT,260724L02910,Viraaj Saraswat Y1 Term 1,Oryx International School</t>
  </si>
  <si>
    <t>Harshi Birthday</t>
  </si>
  <si>
    <t>CAKE</t>
  </si>
  <si>
    <t>ROTI BOTI</t>
  </si>
  <si>
    <t>SNOONU</t>
  </si>
  <si>
    <t>THE BABY SHOP</t>
  </si>
  <si>
    <t>INFLATE</t>
  </si>
  <si>
    <t>UJALA</t>
  </si>
  <si>
    <t>SPORTS CORNER</t>
  </si>
  <si>
    <t>WETGRB003312</t>
  </si>
  <si>
    <t>ITCHOTELS</t>
  </si>
  <si>
    <t>ITCHOTELS.NS</t>
  </si>
  <si>
    <t>Hotels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</si>
  <si>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</si>
  <si>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</si>
  <si>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</si>
  <si>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</si>
  <si>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</si>
  <si>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</si>
  <si>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</si>
  <si>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</si>
  <si>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</si>
  <si>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</si>
  <si>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</si>
  <si>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BRVGTC001587</t>
  </si>
  <si>
    <t>HARSHI</t>
  </si>
  <si>
    <t>BRVGTB001156</t>
  </si>
  <si>
    <t>ALIGTSD00028</t>
  </si>
  <si>
    <t>***</t>
  </si>
  <si>
    <t>QMDLC10200056539</t>
  </si>
  <si>
    <t>ALIGARH</t>
  </si>
  <si>
    <t>SOLD</t>
  </si>
  <si>
    <t>WETGTB001710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</si>
</sst>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dd\-mmm\-yyyy"/>
    <numFmt numFmtId="165" formatCode="0.0"/>
    <numFmt numFmtId="166" formatCode="0.000"/>
    <numFmt numFmtId="167" formatCode="_ * #,##0_ ;_ * \-#,##0_ ;_ * &quot;-&quot;??_ ;_ @_ "/>
    <numFmt numFmtId="168" formatCode="##############"/>
    <numFmt numFmtId="169" formatCode="mmm/yyyy"/>
    <numFmt numFmtId="170" formatCode="0.000%"/>
    <numFmt numFmtId="171" formatCode="#,##0.000%"/>
    <numFmt numFmtId="172" formatCode="0.0%"/>
    <numFmt numFmtId="173" formatCode="0.0000%"/>
    <numFmt numFmtId="174" formatCode="0.00000000%"/>
    <numFmt numFmtId="175" formatCode="0.00000%"/>
    <numFmt numFmtId="176" formatCode="dd/mmm/yyyy"/>
  </numFmts>
  <fonts count="4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337AB7"/>
      <name val="Calibri"/>
      <family val="2"/>
      <scheme val="minor"/>
    </font>
    <font>
      <sz val="11"/>
      <color rgb="FF337AB7"/>
      <name val="Calibri"/>
      <family val="2"/>
      <scheme val="minor"/>
    </font>
    <font>
      <b/>
      <sz val="11"/>
      <color rgb="FF555555"/>
      <name val="Calibri"/>
      <family val="2"/>
      <scheme val="minor"/>
    </font>
    <font>
      <sz val="11"/>
      <color rgb="FF555555"/>
      <name val="Calibri"/>
      <family val="2"/>
      <scheme val="minor"/>
    </font>
    <font>
      <sz val="11"/>
      <color rgb="FF12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363636"/>
      <name val="Calibri"/>
      <family val="2"/>
      <scheme val="minor"/>
    </font>
    <font>
      <sz val="12"/>
      <color rgb="FF363636"/>
      <name val="Calibri"/>
      <family val="2"/>
      <scheme val="minor"/>
    </font>
    <font>
      <sz val="11"/>
      <color rgb="FF363636"/>
      <name val="Tahoma"/>
      <family val="2"/>
    </font>
    <font>
      <b/>
      <sz val="11"/>
      <color rgb="FF363636"/>
      <name val="Tahoma"/>
      <family val="2"/>
    </font>
    <font>
      <sz val="11"/>
      <color rgb="FF800000"/>
      <name val="Tahoma"/>
      <family val="2"/>
    </font>
    <font>
      <sz val="10"/>
      <color rgb="FFFFFFFF"/>
      <name val="Tahoma"/>
      <family val="2"/>
    </font>
    <font>
      <sz val="10"/>
      <color rgb="FF363636"/>
      <name val="Tahoma"/>
      <family val="2"/>
    </font>
    <font>
      <sz val="12"/>
      <color rgb="FF363636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531779"/>
        <bgColor indexed="64"/>
      </patternFill>
    </fill>
    <fill>
      <patternFill patternType="solid">
        <fgColor rgb="FF2C3D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6">
    <xf numFmtId="0" fontId="0" fillId="0" borderId="0"/>
    <xf numFmtId="0" fontId="11" fillId="0" borderId="0" applyNumberFormat="0" applyFill="0" applyBorder="0" applyAlignment="0" applyProtection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7" applyNumberFormat="0" applyFill="0" applyAlignment="0" applyProtection="0"/>
    <xf numFmtId="0" fontId="28" fillId="0" borderId="8" applyNumberFormat="0" applyFill="0" applyAlignment="0" applyProtection="0"/>
    <xf numFmtId="0" fontId="29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30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5" borderId="0" applyNumberFormat="0" applyBorder="0" applyAlignment="0" applyProtection="0"/>
    <xf numFmtId="0" fontId="33" fillId="16" borderId="10" applyNumberFormat="0" applyAlignment="0" applyProtection="0"/>
    <xf numFmtId="0" fontId="34" fillId="17" borderId="11" applyNumberFormat="0" applyAlignment="0" applyProtection="0"/>
    <xf numFmtId="0" fontId="35" fillId="17" borderId="10" applyNumberFormat="0" applyAlignment="0" applyProtection="0"/>
    <xf numFmtId="0" fontId="36" fillId="0" borderId="12" applyNumberFormat="0" applyFill="0" applyAlignment="0" applyProtection="0"/>
    <xf numFmtId="0" fontId="37" fillId="18" borderId="13" applyNumberFormat="0" applyAlignment="0" applyProtection="0"/>
    <xf numFmtId="0" fontId="38" fillId="0" borderId="0" applyNumberFormat="0" applyFill="0" applyBorder="0" applyAlignment="0" applyProtection="0"/>
    <xf numFmtId="0" fontId="17" fillId="19" borderId="14" applyNumberFormat="0" applyFont="0" applyAlignment="0" applyProtection="0"/>
    <xf numFmtId="0" fontId="39" fillId="0" borderId="0" applyNumberFormat="0" applyFill="0" applyBorder="0" applyAlignment="0" applyProtection="0"/>
    <xf numFmtId="0" fontId="4" fillId="0" borderId="15" applyNumberFormat="0" applyFill="0" applyAlignment="0" applyProtection="0"/>
    <xf numFmtId="0" fontId="40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40" fillId="23" borderId="0" applyNumberFormat="0" applyBorder="0" applyAlignment="0" applyProtection="0"/>
    <xf numFmtId="0" fontId="40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40" fillId="43" borderId="0" applyNumberFormat="0" applyBorder="0" applyAlignment="0" applyProtection="0"/>
    <xf numFmtId="0" fontId="43" fillId="0" borderId="0"/>
  </cellStyleXfs>
  <cellXfs count="170">
    <xf numFmtId="0" fontId="0" fillId="0" borderId="0" xfId="0"/>
    <xf numFmtId="0" fontId="2" fillId="0" borderId="1" xfId="0" applyFont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165" fontId="0" fillId="0" borderId="1" xfId="0" applyNumberFormat="1" applyBorder="1" applyAlignment="1">
      <alignment horizontal="left"/>
    </xf>
    <xf numFmtId="0" fontId="1" fillId="0" borderId="0" xfId="0" applyFont="1"/>
    <xf numFmtId="0" fontId="5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5" fontId="5" fillId="0" borderId="1" xfId="0" applyNumberFormat="1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15" fontId="9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15" fontId="14" fillId="5" borderId="1" xfId="0" applyNumberFormat="1" applyFont="1" applyFill="1" applyBorder="1" applyAlignment="1">
      <alignment horizontal="left"/>
    </xf>
    <xf numFmtId="0" fontId="14" fillId="5" borderId="1" xfId="0" applyFont="1" applyFill="1" applyBorder="1" applyAlignment="1">
      <alignment horizontal="left"/>
    </xf>
    <xf numFmtId="15" fontId="15" fillId="5" borderId="1" xfId="0" applyNumberFormat="1" applyFont="1" applyFill="1" applyBorder="1" applyAlignment="1">
      <alignment horizontal="left"/>
    </xf>
    <xf numFmtId="4" fontId="15" fillId="4" borderId="1" xfId="0" applyNumberFormat="1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4" fontId="0" fillId="5" borderId="1" xfId="0" applyNumberFormat="1" applyFill="1" applyBorder="1" applyAlignment="1">
      <alignment horizontal="left"/>
    </xf>
    <xf numFmtId="1" fontId="0" fillId="0" borderId="1" xfId="0" applyNumberFormat="1" applyBorder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5" fontId="0" fillId="0" borderId="0" xfId="0" applyNumberFormat="1"/>
    <xf numFmtId="14" fontId="0" fillId="0" borderId="0" xfId="0" applyNumberFormat="1"/>
    <xf numFmtId="1" fontId="16" fillId="0" borderId="1" xfId="0" applyNumberFormat="1" applyFont="1" applyBorder="1" applyAlignment="1">
      <alignment horizontal="left" vertical="center"/>
    </xf>
    <xf numFmtId="14" fontId="16" fillId="0" borderId="1" xfId="0" applyNumberFormat="1" applyFont="1" applyBorder="1" applyAlignment="1">
      <alignment horizontal="left" vertical="center"/>
    </xf>
    <xf numFmtId="4" fontId="16" fillId="0" borderId="1" xfId="0" applyNumberFormat="1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9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9" fontId="0" fillId="8" borderId="0" xfId="0" applyNumberForma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1" fontId="0" fillId="7" borderId="0" xfId="0" applyNumberForma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left" vertical="center"/>
    </xf>
    <xf numFmtId="165" fontId="0" fillId="9" borderId="0" xfId="0" applyNumberFormat="1" applyFill="1" applyAlignment="1">
      <alignment horizontal="left" vertical="center"/>
    </xf>
    <xf numFmtId="15" fontId="0" fillId="7" borderId="0" xfId="0" applyNumberFormat="1" applyFill="1" applyAlignment="1">
      <alignment horizontal="left" vertical="center"/>
    </xf>
    <xf numFmtId="166" fontId="9" fillId="0" borderId="1" xfId="0" applyNumberFormat="1" applyFont="1" applyBorder="1" applyAlignment="1">
      <alignment horizontal="left" vertical="center"/>
    </xf>
    <xf numFmtId="10" fontId="15" fillId="5" borderId="1" xfId="2" applyNumberFormat="1" applyFont="1" applyFill="1" applyBorder="1" applyAlignment="1">
      <alignment horizontal="left"/>
    </xf>
    <xf numFmtId="10" fontId="0" fillId="0" borderId="0" xfId="2" applyNumberFormat="1" applyFont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167" fontId="0" fillId="0" borderId="0" xfId="3" applyNumberFormat="1" applyFont="1"/>
    <xf numFmtId="167" fontId="0" fillId="0" borderId="0" xfId="0" applyNumberFormat="1"/>
    <xf numFmtId="0" fontId="4" fillId="0" borderId="0" xfId="0" applyFont="1"/>
    <xf numFmtId="0" fontId="18" fillId="0" borderId="0" xfId="0" applyFont="1" applyAlignment="1">
      <alignment horizontal="left" vertical="center"/>
    </xf>
    <xf numFmtId="168" fontId="19" fillId="0" borderId="0" xfId="0" applyNumberFormat="1" applyFont="1" applyAlignment="1">
      <alignment horizontal="left" vertical="center"/>
    </xf>
    <xf numFmtId="169" fontId="19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9" fontId="18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70" fontId="0" fillId="0" borderId="0" xfId="2" applyNumberFormat="1" applyFont="1" applyAlignment="1">
      <alignment horizontal="center" vertical="center"/>
    </xf>
    <xf numFmtId="10" fontId="18" fillId="0" borderId="0" xfId="2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" fontId="19" fillId="0" borderId="0" xfId="2" applyNumberFormat="1" applyFont="1" applyFill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43" fontId="9" fillId="0" borderId="1" xfId="3" applyFont="1" applyBorder="1" applyAlignment="1">
      <alignment horizontal="left" vertical="center"/>
    </xf>
    <xf numFmtId="43" fontId="0" fillId="0" borderId="1" xfId="3" applyFont="1" applyBorder="1" applyAlignment="1">
      <alignment horizontal="left"/>
    </xf>
    <xf numFmtId="0" fontId="0" fillId="0" borderId="1" xfId="0" applyBorder="1"/>
    <xf numFmtId="0" fontId="4" fillId="0" borderId="1" xfId="0" applyFont="1" applyBorder="1"/>
    <xf numFmtId="0" fontId="2" fillId="8" borderId="1" xfId="0" applyFont="1" applyFill="1" applyBorder="1" applyAlignment="1">
      <alignment horizontal="left" vertical="center"/>
    </xf>
    <xf numFmtId="164" fontId="2" fillId="8" borderId="1" xfId="0" applyNumberFormat="1" applyFont="1" applyFill="1" applyBorder="1" applyAlignment="1">
      <alignment horizontal="left" vertical="center"/>
    </xf>
    <xf numFmtId="0" fontId="0" fillId="10" borderId="0" xfId="0" applyFill="1" applyAlignment="1">
      <alignment horizontal="left"/>
    </xf>
    <xf numFmtId="0" fontId="0" fillId="10" borderId="0" xfId="0" applyFill="1"/>
    <xf numFmtId="10" fontId="0" fillId="0" borderId="0" xfId="0" applyNumberFormat="1"/>
    <xf numFmtId="10" fontId="0" fillId="10" borderId="0" xfId="0" applyNumberFormat="1" applyFill="1" applyAlignment="1">
      <alignment horizontal="center" vertical="center"/>
    </xf>
    <xf numFmtId="168" fontId="20" fillId="4" borderId="2" xfId="0" applyNumberFormat="1" applyFont="1" applyFill="1" applyBorder="1" applyAlignment="1">
      <alignment horizontal="left" vertical="center"/>
    </xf>
    <xf numFmtId="167" fontId="0" fillId="10" borderId="0" xfId="3" applyNumberFormat="1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8" borderId="1" xfId="0" applyFill="1" applyBorder="1"/>
    <xf numFmtId="0" fontId="21" fillId="6" borderId="3" xfId="0" applyFont="1" applyFill="1" applyBorder="1" applyAlignment="1">
      <alignment horizontal="left" vertical="center"/>
    </xf>
    <xf numFmtId="168" fontId="18" fillId="7" borderId="5" xfId="0" applyNumberFormat="1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168" fontId="18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2" fontId="0" fillId="0" borderId="0" xfId="2" applyNumberFormat="1" applyFont="1" applyAlignment="1">
      <alignment horizontal="left" vertical="center"/>
    </xf>
    <xf numFmtId="168" fontId="20" fillId="4" borderId="4" xfId="0" applyNumberFormat="1" applyFont="1" applyFill="1" applyBorder="1" applyAlignment="1">
      <alignment horizontal="right" vertical="center"/>
    </xf>
    <xf numFmtId="168" fontId="23" fillId="11" borderId="2" xfId="0" applyNumberFormat="1" applyFont="1" applyFill="1" applyBorder="1" applyAlignment="1">
      <alignment horizontal="left" vertical="center"/>
    </xf>
    <xf numFmtId="170" fontId="24" fillId="12" borderId="4" xfId="2" applyNumberFormat="1" applyFont="1" applyFill="1" applyBorder="1" applyAlignment="1">
      <alignment horizontal="right" vertical="center"/>
    </xf>
    <xf numFmtId="168" fontId="24" fillId="12" borderId="2" xfId="0" applyNumberFormat="1" applyFont="1" applyFill="1" applyBorder="1" applyAlignment="1">
      <alignment horizontal="left" vertical="center"/>
    </xf>
    <xf numFmtId="171" fontId="22" fillId="0" borderId="4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7" borderId="6" xfId="0" applyNumberForma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73" fontId="0" fillId="0" borderId="0" xfId="2" applyNumberFormat="1" applyFont="1" applyAlignment="1">
      <alignment horizontal="center" vertical="center"/>
    </xf>
    <xf numFmtId="0" fontId="25" fillId="6" borderId="0" xfId="0" applyFont="1" applyFill="1" applyAlignment="1">
      <alignment horizontal="left" vertical="center"/>
    </xf>
    <xf numFmtId="164" fontId="2" fillId="7" borderId="1" xfId="0" applyNumberFormat="1" applyFont="1" applyFill="1" applyBorder="1" applyAlignment="1">
      <alignment horizontal="left" vertical="center"/>
    </xf>
    <xf numFmtId="0" fontId="0" fillId="44" borderId="1" xfId="0" applyFill="1" applyBorder="1" applyAlignment="1">
      <alignment horizontal="left" wrapText="1"/>
    </xf>
    <xf numFmtId="0" fontId="0" fillId="0" borderId="16" xfId="0" applyBorder="1"/>
    <xf numFmtId="0" fontId="4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right"/>
    </xf>
    <xf numFmtId="14" fontId="0" fillId="0" borderId="16" xfId="0" applyNumberFormat="1" applyBorder="1" applyAlignment="1">
      <alignment horizontal="right"/>
    </xf>
    <xf numFmtId="3" fontId="0" fillId="0" borderId="16" xfId="0" applyNumberFormat="1" applyBorder="1" applyAlignment="1">
      <alignment horizontal="right"/>
    </xf>
    <xf numFmtId="4" fontId="0" fillId="0" borderId="16" xfId="0" applyNumberFormat="1" applyBorder="1" applyAlignment="1">
      <alignment horizontal="right"/>
    </xf>
    <xf numFmtId="4" fontId="0" fillId="0" borderId="0" xfId="0" applyNumberFormat="1"/>
    <xf numFmtId="0" fontId="16" fillId="0" borderId="17" xfId="0" applyFont="1" applyBorder="1" applyAlignment="1">
      <alignment horizontal="left" vertical="center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14" fontId="0" fillId="0" borderId="18" xfId="0" applyNumberFormat="1" applyBorder="1" applyAlignment="1">
      <alignment horizontal="right"/>
    </xf>
    <xf numFmtId="14" fontId="0" fillId="0" borderId="1" xfId="0" applyNumberFormat="1" applyBorder="1"/>
    <xf numFmtId="174" fontId="0" fillId="0" borderId="0" xfId="2" applyNumberFormat="1" applyFont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1" fillId="0" borderId="1" xfId="1" applyBorder="1" applyAlignment="1">
      <alignment horizontal="left"/>
    </xf>
    <xf numFmtId="0" fontId="11" fillId="0" borderId="1" xfId="1" applyBorder="1" applyAlignment="1">
      <alignment horizontal="left" wrapText="1"/>
    </xf>
    <xf numFmtId="0" fontId="11" fillId="0" borderId="0" xfId="1" applyBorder="1" applyAlignment="1">
      <alignment horizontal="left" wrapText="1"/>
    </xf>
    <xf numFmtId="0" fontId="11" fillId="0" borderId="0" xfId="1" applyBorder="1" applyAlignment="1">
      <alignment horizontal="left"/>
    </xf>
    <xf numFmtId="1" fontId="13" fillId="0" borderId="1" xfId="0" applyNumberFormat="1" applyFont="1" applyBorder="1" applyAlignment="1">
      <alignment horizontal="left"/>
    </xf>
    <xf numFmtId="0" fontId="41" fillId="0" borderId="0" xfId="0" applyFont="1"/>
    <xf numFmtId="0" fontId="0" fillId="8" borderId="0" xfId="0" applyFill="1"/>
    <xf numFmtId="43" fontId="0" fillId="0" borderId="0" xfId="0" applyNumberFormat="1" applyAlignment="1">
      <alignment horizontal="left"/>
    </xf>
    <xf numFmtId="175" fontId="0" fillId="0" borderId="0" xfId="2" applyNumberFormat="1" applyFont="1" applyAlignment="1">
      <alignment horizontal="center" vertical="center"/>
    </xf>
    <xf numFmtId="0" fontId="0" fillId="44" borderId="1" xfId="0" applyFill="1" applyBorder="1" applyAlignment="1">
      <alignment horizontal="left" vertical="center" wrapText="1"/>
    </xf>
    <xf numFmtId="0" fontId="11" fillId="0" borderId="1" xfId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11" fillId="0" borderId="0" xfId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11" fillId="0" borderId="16" xfId="1" applyBorder="1" applyAlignment="1">
      <alignment horizontal="left" vertical="center" wrapText="1"/>
    </xf>
    <xf numFmtId="166" fontId="0" fillId="0" borderId="0" xfId="0" applyNumberFormat="1" applyAlignment="1">
      <alignment horizontal="left" vertical="center"/>
    </xf>
    <xf numFmtId="0" fontId="5" fillId="8" borderId="0" xfId="0" applyFont="1" applyFill="1"/>
    <xf numFmtId="176" fontId="2" fillId="4" borderId="1" xfId="0" applyNumberFormat="1" applyFont="1" applyFill="1" applyBorder="1" applyAlignment="1">
      <alignment horizontal="left" vertical="center"/>
    </xf>
    <xf numFmtId="166" fontId="0" fillId="0" borderId="1" xfId="0" applyNumberFormat="1" applyBorder="1" applyAlignment="1">
      <alignment horizontal="left" vertical="center"/>
    </xf>
    <xf numFmtId="176" fontId="2" fillId="7" borderId="1" xfId="0" applyNumberFormat="1" applyFont="1" applyFill="1" applyBorder="1" applyAlignment="1">
      <alignment horizontal="left" vertical="center"/>
    </xf>
    <xf numFmtId="0" fontId="0" fillId="45" borderId="0" xfId="0" applyFill="1"/>
    <xf numFmtId="0" fontId="4" fillId="45" borderId="0" xfId="0" applyFont="1" applyFill="1"/>
    <xf numFmtId="166" fontId="9" fillId="0" borderId="0" xfId="0" applyNumberFormat="1" applyFont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7" borderId="0" xfId="0" applyFill="1"/>
    <xf numFmtId="0" fontId="9" fillId="0" borderId="1" xfId="0" applyFont="1" applyBorder="1" applyAlignment="1">
      <alignment horizontal="left" vertical="center" wrapText="1"/>
    </xf>
    <xf numFmtId="0" fontId="11" fillId="0" borderId="1" xfId="1" applyBorder="1" applyAlignment="1">
      <alignment wrapText="1"/>
    </xf>
    <xf numFmtId="0" fontId="0" fillId="0" borderId="17" xfId="0" applyBorder="1"/>
    <xf numFmtId="0" fontId="2" fillId="7" borderId="1" xfId="0" applyFont="1" applyFill="1" applyBorder="1" applyAlignment="1">
      <alignment horizontal="left" vertical="center"/>
    </xf>
    <xf numFmtId="0" fontId="0" fillId="7" borderId="1" xfId="0" applyFill="1" applyBorder="1"/>
    <xf numFmtId="2" fontId="0" fillId="8" borderId="0" xfId="0" applyNumberFormat="1" applyFill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4" fontId="15" fillId="44" borderId="1" xfId="0" applyNumberFormat="1" applyFont="1" applyFill="1" applyBorder="1" applyAlignment="1">
      <alignment horizontal="left"/>
    </xf>
  </cellXfs>
  <cellStyles count="46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3" builtinId="3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1" builtinId="8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5" xr:uid="{075D89AC-6621-4B55-8394-66960344A6EB}"/>
    <cellStyle name="Note" xfId="18" builtinId="10" customBuiltin="1"/>
    <cellStyle name="Output" xfId="13" builtinId="21" customBuiltin="1"/>
    <cellStyle name="Percent" xfId="2" builtinId="5"/>
    <cellStyle name="Title" xfId="4" builtinId="15" customBuiltin="1"/>
    <cellStyle name="Total" xfId="20" builtinId="25" customBuiltin="1"/>
    <cellStyle name="Warning Text" xfId="17" builtinId="11" customBuiltin="1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0</xdr:rowOff>
    </xdr:to>
    <xdr:sp macro="" textlink="">
      <xdr:nvSpPr>
        <xdr:cNvPr id="2049" name="AutoShape 1" descr="Rs.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736092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304800</xdr:colOff>
      <xdr:row>13</xdr:row>
      <xdr:rowOff>0</xdr:rowOff>
    </xdr:to>
    <xdr:sp macro="" textlink="">
      <xdr:nvSpPr>
        <xdr:cNvPr id="2051" name="AutoShape 3" descr="Rs.">
          <a:extLst>
            <a:ext uri="{FF2B5EF4-FFF2-40B4-BE49-F238E27FC236}">
              <a16:creationId xmlns:a16="http://schemas.microsoft.com/office/drawing/2014/main" id="{00000000-0008-0000-02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871728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304800</xdr:colOff>
      <xdr:row>13</xdr:row>
      <xdr:rowOff>0</xdr:rowOff>
    </xdr:to>
    <xdr:sp macro="" textlink="">
      <xdr:nvSpPr>
        <xdr:cNvPr id="2052" name="AutoShape 4" descr="Rs.">
          <a:extLst>
            <a:ext uri="{FF2B5EF4-FFF2-40B4-BE49-F238E27FC236}">
              <a16:creationId xmlns:a16="http://schemas.microsoft.com/office/drawing/2014/main" id="{00000000-0008-0000-02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976884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0</xdr:rowOff>
    </xdr:to>
    <xdr:sp macro="" textlink="">
      <xdr:nvSpPr>
        <xdr:cNvPr id="2053" name="AutoShape 5" descr="Rs.">
          <a:extLst>
            <a:ext uri="{FF2B5EF4-FFF2-40B4-BE49-F238E27FC236}">
              <a16:creationId xmlns:a16="http://schemas.microsoft.com/office/drawing/2014/main" id="{00000000-0008-0000-02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1085088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80010</xdr:rowOff>
    </xdr:to>
    <xdr:sp macro="" textlink="">
      <xdr:nvSpPr>
        <xdr:cNvPr id="2054" name="AutoShape 6" descr="Rs.">
          <a:extLst>
            <a:ext uri="{FF2B5EF4-FFF2-40B4-BE49-F238E27FC236}">
              <a16:creationId xmlns:a16="http://schemas.microsoft.com/office/drawing/2014/main" id="{00000000-0008-0000-0200-000006080000}"/>
            </a:ext>
          </a:extLst>
        </xdr:cNvPr>
        <xdr:cNvSpPr>
          <a:spLocks noChangeAspect="1" noChangeArrowheads="1"/>
        </xdr:cNvSpPr>
      </xdr:nvSpPr>
      <xdr:spPr bwMode="auto">
        <a:xfrm>
          <a:off x="1236726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304800</xdr:colOff>
      <xdr:row>12</xdr:row>
      <xdr:rowOff>80010</xdr:rowOff>
    </xdr:to>
    <xdr:sp macro="" textlink="">
      <xdr:nvSpPr>
        <xdr:cNvPr id="2055" name="AutoShape 7" descr="Rs.">
          <a:extLst>
            <a:ext uri="{FF2B5EF4-FFF2-40B4-BE49-F238E27FC236}">
              <a16:creationId xmlns:a16="http://schemas.microsoft.com/office/drawing/2014/main" id="{00000000-0008-0000-0200-000007080000}"/>
            </a:ext>
          </a:extLst>
        </xdr:cNvPr>
        <xdr:cNvSpPr>
          <a:spLocks noChangeAspect="1" noChangeArrowheads="1"/>
        </xdr:cNvSpPr>
      </xdr:nvSpPr>
      <xdr:spPr bwMode="auto">
        <a:xfrm>
          <a:off x="1297686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12</xdr:row>
      <xdr:rowOff>0</xdr:rowOff>
    </xdr:from>
    <xdr:ext cx="304800" cy="304800"/>
    <xdr:sp macro="" textlink="">
      <xdr:nvSpPr>
        <xdr:cNvPr id="9" name="AutoShape 1" descr="Rs.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236982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2" name="AutoShape 4" descr="Rs.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9768840" y="5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</xdr:row>
      <xdr:rowOff>0</xdr:rowOff>
    </xdr:from>
    <xdr:ext cx="304800" cy="304800"/>
    <xdr:sp macro="" textlink="">
      <xdr:nvSpPr>
        <xdr:cNvPr id="11" name="AutoShape 1" descr="Rs.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7360920" y="5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neycontrol.com/mutual-funds/amc-details/RC" TargetMode="External"/><Relationship Id="rId13" Type="http://schemas.openxmlformats.org/officeDocument/2006/relationships/hyperlink" Target="https://www.moneycontrol.com/mutual-funds/nav/nippon-india-gold-savings-fund-growth/MRC647" TargetMode="External"/><Relationship Id="rId18" Type="http://schemas.openxmlformats.org/officeDocument/2006/relationships/hyperlink" Target="https://www.moneycontrol.com/mutual-funds/nav/nippon-india-small-cap-fund-growth/MRC587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https://www.moneycontrol.com/mutual-funds/amc-details/KM" TargetMode="External"/><Relationship Id="rId21" Type="http://schemas.openxmlformats.org/officeDocument/2006/relationships/hyperlink" Target="https://www.moneycontrol.com/mutual-funds/nav/aditya-birla-sun-life-frontline-equity-fund/MAC031" TargetMode="External"/><Relationship Id="rId7" Type="http://schemas.openxmlformats.org/officeDocument/2006/relationships/hyperlink" Target="https://www.moneycontrol.com/mutual-funds/amc-details/BS" TargetMode="External"/><Relationship Id="rId12" Type="http://schemas.openxmlformats.org/officeDocument/2006/relationships/hyperlink" Target="https://www.moneycontrol.com/mutual-funds/nav/nippon-india-gold-savings-fund/MRC647" TargetMode="External"/><Relationship Id="rId17" Type="http://schemas.openxmlformats.org/officeDocument/2006/relationships/hyperlink" Target="https://www.moneycontrol.com/mutual-funds/nav/aditya-birla-sun-life-short-term-fund-retail-plan/MBS039" TargetMode="External"/><Relationship Id="rId25" Type="http://schemas.openxmlformats.org/officeDocument/2006/relationships/printerSettings" Target="../printerSettings/printerSettings3.bin"/><Relationship Id="rId2" Type="http://schemas.openxmlformats.org/officeDocument/2006/relationships/hyperlink" Target="https://www.moneycontrol.com/mutual-funds/amc-details/KM" TargetMode="External"/><Relationship Id="rId16" Type="http://schemas.openxmlformats.org/officeDocument/2006/relationships/hyperlink" Target="https://www.moneycontrol.com/mutual-funds/nav/kotak-tax-saver-direct-plan/MKM518" TargetMode="External"/><Relationship Id="rId20" Type="http://schemas.openxmlformats.org/officeDocument/2006/relationships/hyperlink" Target="https://www.moneycontrol.com/mutual-funds/nav/aditya-birla-sun-life-frontline-equity-fund/MAC031" TargetMode="External"/><Relationship Id="rId1" Type="http://schemas.openxmlformats.org/officeDocument/2006/relationships/hyperlink" Target="https://www.moneycontrol.com/mutual-funds/nav/kotak-low-duration-fund-standard-plan/MAI049" TargetMode="External"/><Relationship Id="rId6" Type="http://schemas.openxmlformats.org/officeDocument/2006/relationships/hyperlink" Target="https://www.moneycontrol.com/mutual-funds/nav/kotak-focused-equity-fund-direct-plan/MKM1343" TargetMode="External"/><Relationship Id="rId11" Type="http://schemas.openxmlformats.org/officeDocument/2006/relationships/hyperlink" Target="https://www.moneycontrol.com/mutual-funds/nav/kotak-standard-multicap-fund-regular-plan/MKM311" TargetMode="External"/><Relationship Id="rId24" Type="http://schemas.openxmlformats.org/officeDocument/2006/relationships/hyperlink" Target="https://www.moneycontrol.com/mutual-funds/nav/tata-gold-etf-fund-of-fund-direct-plan-growth/MTAA009" TargetMode="External"/><Relationship Id="rId5" Type="http://schemas.openxmlformats.org/officeDocument/2006/relationships/hyperlink" Target="https://www.moneycontrol.com/mutual-funds/amc-details/KM" TargetMode="External"/><Relationship Id="rId15" Type="http://schemas.openxmlformats.org/officeDocument/2006/relationships/hyperlink" Target="https://www.moneycontrol.com/mutual-funds/nav/aditya-birla-sun-life-tax-relief-96/MBS291" TargetMode="External"/><Relationship Id="rId23" Type="http://schemas.openxmlformats.org/officeDocument/2006/relationships/hyperlink" Target="https://www.moneycontrol.com/mutual-funds/nav/hdfc-balanced-advantage-fund-direct-plan-growth/MHD1146" TargetMode="External"/><Relationship Id="rId10" Type="http://schemas.openxmlformats.org/officeDocument/2006/relationships/hyperlink" Target="https://www.moneycontrol.com/mf/mfinfo/amc_sch_listing.php?ffid=KM" TargetMode="External"/><Relationship Id="rId19" Type="http://schemas.openxmlformats.org/officeDocument/2006/relationships/hyperlink" Target="https://www.moneycontrol.com/mutual-funds/nav/nippon-india-value-fund/MRC098" TargetMode="External"/><Relationship Id="rId4" Type="http://schemas.openxmlformats.org/officeDocument/2006/relationships/hyperlink" Target="https://www.moneycontrol.com/mutual-funds/amc-details/BS" TargetMode="External"/><Relationship Id="rId9" Type="http://schemas.openxmlformats.org/officeDocument/2006/relationships/hyperlink" Target="https://www.moneycontrol.com/mutual-funds/amc-details/RC" TargetMode="External"/><Relationship Id="rId14" Type="http://schemas.openxmlformats.org/officeDocument/2006/relationships/hyperlink" Target="https://www.moneycontrol.com/mutual-funds/nav/aditya-birla-sun-life-mnc-fund/MBS017" TargetMode="External"/><Relationship Id="rId22" Type="http://schemas.openxmlformats.org/officeDocument/2006/relationships/hyperlink" Target="https://www.moneycontrol.com/mutual-funds/nav/parag-parikh-flexi-cap-fund-direct-plan/MPP00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E4183"/>
  <sheetViews>
    <sheetView tabSelected="1" zoomScale="94" zoomScaleNormal="94" workbookViewId="0">
      <pane ySplit="1" topLeftCell="A2" activePane="bottomLeft" state="frozen"/>
      <selection pane="bottomLeft" activeCell="D4198" sqref="D4198"/>
    </sheetView>
  </sheetViews>
  <sheetFormatPr defaultRowHeight="15" x14ac:dyDescent="0.25"/>
  <cols>
    <col min="1" max="1" width="8.7109375" customWidth="1"/>
    <col min="2" max="2" width="14" bestFit="1" customWidth="1"/>
    <col min="3" max="3" width="14.28515625" customWidth="1"/>
    <col min="4" max="4" width="58.7109375" customWidth="1"/>
    <col min="5" max="5" width="12.7109375" style="49" bestFit="1" customWidth="1"/>
    <col min="6" max="6" width="10.28515625" style="49" bestFit="1" customWidth="1"/>
    <col min="7" max="7" width="17.28515625" style="49" bestFit="1" customWidth="1"/>
    <col min="8" max="8" width="12.7109375" bestFit="1" customWidth="1"/>
    <col min="9" max="9" width="17.5703125" customWidth="1"/>
    <col min="10" max="11" width="11.5703125" bestFit="1" customWidth="1"/>
    <col min="12" max="12" width="16.7109375" bestFit="1" customWidth="1"/>
    <col min="13" max="13" width="10.85546875" bestFit="1" customWidth="1"/>
    <col min="14" max="14" width="9.140625" bestFit="1" customWidth="1"/>
    <col min="15" max="15" width="40.7109375" customWidth="1"/>
  </cols>
  <sheetData>
    <row r="1" spans="1:15" ht="15.75" x14ac:dyDescent="0.25">
      <c r="A1" s="5" t="s">
        <v>295</v>
      </c>
      <c r="B1" s="6" t="s">
        <v>250</v>
      </c>
      <c r="C1" s="5" t="s">
        <v>294</v>
      </c>
      <c r="D1" s="6" t="s">
        <v>251</v>
      </c>
      <c r="E1" s="7" t="s">
        <v>252</v>
      </c>
      <c r="F1" s="7" t="s">
        <v>306</v>
      </c>
      <c r="G1" s="7" t="s">
        <v>253</v>
      </c>
      <c r="H1" s="7" t="s">
        <v>0</v>
      </c>
      <c r="I1" s="7" t="s">
        <v>254</v>
      </c>
      <c r="J1" s="7" t="s">
        <v>255</v>
      </c>
      <c r="K1" s="7" t="s">
        <v>1</v>
      </c>
      <c r="L1" s="7" t="s">
        <v>256</v>
      </c>
      <c r="M1" s="7" t="s">
        <v>311</v>
      </c>
      <c r="N1" s="7" t="s">
        <v>1501</v>
      </c>
      <c r="O1" s="7" t="s">
        <v>518</v>
      </c>
    </row>
    <row r="2" spans="1:15" ht="15.75" hidden="1" x14ac:dyDescent="0.25">
      <c r="A2" s="1" t="str">
        <f t="shared" ref="A2:A65" si="0">B2&amp;C2&amp;G2&amp;H2&amp;I2&amp;J2</f>
        <v>437034370350CURRENTWITHDRAWSELF</v>
      </c>
      <c r="B2" s="2">
        <v>43703</v>
      </c>
      <c r="C2" s="2">
        <f t="shared" ref="C2:C11" si="1">B2</f>
        <v>43703</v>
      </c>
      <c r="D2" s="3" t="s">
        <v>12</v>
      </c>
      <c r="E2" s="3">
        <v>-50</v>
      </c>
      <c r="F2" s="3">
        <v>1</v>
      </c>
      <c r="G2" s="3">
        <f t="shared" ref="G2:G9" si="2">ABS(E2)*F2</f>
        <v>50</v>
      </c>
      <c r="H2" s="3" t="s">
        <v>293</v>
      </c>
      <c r="I2" s="1" t="s">
        <v>13</v>
      </c>
      <c r="J2" s="1" t="s">
        <v>14</v>
      </c>
      <c r="K2" s="1" t="s">
        <v>298</v>
      </c>
      <c r="L2" s="1" t="s">
        <v>257</v>
      </c>
      <c r="M2" s="1"/>
      <c r="N2" s="1">
        <f t="shared" ref="N2:N65" si="3">MONTH(C2)</f>
        <v>8</v>
      </c>
      <c r="O2" s="65"/>
    </row>
    <row r="3" spans="1:15" ht="15.75" hidden="1" x14ac:dyDescent="0.25">
      <c r="A3" s="1" t="str">
        <f t="shared" si="0"/>
        <v>437034370310CURRENTSERVICEBANK</v>
      </c>
      <c r="B3" s="2">
        <v>43703</v>
      </c>
      <c r="C3" s="2">
        <f t="shared" si="1"/>
        <v>43703</v>
      </c>
      <c r="D3" s="3" t="s">
        <v>6</v>
      </c>
      <c r="E3" s="3">
        <v>-10</v>
      </c>
      <c r="F3" s="3">
        <v>1</v>
      </c>
      <c r="G3" s="3">
        <f t="shared" si="2"/>
        <v>10</v>
      </c>
      <c r="H3" s="3" t="s">
        <v>293</v>
      </c>
      <c r="I3" s="1" t="s">
        <v>7</v>
      </c>
      <c r="J3" s="1" t="s">
        <v>8</v>
      </c>
      <c r="K3" s="1" t="s">
        <v>298</v>
      </c>
      <c r="L3" s="1" t="s">
        <v>257</v>
      </c>
      <c r="M3" s="1"/>
      <c r="N3" s="1">
        <f t="shared" si="3"/>
        <v>8</v>
      </c>
      <c r="O3" s="65"/>
    </row>
    <row r="4" spans="1:15" ht="15.75" hidden="1" x14ac:dyDescent="0.25">
      <c r="A4" s="1" t="str">
        <f t="shared" si="0"/>
        <v>437034370350CURRENTLOANFRIEND</v>
      </c>
      <c r="B4" s="2">
        <v>43703</v>
      </c>
      <c r="C4" s="2">
        <f t="shared" si="1"/>
        <v>43703</v>
      </c>
      <c r="D4" s="3" t="s">
        <v>2</v>
      </c>
      <c r="E4" s="3">
        <v>50</v>
      </c>
      <c r="F4" s="3">
        <v>1</v>
      </c>
      <c r="G4" s="3">
        <f t="shared" si="2"/>
        <v>50</v>
      </c>
      <c r="H4" s="3" t="s">
        <v>293</v>
      </c>
      <c r="I4" s="1" t="s">
        <v>3</v>
      </c>
      <c r="J4" s="1" t="s">
        <v>4</v>
      </c>
      <c r="K4" s="1" t="s">
        <v>300</v>
      </c>
      <c r="L4" s="1" t="s">
        <v>257</v>
      </c>
      <c r="M4" s="1"/>
      <c r="N4" s="1">
        <f t="shared" si="3"/>
        <v>8</v>
      </c>
      <c r="O4" s="65"/>
    </row>
    <row r="5" spans="1:15" ht="15.75" hidden="1" x14ac:dyDescent="0.25">
      <c r="A5" s="1" t="str">
        <f t="shared" si="0"/>
        <v>437034370350CURRENTLOANFRIEND</v>
      </c>
      <c r="B5" s="2">
        <v>43703</v>
      </c>
      <c r="C5" s="2">
        <f t="shared" si="1"/>
        <v>43703</v>
      </c>
      <c r="D5" s="3" t="s">
        <v>5</v>
      </c>
      <c r="E5" s="3">
        <v>50</v>
      </c>
      <c r="F5" s="3">
        <v>1</v>
      </c>
      <c r="G5" s="3">
        <f t="shared" si="2"/>
        <v>50</v>
      </c>
      <c r="H5" s="3" t="s">
        <v>293</v>
      </c>
      <c r="I5" s="1" t="s">
        <v>3</v>
      </c>
      <c r="J5" s="1" t="s">
        <v>4</v>
      </c>
      <c r="K5" s="1" t="s">
        <v>300</v>
      </c>
      <c r="L5" s="1" t="s">
        <v>257</v>
      </c>
      <c r="M5" s="1"/>
      <c r="N5" s="1">
        <f t="shared" si="3"/>
        <v>8</v>
      </c>
      <c r="O5" s="65"/>
    </row>
    <row r="6" spans="1:15" ht="15.75" hidden="1" x14ac:dyDescent="0.25">
      <c r="A6" s="1" t="str">
        <f t="shared" si="0"/>
        <v>437034370328CURRENTFOODCAFÉ/REST.</v>
      </c>
      <c r="B6" s="2">
        <v>43703</v>
      </c>
      <c r="C6" s="2">
        <f t="shared" si="1"/>
        <v>43703</v>
      </c>
      <c r="D6" s="3" t="s">
        <v>9</v>
      </c>
      <c r="E6" s="3">
        <v>-28</v>
      </c>
      <c r="F6" s="3">
        <v>1</v>
      </c>
      <c r="G6" s="3">
        <f t="shared" si="2"/>
        <v>28</v>
      </c>
      <c r="H6" s="3" t="s">
        <v>293</v>
      </c>
      <c r="I6" s="1" t="s">
        <v>10</v>
      </c>
      <c r="J6" s="1" t="s">
        <v>11</v>
      </c>
      <c r="K6" s="1" t="s">
        <v>298</v>
      </c>
      <c r="L6" s="1" t="s">
        <v>257</v>
      </c>
      <c r="M6" s="1"/>
      <c r="N6" s="1">
        <f t="shared" si="3"/>
        <v>8</v>
      </c>
      <c r="O6" s="65"/>
    </row>
    <row r="7" spans="1:15" ht="15.75" hidden="1" x14ac:dyDescent="0.25">
      <c r="A7" s="1" t="str">
        <f t="shared" si="0"/>
        <v>4370443704500CURRENTWITHDRAWSELF</v>
      </c>
      <c r="B7" s="2">
        <v>43704</v>
      </c>
      <c r="C7" s="2">
        <f t="shared" si="1"/>
        <v>43704</v>
      </c>
      <c r="D7" s="3" t="s">
        <v>20</v>
      </c>
      <c r="E7" s="4">
        <v>-500</v>
      </c>
      <c r="F7" s="3">
        <v>1</v>
      </c>
      <c r="G7" s="3">
        <f t="shared" si="2"/>
        <v>500</v>
      </c>
      <c r="H7" s="3" t="s">
        <v>293</v>
      </c>
      <c r="I7" s="1" t="s">
        <v>13</v>
      </c>
      <c r="J7" s="1" t="s">
        <v>14</v>
      </c>
      <c r="K7" s="1" t="s">
        <v>298</v>
      </c>
      <c r="L7" s="1" t="s">
        <v>257</v>
      </c>
      <c r="M7" s="1"/>
      <c r="N7" s="1">
        <f t="shared" si="3"/>
        <v>8</v>
      </c>
      <c r="O7" s="65"/>
    </row>
    <row r="8" spans="1:15" ht="15.75" hidden="1" x14ac:dyDescent="0.25">
      <c r="A8" s="1" t="str">
        <f t="shared" si="0"/>
        <v>43704437042559CURRENTTRANSFERINDIA</v>
      </c>
      <c r="B8" s="2">
        <v>43704</v>
      </c>
      <c r="C8" s="2">
        <f t="shared" si="1"/>
        <v>43704</v>
      </c>
      <c r="D8" s="3" t="s">
        <v>21</v>
      </c>
      <c r="E8" s="4">
        <v>-2559</v>
      </c>
      <c r="F8" s="3">
        <v>1</v>
      </c>
      <c r="G8" s="3">
        <f t="shared" si="2"/>
        <v>2559</v>
      </c>
      <c r="H8" s="3" t="s">
        <v>293</v>
      </c>
      <c r="I8" s="1" t="s">
        <v>22</v>
      </c>
      <c r="J8" s="1" t="s">
        <v>23</v>
      </c>
      <c r="K8" s="1" t="s">
        <v>298</v>
      </c>
      <c r="L8" s="1" t="s">
        <v>257</v>
      </c>
      <c r="M8" s="1"/>
      <c r="N8" s="1">
        <f t="shared" si="3"/>
        <v>8</v>
      </c>
      <c r="O8" s="65"/>
    </row>
    <row r="9" spans="1:15" ht="15.75" hidden="1" x14ac:dyDescent="0.25">
      <c r="A9" s="1" t="str">
        <f t="shared" si="0"/>
        <v>437044370415CURRENTSERVICEBANK</v>
      </c>
      <c r="B9" s="2">
        <v>43704</v>
      </c>
      <c r="C9" s="2">
        <f t="shared" si="1"/>
        <v>43704</v>
      </c>
      <c r="D9" s="3" t="s">
        <v>16</v>
      </c>
      <c r="E9" s="3">
        <v>-15</v>
      </c>
      <c r="F9" s="3">
        <v>1</v>
      </c>
      <c r="G9" s="3">
        <f t="shared" si="2"/>
        <v>15</v>
      </c>
      <c r="H9" s="3" t="s">
        <v>293</v>
      </c>
      <c r="I9" s="1" t="s">
        <v>7</v>
      </c>
      <c r="J9" s="1" t="s">
        <v>8</v>
      </c>
      <c r="K9" s="1" t="s">
        <v>298</v>
      </c>
      <c r="L9" s="1" t="s">
        <v>257</v>
      </c>
      <c r="M9" s="1"/>
      <c r="N9" s="1">
        <f t="shared" si="3"/>
        <v>8</v>
      </c>
      <c r="O9" s="65"/>
    </row>
    <row r="10" spans="1:15" ht="15.75" hidden="1" x14ac:dyDescent="0.25">
      <c r="A10" s="1" t="str">
        <f t="shared" si="0"/>
        <v>437044370418244CURRENTSALARYQATAR AIR</v>
      </c>
      <c r="B10" s="2">
        <v>43704</v>
      </c>
      <c r="C10" s="2">
        <f t="shared" si="1"/>
        <v>43704</v>
      </c>
      <c r="D10" s="3" t="s">
        <v>17</v>
      </c>
      <c r="E10" s="4">
        <v>12929</v>
      </c>
      <c r="F10" s="3">
        <v>1</v>
      </c>
      <c r="G10" s="3">
        <v>18244</v>
      </c>
      <c r="H10" s="3" t="s">
        <v>293</v>
      </c>
      <c r="I10" s="1" t="s">
        <v>18</v>
      </c>
      <c r="J10" s="1" t="s">
        <v>19</v>
      </c>
      <c r="K10" s="1" t="s">
        <v>300</v>
      </c>
      <c r="L10" s="1" t="s">
        <v>257</v>
      </c>
      <c r="M10" s="1"/>
      <c r="N10" s="1">
        <f t="shared" si="3"/>
        <v>8</v>
      </c>
      <c r="O10" s="65"/>
    </row>
    <row r="11" spans="1:15" ht="15.75" hidden="1" x14ac:dyDescent="0.25">
      <c r="A11" s="1" t="str">
        <f t="shared" si="0"/>
        <v>43704437045315CURRENTRENTQATAR AIR</v>
      </c>
      <c r="B11" s="2">
        <v>43704</v>
      </c>
      <c r="C11" s="2">
        <f t="shared" si="1"/>
        <v>43704</v>
      </c>
      <c r="D11" s="3" t="s">
        <v>400</v>
      </c>
      <c r="E11" s="3">
        <v>5315</v>
      </c>
      <c r="F11" s="3">
        <v>1</v>
      </c>
      <c r="G11" s="3">
        <f>ABS(E11)*F11</f>
        <v>5315</v>
      </c>
      <c r="H11" s="3" t="s">
        <v>293</v>
      </c>
      <c r="I11" s="1" t="s">
        <v>83</v>
      </c>
      <c r="J11" s="1" t="s">
        <v>19</v>
      </c>
      <c r="K11" s="1" t="s">
        <v>298</v>
      </c>
      <c r="L11" s="1" t="s">
        <v>257</v>
      </c>
      <c r="M11" s="1"/>
      <c r="N11" s="1">
        <f t="shared" si="3"/>
        <v>8</v>
      </c>
      <c r="O11" s="65"/>
    </row>
    <row r="12" spans="1:15" ht="15.75" hidden="1" x14ac:dyDescent="0.25">
      <c r="A12" s="1" t="str">
        <f t="shared" si="0"/>
        <v>43704437092000CURRENTRENTCAP ONE</v>
      </c>
      <c r="B12" s="2">
        <v>43704</v>
      </c>
      <c r="C12" s="2">
        <v>43709</v>
      </c>
      <c r="D12" s="3" t="s">
        <v>404</v>
      </c>
      <c r="E12" s="4">
        <v>-2000</v>
      </c>
      <c r="F12" s="3">
        <v>1</v>
      </c>
      <c r="G12" s="3">
        <v>2000</v>
      </c>
      <c r="H12" s="3" t="s">
        <v>293</v>
      </c>
      <c r="I12" s="1" t="s">
        <v>83</v>
      </c>
      <c r="J12" s="1" t="s">
        <v>84</v>
      </c>
      <c r="K12" s="1" t="s">
        <v>298</v>
      </c>
      <c r="L12" s="1" t="s">
        <v>257</v>
      </c>
      <c r="M12" s="1"/>
      <c r="N12" s="1">
        <f t="shared" si="3"/>
        <v>9</v>
      </c>
      <c r="O12" s="65"/>
    </row>
    <row r="13" spans="1:15" ht="15.75" hidden="1" x14ac:dyDescent="0.25">
      <c r="A13" s="1" t="str">
        <f t="shared" si="0"/>
        <v>43704437094500CURRENTRENTCAP ONE</v>
      </c>
      <c r="B13" s="2">
        <v>43704</v>
      </c>
      <c r="C13" s="2">
        <v>43709</v>
      </c>
      <c r="D13" s="3" t="s">
        <v>405</v>
      </c>
      <c r="E13" s="4">
        <v>-4500</v>
      </c>
      <c r="F13" s="3">
        <v>1</v>
      </c>
      <c r="G13" s="3">
        <v>4500</v>
      </c>
      <c r="H13" s="3" t="s">
        <v>293</v>
      </c>
      <c r="I13" s="1" t="s">
        <v>83</v>
      </c>
      <c r="J13" s="1" t="s">
        <v>84</v>
      </c>
      <c r="K13" s="1" t="s">
        <v>298</v>
      </c>
      <c r="L13" s="1" t="s">
        <v>257</v>
      </c>
      <c r="M13" s="1"/>
      <c r="N13" s="1">
        <f t="shared" si="3"/>
        <v>9</v>
      </c>
      <c r="O13" s="65"/>
    </row>
    <row r="14" spans="1:15" ht="15.75" hidden="1" x14ac:dyDescent="0.25">
      <c r="A14" s="1" t="str">
        <f t="shared" si="0"/>
        <v>43704437041092CURRENTLOANFRIEND</v>
      </c>
      <c r="B14" s="2">
        <v>43704</v>
      </c>
      <c r="C14" s="2">
        <f>B14</f>
        <v>43704</v>
      </c>
      <c r="D14" s="3" t="s">
        <v>15</v>
      </c>
      <c r="E14" s="4">
        <v>-1092</v>
      </c>
      <c r="F14" s="3">
        <v>1</v>
      </c>
      <c r="G14" s="3">
        <f t="shared" ref="G14:G77" si="4">ABS(E14)*F14</f>
        <v>1092</v>
      </c>
      <c r="H14" s="3" t="s">
        <v>293</v>
      </c>
      <c r="I14" s="1" t="s">
        <v>3</v>
      </c>
      <c r="J14" s="1" t="s">
        <v>4</v>
      </c>
      <c r="K14" s="1" t="s">
        <v>298</v>
      </c>
      <c r="L14" s="1" t="s">
        <v>257</v>
      </c>
      <c r="M14" s="1"/>
      <c r="N14" s="1">
        <f t="shared" si="3"/>
        <v>8</v>
      </c>
      <c r="O14" s="65"/>
    </row>
    <row r="15" spans="1:15" ht="15.75" hidden="1" x14ac:dyDescent="0.25">
      <c r="A15" s="1" t="str">
        <f t="shared" si="0"/>
        <v>437054370515CURRENTSERVICEBANK</v>
      </c>
      <c r="B15" s="2">
        <v>43705</v>
      </c>
      <c r="C15" s="2">
        <f>B15</f>
        <v>43705</v>
      </c>
      <c r="D15" s="3" t="s">
        <v>24</v>
      </c>
      <c r="E15" s="3">
        <v>-15</v>
      </c>
      <c r="F15" s="3">
        <v>1</v>
      </c>
      <c r="G15" s="3">
        <f t="shared" si="4"/>
        <v>15</v>
      </c>
      <c r="H15" s="3" t="s">
        <v>293</v>
      </c>
      <c r="I15" s="1" t="s">
        <v>7</v>
      </c>
      <c r="J15" s="1" t="s">
        <v>8</v>
      </c>
      <c r="K15" s="1" t="s">
        <v>298</v>
      </c>
      <c r="L15" s="1" t="s">
        <v>257</v>
      </c>
      <c r="M15" s="1"/>
      <c r="N15" s="1">
        <f t="shared" si="3"/>
        <v>8</v>
      </c>
      <c r="O15" s="65"/>
    </row>
    <row r="16" spans="1:15" ht="15.75" hidden="1" x14ac:dyDescent="0.25">
      <c r="A16" s="1" t="str">
        <f t="shared" si="0"/>
        <v>437094370915CURRENTSERVICEBANK</v>
      </c>
      <c r="B16" s="2">
        <v>43709</v>
      </c>
      <c r="C16" s="2">
        <f>B16</f>
        <v>43709</v>
      </c>
      <c r="D16" s="3" t="s">
        <v>26</v>
      </c>
      <c r="E16" s="3">
        <v>15</v>
      </c>
      <c r="F16" s="3">
        <v>1</v>
      </c>
      <c r="G16" s="3">
        <f t="shared" si="4"/>
        <v>15</v>
      </c>
      <c r="H16" s="3" t="s">
        <v>293</v>
      </c>
      <c r="I16" s="1" t="s">
        <v>7</v>
      </c>
      <c r="J16" s="1" t="s">
        <v>8</v>
      </c>
      <c r="K16" s="1" t="s">
        <v>300</v>
      </c>
      <c r="L16" s="1" t="s">
        <v>257</v>
      </c>
      <c r="M16" s="1"/>
      <c r="N16" s="1">
        <f t="shared" si="3"/>
        <v>9</v>
      </c>
      <c r="O16" s="65"/>
    </row>
    <row r="17" spans="1:15" ht="15.75" hidden="1" x14ac:dyDescent="0.25">
      <c r="A17" s="1" t="str">
        <f t="shared" si="0"/>
        <v>437094370925CURRENTFOODQATAR AIR</v>
      </c>
      <c r="B17" s="2">
        <v>43709</v>
      </c>
      <c r="C17" s="2">
        <f>B17</f>
        <v>43709</v>
      </c>
      <c r="D17" s="3" t="s">
        <v>25</v>
      </c>
      <c r="E17" s="3">
        <v>-25</v>
      </c>
      <c r="F17" s="3">
        <v>1</v>
      </c>
      <c r="G17" s="3">
        <f t="shared" si="4"/>
        <v>25</v>
      </c>
      <c r="H17" s="3" t="s">
        <v>293</v>
      </c>
      <c r="I17" s="1" t="s">
        <v>10</v>
      </c>
      <c r="J17" s="1" t="s">
        <v>19</v>
      </c>
      <c r="K17" s="1" t="s">
        <v>298</v>
      </c>
      <c r="L17" s="1" t="s">
        <v>257</v>
      </c>
      <c r="M17" s="1"/>
      <c r="N17" s="1">
        <f t="shared" si="3"/>
        <v>9</v>
      </c>
      <c r="O17" s="65"/>
    </row>
    <row r="18" spans="1:15" ht="15.75" hidden="1" x14ac:dyDescent="0.25">
      <c r="A18" s="1" t="str">
        <f t="shared" si="0"/>
        <v>4371343718500MASTER CCVISAMINISTERY</v>
      </c>
      <c r="B18" s="2">
        <v>43713</v>
      </c>
      <c r="C18" s="2">
        <v>43718</v>
      </c>
      <c r="D18" s="3" t="s">
        <v>28</v>
      </c>
      <c r="E18" s="3">
        <v>500</v>
      </c>
      <c r="F18" s="3">
        <v>1</v>
      </c>
      <c r="G18" s="3">
        <f t="shared" si="4"/>
        <v>500</v>
      </c>
      <c r="H18" s="3" t="s">
        <v>291</v>
      </c>
      <c r="I18" s="1" t="s">
        <v>29</v>
      </c>
      <c r="J18" s="1" t="s">
        <v>30</v>
      </c>
      <c r="K18" s="1" t="s">
        <v>298</v>
      </c>
      <c r="L18" s="1" t="s">
        <v>267</v>
      </c>
      <c r="M18" s="1"/>
      <c r="N18" s="1">
        <f t="shared" si="3"/>
        <v>9</v>
      </c>
      <c r="O18" s="65"/>
    </row>
    <row r="19" spans="1:15" ht="15.75" hidden="1" x14ac:dyDescent="0.25">
      <c r="A19" s="1" t="str">
        <f t="shared" si="0"/>
        <v>43713437158MASTER CCTRANSPORTCAREEM</v>
      </c>
      <c r="B19" s="2">
        <v>43713</v>
      </c>
      <c r="C19" s="2">
        <v>43715</v>
      </c>
      <c r="D19" s="3" t="s">
        <v>27</v>
      </c>
      <c r="E19" s="3">
        <v>8</v>
      </c>
      <c r="F19" s="3">
        <v>1</v>
      </c>
      <c r="G19" s="3">
        <f t="shared" si="4"/>
        <v>8</v>
      </c>
      <c r="H19" s="3" t="s">
        <v>291</v>
      </c>
      <c r="I19" s="1" t="s">
        <v>296</v>
      </c>
      <c r="J19" s="1" t="s">
        <v>297</v>
      </c>
      <c r="K19" s="1" t="s">
        <v>298</v>
      </c>
      <c r="L19" s="1" t="s">
        <v>267</v>
      </c>
      <c r="M19" s="1"/>
      <c r="N19" s="1">
        <f t="shared" si="3"/>
        <v>9</v>
      </c>
      <c r="O19" s="65"/>
    </row>
    <row r="20" spans="1:15" ht="15.75" hidden="1" x14ac:dyDescent="0.25">
      <c r="A20" s="1" t="str">
        <f t="shared" si="0"/>
        <v>43714437168MASTER CCTRANSPORTCAREEM</v>
      </c>
      <c r="B20" s="2">
        <v>43714</v>
      </c>
      <c r="C20" s="2">
        <v>43716</v>
      </c>
      <c r="D20" s="3" t="s">
        <v>31</v>
      </c>
      <c r="E20" s="3">
        <v>8</v>
      </c>
      <c r="F20" s="3">
        <v>1</v>
      </c>
      <c r="G20" s="3">
        <f t="shared" si="4"/>
        <v>8</v>
      </c>
      <c r="H20" s="3" t="s">
        <v>291</v>
      </c>
      <c r="I20" s="1" t="s">
        <v>296</v>
      </c>
      <c r="J20" s="1" t="s">
        <v>297</v>
      </c>
      <c r="K20" s="1" t="s">
        <v>298</v>
      </c>
      <c r="L20" s="1" t="s">
        <v>267</v>
      </c>
      <c r="M20" s="1"/>
      <c r="N20" s="1">
        <f t="shared" si="3"/>
        <v>9</v>
      </c>
      <c r="O20" s="65"/>
    </row>
    <row r="21" spans="1:15" ht="15.75" hidden="1" x14ac:dyDescent="0.25">
      <c r="A21" s="1" t="str">
        <f t="shared" si="0"/>
        <v>437144371834MASTER CCFOODCAFÉ/REST.</v>
      </c>
      <c r="B21" s="2">
        <v>43714</v>
      </c>
      <c r="C21" s="2">
        <v>43718</v>
      </c>
      <c r="D21" s="3" t="s">
        <v>32</v>
      </c>
      <c r="E21" s="3">
        <v>34</v>
      </c>
      <c r="F21" s="3">
        <v>1</v>
      </c>
      <c r="G21" s="3">
        <f t="shared" si="4"/>
        <v>34</v>
      </c>
      <c r="H21" s="3" t="s">
        <v>291</v>
      </c>
      <c r="I21" s="1" t="s">
        <v>10</v>
      </c>
      <c r="J21" s="1" t="s">
        <v>11</v>
      </c>
      <c r="K21" s="1" t="s">
        <v>298</v>
      </c>
      <c r="L21" s="1" t="s">
        <v>267</v>
      </c>
      <c r="M21" s="1"/>
      <c r="N21" s="1">
        <f t="shared" si="3"/>
        <v>9</v>
      </c>
      <c r="O21" s="65"/>
    </row>
    <row r="22" spans="1:15" ht="15.75" hidden="1" x14ac:dyDescent="0.25">
      <c r="A22" s="1" t="str">
        <f t="shared" si="0"/>
        <v>437154371835MASTER CCTRANSPORTCAREEM</v>
      </c>
      <c r="B22" s="2">
        <v>43715</v>
      </c>
      <c r="C22" s="2">
        <v>43718</v>
      </c>
      <c r="D22" s="3" t="s">
        <v>33</v>
      </c>
      <c r="E22" s="3">
        <v>35</v>
      </c>
      <c r="F22" s="3">
        <v>1</v>
      </c>
      <c r="G22" s="3">
        <f t="shared" si="4"/>
        <v>35</v>
      </c>
      <c r="H22" s="3" t="s">
        <v>291</v>
      </c>
      <c r="I22" s="1" t="s">
        <v>296</v>
      </c>
      <c r="J22" s="1" t="s">
        <v>297</v>
      </c>
      <c r="K22" s="1" t="s">
        <v>298</v>
      </c>
      <c r="L22" s="1" t="s">
        <v>267</v>
      </c>
      <c r="M22" s="1"/>
      <c r="N22" s="1">
        <f t="shared" si="3"/>
        <v>9</v>
      </c>
      <c r="O22" s="65"/>
    </row>
    <row r="23" spans="1:15" ht="15.75" hidden="1" x14ac:dyDescent="0.25">
      <c r="A23" s="1" t="str">
        <f t="shared" si="0"/>
        <v>437184372015MASTER CCFOODQATAR AIR</v>
      </c>
      <c r="B23" s="2">
        <v>43718</v>
      </c>
      <c r="C23" s="2">
        <v>43720</v>
      </c>
      <c r="D23" s="3" t="s">
        <v>34</v>
      </c>
      <c r="E23" s="3">
        <v>15</v>
      </c>
      <c r="F23" s="3">
        <v>1</v>
      </c>
      <c r="G23" s="3">
        <f t="shared" si="4"/>
        <v>15</v>
      </c>
      <c r="H23" s="3" t="s">
        <v>291</v>
      </c>
      <c r="I23" s="1" t="s">
        <v>10</v>
      </c>
      <c r="J23" s="1" t="s">
        <v>19</v>
      </c>
      <c r="K23" s="1" t="s">
        <v>298</v>
      </c>
      <c r="L23" s="1" t="s">
        <v>267</v>
      </c>
      <c r="M23" s="1"/>
      <c r="N23" s="1">
        <f t="shared" si="3"/>
        <v>9</v>
      </c>
      <c r="O23" s="65"/>
    </row>
    <row r="24" spans="1:15" ht="15.75" hidden="1" x14ac:dyDescent="0.25">
      <c r="A24" s="1" t="str">
        <f t="shared" si="0"/>
        <v>437184372035MASTER CCFOODQATAR AIR</v>
      </c>
      <c r="B24" s="2">
        <v>43718</v>
      </c>
      <c r="C24" s="2">
        <v>43720</v>
      </c>
      <c r="D24" s="3" t="s">
        <v>35</v>
      </c>
      <c r="E24" s="3">
        <v>35</v>
      </c>
      <c r="F24" s="3">
        <v>1</v>
      </c>
      <c r="G24" s="3">
        <f t="shared" si="4"/>
        <v>35</v>
      </c>
      <c r="H24" s="3" t="s">
        <v>291</v>
      </c>
      <c r="I24" s="1" t="s">
        <v>10</v>
      </c>
      <c r="J24" s="1" t="s">
        <v>19</v>
      </c>
      <c r="K24" s="1" t="s">
        <v>298</v>
      </c>
      <c r="L24" s="1" t="s">
        <v>267</v>
      </c>
      <c r="M24" s="1"/>
      <c r="N24" s="1">
        <f t="shared" si="3"/>
        <v>9</v>
      </c>
      <c r="O24" s="65"/>
    </row>
    <row r="25" spans="1:15" ht="15.75" hidden="1" x14ac:dyDescent="0.25">
      <c r="A25" s="1" t="str">
        <f t="shared" si="0"/>
        <v>437194372112MASTER CCFOODQATAR AIR</v>
      </c>
      <c r="B25" s="2">
        <v>43719</v>
      </c>
      <c r="C25" s="2">
        <v>43721</v>
      </c>
      <c r="D25" s="3" t="s">
        <v>36</v>
      </c>
      <c r="E25" s="3">
        <v>12</v>
      </c>
      <c r="F25" s="3">
        <v>1</v>
      </c>
      <c r="G25" s="3">
        <f t="shared" si="4"/>
        <v>12</v>
      </c>
      <c r="H25" s="3" t="s">
        <v>291</v>
      </c>
      <c r="I25" s="1" t="s">
        <v>10</v>
      </c>
      <c r="J25" s="1" t="s">
        <v>19</v>
      </c>
      <c r="K25" s="1" t="s">
        <v>298</v>
      </c>
      <c r="L25" s="1" t="s">
        <v>267</v>
      </c>
      <c r="M25" s="1"/>
      <c r="N25" s="1">
        <f t="shared" si="3"/>
        <v>9</v>
      </c>
      <c r="O25" s="65"/>
    </row>
    <row r="26" spans="1:15" ht="15.75" hidden="1" x14ac:dyDescent="0.25">
      <c r="A26" s="1" t="str">
        <f t="shared" si="0"/>
        <v>4372043720500CURRENTWITHDRAWSELF</v>
      </c>
      <c r="B26" s="2">
        <v>43720</v>
      </c>
      <c r="C26" s="2">
        <f>B26</f>
        <v>43720</v>
      </c>
      <c r="D26" s="3" t="s">
        <v>41</v>
      </c>
      <c r="E26" s="3">
        <v>-500</v>
      </c>
      <c r="F26" s="3">
        <v>1</v>
      </c>
      <c r="G26" s="3">
        <f t="shared" si="4"/>
        <v>500</v>
      </c>
      <c r="H26" s="3" t="s">
        <v>293</v>
      </c>
      <c r="I26" s="1" t="s">
        <v>13</v>
      </c>
      <c r="J26" s="1" t="s">
        <v>14</v>
      </c>
      <c r="K26" s="1" t="s">
        <v>298</v>
      </c>
      <c r="L26" s="1" t="s">
        <v>257</v>
      </c>
      <c r="M26" s="1"/>
      <c r="N26" s="1">
        <f t="shared" si="3"/>
        <v>9</v>
      </c>
      <c r="O26" s="65"/>
    </row>
    <row r="27" spans="1:15" ht="15.75" hidden="1" x14ac:dyDescent="0.25">
      <c r="A27" s="1" t="str">
        <f t="shared" si="0"/>
        <v>437204372511MASTER CCFOODQATAR AIR</v>
      </c>
      <c r="B27" s="2">
        <v>43720</v>
      </c>
      <c r="C27" s="2">
        <v>43725</v>
      </c>
      <c r="D27" s="3" t="s">
        <v>39</v>
      </c>
      <c r="E27" s="3">
        <v>11</v>
      </c>
      <c r="F27" s="3">
        <v>1</v>
      </c>
      <c r="G27" s="3">
        <f t="shared" si="4"/>
        <v>11</v>
      </c>
      <c r="H27" s="3" t="s">
        <v>291</v>
      </c>
      <c r="I27" s="1" t="s">
        <v>10</v>
      </c>
      <c r="J27" s="1" t="s">
        <v>19</v>
      </c>
      <c r="K27" s="1" t="s">
        <v>298</v>
      </c>
      <c r="L27" s="1" t="s">
        <v>267</v>
      </c>
      <c r="M27" s="1"/>
      <c r="N27" s="1">
        <f t="shared" si="3"/>
        <v>9</v>
      </c>
      <c r="O27" s="65"/>
    </row>
    <row r="28" spans="1:15" ht="15.75" hidden="1" x14ac:dyDescent="0.25">
      <c r="A28" s="1" t="str">
        <f t="shared" si="0"/>
        <v>437204372512MASTER CCFOODQATAR AIR</v>
      </c>
      <c r="B28" s="2">
        <v>43720</v>
      </c>
      <c r="C28" s="2">
        <v>43725</v>
      </c>
      <c r="D28" s="3" t="s">
        <v>38</v>
      </c>
      <c r="E28" s="3">
        <v>12</v>
      </c>
      <c r="F28" s="3">
        <v>1</v>
      </c>
      <c r="G28" s="3">
        <f t="shared" si="4"/>
        <v>12</v>
      </c>
      <c r="H28" s="3" t="s">
        <v>291</v>
      </c>
      <c r="I28" s="1" t="s">
        <v>10</v>
      </c>
      <c r="J28" s="1" t="s">
        <v>19</v>
      </c>
      <c r="K28" s="1" t="s">
        <v>298</v>
      </c>
      <c r="L28" s="1" t="s">
        <v>267</v>
      </c>
      <c r="M28" s="1"/>
      <c r="N28" s="1">
        <f t="shared" si="3"/>
        <v>9</v>
      </c>
      <c r="O28" s="65"/>
    </row>
    <row r="29" spans="1:15" ht="15.75" hidden="1" x14ac:dyDescent="0.25">
      <c r="A29" s="1" t="str">
        <f t="shared" si="0"/>
        <v>437204372535MASTER CCFOODQATAR AIR</v>
      </c>
      <c r="B29" s="2">
        <v>43720</v>
      </c>
      <c r="C29" s="2">
        <v>43725</v>
      </c>
      <c r="D29" s="3" t="s">
        <v>40</v>
      </c>
      <c r="E29" s="3">
        <v>35</v>
      </c>
      <c r="F29" s="3">
        <v>1</v>
      </c>
      <c r="G29" s="3">
        <f t="shared" si="4"/>
        <v>35</v>
      </c>
      <c r="H29" s="3" t="s">
        <v>291</v>
      </c>
      <c r="I29" s="1" t="s">
        <v>10</v>
      </c>
      <c r="J29" s="1" t="s">
        <v>19</v>
      </c>
      <c r="K29" s="1" t="s">
        <v>298</v>
      </c>
      <c r="L29" s="1" t="s">
        <v>267</v>
      </c>
      <c r="M29" s="1"/>
      <c r="N29" s="1">
        <f t="shared" si="3"/>
        <v>9</v>
      </c>
      <c r="O29" s="65"/>
    </row>
    <row r="30" spans="1:15" ht="15.75" hidden="1" x14ac:dyDescent="0.25">
      <c r="A30" s="1" t="str">
        <f t="shared" si="0"/>
        <v>43720437222MASTER CCTRANSPORTCAREEM</v>
      </c>
      <c r="B30" s="2">
        <v>43720</v>
      </c>
      <c r="C30" s="2">
        <v>43722</v>
      </c>
      <c r="D30" s="3" t="s">
        <v>37</v>
      </c>
      <c r="E30" s="3">
        <v>2</v>
      </c>
      <c r="F30" s="3">
        <v>1</v>
      </c>
      <c r="G30" s="3">
        <f t="shared" si="4"/>
        <v>2</v>
      </c>
      <c r="H30" s="3" t="s">
        <v>291</v>
      </c>
      <c r="I30" s="1" t="s">
        <v>296</v>
      </c>
      <c r="J30" s="1" t="s">
        <v>297</v>
      </c>
      <c r="K30" s="1" t="s">
        <v>298</v>
      </c>
      <c r="L30" s="1" t="s">
        <v>267</v>
      </c>
      <c r="M30" s="1"/>
      <c r="N30" s="1">
        <f t="shared" si="3"/>
        <v>9</v>
      </c>
      <c r="O30" s="65"/>
    </row>
    <row r="31" spans="1:15" ht="15.75" hidden="1" x14ac:dyDescent="0.25">
      <c r="A31" s="1" t="str">
        <f t="shared" si="0"/>
        <v>437214372254.7DINERSGROCERYLULU</v>
      </c>
      <c r="B31" s="2">
        <v>43721</v>
      </c>
      <c r="C31" s="2">
        <v>43722</v>
      </c>
      <c r="D31" s="3" t="s">
        <v>42</v>
      </c>
      <c r="E31" s="3">
        <v>54.7</v>
      </c>
      <c r="F31" s="3">
        <v>1</v>
      </c>
      <c r="G31" s="3">
        <f t="shared" si="4"/>
        <v>54.7</v>
      </c>
      <c r="H31" s="3" t="s">
        <v>266</v>
      </c>
      <c r="I31" s="1" t="s">
        <v>43</v>
      </c>
      <c r="J31" s="1" t="s">
        <v>44</v>
      </c>
      <c r="K31" s="1" t="s">
        <v>298</v>
      </c>
      <c r="L31" s="1" t="s">
        <v>267</v>
      </c>
      <c r="M31" s="1"/>
      <c r="N31" s="1">
        <f t="shared" si="3"/>
        <v>9</v>
      </c>
      <c r="O31" s="87"/>
    </row>
    <row r="32" spans="1:15" ht="15.75" hidden="1" x14ac:dyDescent="0.25">
      <c r="A32" s="1" t="str">
        <f t="shared" si="0"/>
        <v>437214372233DINERSFOODCAFÉ/REST.</v>
      </c>
      <c r="B32" s="2">
        <v>43721</v>
      </c>
      <c r="C32" s="2">
        <v>43722</v>
      </c>
      <c r="D32" s="3" t="s">
        <v>45</v>
      </c>
      <c r="E32" s="3">
        <v>33</v>
      </c>
      <c r="F32" s="3">
        <v>1</v>
      </c>
      <c r="G32" s="3">
        <f t="shared" si="4"/>
        <v>33</v>
      </c>
      <c r="H32" s="3" t="s">
        <v>266</v>
      </c>
      <c r="I32" s="1" t="s">
        <v>10</v>
      </c>
      <c r="J32" s="1" t="s">
        <v>11</v>
      </c>
      <c r="K32" s="1" t="s">
        <v>298</v>
      </c>
      <c r="L32" s="1" t="s">
        <v>267</v>
      </c>
      <c r="M32" s="1"/>
      <c r="N32" s="1">
        <f t="shared" si="3"/>
        <v>9</v>
      </c>
      <c r="O32" s="87"/>
    </row>
    <row r="33" spans="1:15" ht="15.75" hidden="1" x14ac:dyDescent="0.25">
      <c r="A33" s="1" t="str">
        <f t="shared" si="0"/>
        <v>437234372515.71DINERSTRANSPORTUBER</v>
      </c>
      <c r="B33" s="2">
        <v>43723</v>
      </c>
      <c r="C33" s="2">
        <v>43725</v>
      </c>
      <c r="D33" s="3" t="s">
        <v>47</v>
      </c>
      <c r="E33" s="3">
        <v>15.71</v>
      </c>
      <c r="F33" s="3">
        <v>1</v>
      </c>
      <c r="G33" s="3">
        <f t="shared" si="4"/>
        <v>15.71</v>
      </c>
      <c r="H33" s="3" t="s">
        <v>266</v>
      </c>
      <c r="I33" s="1" t="s">
        <v>296</v>
      </c>
      <c r="J33" s="1" t="s">
        <v>299</v>
      </c>
      <c r="K33" s="1" t="s">
        <v>298</v>
      </c>
      <c r="L33" s="1" t="s">
        <v>267</v>
      </c>
      <c r="M33" s="1"/>
      <c r="N33" s="1">
        <f t="shared" si="3"/>
        <v>9</v>
      </c>
      <c r="O33" s="87"/>
    </row>
    <row r="34" spans="1:15" ht="15.75" hidden="1" x14ac:dyDescent="0.25">
      <c r="A34" s="1" t="str">
        <f t="shared" si="0"/>
        <v>437234372513MASTER CCFOODQATAR AIR</v>
      </c>
      <c r="B34" s="2">
        <v>43723</v>
      </c>
      <c r="C34" s="2">
        <v>43725</v>
      </c>
      <c r="D34" s="3" t="s">
        <v>46</v>
      </c>
      <c r="E34" s="3">
        <v>13</v>
      </c>
      <c r="F34" s="3">
        <v>1</v>
      </c>
      <c r="G34" s="3">
        <f t="shared" si="4"/>
        <v>13</v>
      </c>
      <c r="H34" s="3" t="s">
        <v>291</v>
      </c>
      <c r="I34" s="1" t="s">
        <v>10</v>
      </c>
      <c r="J34" s="1" t="s">
        <v>19</v>
      </c>
      <c r="K34" s="1" t="s">
        <v>298</v>
      </c>
      <c r="L34" s="1" t="s">
        <v>267</v>
      </c>
      <c r="M34" s="1"/>
      <c r="N34" s="1">
        <f t="shared" si="3"/>
        <v>9</v>
      </c>
      <c r="O34" s="65"/>
    </row>
    <row r="35" spans="1:15" ht="15.75" hidden="1" x14ac:dyDescent="0.25">
      <c r="A35" s="1" t="str">
        <f t="shared" si="0"/>
        <v>437244372638MASTER CCFOODQATAR AIR</v>
      </c>
      <c r="B35" s="2">
        <v>43724</v>
      </c>
      <c r="C35" s="2">
        <v>43726</v>
      </c>
      <c r="D35" s="3" t="s">
        <v>48</v>
      </c>
      <c r="E35" s="3">
        <v>38</v>
      </c>
      <c r="F35" s="3">
        <v>1</v>
      </c>
      <c r="G35" s="3">
        <f t="shared" si="4"/>
        <v>38</v>
      </c>
      <c r="H35" s="3" t="s">
        <v>291</v>
      </c>
      <c r="I35" s="1" t="s">
        <v>10</v>
      </c>
      <c r="J35" s="1" t="s">
        <v>19</v>
      </c>
      <c r="K35" s="1" t="s">
        <v>298</v>
      </c>
      <c r="L35" s="1" t="s">
        <v>267</v>
      </c>
      <c r="M35" s="1"/>
      <c r="N35" s="1">
        <f t="shared" si="3"/>
        <v>9</v>
      </c>
      <c r="O35" s="65"/>
    </row>
    <row r="36" spans="1:15" ht="15.75" hidden="1" x14ac:dyDescent="0.25">
      <c r="A36" s="1" t="str">
        <f t="shared" si="0"/>
        <v>437284373244.25MASTER CCGROCERYGRANDMART</v>
      </c>
      <c r="B36" s="2">
        <v>43728</v>
      </c>
      <c r="C36" s="2">
        <v>43732</v>
      </c>
      <c r="D36" s="3" t="s">
        <v>49</v>
      </c>
      <c r="E36" s="3">
        <v>44.25</v>
      </c>
      <c r="F36" s="3">
        <v>1</v>
      </c>
      <c r="G36" s="3">
        <f t="shared" si="4"/>
        <v>44.25</v>
      </c>
      <c r="H36" s="3" t="s">
        <v>291</v>
      </c>
      <c r="I36" s="1" t="s">
        <v>43</v>
      </c>
      <c r="J36" s="1" t="s">
        <v>50</v>
      </c>
      <c r="K36" s="1" t="s">
        <v>298</v>
      </c>
      <c r="L36" s="1" t="s">
        <v>267</v>
      </c>
      <c r="M36" s="1"/>
      <c r="N36" s="1">
        <f t="shared" si="3"/>
        <v>9</v>
      </c>
      <c r="O36" s="65"/>
    </row>
    <row r="37" spans="1:15" ht="15.75" hidden="1" x14ac:dyDescent="0.25">
      <c r="A37" s="1" t="str">
        <f t="shared" si="0"/>
        <v>4372943730333.17DINERSSHOPPINGLULU</v>
      </c>
      <c r="B37" s="2">
        <v>43729</v>
      </c>
      <c r="C37" s="2">
        <v>43730</v>
      </c>
      <c r="D37" s="3" t="s">
        <v>53</v>
      </c>
      <c r="E37" s="3">
        <v>333.17</v>
      </c>
      <c r="F37" s="3">
        <v>1</v>
      </c>
      <c r="G37" s="3">
        <f t="shared" si="4"/>
        <v>333.17</v>
      </c>
      <c r="H37" s="3" t="s">
        <v>266</v>
      </c>
      <c r="I37" s="1" t="s">
        <v>194</v>
      </c>
      <c r="J37" s="1" t="s">
        <v>44</v>
      </c>
      <c r="K37" s="1" t="s">
        <v>298</v>
      </c>
      <c r="L37" s="1" t="s">
        <v>267</v>
      </c>
      <c r="M37" s="1">
        <v>1</v>
      </c>
      <c r="N37" s="1">
        <f t="shared" si="3"/>
        <v>9</v>
      </c>
      <c r="O37" s="87"/>
    </row>
    <row r="38" spans="1:15" ht="15.75" hidden="1" x14ac:dyDescent="0.25">
      <c r="A38" s="1" t="str">
        <f t="shared" si="0"/>
        <v>437294373025DINERSGROCERYLULU</v>
      </c>
      <c r="B38" s="2">
        <v>43729</v>
      </c>
      <c r="C38" s="2">
        <v>43730</v>
      </c>
      <c r="D38" s="3" t="s">
        <v>54</v>
      </c>
      <c r="E38" s="3">
        <v>25</v>
      </c>
      <c r="F38" s="3">
        <v>1</v>
      </c>
      <c r="G38" s="3">
        <f t="shared" si="4"/>
        <v>25</v>
      </c>
      <c r="H38" s="3" t="s">
        <v>266</v>
      </c>
      <c r="I38" s="1" t="s">
        <v>43</v>
      </c>
      <c r="J38" s="1" t="s">
        <v>44</v>
      </c>
      <c r="K38" s="1" t="s">
        <v>298</v>
      </c>
      <c r="L38" s="1" t="s">
        <v>267</v>
      </c>
      <c r="M38" s="1"/>
      <c r="N38" s="1">
        <f t="shared" si="3"/>
        <v>9</v>
      </c>
      <c r="O38" s="87"/>
    </row>
    <row r="39" spans="1:15" ht="15.75" hidden="1" x14ac:dyDescent="0.25">
      <c r="A39" s="1" t="str">
        <f t="shared" si="0"/>
        <v>437294373210MASTER CCTRANSPORTCAREEM</v>
      </c>
      <c r="B39" s="2">
        <v>43729</v>
      </c>
      <c r="C39" s="2">
        <v>43732</v>
      </c>
      <c r="D39" s="3" t="s">
        <v>52</v>
      </c>
      <c r="E39" s="3">
        <v>10</v>
      </c>
      <c r="F39" s="3">
        <v>1</v>
      </c>
      <c r="G39" s="3">
        <f t="shared" si="4"/>
        <v>10</v>
      </c>
      <c r="H39" s="3" t="s">
        <v>291</v>
      </c>
      <c r="I39" s="1" t="s">
        <v>296</v>
      </c>
      <c r="J39" s="1" t="s">
        <v>297</v>
      </c>
      <c r="K39" s="1" t="s">
        <v>298</v>
      </c>
      <c r="L39" s="1" t="s">
        <v>267</v>
      </c>
      <c r="M39" s="1"/>
      <c r="N39" s="1">
        <f t="shared" si="3"/>
        <v>9</v>
      </c>
      <c r="O39" s="65"/>
    </row>
    <row r="40" spans="1:15" ht="15.75" hidden="1" x14ac:dyDescent="0.25">
      <c r="A40" s="1" t="str">
        <f t="shared" si="0"/>
        <v>43729437328MASTER CCTRANSPORTCAREEM</v>
      </c>
      <c r="B40" s="2">
        <v>43729</v>
      </c>
      <c r="C40" s="2">
        <v>43732</v>
      </c>
      <c r="D40" s="3" t="s">
        <v>51</v>
      </c>
      <c r="E40" s="3">
        <v>8</v>
      </c>
      <c r="F40" s="3">
        <v>1</v>
      </c>
      <c r="G40" s="3">
        <f t="shared" si="4"/>
        <v>8</v>
      </c>
      <c r="H40" s="3" t="s">
        <v>291</v>
      </c>
      <c r="I40" s="1" t="s">
        <v>296</v>
      </c>
      <c r="J40" s="1" t="s">
        <v>297</v>
      </c>
      <c r="K40" s="1" t="s">
        <v>298</v>
      </c>
      <c r="L40" s="1" t="s">
        <v>267</v>
      </c>
      <c r="M40" s="1"/>
      <c r="N40" s="1">
        <f t="shared" si="3"/>
        <v>9</v>
      </c>
      <c r="O40" s="65"/>
    </row>
    <row r="41" spans="1:15" ht="15.75" hidden="1" x14ac:dyDescent="0.25">
      <c r="A41" s="1" t="str">
        <f t="shared" si="0"/>
        <v>437304373213MASTER CCFOODQATAR AIR</v>
      </c>
      <c r="B41" s="2">
        <v>43730</v>
      </c>
      <c r="C41" s="2">
        <v>43732</v>
      </c>
      <c r="D41" s="3" t="s">
        <v>56</v>
      </c>
      <c r="E41" s="3">
        <v>13</v>
      </c>
      <c r="F41" s="3">
        <v>1</v>
      </c>
      <c r="G41" s="3">
        <f t="shared" si="4"/>
        <v>13</v>
      </c>
      <c r="H41" s="3" t="s">
        <v>291</v>
      </c>
      <c r="I41" s="1" t="s">
        <v>10</v>
      </c>
      <c r="J41" s="1" t="s">
        <v>19</v>
      </c>
      <c r="K41" s="1" t="s">
        <v>298</v>
      </c>
      <c r="L41" s="1" t="s">
        <v>267</v>
      </c>
      <c r="M41" s="1"/>
      <c r="N41" s="1">
        <f t="shared" si="3"/>
        <v>9</v>
      </c>
      <c r="O41" s="65"/>
    </row>
    <row r="42" spans="1:15" ht="15.75" hidden="1" x14ac:dyDescent="0.25">
      <c r="A42" s="1" t="str">
        <f t="shared" si="0"/>
        <v>437304373220MASTER CCTELECOMOOREDOO</v>
      </c>
      <c r="B42" s="2">
        <v>43730</v>
      </c>
      <c r="C42" s="2">
        <v>43732</v>
      </c>
      <c r="D42" s="3" t="s">
        <v>57</v>
      </c>
      <c r="E42" s="3">
        <v>20</v>
      </c>
      <c r="F42" s="3">
        <v>1</v>
      </c>
      <c r="G42" s="3">
        <f t="shared" si="4"/>
        <v>20</v>
      </c>
      <c r="H42" s="3" t="s">
        <v>291</v>
      </c>
      <c r="I42" s="1" t="s">
        <v>58</v>
      </c>
      <c r="J42" s="1" t="s">
        <v>59</v>
      </c>
      <c r="K42" s="1" t="s">
        <v>298</v>
      </c>
      <c r="L42" s="1" t="s">
        <v>267</v>
      </c>
      <c r="M42" s="1"/>
      <c r="N42" s="1">
        <f t="shared" si="3"/>
        <v>9</v>
      </c>
      <c r="O42" s="65"/>
    </row>
    <row r="43" spans="1:15" ht="15.75" hidden="1" x14ac:dyDescent="0.25">
      <c r="A43" s="1" t="str">
        <f t="shared" si="0"/>
        <v>43730437328MASTER CCTRANSPORTCAREEM</v>
      </c>
      <c r="B43" s="2">
        <v>43730</v>
      </c>
      <c r="C43" s="2">
        <v>43732</v>
      </c>
      <c r="D43" s="3" t="s">
        <v>55</v>
      </c>
      <c r="E43" s="3">
        <v>8</v>
      </c>
      <c r="F43" s="3">
        <v>1</v>
      </c>
      <c r="G43" s="3">
        <f t="shared" si="4"/>
        <v>8</v>
      </c>
      <c r="H43" s="3" t="s">
        <v>291</v>
      </c>
      <c r="I43" s="1" t="s">
        <v>296</v>
      </c>
      <c r="J43" s="1" t="s">
        <v>297</v>
      </c>
      <c r="K43" s="1" t="s">
        <v>298</v>
      </c>
      <c r="L43" s="1" t="s">
        <v>267</v>
      </c>
      <c r="M43" s="1"/>
      <c r="N43" s="1">
        <f t="shared" si="3"/>
        <v>9</v>
      </c>
      <c r="O43" s="65"/>
    </row>
    <row r="44" spans="1:15" ht="15.75" hidden="1" x14ac:dyDescent="0.25">
      <c r="A44" s="1" t="str">
        <f t="shared" si="0"/>
        <v>437314373239.5DINERSGROCERYNEW INDIAN SUP</v>
      </c>
      <c r="B44" s="2">
        <v>43731</v>
      </c>
      <c r="C44" s="2">
        <v>43732</v>
      </c>
      <c r="D44" s="3" t="s">
        <v>61</v>
      </c>
      <c r="E44" s="3">
        <v>39.5</v>
      </c>
      <c r="F44" s="3">
        <v>1</v>
      </c>
      <c r="G44" s="3">
        <f t="shared" si="4"/>
        <v>39.5</v>
      </c>
      <c r="H44" s="3" t="s">
        <v>266</v>
      </c>
      <c r="I44" s="1" t="s">
        <v>43</v>
      </c>
      <c r="J44" s="1" t="s">
        <v>62</v>
      </c>
      <c r="K44" s="1" t="s">
        <v>298</v>
      </c>
      <c r="L44" s="1" t="s">
        <v>267</v>
      </c>
      <c r="M44" s="1"/>
      <c r="N44" s="1">
        <f t="shared" si="3"/>
        <v>9</v>
      </c>
      <c r="O44" s="87"/>
    </row>
    <row r="45" spans="1:15" ht="15.75" hidden="1" x14ac:dyDescent="0.25">
      <c r="A45" s="1" t="str">
        <f t="shared" si="0"/>
        <v>437314373315MASTER CCFOODQATAR AIR</v>
      </c>
      <c r="B45" s="2">
        <v>43731</v>
      </c>
      <c r="C45" s="2">
        <v>43733</v>
      </c>
      <c r="D45" s="3" t="s">
        <v>60</v>
      </c>
      <c r="E45" s="3">
        <v>15</v>
      </c>
      <c r="F45" s="3">
        <v>1</v>
      </c>
      <c r="G45" s="3">
        <f t="shared" si="4"/>
        <v>15</v>
      </c>
      <c r="H45" s="3" t="s">
        <v>291</v>
      </c>
      <c r="I45" s="1" t="s">
        <v>10</v>
      </c>
      <c r="J45" s="1" t="s">
        <v>19</v>
      </c>
      <c r="K45" s="1" t="s">
        <v>298</v>
      </c>
      <c r="L45" s="1" t="s">
        <v>267</v>
      </c>
      <c r="M45" s="1"/>
      <c r="N45" s="1">
        <f t="shared" si="3"/>
        <v>9</v>
      </c>
      <c r="O45" s="65"/>
    </row>
    <row r="46" spans="1:15" ht="15.75" hidden="1" x14ac:dyDescent="0.25">
      <c r="A46" s="1" t="str">
        <f t="shared" si="0"/>
        <v>437334373513MASTER CCFOODCAFÉ/REST.</v>
      </c>
      <c r="B46" s="2">
        <v>43733</v>
      </c>
      <c r="C46" s="2">
        <v>43735</v>
      </c>
      <c r="D46" s="3" t="s">
        <v>64</v>
      </c>
      <c r="E46" s="3">
        <v>13</v>
      </c>
      <c r="F46" s="3">
        <v>1</v>
      </c>
      <c r="G46" s="3">
        <f t="shared" si="4"/>
        <v>13</v>
      </c>
      <c r="H46" s="3" t="s">
        <v>291</v>
      </c>
      <c r="I46" s="1" t="s">
        <v>10</v>
      </c>
      <c r="J46" s="1" t="s">
        <v>11</v>
      </c>
      <c r="K46" s="1" t="s">
        <v>298</v>
      </c>
      <c r="L46" s="1" t="s">
        <v>267</v>
      </c>
      <c r="M46" s="1"/>
      <c r="N46" s="1">
        <f t="shared" si="3"/>
        <v>9</v>
      </c>
      <c r="O46" s="65"/>
    </row>
    <row r="47" spans="1:15" ht="15.75" hidden="1" x14ac:dyDescent="0.25">
      <c r="A47" s="1" t="str">
        <f t="shared" si="0"/>
        <v>43733437358MASTER CCTRANSPORTCAREEM</v>
      </c>
      <c r="B47" s="2">
        <v>43733</v>
      </c>
      <c r="C47" s="2">
        <v>43735</v>
      </c>
      <c r="D47" s="3" t="s">
        <v>63</v>
      </c>
      <c r="E47" s="3">
        <v>8</v>
      </c>
      <c r="F47" s="3">
        <v>1</v>
      </c>
      <c r="G47" s="3">
        <f t="shared" si="4"/>
        <v>8</v>
      </c>
      <c r="H47" s="3" t="s">
        <v>291</v>
      </c>
      <c r="I47" s="1" t="s">
        <v>296</v>
      </c>
      <c r="J47" s="1" t="s">
        <v>297</v>
      </c>
      <c r="K47" s="1" t="s">
        <v>298</v>
      </c>
      <c r="L47" s="1" t="s">
        <v>267</v>
      </c>
      <c r="M47" s="1"/>
      <c r="N47" s="1">
        <f t="shared" si="3"/>
        <v>9</v>
      </c>
      <c r="O47" s="65"/>
    </row>
    <row r="48" spans="1:15" ht="15.75" hidden="1" x14ac:dyDescent="0.25">
      <c r="A48" s="1" t="str">
        <f t="shared" si="0"/>
        <v>437344373413717CURRENTSALARYQATAR AIR</v>
      </c>
      <c r="B48" s="2">
        <v>43734</v>
      </c>
      <c r="C48" s="2">
        <f>B48</f>
        <v>43734</v>
      </c>
      <c r="D48" s="3" t="s">
        <v>65</v>
      </c>
      <c r="E48" s="3">
        <v>13717</v>
      </c>
      <c r="F48" s="3">
        <v>1</v>
      </c>
      <c r="G48" s="3">
        <f t="shared" si="4"/>
        <v>13717</v>
      </c>
      <c r="H48" s="3" t="s">
        <v>293</v>
      </c>
      <c r="I48" s="1" t="s">
        <v>18</v>
      </c>
      <c r="J48" s="1" t="s">
        <v>19</v>
      </c>
      <c r="K48" s="1" t="s">
        <v>300</v>
      </c>
      <c r="L48" s="1" t="s">
        <v>257</v>
      </c>
      <c r="M48" s="1"/>
      <c r="N48" s="1">
        <f t="shared" si="3"/>
        <v>9</v>
      </c>
      <c r="O48" s="65"/>
    </row>
    <row r="49" spans="1:15" ht="15.75" hidden="1" x14ac:dyDescent="0.25">
      <c r="A49" s="1" t="str">
        <f t="shared" si="0"/>
        <v>437364373820MASTER CCFOODCAFÉ/REST.</v>
      </c>
      <c r="B49" s="2">
        <v>43736</v>
      </c>
      <c r="C49" s="2">
        <v>43738</v>
      </c>
      <c r="D49" s="3" t="s">
        <v>68</v>
      </c>
      <c r="E49" s="3">
        <v>20</v>
      </c>
      <c r="F49" s="3">
        <v>1</v>
      </c>
      <c r="G49" s="3">
        <f t="shared" si="4"/>
        <v>20</v>
      </c>
      <c r="H49" s="3" t="s">
        <v>291</v>
      </c>
      <c r="I49" s="1" t="s">
        <v>10</v>
      </c>
      <c r="J49" s="1" t="s">
        <v>11</v>
      </c>
      <c r="K49" s="1" t="s">
        <v>298</v>
      </c>
      <c r="L49" s="1" t="s">
        <v>267</v>
      </c>
      <c r="M49" s="1"/>
      <c r="N49" s="1">
        <f t="shared" si="3"/>
        <v>9</v>
      </c>
      <c r="O49" s="65"/>
    </row>
    <row r="50" spans="1:15" ht="15.75" hidden="1" x14ac:dyDescent="0.25">
      <c r="A50" s="1" t="str">
        <f t="shared" si="0"/>
        <v>4373643738123.75MASTER CCGROCERYCARREFOUR</v>
      </c>
      <c r="B50" s="2">
        <v>43736</v>
      </c>
      <c r="C50" s="2">
        <v>43738</v>
      </c>
      <c r="D50" s="3" t="s">
        <v>66</v>
      </c>
      <c r="E50" s="3">
        <v>123.75</v>
      </c>
      <c r="F50" s="3">
        <v>1</v>
      </c>
      <c r="G50" s="3">
        <f t="shared" si="4"/>
        <v>123.75</v>
      </c>
      <c r="H50" s="3" t="s">
        <v>291</v>
      </c>
      <c r="I50" s="1" t="s">
        <v>43</v>
      </c>
      <c r="J50" s="1" t="s">
        <v>67</v>
      </c>
      <c r="K50" s="1" t="s">
        <v>298</v>
      </c>
      <c r="L50" s="1" t="s">
        <v>267</v>
      </c>
      <c r="M50" s="1"/>
      <c r="N50" s="1">
        <f t="shared" si="3"/>
        <v>9</v>
      </c>
      <c r="O50" s="65"/>
    </row>
    <row r="51" spans="1:15" ht="15.75" hidden="1" x14ac:dyDescent="0.25">
      <c r="A51" s="1" t="str">
        <f t="shared" si="0"/>
        <v>43737437371000CURRENTWITHDRAWSELF</v>
      </c>
      <c r="B51" s="2">
        <v>43737</v>
      </c>
      <c r="C51" s="2">
        <f>B51</f>
        <v>43737</v>
      </c>
      <c r="D51" s="3" t="s">
        <v>71</v>
      </c>
      <c r="E51" s="3">
        <v>-1000</v>
      </c>
      <c r="F51" s="3">
        <v>1</v>
      </c>
      <c r="G51" s="3">
        <f t="shared" si="4"/>
        <v>1000</v>
      </c>
      <c r="H51" s="3" t="s">
        <v>293</v>
      </c>
      <c r="I51" s="1" t="s">
        <v>13</v>
      </c>
      <c r="J51" s="1" t="s">
        <v>14</v>
      </c>
      <c r="K51" s="1" t="s">
        <v>298</v>
      </c>
      <c r="L51" s="1" t="s">
        <v>257</v>
      </c>
      <c r="M51" s="1"/>
      <c r="N51" s="1">
        <f t="shared" si="3"/>
        <v>9</v>
      </c>
      <c r="O51" s="65"/>
    </row>
    <row r="52" spans="1:15" ht="15.75" hidden="1" x14ac:dyDescent="0.25">
      <c r="A52" s="1" t="str">
        <f t="shared" si="0"/>
        <v>43737437372493.12CURRENTTRANSFERINDIA</v>
      </c>
      <c r="B52" s="2">
        <v>43737</v>
      </c>
      <c r="C52" s="2">
        <f>B52</f>
        <v>43737</v>
      </c>
      <c r="D52" s="3" t="s">
        <v>69</v>
      </c>
      <c r="E52" s="3">
        <v>-2493.12</v>
      </c>
      <c r="F52" s="3">
        <v>1</v>
      </c>
      <c r="G52" s="3">
        <f t="shared" si="4"/>
        <v>2493.12</v>
      </c>
      <c r="H52" s="3" t="s">
        <v>293</v>
      </c>
      <c r="I52" s="1" t="s">
        <v>22</v>
      </c>
      <c r="J52" s="1" t="s">
        <v>23</v>
      </c>
      <c r="K52" s="1" t="s">
        <v>298</v>
      </c>
      <c r="L52" s="1" t="s">
        <v>257</v>
      </c>
      <c r="M52" s="1"/>
      <c r="N52" s="1">
        <f t="shared" si="3"/>
        <v>9</v>
      </c>
      <c r="O52" s="65"/>
    </row>
    <row r="53" spans="1:15" ht="15.75" hidden="1" x14ac:dyDescent="0.25">
      <c r="A53" s="1" t="str">
        <f t="shared" si="0"/>
        <v>437374373715CURRENTSERVICEBANK</v>
      </c>
      <c r="B53" s="2">
        <v>43737</v>
      </c>
      <c r="C53" s="2">
        <f>B53</f>
        <v>43737</v>
      </c>
      <c r="D53" s="3" t="s">
        <v>70</v>
      </c>
      <c r="E53" s="3">
        <v>-15</v>
      </c>
      <c r="F53" s="3">
        <v>1</v>
      </c>
      <c r="G53" s="3">
        <f t="shared" si="4"/>
        <v>15</v>
      </c>
      <c r="H53" s="3" t="s">
        <v>293</v>
      </c>
      <c r="I53" s="1" t="s">
        <v>7</v>
      </c>
      <c r="J53" s="1" t="s">
        <v>8</v>
      </c>
      <c r="K53" s="1" t="s">
        <v>298</v>
      </c>
      <c r="L53" s="1" t="s">
        <v>257</v>
      </c>
      <c r="M53" s="1"/>
      <c r="N53" s="1">
        <f t="shared" si="3"/>
        <v>9</v>
      </c>
      <c r="O53" s="65"/>
    </row>
    <row r="54" spans="1:15" ht="15.75" hidden="1" x14ac:dyDescent="0.25">
      <c r="A54" s="1" t="str">
        <f t="shared" si="0"/>
        <v>437374373825DINERSGROCERYNEW INDIAN SUP</v>
      </c>
      <c r="B54" s="2">
        <v>43737</v>
      </c>
      <c r="C54" s="2">
        <v>43738</v>
      </c>
      <c r="D54" s="3" t="s">
        <v>72</v>
      </c>
      <c r="E54" s="3">
        <v>25</v>
      </c>
      <c r="F54" s="3">
        <v>1</v>
      </c>
      <c r="G54" s="3">
        <f t="shared" si="4"/>
        <v>25</v>
      </c>
      <c r="H54" s="3" t="s">
        <v>266</v>
      </c>
      <c r="I54" s="1" t="s">
        <v>43</v>
      </c>
      <c r="J54" s="1" t="s">
        <v>62</v>
      </c>
      <c r="K54" s="1" t="s">
        <v>298</v>
      </c>
      <c r="L54" s="1" t="s">
        <v>267</v>
      </c>
      <c r="M54" s="1"/>
      <c r="N54" s="1">
        <f t="shared" si="3"/>
        <v>9</v>
      </c>
      <c r="O54" s="87"/>
    </row>
    <row r="55" spans="1:15" ht="15.75" hidden="1" x14ac:dyDescent="0.25">
      <c r="A55" s="1" t="str">
        <f t="shared" si="0"/>
        <v>4373743738100MASTER CCSERVICEBANK</v>
      </c>
      <c r="B55" s="2">
        <v>43737</v>
      </c>
      <c r="C55" s="2">
        <v>43738</v>
      </c>
      <c r="D55" s="3" t="s">
        <v>73</v>
      </c>
      <c r="E55" s="3">
        <v>100</v>
      </c>
      <c r="F55" s="3">
        <v>1</v>
      </c>
      <c r="G55" s="3">
        <f t="shared" si="4"/>
        <v>100</v>
      </c>
      <c r="H55" s="3" t="s">
        <v>291</v>
      </c>
      <c r="I55" s="1" t="s">
        <v>7</v>
      </c>
      <c r="J55" s="1" t="s">
        <v>8</v>
      </c>
      <c r="K55" s="1" t="s">
        <v>298</v>
      </c>
      <c r="L55" s="1" t="s">
        <v>267</v>
      </c>
      <c r="M55" s="1"/>
      <c r="N55" s="1">
        <f t="shared" si="3"/>
        <v>9</v>
      </c>
      <c r="O55" s="65"/>
    </row>
    <row r="56" spans="1:15" ht="15.75" hidden="1" x14ac:dyDescent="0.25">
      <c r="A56" s="1" t="str">
        <f t="shared" si="0"/>
        <v>437384373810.84DINERSSERVICEBANK</v>
      </c>
      <c r="B56" s="2">
        <v>43738</v>
      </c>
      <c r="C56" s="2">
        <v>43738</v>
      </c>
      <c r="D56" s="3" t="s">
        <v>75</v>
      </c>
      <c r="E56" s="3">
        <v>10.84</v>
      </c>
      <c r="F56" s="3">
        <v>1</v>
      </c>
      <c r="G56" s="3">
        <f t="shared" si="4"/>
        <v>10.84</v>
      </c>
      <c r="H56" s="3" t="s">
        <v>266</v>
      </c>
      <c r="I56" s="1" t="s">
        <v>7</v>
      </c>
      <c r="J56" s="1" t="s">
        <v>8</v>
      </c>
      <c r="K56" s="1" t="s">
        <v>298</v>
      </c>
      <c r="L56" s="1" t="s">
        <v>267</v>
      </c>
      <c r="M56" s="1"/>
      <c r="N56" s="1">
        <f t="shared" si="3"/>
        <v>9</v>
      </c>
      <c r="O56" s="87"/>
    </row>
    <row r="57" spans="1:15" ht="15.75" hidden="1" x14ac:dyDescent="0.25">
      <c r="A57" s="1" t="str">
        <f t="shared" si="0"/>
        <v>437384374042MASTER CCFOODQATAR AIR</v>
      </c>
      <c r="B57" s="2">
        <v>43738</v>
      </c>
      <c r="C57" s="2">
        <v>43740</v>
      </c>
      <c r="D57" s="3" t="s">
        <v>74</v>
      </c>
      <c r="E57" s="3">
        <v>42</v>
      </c>
      <c r="F57" s="3">
        <v>1</v>
      </c>
      <c r="G57" s="3">
        <f t="shared" si="4"/>
        <v>42</v>
      </c>
      <c r="H57" s="3" t="s">
        <v>291</v>
      </c>
      <c r="I57" s="1" t="s">
        <v>10</v>
      </c>
      <c r="J57" s="1" t="s">
        <v>19</v>
      </c>
      <c r="K57" s="1" t="s">
        <v>298</v>
      </c>
      <c r="L57" s="1" t="s">
        <v>267</v>
      </c>
      <c r="M57" s="1"/>
      <c r="N57" s="1">
        <f t="shared" si="3"/>
        <v>10</v>
      </c>
      <c r="O57" s="65"/>
    </row>
    <row r="58" spans="1:15" ht="15.75" hidden="1" x14ac:dyDescent="0.25">
      <c r="A58" s="1" t="str">
        <f t="shared" si="0"/>
        <v>437394373915CURRENTSERVICEBANK</v>
      </c>
      <c r="B58" s="2">
        <v>43739</v>
      </c>
      <c r="C58" s="2">
        <f>B58</f>
        <v>43739</v>
      </c>
      <c r="D58" s="3" t="s">
        <v>86</v>
      </c>
      <c r="E58" s="3">
        <v>15</v>
      </c>
      <c r="F58" s="3">
        <v>1</v>
      </c>
      <c r="G58" s="3">
        <f t="shared" si="4"/>
        <v>15</v>
      </c>
      <c r="H58" s="3" t="s">
        <v>293</v>
      </c>
      <c r="I58" s="1" t="s">
        <v>7</v>
      </c>
      <c r="J58" s="1" t="s">
        <v>8</v>
      </c>
      <c r="K58" s="1" t="s">
        <v>300</v>
      </c>
      <c r="L58" s="1" t="s">
        <v>257</v>
      </c>
      <c r="M58" s="1"/>
      <c r="N58" s="1">
        <f t="shared" si="3"/>
        <v>10</v>
      </c>
      <c r="O58" s="65"/>
    </row>
    <row r="59" spans="1:15" ht="15.75" hidden="1" x14ac:dyDescent="0.25">
      <c r="A59" s="1" t="str">
        <f t="shared" si="0"/>
        <v>43739437394CURRENTSERVICEBANK</v>
      </c>
      <c r="B59" s="2">
        <v>43739</v>
      </c>
      <c r="C59" s="2">
        <f>B59</f>
        <v>43739</v>
      </c>
      <c r="D59" s="3" t="s">
        <v>79</v>
      </c>
      <c r="E59" s="3">
        <v>-4</v>
      </c>
      <c r="F59" s="3">
        <v>1</v>
      </c>
      <c r="G59" s="3">
        <f t="shared" si="4"/>
        <v>4</v>
      </c>
      <c r="H59" s="3" t="s">
        <v>293</v>
      </c>
      <c r="I59" s="1" t="s">
        <v>7</v>
      </c>
      <c r="J59" s="1" t="s">
        <v>8</v>
      </c>
      <c r="K59" s="1" t="s">
        <v>298</v>
      </c>
      <c r="L59" s="1" t="s">
        <v>257</v>
      </c>
      <c r="M59" s="1"/>
      <c r="N59" s="1">
        <f t="shared" si="3"/>
        <v>10</v>
      </c>
      <c r="O59" s="65"/>
    </row>
    <row r="60" spans="1:15" ht="15.75" hidden="1" x14ac:dyDescent="0.25">
      <c r="A60" s="1" t="str">
        <f t="shared" si="0"/>
        <v>43739437394850CURRENTRENTCAP ONE</v>
      </c>
      <c r="B60" s="2">
        <v>43739</v>
      </c>
      <c r="C60" s="2">
        <f>B60</f>
        <v>43739</v>
      </c>
      <c r="D60" s="3" t="s">
        <v>82</v>
      </c>
      <c r="E60" s="3">
        <v>-4850</v>
      </c>
      <c r="F60" s="3">
        <v>1</v>
      </c>
      <c r="G60" s="3">
        <f t="shared" si="4"/>
        <v>4850</v>
      </c>
      <c r="H60" s="3" t="s">
        <v>293</v>
      </c>
      <c r="I60" s="1" t="s">
        <v>83</v>
      </c>
      <c r="J60" s="1" t="s">
        <v>84</v>
      </c>
      <c r="K60" s="1" t="s">
        <v>298</v>
      </c>
      <c r="L60" s="1" t="s">
        <v>257</v>
      </c>
      <c r="M60" s="1"/>
      <c r="N60" s="1">
        <f t="shared" si="3"/>
        <v>10</v>
      </c>
      <c r="O60" s="65"/>
    </row>
    <row r="61" spans="1:15" ht="15.75" hidden="1" x14ac:dyDescent="0.25">
      <c r="A61" s="1" t="str">
        <f t="shared" si="0"/>
        <v>43739437391677.92CURRENTCC BILL PAYMENTBANK</v>
      </c>
      <c r="B61" s="2">
        <v>43739</v>
      </c>
      <c r="C61" s="2">
        <f>B61</f>
        <v>43739</v>
      </c>
      <c r="D61" s="3" t="s">
        <v>85</v>
      </c>
      <c r="E61" s="3">
        <v>-1677.92</v>
      </c>
      <c r="F61" s="3">
        <v>1</v>
      </c>
      <c r="G61" s="3">
        <f t="shared" si="4"/>
        <v>1677.92</v>
      </c>
      <c r="H61" s="3" t="s">
        <v>293</v>
      </c>
      <c r="I61" s="1" t="s">
        <v>81</v>
      </c>
      <c r="J61" s="1" t="s">
        <v>8</v>
      </c>
      <c r="K61" s="1" t="s">
        <v>298</v>
      </c>
      <c r="L61" s="1" t="s">
        <v>257</v>
      </c>
      <c r="M61" s="1"/>
      <c r="N61" s="1">
        <f t="shared" si="3"/>
        <v>10</v>
      </c>
      <c r="O61" s="65"/>
    </row>
    <row r="62" spans="1:15" ht="15.75" hidden="1" x14ac:dyDescent="0.25">
      <c r="A62" s="1" t="str">
        <f t="shared" si="0"/>
        <v>4373943741186.61MASTER CCTELECOMVODAFONE</v>
      </c>
      <c r="B62" s="2">
        <v>43739</v>
      </c>
      <c r="C62" s="2">
        <v>43741</v>
      </c>
      <c r="D62" s="3" t="s">
        <v>77</v>
      </c>
      <c r="E62" s="3">
        <v>186.61</v>
      </c>
      <c r="F62" s="3">
        <v>1</v>
      </c>
      <c r="G62" s="3">
        <f t="shared" si="4"/>
        <v>186.61</v>
      </c>
      <c r="H62" s="3" t="s">
        <v>291</v>
      </c>
      <c r="I62" s="1" t="s">
        <v>58</v>
      </c>
      <c r="J62" s="1" t="s">
        <v>78</v>
      </c>
      <c r="K62" s="1" t="s">
        <v>298</v>
      </c>
      <c r="L62" s="1" t="s">
        <v>267</v>
      </c>
      <c r="M62" s="1"/>
      <c r="N62" s="1">
        <f t="shared" si="3"/>
        <v>10</v>
      </c>
      <c r="O62" s="65"/>
    </row>
    <row r="63" spans="1:15" ht="15.75" hidden="1" x14ac:dyDescent="0.25">
      <c r="A63" s="1" t="str">
        <f t="shared" si="0"/>
        <v>43739437381677.92MASTER CCCC BILL PAYMENTBANK</v>
      </c>
      <c r="B63" s="2">
        <v>43739</v>
      </c>
      <c r="C63" s="2">
        <v>43738</v>
      </c>
      <c r="D63" s="3" t="s">
        <v>80</v>
      </c>
      <c r="E63" s="3">
        <v>-1677.92</v>
      </c>
      <c r="F63" s="3">
        <v>1</v>
      </c>
      <c r="G63" s="3">
        <f t="shared" si="4"/>
        <v>1677.92</v>
      </c>
      <c r="H63" s="3" t="s">
        <v>291</v>
      </c>
      <c r="I63" s="1" t="s">
        <v>81</v>
      </c>
      <c r="J63" s="1" t="s">
        <v>8</v>
      </c>
      <c r="K63" s="1" t="s">
        <v>300</v>
      </c>
      <c r="L63" s="1" t="s">
        <v>267</v>
      </c>
      <c r="M63" s="1"/>
      <c r="N63" s="1">
        <f t="shared" si="3"/>
        <v>9</v>
      </c>
      <c r="O63" s="65"/>
    </row>
    <row r="64" spans="1:15" ht="15.75" hidden="1" x14ac:dyDescent="0.25">
      <c r="A64" s="1" t="str">
        <f t="shared" si="0"/>
        <v>437394374136MASTER CCTRANSPORTCAREEM</v>
      </c>
      <c r="B64" s="2">
        <v>43739</v>
      </c>
      <c r="C64" s="2">
        <v>43741</v>
      </c>
      <c r="D64" s="3" t="s">
        <v>76</v>
      </c>
      <c r="E64" s="3">
        <v>36</v>
      </c>
      <c r="F64" s="3">
        <v>1</v>
      </c>
      <c r="G64" s="3">
        <f t="shared" si="4"/>
        <v>36</v>
      </c>
      <c r="H64" s="3" t="s">
        <v>291</v>
      </c>
      <c r="I64" s="1" t="s">
        <v>296</v>
      </c>
      <c r="J64" s="1" t="s">
        <v>297</v>
      </c>
      <c r="K64" s="1" t="s">
        <v>298</v>
      </c>
      <c r="L64" s="1" t="s">
        <v>267</v>
      </c>
      <c r="M64" s="1"/>
      <c r="N64" s="1">
        <f t="shared" si="3"/>
        <v>10</v>
      </c>
      <c r="O64" s="65"/>
    </row>
    <row r="65" spans="1:15" ht="15.75" hidden="1" x14ac:dyDescent="0.25">
      <c r="A65" s="1" t="str">
        <f t="shared" si="0"/>
        <v>43742437446MASTER CCTRANSPORTCAREEM</v>
      </c>
      <c r="B65" s="2">
        <v>43742</v>
      </c>
      <c r="C65" s="2">
        <v>43744</v>
      </c>
      <c r="D65" s="3" t="s">
        <v>87</v>
      </c>
      <c r="E65" s="3">
        <v>6</v>
      </c>
      <c r="F65" s="3">
        <v>1</v>
      </c>
      <c r="G65" s="3">
        <f t="shared" si="4"/>
        <v>6</v>
      </c>
      <c r="H65" s="3" t="s">
        <v>291</v>
      </c>
      <c r="I65" s="1" t="s">
        <v>296</v>
      </c>
      <c r="J65" s="1" t="s">
        <v>297</v>
      </c>
      <c r="K65" s="1" t="s">
        <v>298</v>
      </c>
      <c r="L65" s="1" t="s">
        <v>267</v>
      </c>
      <c r="M65" s="1"/>
      <c r="N65" s="1">
        <f t="shared" si="3"/>
        <v>10</v>
      </c>
      <c r="O65" s="65"/>
    </row>
    <row r="66" spans="1:15" ht="15.75" hidden="1" x14ac:dyDescent="0.25">
      <c r="A66" s="1" t="str">
        <f t="shared" ref="A66:A129" si="5">B66&amp;C66&amp;G66&amp;H66&amp;I66&amp;J66</f>
        <v>43744437450DINERSTRANSPORTALKHEBRA</v>
      </c>
      <c r="B66" s="2">
        <v>43744</v>
      </c>
      <c r="C66" s="2">
        <v>43745</v>
      </c>
      <c r="D66" s="3" t="s">
        <v>94</v>
      </c>
      <c r="E66" s="3">
        <v>2520</v>
      </c>
      <c r="F66" s="3">
        <v>0</v>
      </c>
      <c r="G66" s="3">
        <f t="shared" si="4"/>
        <v>0</v>
      </c>
      <c r="H66" s="3" t="s">
        <v>266</v>
      </c>
      <c r="I66" s="1" t="s">
        <v>296</v>
      </c>
      <c r="J66" s="1" t="s">
        <v>92</v>
      </c>
      <c r="K66" s="1" t="s">
        <v>298</v>
      </c>
      <c r="L66" s="1" t="s">
        <v>267</v>
      </c>
      <c r="M66" s="1"/>
      <c r="N66" s="1">
        <f t="shared" ref="N66:N129" si="6">MONTH(C66)</f>
        <v>10</v>
      </c>
      <c r="O66" s="87"/>
    </row>
    <row r="67" spans="1:15" ht="15.75" hidden="1" x14ac:dyDescent="0.25">
      <c r="A67" s="1" t="str">
        <f t="shared" si="5"/>
        <v>437444374633MASTER CCFOODQATAR AIR</v>
      </c>
      <c r="B67" s="2">
        <v>43744</v>
      </c>
      <c r="C67" s="2">
        <v>43746</v>
      </c>
      <c r="D67" s="3" t="s">
        <v>93</v>
      </c>
      <c r="E67" s="3">
        <v>33</v>
      </c>
      <c r="F67" s="3">
        <v>1</v>
      </c>
      <c r="G67" s="3">
        <f t="shared" si="4"/>
        <v>33</v>
      </c>
      <c r="H67" s="3" t="s">
        <v>291</v>
      </c>
      <c r="I67" s="1" t="s">
        <v>10</v>
      </c>
      <c r="J67" s="1" t="s">
        <v>19</v>
      </c>
      <c r="K67" s="1" t="s">
        <v>298</v>
      </c>
      <c r="L67" s="1" t="s">
        <v>267</v>
      </c>
      <c r="M67" s="1"/>
      <c r="N67" s="1">
        <f t="shared" si="6"/>
        <v>10</v>
      </c>
      <c r="O67" s="65"/>
    </row>
    <row r="68" spans="1:15" ht="15.75" hidden="1" x14ac:dyDescent="0.25">
      <c r="A68" s="1" t="str">
        <f t="shared" si="5"/>
        <v>437444374613MASTER CCFOODQATAR AIR</v>
      </c>
      <c r="B68" s="2">
        <v>43744</v>
      </c>
      <c r="C68" s="2">
        <v>43746</v>
      </c>
      <c r="D68" s="3" t="s">
        <v>90</v>
      </c>
      <c r="E68" s="3">
        <v>13</v>
      </c>
      <c r="F68" s="3">
        <v>1</v>
      </c>
      <c r="G68" s="3">
        <f t="shared" si="4"/>
        <v>13</v>
      </c>
      <c r="H68" s="3" t="s">
        <v>291</v>
      </c>
      <c r="I68" s="1" t="s">
        <v>10</v>
      </c>
      <c r="J68" s="1" t="s">
        <v>19</v>
      </c>
      <c r="K68" s="1" t="s">
        <v>298</v>
      </c>
      <c r="L68" s="1" t="s">
        <v>267</v>
      </c>
      <c r="M68" s="1"/>
      <c r="N68" s="1">
        <f t="shared" si="6"/>
        <v>10</v>
      </c>
      <c r="O68" s="65"/>
    </row>
    <row r="69" spans="1:15" ht="15.75" hidden="1" x14ac:dyDescent="0.25">
      <c r="A69" s="1" t="str">
        <f t="shared" si="5"/>
        <v>4374443746500MASTER CCTRANSPORTMINISTERY</v>
      </c>
      <c r="B69" s="2">
        <v>43744</v>
      </c>
      <c r="C69" s="2">
        <v>43746</v>
      </c>
      <c r="D69" s="3" t="s">
        <v>91</v>
      </c>
      <c r="E69" s="3">
        <v>500</v>
      </c>
      <c r="F69" s="3">
        <v>1</v>
      </c>
      <c r="G69" s="3">
        <f t="shared" si="4"/>
        <v>500</v>
      </c>
      <c r="H69" s="3" t="s">
        <v>291</v>
      </c>
      <c r="I69" s="1" t="s">
        <v>296</v>
      </c>
      <c r="J69" s="1" t="s">
        <v>30</v>
      </c>
      <c r="K69" s="1" t="s">
        <v>298</v>
      </c>
      <c r="L69" s="1" t="s">
        <v>267</v>
      </c>
      <c r="M69" s="1"/>
      <c r="N69" s="1">
        <f t="shared" si="6"/>
        <v>10</v>
      </c>
      <c r="O69" s="65"/>
    </row>
    <row r="70" spans="1:15" ht="15.75" hidden="1" x14ac:dyDescent="0.25">
      <c r="A70" s="1" t="str">
        <f t="shared" si="5"/>
        <v>437444374612MASTER CCTRANSPORTCAREEM</v>
      </c>
      <c r="B70" s="2">
        <v>43744</v>
      </c>
      <c r="C70" s="2">
        <v>43746</v>
      </c>
      <c r="D70" s="3" t="s">
        <v>88</v>
      </c>
      <c r="E70" s="3">
        <v>12</v>
      </c>
      <c r="F70" s="3">
        <v>1</v>
      </c>
      <c r="G70" s="3">
        <f t="shared" si="4"/>
        <v>12</v>
      </c>
      <c r="H70" s="3" t="s">
        <v>291</v>
      </c>
      <c r="I70" s="1" t="s">
        <v>296</v>
      </c>
      <c r="J70" s="1" t="s">
        <v>297</v>
      </c>
      <c r="K70" s="1" t="s">
        <v>298</v>
      </c>
      <c r="L70" s="1" t="s">
        <v>267</v>
      </c>
      <c r="M70" s="1"/>
      <c r="N70" s="1">
        <f t="shared" si="6"/>
        <v>10</v>
      </c>
      <c r="O70" s="65"/>
    </row>
    <row r="71" spans="1:15" ht="15.75" hidden="1" x14ac:dyDescent="0.25">
      <c r="A71" s="1" t="str">
        <f t="shared" si="5"/>
        <v>437444374613MASTER CCTRANSPORTCAREEM</v>
      </c>
      <c r="B71" s="2">
        <v>43744</v>
      </c>
      <c r="C71" s="2">
        <v>43746</v>
      </c>
      <c r="D71" s="3" t="s">
        <v>89</v>
      </c>
      <c r="E71" s="3">
        <v>13</v>
      </c>
      <c r="F71" s="3">
        <v>1</v>
      </c>
      <c r="G71" s="3">
        <f t="shared" si="4"/>
        <v>13</v>
      </c>
      <c r="H71" s="3" t="s">
        <v>291</v>
      </c>
      <c r="I71" s="1" t="s">
        <v>296</v>
      </c>
      <c r="J71" s="1" t="s">
        <v>297</v>
      </c>
      <c r="K71" s="1" t="s">
        <v>298</v>
      </c>
      <c r="L71" s="1" t="s">
        <v>267</v>
      </c>
      <c r="M71" s="1"/>
      <c r="N71" s="1">
        <f t="shared" si="6"/>
        <v>10</v>
      </c>
      <c r="O71" s="65"/>
    </row>
    <row r="72" spans="1:15" ht="15.75" hidden="1" x14ac:dyDescent="0.25">
      <c r="A72" s="1" t="str">
        <f t="shared" si="5"/>
        <v>437454374724MASTER CCGROCERYFFC</v>
      </c>
      <c r="B72" s="2">
        <v>43745</v>
      </c>
      <c r="C72" s="2">
        <v>43747</v>
      </c>
      <c r="D72" s="3" t="s">
        <v>95</v>
      </c>
      <c r="E72" s="3">
        <v>24</v>
      </c>
      <c r="F72" s="3">
        <v>1</v>
      </c>
      <c r="G72" s="3">
        <f t="shared" si="4"/>
        <v>24</v>
      </c>
      <c r="H72" s="3" t="s">
        <v>291</v>
      </c>
      <c r="I72" s="1" t="s">
        <v>43</v>
      </c>
      <c r="J72" s="1" t="s">
        <v>96</v>
      </c>
      <c r="K72" s="1" t="s">
        <v>298</v>
      </c>
      <c r="L72" s="1" t="s">
        <v>267</v>
      </c>
      <c r="M72" s="1"/>
      <c r="N72" s="1">
        <f t="shared" si="6"/>
        <v>10</v>
      </c>
      <c r="O72" s="65"/>
    </row>
    <row r="73" spans="1:15" ht="15.75" hidden="1" x14ac:dyDescent="0.25">
      <c r="A73" s="1" t="str">
        <f t="shared" si="5"/>
        <v>43746437460DINERSTRANSPORTALKHEBRA</v>
      </c>
      <c r="B73" s="2">
        <v>43746</v>
      </c>
      <c r="C73" s="2">
        <v>43746</v>
      </c>
      <c r="D73" s="3" t="s">
        <v>98</v>
      </c>
      <c r="E73" s="3">
        <v>-2520</v>
      </c>
      <c r="F73" s="3">
        <v>0</v>
      </c>
      <c r="G73" s="3">
        <f t="shared" si="4"/>
        <v>0</v>
      </c>
      <c r="H73" s="3" t="s">
        <v>266</v>
      </c>
      <c r="I73" s="1" t="s">
        <v>296</v>
      </c>
      <c r="J73" s="1" t="s">
        <v>92</v>
      </c>
      <c r="K73" s="1" t="s">
        <v>300</v>
      </c>
      <c r="L73" s="1" t="s">
        <v>267</v>
      </c>
      <c r="M73" s="1"/>
      <c r="N73" s="1">
        <f t="shared" si="6"/>
        <v>10</v>
      </c>
      <c r="O73" s="87"/>
    </row>
    <row r="74" spans="1:15" ht="15.75" hidden="1" x14ac:dyDescent="0.25">
      <c r="A74" s="1" t="str">
        <f t="shared" si="5"/>
        <v>4374643746420DINERSEDUCATIONALKHEBRA</v>
      </c>
      <c r="B74" s="2">
        <v>43746</v>
      </c>
      <c r="C74" s="2">
        <v>43746</v>
      </c>
      <c r="D74" s="3" t="s">
        <v>94</v>
      </c>
      <c r="E74" s="3">
        <v>420</v>
      </c>
      <c r="F74" s="3">
        <v>1</v>
      </c>
      <c r="G74" s="3">
        <f t="shared" si="4"/>
        <v>420</v>
      </c>
      <c r="H74" s="3" t="s">
        <v>266</v>
      </c>
      <c r="I74" s="1" t="s">
        <v>543</v>
      </c>
      <c r="J74" s="1" t="s">
        <v>92</v>
      </c>
      <c r="K74" s="1" t="s">
        <v>298</v>
      </c>
      <c r="L74" s="1" t="s">
        <v>267</v>
      </c>
      <c r="M74" s="1">
        <v>1</v>
      </c>
      <c r="N74" s="1">
        <f t="shared" si="6"/>
        <v>10</v>
      </c>
      <c r="O74" s="87"/>
    </row>
    <row r="75" spans="1:15" ht="15.75" hidden="1" x14ac:dyDescent="0.25">
      <c r="A75" s="1" t="str">
        <f t="shared" si="5"/>
        <v>437464374824MASTER CCFOODQATAR AIR</v>
      </c>
      <c r="B75" s="2">
        <v>43746</v>
      </c>
      <c r="C75" s="2">
        <v>43748</v>
      </c>
      <c r="D75" s="3" t="s">
        <v>97</v>
      </c>
      <c r="E75" s="3">
        <v>24</v>
      </c>
      <c r="F75" s="3">
        <v>1</v>
      </c>
      <c r="G75" s="3">
        <f t="shared" si="4"/>
        <v>24</v>
      </c>
      <c r="H75" s="3" t="s">
        <v>291</v>
      </c>
      <c r="I75" s="1" t="s">
        <v>10</v>
      </c>
      <c r="J75" s="1" t="s">
        <v>19</v>
      </c>
      <c r="K75" s="1" t="s">
        <v>298</v>
      </c>
      <c r="L75" s="1" t="s">
        <v>267</v>
      </c>
      <c r="M75" s="1"/>
      <c r="N75" s="1">
        <f t="shared" si="6"/>
        <v>10</v>
      </c>
      <c r="O75" s="65"/>
    </row>
    <row r="76" spans="1:15" ht="15.75" hidden="1" x14ac:dyDescent="0.25">
      <c r="A76" s="1" t="str">
        <f t="shared" si="5"/>
        <v>437474374913MASTER CCFOODQATAR AIR</v>
      </c>
      <c r="B76" s="2">
        <v>43747</v>
      </c>
      <c r="C76" s="2">
        <v>43749</v>
      </c>
      <c r="D76" s="3" t="s">
        <v>99</v>
      </c>
      <c r="E76" s="3">
        <v>13</v>
      </c>
      <c r="F76" s="3">
        <v>1</v>
      </c>
      <c r="G76" s="3">
        <f t="shared" si="4"/>
        <v>13</v>
      </c>
      <c r="H76" s="3" t="s">
        <v>291</v>
      </c>
      <c r="I76" s="1" t="s">
        <v>10</v>
      </c>
      <c r="J76" s="1" t="s">
        <v>19</v>
      </c>
      <c r="K76" s="1" t="s">
        <v>298</v>
      </c>
      <c r="L76" s="1" t="s">
        <v>267</v>
      </c>
      <c r="M76" s="1"/>
      <c r="N76" s="1">
        <f t="shared" si="6"/>
        <v>10</v>
      </c>
      <c r="O76" s="65"/>
    </row>
    <row r="77" spans="1:15" ht="15.75" hidden="1" x14ac:dyDescent="0.25">
      <c r="A77" s="1" t="str">
        <f t="shared" si="5"/>
        <v>437504375167.6DINERSGROCERYLULU</v>
      </c>
      <c r="B77" s="2">
        <v>43750</v>
      </c>
      <c r="C77" s="2">
        <v>43751</v>
      </c>
      <c r="D77" s="3" t="s">
        <v>100</v>
      </c>
      <c r="E77" s="3">
        <v>67.599999999999994</v>
      </c>
      <c r="F77" s="3">
        <v>1</v>
      </c>
      <c r="G77" s="3">
        <f t="shared" si="4"/>
        <v>67.599999999999994</v>
      </c>
      <c r="H77" s="3" t="s">
        <v>266</v>
      </c>
      <c r="I77" s="1" t="s">
        <v>43</v>
      </c>
      <c r="J77" s="1" t="s">
        <v>44</v>
      </c>
      <c r="K77" s="1" t="s">
        <v>298</v>
      </c>
      <c r="L77" s="1" t="s">
        <v>267</v>
      </c>
      <c r="M77" s="1"/>
      <c r="N77" s="1">
        <f t="shared" si="6"/>
        <v>10</v>
      </c>
      <c r="O77" s="87"/>
    </row>
    <row r="78" spans="1:15" ht="15.75" hidden="1" x14ac:dyDescent="0.25">
      <c r="A78" s="1" t="str">
        <f t="shared" si="5"/>
        <v>43752437522603CURRENTTRANSFERINDIA</v>
      </c>
      <c r="B78" s="2">
        <v>43752</v>
      </c>
      <c r="C78" s="2">
        <f>B78</f>
        <v>43752</v>
      </c>
      <c r="D78" s="3" t="s">
        <v>101</v>
      </c>
      <c r="E78" s="3">
        <v>-2603</v>
      </c>
      <c r="F78" s="3">
        <v>1</v>
      </c>
      <c r="G78" s="3">
        <f t="shared" ref="G78:G141" si="7">ABS(E78)*F78</f>
        <v>2603</v>
      </c>
      <c r="H78" s="3" t="s">
        <v>293</v>
      </c>
      <c r="I78" s="1" t="s">
        <v>22</v>
      </c>
      <c r="J78" s="1" t="s">
        <v>23</v>
      </c>
      <c r="K78" s="1" t="s">
        <v>298</v>
      </c>
      <c r="L78" s="1" t="s">
        <v>257</v>
      </c>
      <c r="M78" s="1"/>
      <c r="N78" s="1">
        <f t="shared" si="6"/>
        <v>10</v>
      </c>
      <c r="O78" s="65"/>
    </row>
    <row r="79" spans="1:15" ht="15.75" hidden="1" x14ac:dyDescent="0.25">
      <c r="A79" s="1" t="str">
        <f t="shared" si="5"/>
        <v>437524375215CURRENTSERVICEBANK</v>
      </c>
      <c r="B79" s="2">
        <v>43752</v>
      </c>
      <c r="C79" s="2">
        <f>B79</f>
        <v>43752</v>
      </c>
      <c r="D79" s="3" t="s">
        <v>103</v>
      </c>
      <c r="E79" s="3">
        <v>-15</v>
      </c>
      <c r="F79" s="3">
        <v>1</v>
      </c>
      <c r="G79" s="3">
        <f t="shared" si="7"/>
        <v>15</v>
      </c>
      <c r="H79" s="3" t="s">
        <v>293</v>
      </c>
      <c r="I79" s="1" t="s">
        <v>7</v>
      </c>
      <c r="J79" s="1" t="s">
        <v>8</v>
      </c>
      <c r="K79" s="1" t="s">
        <v>298</v>
      </c>
      <c r="L79" s="1" t="s">
        <v>257</v>
      </c>
      <c r="M79" s="1"/>
      <c r="N79" s="1">
        <f t="shared" si="6"/>
        <v>10</v>
      </c>
      <c r="O79" s="65"/>
    </row>
    <row r="80" spans="1:15" ht="15.75" hidden="1" x14ac:dyDescent="0.25">
      <c r="A80" s="1" t="str">
        <f t="shared" si="5"/>
        <v>437524375422MASTER CCFOODQATAR AIR</v>
      </c>
      <c r="B80" s="2">
        <v>43752</v>
      </c>
      <c r="C80" s="2">
        <v>43754</v>
      </c>
      <c r="D80" s="3" t="s">
        <v>102</v>
      </c>
      <c r="E80" s="3">
        <v>22</v>
      </c>
      <c r="F80" s="3">
        <v>1</v>
      </c>
      <c r="G80" s="3">
        <f t="shared" si="7"/>
        <v>22</v>
      </c>
      <c r="H80" s="3" t="s">
        <v>291</v>
      </c>
      <c r="I80" s="1" t="s">
        <v>10</v>
      </c>
      <c r="J80" s="1" t="s">
        <v>19</v>
      </c>
      <c r="K80" s="1" t="s">
        <v>298</v>
      </c>
      <c r="L80" s="1" t="s">
        <v>267</v>
      </c>
      <c r="M80" s="1"/>
      <c r="N80" s="1">
        <f t="shared" si="6"/>
        <v>10</v>
      </c>
      <c r="O80" s="65"/>
    </row>
    <row r="81" spans="1:15" ht="15.75" hidden="1" x14ac:dyDescent="0.25">
      <c r="A81" s="1" t="str">
        <f t="shared" si="5"/>
        <v>437554376036MASTER CCFOODQATAR AIR</v>
      </c>
      <c r="B81" s="2">
        <v>43755</v>
      </c>
      <c r="C81" s="2">
        <v>43760</v>
      </c>
      <c r="D81" s="3" t="s">
        <v>104</v>
      </c>
      <c r="E81" s="3">
        <v>36</v>
      </c>
      <c r="F81" s="3">
        <v>1</v>
      </c>
      <c r="G81" s="3">
        <f t="shared" si="7"/>
        <v>36</v>
      </c>
      <c r="H81" s="3" t="s">
        <v>291</v>
      </c>
      <c r="I81" s="1" t="s">
        <v>10</v>
      </c>
      <c r="J81" s="1" t="s">
        <v>19</v>
      </c>
      <c r="K81" s="1" t="s">
        <v>298</v>
      </c>
      <c r="L81" s="1" t="s">
        <v>267</v>
      </c>
      <c r="M81" s="1"/>
      <c r="N81" s="1">
        <f t="shared" si="6"/>
        <v>10</v>
      </c>
      <c r="O81" s="65"/>
    </row>
    <row r="82" spans="1:15" ht="15.75" x14ac:dyDescent="0.25">
      <c r="A82" s="1" t="str">
        <f t="shared" si="5"/>
        <v>4375743760640MASTER CCGOLDMALABAR</v>
      </c>
      <c r="B82" s="2">
        <v>43757</v>
      </c>
      <c r="C82" s="2">
        <v>43760</v>
      </c>
      <c r="D82" s="3" t="s">
        <v>105</v>
      </c>
      <c r="E82" s="3">
        <v>640</v>
      </c>
      <c r="F82" s="3">
        <v>1</v>
      </c>
      <c r="G82" s="3">
        <f t="shared" si="7"/>
        <v>640</v>
      </c>
      <c r="H82" s="3" t="s">
        <v>291</v>
      </c>
      <c r="I82" s="1" t="s">
        <v>106</v>
      </c>
      <c r="J82" s="1" t="s">
        <v>107</v>
      </c>
      <c r="K82" s="1" t="s">
        <v>298</v>
      </c>
      <c r="L82" s="1" t="s">
        <v>267</v>
      </c>
      <c r="M82" s="1"/>
      <c r="N82" s="1">
        <f t="shared" si="6"/>
        <v>10</v>
      </c>
      <c r="O82" s="65"/>
    </row>
    <row r="83" spans="1:15" ht="15.75" hidden="1" x14ac:dyDescent="0.25">
      <c r="A83" s="1" t="str">
        <f t="shared" si="5"/>
        <v>437584376010MASTER CCFOODQATAR AIR</v>
      </c>
      <c r="B83" s="2">
        <v>43758</v>
      </c>
      <c r="C83" s="2">
        <v>43760</v>
      </c>
      <c r="D83" s="3" t="s">
        <v>108</v>
      </c>
      <c r="E83" s="3">
        <v>10</v>
      </c>
      <c r="F83" s="3">
        <v>1</v>
      </c>
      <c r="G83" s="3">
        <f t="shared" si="7"/>
        <v>10</v>
      </c>
      <c r="H83" s="3" t="s">
        <v>291</v>
      </c>
      <c r="I83" s="1" t="s">
        <v>10</v>
      </c>
      <c r="J83" s="1" t="s">
        <v>19</v>
      </c>
      <c r="K83" s="1" t="s">
        <v>298</v>
      </c>
      <c r="L83" s="1" t="s">
        <v>267</v>
      </c>
      <c r="M83" s="1"/>
      <c r="N83" s="1">
        <f t="shared" si="6"/>
        <v>10</v>
      </c>
      <c r="O83" s="65"/>
    </row>
    <row r="84" spans="1:15" ht="15.75" hidden="1" x14ac:dyDescent="0.25">
      <c r="A84" s="1" t="str">
        <f t="shared" si="5"/>
        <v>4375943759333.17DINERSSHOPPINGLULU</v>
      </c>
      <c r="B84" s="2">
        <v>43759</v>
      </c>
      <c r="C84" s="2">
        <v>43759</v>
      </c>
      <c r="D84" s="3" t="s">
        <v>53</v>
      </c>
      <c r="E84" s="3">
        <v>333.17</v>
      </c>
      <c r="F84" s="3">
        <v>1</v>
      </c>
      <c r="G84" s="3">
        <f t="shared" si="7"/>
        <v>333.17</v>
      </c>
      <c r="H84" s="3" t="s">
        <v>266</v>
      </c>
      <c r="I84" s="1" t="s">
        <v>194</v>
      </c>
      <c r="J84" s="1" t="s">
        <v>44</v>
      </c>
      <c r="K84" s="1" t="s">
        <v>298</v>
      </c>
      <c r="L84" s="1" t="s">
        <v>267</v>
      </c>
      <c r="M84" s="1">
        <v>1</v>
      </c>
      <c r="N84" s="1">
        <f t="shared" si="6"/>
        <v>10</v>
      </c>
      <c r="O84" s="87"/>
    </row>
    <row r="85" spans="1:15" ht="15.75" hidden="1" x14ac:dyDescent="0.25">
      <c r="A85" s="1" t="str">
        <f t="shared" si="5"/>
        <v>437614376340MASTER CCFOODCAFÉ/REST.</v>
      </c>
      <c r="B85" s="2">
        <v>43761</v>
      </c>
      <c r="C85" s="2">
        <v>43763</v>
      </c>
      <c r="D85" s="3" t="s">
        <v>109</v>
      </c>
      <c r="E85" s="3">
        <v>40</v>
      </c>
      <c r="F85" s="3">
        <v>1</v>
      </c>
      <c r="G85" s="3">
        <f t="shared" si="7"/>
        <v>40</v>
      </c>
      <c r="H85" s="3" t="s">
        <v>291</v>
      </c>
      <c r="I85" s="1" t="s">
        <v>10</v>
      </c>
      <c r="J85" s="1" t="s">
        <v>11</v>
      </c>
      <c r="K85" s="1" t="s">
        <v>298</v>
      </c>
      <c r="L85" s="1" t="s">
        <v>267</v>
      </c>
      <c r="M85" s="1"/>
      <c r="N85" s="1">
        <f t="shared" si="6"/>
        <v>10</v>
      </c>
      <c r="O85" s="65"/>
    </row>
    <row r="86" spans="1:15" ht="15.75" hidden="1" x14ac:dyDescent="0.25">
      <c r="A86" s="1" t="str">
        <f t="shared" si="5"/>
        <v>437674376713730CURRENTSALARYQATAR AIR</v>
      </c>
      <c r="B86" s="2">
        <v>43767</v>
      </c>
      <c r="C86" s="2">
        <f>B86</f>
        <v>43767</v>
      </c>
      <c r="D86" s="3" t="s">
        <v>110</v>
      </c>
      <c r="E86" s="3">
        <v>13730</v>
      </c>
      <c r="F86" s="3">
        <v>1</v>
      </c>
      <c r="G86" s="3">
        <f t="shared" si="7"/>
        <v>13730</v>
      </c>
      <c r="H86" s="3" t="s">
        <v>293</v>
      </c>
      <c r="I86" s="1" t="s">
        <v>18</v>
      </c>
      <c r="J86" s="1" t="s">
        <v>19</v>
      </c>
      <c r="K86" s="1" t="s">
        <v>300</v>
      </c>
      <c r="L86" s="1" t="s">
        <v>257</v>
      </c>
      <c r="M86" s="1"/>
      <c r="N86" s="1">
        <f t="shared" si="6"/>
        <v>10</v>
      </c>
      <c r="O86" s="65"/>
    </row>
    <row r="87" spans="1:15" ht="15.75" hidden="1" x14ac:dyDescent="0.25">
      <c r="A87" s="1" t="str">
        <f t="shared" si="5"/>
        <v>43767437672475CURRENTCC BILL PAYMENTBANK</v>
      </c>
      <c r="B87" s="2">
        <v>43767</v>
      </c>
      <c r="C87" s="2">
        <f>B87</f>
        <v>43767</v>
      </c>
      <c r="D87" s="3" t="s">
        <v>111</v>
      </c>
      <c r="E87" s="3">
        <v>-2475</v>
      </c>
      <c r="F87" s="3">
        <v>1</v>
      </c>
      <c r="G87" s="3">
        <f t="shared" si="7"/>
        <v>2475</v>
      </c>
      <c r="H87" s="3" t="s">
        <v>293</v>
      </c>
      <c r="I87" s="1" t="s">
        <v>81</v>
      </c>
      <c r="J87" s="1" t="s">
        <v>8</v>
      </c>
      <c r="K87" s="1" t="s">
        <v>298</v>
      </c>
      <c r="L87" s="1" t="s">
        <v>257</v>
      </c>
      <c r="M87" s="1"/>
      <c r="N87" s="1">
        <f t="shared" si="6"/>
        <v>10</v>
      </c>
      <c r="O87" s="65"/>
    </row>
    <row r="88" spans="1:15" ht="15.75" hidden="1" x14ac:dyDescent="0.25">
      <c r="A88" s="1" t="str">
        <f t="shared" si="5"/>
        <v>43767437672475DINERSCC BILL PAYMENTBANK</v>
      </c>
      <c r="B88" s="2">
        <v>43767</v>
      </c>
      <c r="C88" s="2">
        <v>43767</v>
      </c>
      <c r="D88" s="3" t="s">
        <v>80</v>
      </c>
      <c r="E88" s="3">
        <v>-2475</v>
      </c>
      <c r="F88" s="3">
        <v>1</v>
      </c>
      <c r="G88" s="3">
        <f t="shared" si="7"/>
        <v>2475</v>
      </c>
      <c r="H88" s="3" t="s">
        <v>266</v>
      </c>
      <c r="I88" s="1" t="s">
        <v>81</v>
      </c>
      <c r="J88" s="1" t="s">
        <v>8</v>
      </c>
      <c r="K88" s="1" t="s">
        <v>300</v>
      </c>
      <c r="L88" s="1" t="s">
        <v>267</v>
      </c>
      <c r="M88" s="1"/>
      <c r="N88" s="1">
        <f t="shared" si="6"/>
        <v>10</v>
      </c>
      <c r="O88" s="87"/>
    </row>
    <row r="89" spans="1:15" ht="15.75" hidden="1" x14ac:dyDescent="0.25">
      <c r="A89" s="1" t="str">
        <f t="shared" si="5"/>
        <v>4376843768100CURRENTCC BILL PAYMENTBANK</v>
      </c>
      <c r="B89" s="2">
        <v>43768</v>
      </c>
      <c r="C89" s="2">
        <f>B89</f>
        <v>43768</v>
      </c>
      <c r="D89" s="3" t="s">
        <v>113</v>
      </c>
      <c r="E89" s="3">
        <v>-100</v>
      </c>
      <c r="F89" s="3">
        <v>1</v>
      </c>
      <c r="G89" s="3">
        <f t="shared" si="7"/>
        <v>100</v>
      </c>
      <c r="H89" s="3" t="s">
        <v>293</v>
      </c>
      <c r="I89" s="1" t="s">
        <v>81</v>
      </c>
      <c r="J89" s="1" t="s">
        <v>8</v>
      </c>
      <c r="K89" s="1" t="s">
        <v>298</v>
      </c>
      <c r="L89" s="1" t="s">
        <v>257</v>
      </c>
      <c r="M89" s="1"/>
      <c r="N89" s="1">
        <f t="shared" si="6"/>
        <v>10</v>
      </c>
      <c r="O89" s="65"/>
    </row>
    <row r="90" spans="1:15" ht="15.75" hidden="1" x14ac:dyDescent="0.25">
      <c r="A90" s="1" t="str">
        <f t="shared" si="5"/>
        <v>4376843768100MASTER CCCC BILL PAYMENTBANK</v>
      </c>
      <c r="B90" s="2">
        <v>43768</v>
      </c>
      <c r="C90" s="2">
        <v>43768</v>
      </c>
      <c r="D90" s="3" t="s">
        <v>80</v>
      </c>
      <c r="E90" s="3">
        <v>-100</v>
      </c>
      <c r="F90" s="3">
        <v>1</v>
      </c>
      <c r="G90" s="3">
        <f t="shared" si="7"/>
        <v>100</v>
      </c>
      <c r="H90" s="3" t="s">
        <v>291</v>
      </c>
      <c r="I90" s="1" t="s">
        <v>81</v>
      </c>
      <c r="J90" s="1" t="s">
        <v>8</v>
      </c>
      <c r="K90" s="1" t="s">
        <v>300</v>
      </c>
      <c r="L90" s="1" t="s">
        <v>267</v>
      </c>
      <c r="M90" s="1"/>
      <c r="N90" s="1">
        <f t="shared" si="6"/>
        <v>10</v>
      </c>
      <c r="O90" s="65"/>
    </row>
    <row r="91" spans="1:15" ht="15.75" hidden="1" x14ac:dyDescent="0.25">
      <c r="A91" s="1" t="str">
        <f t="shared" si="5"/>
        <v>437684376929MASTER CCTRANSPORTCAREEM</v>
      </c>
      <c r="B91" s="2">
        <v>43768</v>
      </c>
      <c r="C91" s="2">
        <v>43769</v>
      </c>
      <c r="D91" s="3" t="s">
        <v>112</v>
      </c>
      <c r="E91" s="3">
        <v>29</v>
      </c>
      <c r="F91" s="3">
        <v>1</v>
      </c>
      <c r="G91" s="3">
        <f t="shared" si="7"/>
        <v>29</v>
      </c>
      <c r="H91" s="3" t="s">
        <v>291</v>
      </c>
      <c r="I91" s="1" t="s">
        <v>296</v>
      </c>
      <c r="J91" s="1" t="s">
        <v>297</v>
      </c>
      <c r="K91" s="1" t="s">
        <v>298</v>
      </c>
      <c r="L91" s="1" t="s">
        <v>267</v>
      </c>
      <c r="M91" s="1"/>
      <c r="N91" s="1">
        <f t="shared" si="6"/>
        <v>10</v>
      </c>
      <c r="O91" s="65"/>
    </row>
    <row r="92" spans="1:15" ht="15.75" hidden="1" x14ac:dyDescent="0.25">
      <c r="A92" s="1" t="str">
        <f t="shared" si="5"/>
        <v>4376943769100CURRENTTELECOMOOREDOO</v>
      </c>
      <c r="B92" s="2">
        <v>43769</v>
      </c>
      <c r="C92" s="2">
        <f>B92</f>
        <v>43769</v>
      </c>
      <c r="D92" s="3" t="s">
        <v>116</v>
      </c>
      <c r="E92" s="3">
        <v>-100</v>
      </c>
      <c r="F92" s="3">
        <v>1</v>
      </c>
      <c r="G92" s="3">
        <f t="shared" si="7"/>
        <v>100</v>
      </c>
      <c r="H92" s="3" t="s">
        <v>293</v>
      </c>
      <c r="I92" s="1" t="s">
        <v>58</v>
      </c>
      <c r="J92" s="1" t="s">
        <v>59</v>
      </c>
      <c r="K92" s="1" t="s">
        <v>298</v>
      </c>
      <c r="L92" s="1" t="s">
        <v>257</v>
      </c>
      <c r="M92" s="1"/>
      <c r="N92" s="1">
        <f t="shared" si="6"/>
        <v>10</v>
      </c>
      <c r="O92" s="65"/>
    </row>
    <row r="93" spans="1:15" ht="15.75" hidden="1" x14ac:dyDescent="0.25">
      <c r="A93" s="1" t="str">
        <f t="shared" si="5"/>
        <v>437694376937CURRENTMEDICALPHARMACY</v>
      </c>
      <c r="B93" s="2">
        <v>43769</v>
      </c>
      <c r="C93" s="2">
        <f>B93</f>
        <v>43769</v>
      </c>
      <c r="D93" s="3" t="s">
        <v>117</v>
      </c>
      <c r="E93" s="3">
        <v>-37</v>
      </c>
      <c r="F93" s="3">
        <v>1</v>
      </c>
      <c r="G93" s="3">
        <f t="shared" si="7"/>
        <v>37</v>
      </c>
      <c r="H93" s="3" t="s">
        <v>293</v>
      </c>
      <c r="I93" s="1" t="s">
        <v>301</v>
      </c>
      <c r="J93" s="1" t="s">
        <v>304</v>
      </c>
      <c r="K93" s="1" t="s">
        <v>298</v>
      </c>
      <c r="L93" s="1" t="s">
        <v>257</v>
      </c>
      <c r="M93" s="1"/>
      <c r="N93" s="1">
        <f t="shared" si="6"/>
        <v>10</v>
      </c>
      <c r="O93" s="65"/>
    </row>
    <row r="94" spans="1:15" ht="15.75" hidden="1" x14ac:dyDescent="0.25">
      <c r="A94" s="1" t="str">
        <f t="shared" si="5"/>
        <v>437694376934CURRENTFOODQATAR AIR</v>
      </c>
      <c r="B94" s="2">
        <v>43769</v>
      </c>
      <c r="C94" s="2">
        <f>B94</f>
        <v>43769</v>
      </c>
      <c r="D94" s="3" t="s">
        <v>118</v>
      </c>
      <c r="E94" s="3">
        <v>-34</v>
      </c>
      <c r="F94" s="3">
        <v>1</v>
      </c>
      <c r="G94" s="3">
        <f t="shared" si="7"/>
        <v>34</v>
      </c>
      <c r="H94" s="3" t="s">
        <v>293</v>
      </c>
      <c r="I94" s="1" t="s">
        <v>10</v>
      </c>
      <c r="J94" s="1" t="s">
        <v>19</v>
      </c>
      <c r="K94" s="1" t="s">
        <v>298</v>
      </c>
      <c r="L94" s="1" t="s">
        <v>257</v>
      </c>
      <c r="M94" s="1"/>
      <c r="N94" s="1">
        <f t="shared" si="6"/>
        <v>10</v>
      </c>
      <c r="O94" s="65"/>
    </row>
    <row r="95" spans="1:15" ht="15.75" hidden="1" x14ac:dyDescent="0.25">
      <c r="A95" s="1" t="str">
        <f t="shared" si="5"/>
        <v>437694377116MASTER CCTRANSPORTCAREEM</v>
      </c>
      <c r="B95" s="2">
        <v>43769</v>
      </c>
      <c r="C95" s="2">
        <v>43771</v>
      </c>
      <c r="D95" s="3" t="s">
        <v>114</v>
      </c>
      <c r="E95" s="3">
        <v>16</v>
      </c>
      <c r="F95" s="3">
        <v>1</v>
      </c>
      <c r="G95" s="3">
        <f t="shared" si="7"/>
        <v>16</v>
      </c>
      <c r="H95" s="3" t="s">
        <v>291</v>
      </c>
      <c r="I95" s="1" t="s">
        <v>296</v>
      </c>
      <c r="J95" s="1" t="s">
        <v>297</v>
      </c>
      <c r="K95" s="1" t="s">
        <v>298</v>
      </c>
      <c r="L95" s="1" t="s">
        <v>267</v>
      </c>
      <c r="M95" s="1"/>
      <c r="N95" s="1">
        <f t="shared" si="6"/>
        <v>11</v>
      </c>
      <c r="O95" s="65"/>
    </row>
    <row r="96" spans="1:15" ht="15.75" hidden="1" x14ac:dyDescent="0.25">
      <c r="A96" s="1" t="str">
        <f t="shared" si="5"/>
        <v>437694377116MASTER CCTRANSPORTCAREEM</v>
      </c>
      <c r="B96" s="2">
        <v>43769</v>
      </c>
      <c r="C96" s="2">
        <v>43771</v>
      </c>
      <c r="D96" s="3" t="s">
        <v>115</v>
      </c>
      <c r="E96" s="3">
        <v>16</v>
      </c>
      <c r="F96" s="3">
        <v>1</v>
      </c>
      <c r="G96" s="3">
        <f t="shared" si="7"/>
        <v>16</v>
      </c>
      <c r="H96" s="3" t="s">
        <v>291</v>
      </c>
      <c r="I96" s="1" t="s">
        <v>296</v>
      </c>
      <c r="J96" s="1" t="s">
        <v>297</v>
      </c>
      <c r="K96" s="1" t="s">
        <v>298</v>
      </c>
      <c r="L96" s="1" t="s">
        <v>267</v>
      </c>
      <c r="M96" s="1"/>
      <c r="N96" s="1">
        <f t="shared" si="6"/>
        <v>11</v>
      </c>
      <c r="O96" s="65"/>
    </row>
    <row r="97" spans="1:15" ht="15.75" hidden="1" x14ac:dyDescent="0.25">
      <c r="A97" s="1" t="str">
        <f t="shared" si="5"/>
        <v>4377043774150MASTER CCTELECOMVODAFONE</v>
      </c>
      <c r="B97" s="2">
        <v>43770</v>
      </c>
      <c r="C97" s="2">
        <v>43774</v>
      </c>
      <c r="D97" s="3" t="s">
        <v>122</v>
      </c>
      <c r="E97" s="3">
        <v>150</v>
      </c>
      <c r="F97" s="3">
        <v>1</v>
      </c>
      <c r="G97" s="3">
        <f t="shared" si="7"/>
        <v>150</v>
      </c>
      <c r="H97" s="3" t="s">
        <v>291</v>
      </c>
      <c r="I97" s="1" t="s">
        <v>58</v>
      </c>
      <c r="J97" s="1" t="s">
        <v>78</v>
      </c>
      <c r="K97" s="1" t="s">
        <v>298</v>
      </c>
      <c r="L97" s="1" t="s">
        <v>267</v>
      </c>
      <c r="M97" s="1"/>
      <c r="N97" s="1">
        <f t="shared" si="6"/>
        <v>11</v>
      </c>
      <c r="O97" s="65"/>
    </row>
    <row r="98" spans="1:15" ht="15.75" hidden="1" x14ac:dyDescent="0.25">
      <c r="A98" s="1" t="str">
        <f t="shared" si="5"/>
        <v>4377043771247.1DINERSGROCERYLULU</v>
      </c>
      <c r="B98" s="2">
        <v>43770</v>
      </c>
      <c r="C98" s="2">
        <v>43771</v>
      </c>
      <c r="D98" s="3" t="s">
        <v>123</v>
      </c>
      <c r="E98" s="3">
        <v>247.1</v>
      </c>
      <c r="F98" s="3">
        <v>1</v>
      </c>
      <c r="G98" s="3">
        <f t="shared" si="7"/>
        <v>247.1</v>
      </c>
      <c r="H98" s="3" t="s">
        <v>266</v>
      </c>
      <c r="I98" s="1" t="s">
        <v>43</v>
      </c>
      <c r="J98" s="1" t="s">
        <v>44</v>
      </c>
      <c r="K98" s="1" t="s">
        <v>298</v>
      </c>
      <c r="L98" s="1" t="s">
        <v>267</v>
      </c>
      <c r="M98" s="1"/>
      <c r="N98" s="1">
        <f t="shared" si="6"/>
        <v>11</v>
      </c>
      <c r="O98" s="87"/>
    </row>
    <row r="99" spans="1:15" ht="15.75" hidden="1" x14ac:dyDescent="0.25">
      <c r="A99" s="1" t="str">
        <f t="shared" si="5"/>
        <v>43770437728MASTER CCTRANSPORTCAREEM</v>
      </c>
      <c r="B99" s="2">
        <v>43770</v>
      </c>
      <c r="C99" s="2">
        <v>43772</v>
      </c>
      <c r="D99" s="3" t="s">
        <v>121</v>
      </c>
      <c r="E99" s="3">
        <v>8</v>
      </c>
      <c r="F99" s="3">
        <v>1</v>
      </c>
      <c r="G99" s="3">
        <f t="shared" si="7"/>
        <v>8</v>
      </c>
      <c r="H99" s="3" t="s">
        <v>291</v>
      </c>
      <c r="I99" s="1" t="s">
        <v>296</v>
      </c>
      <c r="J99" s="1" t="s">
        <v>297</v>
      </c>
      <c r="K99" s="1" t="s">
        <v>298</v>
      </c>
      <c r="L99" s="1" t="s">
        <v>267</v>
      </c>
      <c r="M99" s="1"/>
      <c r="N99" s="1">
        <f t="shared" si="6"/>
        <v>11</v>
      </c>
      <c r="O99" s="65"/>
    </row>
    <row r="100" spans="1:15" ht="15.75" hidden="1" x14ac:dyDescent="0.25">
      <c r="A100" s="1" t="str">
        <f t="shared" si="5"/>
        <v>4377043772160MASTER CCTRANSPORTCAREEM</v>
      </c>
      <c r="B100" s="2">
        <v>43770</v>
      </c>
      <c r="C100" s="2">
        <v>43772</v>
      </c>
      <c r="D100" s="3" t="s">
        <v>119</v>
      </c>
      <c r="E100" s="3">
        <v>160</v>
      </c>
      <c r="F100" s="3">
        <v>1</v>
      </c>
      <c r="G100" s="3">
        <f t="shared" si="7"/>
        <v>160</v>
      </c>
      <c r="H100" s="3" t="s">
        <v>291</v>
      </c>
      <c r="I100" s="1" t="s">
        <v>296</v>
      </c>
      <c r="J100" s="1" t="s">
        <v>297</v>
      </c>
      <c r="K100" s="1" t="s">
        <v>298</v>
      </c>
      <c r="L100" s="1" t="s">
        <v>267</v>
      </c>
      <c r="M100" s="1"/>
      <c r="N100" s="1">
        <f t="shared" si="6"/>
        <v>11</v>
      </c>
      <c r="O100" s="65"/>
    </row>
    <row r="101" spans="1:15" ht="15.75" hidden="1" x14ac:dyDescent="0.25">
      <c r="A101" s="1" t="str">
        <f t="shared" si="5"/>
        <v>437704377213MASTER CCTRANSPORTCAREEM</v>
      </c>
      <c r="B101" s="2">
        <v>43770</v>
      </c>
      <c r="C101" s="2">
        <v>43772</v>
      </c>
      <c r="D101" s="3" t="s">
        <v>120</v>
      </c>
      <c r="E101" s="3">
        <v>13</v>
      </c>
      <c r="F101" s="3">
        <v>1</v>
      </c>
      <c r="G101" s="3">
        <f t="shared" si="7"/>
        <v>13</v>
      </c>
      <c r="H101" s="3" t="s">
        <v>291</v>
      </c>
      <c r="I101" s="1" t="s">
        <v>296</v>
      </c>
      <c r="J101" s="1" t="s">
        <v>297</v>
      </c>
      <c r="K101" s="1" t="s">
        <v>298</v>
      </c>
      <c r="L101" s="1" t="s">
        <v>267</v>
      </c>
      <c r="M101" s="1"/>
      <c r="N101" s="1">
        <f t="shared" si="6"/>
        <v>11</v>
      </c>
      <c r="O101" s="65"/>
    </row>
    <row r="102" spans="1:15" ht="15.75" hidden="1" x14ac:dyDescent="0.25">
      <c r="A102" s="1" t="str">
        <f t="shared" si="5"/>
        <v>43771437745MASTER CCTRANSPORTCAREEM</v>
      </c>
      <c r="B102" s="2">
        <v>43771</v>
      </c>
      <c r="C102" s="2">
        <v>43774</v>
      </c>
      <c r="D102" s="3" t="s">
        <v>124</v>
      </c>
      <c r="E102" s="3">
        <v>5</v>
      </c>
      <c r="F102" s="3">
        <v>1</v>
      </c>
      <c r="G102" s="3">
        <f t="shared" si="7"/>
        <v>5</v>
      </c>
      <c r="H102" s="3" t="s">
        <v>291</v>
      </c>
      <c r="I102" s="1" t="s">
        <v>296</v>
      </c>
      <c r="J102" s="1" t="s">
        <v>297</v>
      </c>
      <c r="K102" s="1" t="s">
        <v>298</v>
      </c>
      <c r="L102" s="1" t="s">
        <v>267</v>
      </c>
      <c r="M102" s="1"/>
      <c r="N102" s="1">
        <f t="shared" si="6"/>
        <v>11</v>
      </c>
      <c r="O102" s="65"/>
    </row>
    <row r="103" spans="1:15" ht="15.75" hidden="1" x14ac:dyDescent="0.25">
      <c r="A103" s="1" t="str">
        <f t="shared" si="5"/>
        <v>43772437722000CURRENTWITHDRAWSELF</v>
      </c>
      <c r="B103" s="2">
        <v>43772</v>
      </c>
      <c r="C103" s="2">
        <f t="shared" ref="C103:C109" si="8">B103</f>
        <v>43772</v>
      </c>
      <c r="D103" s="3" t="s">
        <v>133</v>
      </c>
      <c r="E103" s="3">
        <v>-2000</v>
      </c>
      <c r="F103" s="3">
        <v>1</v>
      </c>
      <c r="G103" s="3">
        <f t="shared" si="7"/>
        <v>2000</v>
      </c>
      <c r="H103" s="3" t="s">
        <v>293</v>
      </c>
      <c r="I103" s="1" t="s">
        <v>13</v>
      </c>
      <c r="J103" s="1" t="s">
        <v>14</v>
      </c>
      <c r="K103" s="1" t="s">
        <v>298</v>
      </c>
      <c r="L103" s="1" t="s">
        <v>257</v>
      </c>
      <c r="M103" s="1"/>
      <c r="N103" s="1">
        <f t="shared" si="6"/>
        <v>11</v>
      </c>
      <c r="O103" s="65"/>
    </row>
    <row r="104" spans="1:15" ht="15.75" hidden="1" x14ac:dyDescent="0.25">
      <c r="A104" s="1" t="str">
        <f t="shared" si="5"/>
        <v>43772437721718.64CURRENTTRANSFERINDIA</v>
      </c>
      <c r="B104" s="2">
        <v>43772</v>
      </c>
      <c r="C104" s="2">
        <f t="shared" si="8"/>
        <v>43772</v>
      </c>
      <c r="D104" s="3" t="s">
        <v>129</v>
      </c>
      <c r="E104" s="3">
        <v>-1718.64</v>
      </c>
      <c r="F104" s="3">
        <v>1</v>
      </c>
      <c r="G104" s="3">
        <f t="shared" si="7"/>
        <v>1718.64</v>
      </c>
      <c r="H104" s="3" t="s">
        <v>293</v>
      </c>
      <c r="I104" s="1" t="s">
        <v>22</v>
      </c>
      <c r="J104" s="1" t="s">
        <v>23</v>
      </c>
      <c r="K104" s="1" t="s">
        <v>298</v>
      </c>
      <c r="L104" s="1" t="s">
        <v>257</v>
      </c>
      <c r="M104" s="1"/>
      <c r="N104" s="1">
        <f t="shared" si="6"/>
        <v>11</v>
      </c>
      <c r="O104" s="65"/>
    </row>
    <row r="105" spans="1:15" ht="15.75" hidden="1" x14ac:dyDescent="0.25">
      <c r="A105" s="1" t="str">
        <f t="shared" si="5"/>
        <v>437724377215CURRENTSERVICEBANK</v>
      </c>
      <c r="B105" s="2">
        <v>43772</v>
      </c>
      <c r="C105" s="2">
        <f t="shared" si="8"/>
        <v>43772</v>
      </c>
      <c r="D105" s="3" t="s">
        <v>135</v>
      </c>
      <c r="E105" s="3">
        <v>15</v>
      </c>
      <c r="F105" s="3">
        <v>1</v>
      </c>
      <c r="G105" s="3">
        <f t="shared" si="7"/>
        <v>15</v>
      </c>
      <c r="H105" s="3" t="s">
        <v>293</v>
      </c>
      <c r="I105" s="1" t="s">
        <v>7</v>
      </c>
      <c r="J105" s="1" t="s">
        <v>8</v>
      </c>
      <c r="K105" s="1" t="s">
        <v>300</v>
      </c>
      <c r="L105" s="1" t="s">
        <v>257</v>
      </c>
      <c r="M105" s="1"/>
      <c r="N105" s="1">
        <f t="shared" si="6"/>
        <v>11</v>
      </c>
      <c r="O105" s="65"/>
    </row>
    <row r="106" spans="1:15" ht="15.75" hidden="1" x14ac:dyDescent="0.25">
      <c r="A106" s="1" t="str">
        <f t="shared" si="5"/>
        <v>437724377215CURRENTSERVICEBANK</v>
      </c>
      <c r="B106" s="2">
        <v>43772</v>
      </c>
      <c r="C106" s="2">
        <f t="shared" si="8"/>
        <v>43772</v>
      </c>
      <c r="D106" s="3" t="s">
        <v>131</v>
      </c>
      <c r="E106" s="3">
        <v>-15</v>
      </c>
      <c r="F106" s="3">
        <v>1</v>
      </c>
      <c r="G106" s="3">
        <f t="shared" si="7"/>
        <v>15</v>
      </c>
      <c r="H106" s="3" t="s">
        <v>293</v>
      </c>
      <c r="I106" s="1" t="s">
        <v>7</v>
      </c>
      <c r="J106" s="1" t="s">
        <v>8</v>
      </c>
      <c r="K106" s="1" t="s">
        <v>298</v>
      </c>
      <c r="L106" s="1" t="s">
        <v>257</v>
      </c>
      <c r="M106" s="1"/>
      <c r="N106" s="1">
        <f t="shared" si="6"/>
        <v>11</v>
      </c>
      <c r="O106" s="65"/>
    </row>
    <row r="107" spans="1:15" ht="15.75" hidden="1" x14ac:dyDescent="0.25">
      <c r="A107" s="1" t="str">
        <f t="shared" si="5"/>
        <v>43772437724CURRENTSERVICEBANK</v>
      </c>
      <c r="B107" s="2">
        <v>43772</v>
      </c>
      <c r="C107" s="2">
        <f t="shared" si="8"/>
        <v>43772</v>
      </c>
      <c r="D107" s="3" t="s">
        <v>130</v>
      </c>
      <c r="E107" s="3">
        <v>-4</v>
      </c>
      <c r="F107" s="3">
        <v>1</v>
      </c>
      <c r="G107" s="3">
        <f t="shared" si="7"/>
        <v>4</v>
      </c>
      <c r="H107" s="3" t="s">
        <v>293</v>
      </c>
      <c r="I107" s="1" t="s">
        <v>7</v>
      </c>
      <c r="J107" s="1" t="s">
        <v>8</v>
      </c>
      <c r="K107" s="1" t="s">
        <v>298</v>
      </c>
      <c r="L107" s="1" t="s">
        <v>257</v>
      </c>
      <c r="M107" s="1"/>
      <c r="N107" s="1">
        <f t="shared" si="6"/>
        <v>11</v>
      </c>
      <c r="O107" s="65"/>
    </row>
    <row r="108" spans="1:15" ht="15.75" hidden="1" x14ac:dyDescent="0.25">
      <c r="A108" s="1" t="str">
        <f t="shared" si="5"/>
        <v>43772437724850CURRENTRENTCAP ONE</v>
      </c>
      <c r="B108" s="2">
        <v>43772</v>
      </c>
      <c r="C108" s="2">
        <f t="shared" si="8"/>
        <v>43772</v>
      </c>
      <c r="D108" s="3" t="s">
        <v>134</v>
      </c>
      <c r="E108" s="3">
        <v>-4850</v>
      </c>
      <c r="F108" s="3">
        <v>1</v>
      </c>
      <c r="G108" s="3">
        <f t="shared" si="7"/>
        <v>4850</v>
      </c>
      <c r="H108" s="3" t="s">
        <v>293</v>
      </c>
      <c r="I108" s="1" t="s">
        <v>83</v>
      </c>
      <c r="J108" s="1" t="s">
        <v>84</v>
      </c>
      <c r="K108" s="1" t="s">
        <v>298</v>
      </c>
      <c r="L108" s="1" t="s">
        <v>257</v>
      </c>
      <c r="M108" s="1"/>
      <c r="N108" s="1">
        <f t="shared" si="6"/>
        <v>11</v>
      </c>
      <c r="O108" s="65"/>
    </row>
    <row r="109" spans="1:15" ht="15.75" hidden="1" x14ac:dyDescent="0.25">
      <c r="A109" s="1" t="str">
        <f t="shared" si="5"/>
        <v>4377243772100CURRENTMEDICALMEDICAL COMM.</v>
      </c>
      <c r="B109" s="2">
        <v>43772</v>
      </c>
      <c r="C109" s="2">
        <f t="shared" si="8"/>
        <v>43772</v>
      </c>
      <c r="D109" s="3" t="s">
        <v>132</v>
      </c>
      <c r="E109" s="3">
        <v>-100</v>
      </c>
      <c r="F109" s="3">
        <v>1</v>
      </c>
      <c r="G109" s="3">
        <f t="shared" si="7"/>
        <v>100</v>
      </c>
      <c r="H109" s="3" t="s">
        <v>293</v>
      </c>
      <c r="I109" s="1" t="s">
        <v>301</v>
      </c>
      <c r="J109" s="1" t="s">
        <v>305</v>
      </c>
      <c r="K109" s="1" t="s">
        <v>298</v>
      </c>
      <c r="L109" s="1" t="s">
        <v>257</v>
      </c>
      <c r="M109" s="1"/>
      <c r="N109" s="1">
        <f t="shared" si="6"/>
        <v>11</v>
      </c>
      <c r="O109" s="65"/>
    </row>
    <row r="110" spans="1:15" ht="15.75" hidden="1" x14ac:dyDescent="0.25">
      <c r="A110" s="1" t="str">
        <f t="shared" si="5"/>
        <v>43772437747MASTER CCTRANSPORTCAREEM</v>
      </c>
      <c r="B110" s="2">
        <v>43772</v>
      </c>
      <c r="C110" s="2">
        <v>43774</v>
      </c>
      <c r="D110" s="3" t="s">
        <v>125</v>
      </c>
      <c r="E110" s="3">
        <v>7</v>
      </c>
      <c r="F110" s="3">
        <v>1</v>
      </c>
      <c r="G110" s="3">
        <f t="shared" si="7"/>
        <v>7</v>
      </c>
      <c r="H110" s="3" t="s">
        <v>291</v>
      </c>
      <c r="I110" s="1" t="s">
        <v>296</v>
      </c>
      <c r="J110" s="1" t="s">
        <v>297</v>
      </c>
      <c r="K110" s="1" t="s">
        <v>298</v>
      </c>
      <c r="L110" s="1" t="s">
        <v>267</v>
      </c>
      <c r="M110" s="1"/>
      <c r="N110" s="1">
        <f t="shared" si="6"/>
        <v>11</v>
      </c>
      <c r="O110" s="65"/>
    </row>
    <row r="111" spans="1:15" ht="15.75" hidden="1" x14ac:dyDescent="0.25">
      <c r="A111" s="1" t="str">
        <f t="shared" si="5"/>
        <v>43772437742MASTER CCTRANSPORTCAREEM</v>
      </c>
      <c r="B111" s="2">
        <v>43772</v>
      </c>
      <c r="C111" s="2">
        <v>43774</v>
      </c>
      <c r="D111" s="3" t="s">
        <v>127</v>
      </c>
      <c r="E111" s="3">
        <v>2</v>
      </c>
      <c r="F111" s="3">
        <v>1</v>
      </c>
      <c r="G111" s="3">
        <f t="shared" si="7"/>
        <v>2</v>
      </c>
      <c r="H111" s="3" t="s">
        <v>291</v>
      </c>
      <c r="I111" s="1" t="s">
        <v>296</v>
      </c>
      <c r="J111" s="1" t="s">
        <v>297</v>
      </c>
      <c r="K111" s="1" t="s">
        <v>298</v>
      </c>
      <c r="L111" s="1" t="s">
        <v>267</v>
      </c>
      <c r="M111" s="1"/>
      <c r="N111" s="1">
        <f t="shared" si="6"/>
        <v>11</v>
      </c>
      <c r="O111" s="65"/>
    </row>
    <row r="112" spans="1:15" ht="15.75" hidden="1" x14ac:dyDescent="0.25">
      <c r="A112" s="1" t="str">
        <f t="shared" si="5"/>
        <v>43772437743MASTER CCTRANSPORTCAREEM</v>
      </c>
      <c r="B112" s="2">
        <v>43772</v>
      </c>
      <c r="C112" s="2">
        <v>43774</v>
      </c>
      <c r="D112" s="3" t="s">
        <v>126</v>
      </c>
      <c r="E112" s="3">
        <v>3</v>
      </c>
      <c r="F112" s="3">
        <v>1</v>
      </c>
      <c r="G112" s="3">
        <f t="shared" si="7"/>
        <v>3</v>
      </c>
      <c r="H112" s="3" t="s">
        <v>291</v>
      </c>
      <c r="I112" s="1" t="s">
        <v>296</v>
      </c>
      <c r="J112" s="1" t="s">
        <v>297</v>
      </c>
      <c r="K112" s="1" t="s">
        <v>298</v>
      </c>
      <c r="L112" s="1" t="s">
        <v>267</v>
      </c>
      <c r="M112" s="1"/>
      <c r="N112" s="1">
        <f t="shared" si="6"/>
        <v>11</v>
      </c>
      <c r="O112" s="65"/>
    </row>
    <row r="113" spans="1:15" ht="15.75" hidden="1" x14ac:dyDescent="0.25">
      <c r="A113" s="1" t="str">
        <f t="shared" si="5"/>
        <v>43772437744MASTER CCTRANSPORTCAREEM</v>
      </c>
      <c r="B113" s="2">
        <v>43772</v>
      </c>
      <c r="C113" s="2">
        <v>43774</v>
      </c>
      <c r="D113" s="3" t="s">
        <v>128</v>
      </c>
      <c r="E113" s="3">
        <v>4</v>
      </c>
      <c r="F113" s="3">
        <v>1</v>
      </c>
      <c r="G113" s="3">
        <f t="shared" si="7"/>
        <v>4</v>
      </c>
      <c r="H113" s="3" t="s">
        <v>291</v>
      </c>
      <c r="I113" s="1" t="s">
        <v>296</v>
      </c>
      <c r="J113" s="1" t="s">
        <v>297</v>
      </c>
      <c r="K113" s="1" t="s">
        <v>298</v>
      </c>
      <c r="L113" s="1" t="s">
        <v>267</v>
      </c>
      <c r="M113" s="1"/>
      <c r="N113" s="1">
        <f t="shared" si="6"/>
        <v>11</v>
      </c>
      <c r="O113" s="65"/>
    </row>
    <row r="114" spans="1:15" ht="15.75" hidden="1" x14ac:dyDescent="0.25">
      <c r="A114" s="1" t="str">
        <f t="shared" si="5"/>
        <v>43773437757.35DINERSTRANSPORTUBER</v>
      </c>
      <c r="B114" s="2">
        <v>43773</v>
      </c>
      <c r="C114" s="2">
        <v>43775</v>
      </c>
      <c r="D114" s="3" t="s">
        <v>138</v>
      </c>
      <c r="E114" s="3">
        <v>7.35</v>
      </c>
      <c r="F114" s="3">
        <v>1</v>
      </c>
      <c r="G114" s="3">
        <f t="shared" si="7"/>
        <v>7.35</v>
      </c>
      <c r="H114" s="3" t="s">
        <v>266</v>
      </c>
      <c r="I114" s="1" t="s">
        <v>296</v>
      </c>
      <c r="J114" s="1" t="s">
        <v>299</v>
      </c>
      <c r="K114" s="1" t="s">
        <v>298</v>
      </c>
      <c r="L114" s="1" t="s">
        <v>267</v>
      </c>
      <c r="M114" s="1"/>
      <c r="N114" s="1">
        <f t="shared" si="6"/>
        <v>11</v>
      </c>
      <c r="O114" s="87"/>
    </row>
    <row r="115" spans="1:15" ht="15.75" hidden="1" x14ac:dyDescent="0.25">
      <c r="A115" s="1" t="str">
        <f t="shared" si="5"/>
        <v>43773437758.04DINERSTRANSPORTUBER</v>
      </c>
      <c r="B115" s="2">
        <v>43773</v>
      </c>
      <c r="C115" s="2">
        <v>43775</v>
      </c>
      <c r="D115" s="3" t="s">
        <v>139</v>
      </c>
      <c r="E115" s="3">
        <v>8.0399999999999991</v>
      </c>
      <c r="F115" s="3">
        <v>1</v>
      </c>
      <c r="G115" s="3">
        <f t="shared" si="7"/>
        <v>8.0399999999999991</v>
      </c>
      <c r="H115" s="3" t="s">
        <v>266</v>
      </c>
      <c r="I115" s="1" t="s">
        <v>296</v>
      </c>
      <c r="J115" s="1" t="s">
        <v>299</v>
      </c>
      <c r="K115" s="1" t="s">
        <v>298</v>
      </c>
      <c r="L115" s="1" t="s">
        <v>267</v>
      </c>
      <c r="M115" s="1"/>
      <c r="N115" s="1">
        <f t="shared" si="6"/>
        <v>11</v>
      </c>
      <c r="O115" s="87"/>
    </row>
    <row r="116" spans="1:15" ht="15.75" hidden="1" x14ac:dyDescent="0.25">
      <c r="A116" s="1" t="str">
        <f t="shared" si="5"/>
        <v>4377343774100DINERSMEDICALASTER</v>
      </c>
      <c r="B116" s="2">
        <v>43773</v>
      </c>
      <c r="C116" s="2">
        <v>43774</v>
      </c>
      <c r="D116" s="3" t="s">
        <v>140</v>
      </c>
      <c r="E116" s="3">
        <v>100</v>
      </c>
      <c r="F116" s="3">
        <v>1</v>
      </c>
      <c r="G116" s="3">
        <f t="shared" si="7"/>
        <v>100</v>
      </c>
      <c r="H116" s="3" t="s">
        <v>266</v>
      </c>
      <c r="I116" s="1" t="s">
        <v>301</v>
      </c>
      <c r="J116" s="1" t="s">
        <v>303</v>
      </c>
      <c r="K116" s="1" t="s">
        <v>298</v>
      </c>
      <c r="L116" s="1" t="s">
        <v>267</v>
      </c>
      <c r="M116" s="1"/>
      <c r="N116" s="1">
        <f t="shared" si="6"/>
        <v>11</v>
      </c>
      <c r="O116" s="87"/>
    </row>
    <row r="117" spans="1:15" ht="15.75" hidden="1" x14ac:dyDescent="0.25">
      <c r="A117" s="1" t="str">
        <f t="shared" si="5"/>
        <v>437734377439DINERSMEDICALPHARMACY</v>
      </c>
      <c r="B117" s="2">
        <v>43773</v>
      </c>
      <c r="C117" s="2">
        <v>43774</v>
      </c>
      <c r="D117" s="3" t="s">
        <v>141</v>
      </c>
      <c r="E117" s="3">
        <v>39</v>
      </c>
      <c r="F117" s="3">
        <v>1</v>
      </c>
      <c r="G117" s="3">
        <f t="shared" si="7"/>
        <v>39</v>
      </c>
      <c r="H117" s="3" t="s">
        <v>266</v>
      </c>
      <c r="I117" s="1" t="s">
        <v>301</v>
      </c>
      <c r="J117" s="1" t="s">
        <v>304</v>
      </c>
      <c r="K117" s="1" t="s">
        <v>298</v>
      </c>
      <c r="L117" s="1" t="s">
        <v>267</v>
      </c>
      <c r="M117" s="1"/>
      <c r="N117" s="1">
        <f t="shared" si="6"/>
        <v>11</v>
      </c>
      <c r="O117" s="87"/>
    </row>
    <row r="118" spans="1:15" ht="15.75" hidden="1" x14ac:dyDescent="0.25">
      <c r="A118" s="1" t="str">
        <f t="shared" si="5"/>
        <v>437734377338CURRENTFOODQATAR AIR</v>
      </c>
      <c r="B118" s="2">
        <v>43773</v>
      </c>
      <c r="C118" s="2">
        <f>B118</f>
        <v>43773</v>
      </c>
      <c r="D118" s="3" t="s">
        <v>142</v>
      </c>
      <c r="E118" s="3">
        <v>-38</v>
      </c>
      <c r="F118" s="3">
        <v>1</v>
      </c>
      <c r="G118" s="3">
        <f t="shared" si="7"/>
        <v>38</v>
      </c>
      <c r="H118" s="3" t="s">
        <v>293</v>
      </c>
      <c r="I118" s="1" t="s">
        <v>10</v>
      </c>
      <c r="J118" s="1" t="s">
        <v>19</v>
      </c>
      <c r="K118" s="1" t="s">
        <v>298</v>
      </c>
      <c r="L118" s="1" t="s">
        <v>257</v>
      </c>
      <c r="M118" s="1"/>
      <c r="N118" s="1">
        <f t="shared" si="6"/>
        <v>11</v>
      </c>
      <c r="O118" s="65"/>
    </row>
    <row r="119" spans="1:15" ht="15.75" hidden="1" x14ac:dyDescent="0.25">
      <c r="A119" s="1" t="str">
        <f t="shared" si="5"/>
        <v>43773437756MASTER CCTRANSPORTCAREEM</v>
      </c>
      <c r="B119" s="2">
        <v>43773</v>
      </c>
      <c r="C119" s="2">
        <v>43775</v>
      </c>
      <c r="D119" s="3" t="s">
        <v>137</v>
      </c>
      <c r="E119" s="3">
        <v>6</v>
      </c>
      <c r="F119" s="3">
        <v>1</v>
      </c>
      <c r="G119" s="3">
        <f t="shared" si="7"/>
        <v>6</v>
      </c>
      <c r="H119" s="3" t="s">
        <v>291</v>
      </c>
      <c r="I119" s="1" t="s">
        <v>296</v>
      </c>
      <c r="J119" s="1" t="s">
        <v>297</v>
      </c>
      <c r="K119" s="1" t="s">
        <v>298</v>
      </c>
      <c r="L119" s="1" t="s">
        <v>267</v>
      </c>
      <c r="M119" s="1"/>
      <c r="N119" s="1">
        <f t="shared" si="6"/>
        <v>11</v>
      </c>
      <c r="O119" s="65"/>
    </row>
    <row r="120" spans="1:15" ht="15.75" hidden="1" x14ac:dyDescent="0.25">
      <c r="A120" s="1" t="str">
        <f t="shared" si="5"/>
        <v>43773437754MASTER CCTRANSPORTCAREEM</v>
      </c>
      <c r="B120" s="2">
        <v>43773</v>
      </c>
      <c r="C120" s="2">
        <v>43775</v>
      </c>
      <c r="D120" s="3" t="s">
        <v>136</v>
      </c>
      <c r="E120" s="3">
        <v>4</v>
      </c>
      <c r="F120" s="3">
        <v>1</v>
      </c>
      <c r="G120" s="3">
        <f t="shared" si="7"/>
        <v>4</v>
      </c>
      <c r="H120" s="3" t="s">
        <v>291</v>
      </c>
      <c r="I120" s="1" t="s">
        <v>296</v>
      </c>
      <c r="J120" s="1" t="s">
        <v>297</v>
      </c>
      <c r="K120" s="1" t="s">
        <v>298</v>
      </c>
      <c r="L120" s="1" t="s">
        <v>267</v>
      </c>
      <c r="M120" s="1"/>
      <c r="N120" s="1">
        <f t="shared" si="6"/>
        <v>11</v>
      </c>
      <c r="O120" s="65"/>
    </row>
    <row r="121" spans="1:15" ht="15.75" hidden="1" x14ac:dyDescent="0.25">
      <c r="A121" s="1" t="str">
        <f t="shared" si="5"/>
        <v>437744377611.4DINERSTRANSPORTUBER</v>
      </c>
      <c r="B121" s="2">
        <v>43774</v>
      </c>
      <c r="C121" s="2">
        <v>43776</v>
      </c>
      <c r="D121" s="3" t="s">
        <v>145</v>
      </c>
      <c r="E121" s="3">
        <v>11.4</v>
      </c>
      <c r="F121" s="3">
        <v>1</v>
      </c>
      <c r="G121" s="3">
        <f t="shared" si="7"/>
        <v>11.4</v>
      </c>
      <c r="H121" s="3" t="s">
        <v>266</v>
      </c>
      <c r="I121" s="1" t="s">
        <v>296</v>
      </c>
      <c r="J121" s="1" t="s">
        <v>299</v>
      </c>
      <c r="K121" s="1" t="s">
        <v>298</v>
      </c>
      <c r="L121" s="1" t="s">
        <v>267</v>
      </c>
      <c r="M121" s="1"/>
      <c r="N121" s="1">
        <f t="shared" si="6"/>
        <v>11</v>
      </c>
      <c r="O121" s="87"/>
    </row>
    <row r="122" spans="1:15" ht="15.75" hidden="1" x14ac:dyDescent="0.25">
      <c r="A122" s="1" t="str">
        <f t="shared" si="5"/>
        <v>43774437766.11DINERSTRANSPORTUBER</v>
      </c>
      <c r="B122" s="2">
        <v>43774</v>
      </c>
      <c r="C122" s="2">
        <v>43776</v>
      </c>
      <c r="D122" s="3" t="s">
        <v>147</v>
      </c>
      <c r="E122" s="3">
        <v>6.11</v>
      </c>
      <c r="F122" s="3">
        <v>1</v>
      </c>
      <c r="G122" s="3">
        <f t="shared" si="7"/>
        <v>6.11</v>
      </c>
      <c r="H122" s="3" t="s">
        <v>266</v>
      </c>
      <c r="I122" s="1" t="s">
        <v>296</v>
      </c>
      <c r="J122" s="1" t="s">
        <v>299</v>
      </c>
      <c r="K122" s="1" t="s">
        <v>298</v>
      </c>
      <c r="L122" s="1" t="s">
        <v>267</v>
      </c>
      <c r="M122" s="1"/>
      <c r="N122" s="1">
        <f t="shared" si="6"/>
        <v>11</v>
      </c>
      <c r="O122" s="87"/>
    </row>
    <row r="123" spans="1:15" ht="15.75" hidden="1" x14ac:dyDescent="0.25">
      <c r="A123" s="1" t="str">
        <f t="shared" si="5"/>
        <v>43774437766.29DINERSTRANSPORTUBER</v>
      </c>
      <c r="B123" s="2">
        <v>43774</v>
      </c>
      <c r="C123" s="2">
        <v>43776</v>
      </c>
      <c r="D123" s="3" t="s">
        <v>146</v>
      </c>
      <c r="E123" s="3">
        <v>6.29</v>
      </c>
      <c r="F123" s="3">
        <v>1</v>
      </c>
      <c r="G123" s="3">
        <f t="shared" si="7"/>
        <v>6.29</v>
      </c>
      <c r="H123" s="3" t="s">
        <v>266</v>
      </c>
      <c r="I123" s="1" t="s">
        <v>296</v>
      </c>
      <c r="J123" s="1" t="s">
        <v>299</v>
      </c>
      <c r="K123" s="1" t="s">
        <v>298</v>
      </c>
      <c r="L123" s="1" t="s">
        <v>267</v>
      </c>
      <c r="M123" s="1"/>
      <c r="N123" s="1">
        <f t="shared" si="6"/>
        <v>11</v>
      </c>
      <c r="O123" s="87"/>
    </row>
    <row r="124" spans="1:15" ht="15.75" hidden="1" x14ac:dyDescent="0.25">
      <c r="A124" s="1" t="str">
        <f t="shared" si="5"/>
        <v>437744377655MASTER CCFOODQATAR AIR</v>
      </c>
      <c r="B124" s="2">
        <v>43774</v>
      </c>
      <c r="C124" s="2">
        <v>43776</v>
      </c>
      <c r="D124" s="3" t="s">
        <v>144</v>
      </c>
      <c r="E124" s="3">
        <v>55</v>
      </c>
      <c r="F124" s="3">
        <v>1</v>
      </c>
      <c r="G124" s="3">
        <f t="shared" si="7"/>
        <v>55</v>
      </c>
      <c r="H124" s="3" t="s">
        <v>291</v>
      </c>
      <c r="I124" s="1" t="s">
        <v>10</v>
      </c>
      <c r="J124" s="1" t="s">
        <v>19</v>
      </c>
      <c r="K124" s="1" t="s">
        <v>298</v>
      </c>
      <c r="L124" s="1" t="s">
        <v>267</v>
      </c>
      <c r="M124" s="1"/>
      <c r="N124" s="1">
        <f t="shared" si="6"/>
        <v>11</v>
      </c>
      <c r="O124" s="65"/>
    </row>
    <row r="125" spans="1:15" ht="15.75" hidden="1" x14ac:dyDescent="0.25">
      <c r="A125" s="1" t="str">
        <f t="shared" si="5"/>
        <v>43774437764MASTER CCTRANSPORTCAREEM</v>
      </c>
      <c r="B125" s="2">
        <v>43774</v>
      </c>
      <c r="C125" s="2">
        <v>43776</v>
      </c>
      <c r="D125" s="3" t="s">
        <v>143</v>
      </c>
      <c r="E125" s="3">
        <v>4</v>
      </c>
      <c r="F125" s="3">
        <v>1</v>
      </c>
      <c r="G125" s="3">
        <f t="shared" si="7"/>
        <v>4</v>
      </c>
      <c r="H125" s="3" t="s">
        <v>291</v>
      </c>
      <c r="I125" s="1" t="s">
        <v>296</v>
      </c>
      <c r="J125" s="1" t="s">
        <v>297</v>
      </c>
      <c r="K125" s="1" t="s">
        <v>298</v>
      </c>
      <c r="L125" s="1" t="s">
        <v>267</v>
      </c>
      <c r="M125" s="1"/>
      <c r="N125" s="1">
        <f t="shared" si="6"/>
        <v>11</v>
      </c>
      <c r="O125" s="65"/>
    </row>
    <row r="126" spans="1:15" ht="15.75" hidden="1" x14ac:dyDescent="0.25">
      <c r="A126" s="1" t="str">
        <f t="shared" si="5"/>
        <v>4377543775100CURRENTVISAMINISTERY</v>
      </c>
      <c r="B126" s="2">
        <v>43775</v>
      </c>
      <c r="C126" s="2">
        <f>B126</f>
        <v>43775</v>
      </c>
      <c r="D126" s="3" t="s">
        <v>149</v>
      </c>
      <c r="E126" s="3">
        <v>-100</v>
      </c>
      <c r="F126" s="3">
        <v>1</v>
      </c>
      <c r="G126" s="3">
        <f t="shared" si="7"/>
        <v>100</v>
      </c>
      <c r="H126" s="3" t="s">
        <v>293</v>
      </c>
      <c r="I126" s="1" t="s">
        <v>29</v>
      </c>
      <c r="J126" s="1" t="s">
        <v>30</v>
      </c>
      <c r="K126" s="1" t="s">
        <v>298</v>
      </c>
      <c r="L126" s="1" t="s">
        <v>257</v>
      </c>
      <c r="M126" s="1"/>
      <c r="N126" s="1">
        <f t="shared" si="6"/>
        <v>11</v>
      </c>
      <c r="O126" s="65"/>
    </row>
    <row r="127" spans="1:15" ht="15.75" hidden="1" x14ac:dyDescent="0.25">
      <c r="A127" s="1" t="str">
        <f t="shared" si="5"/>
        <v>4377543775100CURRENTVISAMINISTERY</v>
      </c>
      <c r="B127" s="2">
        <v>43775</v>
      </c>
      <c r="C127" s="2">
        <f>B127</f>
        <v>43775</v>
      </c>
      <c r="D127" s="3" t="s">
        <v>150</v>
      </c>
      <c r="E127" s="3">
        <v>-100</v>
      </c>
      <c r="F127" s="3">
        <v>1</v>
      </c>
      <c r="G127" s="3">
        <f t="shared" si="7"/>
        <v>100</v>
      </c>
      <c r="H127" s="3" t="s">
        <v>293</v>
      </c>
      <c r="I127" s="1" t="s">
        <v>29</v>
      </c>
      <c r="J127" s="1" t="s">
        <v>30</v>
      </c>
      <c r="K127" s="1" t="s">
        <v>298</v>
      </c>
      <c r="L127" s="1" t="s">
        <v>257</v>
      </c>
      <c r="M127" s="1"/>
      <c r="N127" s="1">
        <f t="shared" si="6"/>
        <v>11</v>
      </c>
      <c r="O127" s="65"/>
    </row>
    <row r="128" spans="1:15" ht="15.75" hidden="1" x14ac:dyDescent="0.25">
      <c r="A128" s="1" t="str">
        <f t="shared" si="5"/>
        <v>437754377794.75MASTER CCGROCERYFFC</v>
      </c>
      <c r="B128" s="2">
        <v>43775</v>
      </c>
      <c r="C128" s="2">
        <v>43777</v>
      </c>
      <c r="D128" s="3" t="s">
        <v>148</v>
      </c>
      <c r="E128" s="3">
        <v>94.75</v>
      </c>
      <c r="F128" s="3">
        <v>1</v>
      </c>
      <c r="G128" s="3">
        <f t="shared" si="7"/>
        <v>94.75</v>
      </c>
      <c r="H128" s="3" t="s">
        <v>291</v>
      </c>
      <c r="I128" s="1" t="s">
        <v>43</v>
      </c>
      <c r="J128" s="1" t="s">
        <v>96</v>
      </c>
      <c r="K128" s="1" t="s">
        <v>298</v>
      </c>
      <c r="L128" s="1" t="s">
        <v>267</v>
      </c>
      <c r="M128" s="1"/>
      <c r="N128" s="1">
        <f t="shared" si="6"/>
        <v>11</v>
      </c>
      <c r="O128" s="65"/>
    </row>
    <row r="129" spans="1:15" ht="15.75" hidden="1" x14ac:dyDescent="0.25">
      <c r="A129" s="1" t="str">
        <f t="shared" si="5"/>
        <v>437764377737.25DINERSMEDICALPHARMACY</v>
      </c>
      <c r="B129" s="2">
        <v>43776</v>
      </c>
      <c r="C129" s="2">
        <v>43777</v>
      </c>
      <c r="D129" s="3" t="s">
        <v>153</v>
      </c>
      <c r="E129" s="3">
        <v>37.25</v>
      </c>
      <c r="F129" s="3">
        <v>1</v>
      </c>
      <c r="G129" s="3">
        <f t="shared" si="7"/>
        <v>37.25</v>
      </c>
      <c r="H129" s="3" t="s">
        <v>266</v>
      </c>
      <c r="I129" s="1" t="s">
        <v>301</v>
      </c>
      <c r="J129" s="1" t="s">
        <v>304</v>
      </c>
      <c r="K129" s="1" t="s">
        <v>298</v>
      </c>
      <c r="L129" s="1" t="s">
        <v>267</v>
      </c>
      <c r="M129" s="1"/>
      <c r="N129" s="1">
        <f t="shared" si="6"/>
        <v>11</v>
      </c>
      <c r="O129" s="87"/>
    </row>
    <row r="130" spans="1:15" ht="15.75" hidden="1" x14ac:dyDescent="0.25">
      <c r="A130" s="1" t="str">
        <f t="shared" ref="A130:A193" si="9">B130&amp;C130&amp;G130&amp;H130&amp;I130&amp;J130</f>
        <v>437764377655CURRENTFOODQATAR AIR</v>
      </c>
      <c r="B130" s="2">
        <v>43776</v>
      </c>
      <c r="C130" s="2">
        <f>B130</f>
        <v>43776</v>
      </c>
      <c r="D130" s="3" t="s">
        <v>154</v>
      </c>
      <c r="E130" s="3">
        <v>-55</v>
      </c>
      <c r="F130" s="3">
        <v>1</v>
      </c>
      <c r="G130" s="3">
        <f t="shared" si="7"/>
        <v>55</v>
      </c>
      <c r="H130" s="3" t="s">
        <v>293</v>
      </c>
      <c r="I130" s="1" t="s">
        <v>10</v>
      </c>
      <c r="J130" s="1" t="s">
        <v>19</v>
      </c>
      <c r="K130" s="1" t="s">
        <v>298</v>
      </c>
      <c r="L130" s="1" t="s">
        <v>257</v>
      </c>
      <c r="M130" s="1"/>
      <c r="N130" s="1">
        <f t="shared" ref="N130:N193" si="10">MONTH(C130)</f>
        <v>11</v>
      </c>
      <c r="O130" s="65"/>
    </row>
    <row r="131" spans="1:15" ht="15.75" hidden="1" x14ac:dyDescent="0.25">
      <c r="A131" s="1" t="str">
        <f t="shared" si="9"/>
        <v>4377643781100MASTER CCTELECOMOOREDOO</v>
      </c>
      <c r="B131" s="2">
        <v>43776</v>
      </c>
      <c r="C131" s="2">
        <v>43781</v>
      </c>
      <c r="D131" s="3" t="s">
        <v>155</v>
      </c>
      <c r="E131" s="3">
        <v>100</v>
      </c>
      <c r="F131" s="3">
        <v>1</v>
      </c>
      <c r="G131" s="3">
        <f t="shared" si="7"/>
        <v>100</v>
      </c>
      <c r="H131" s="3" t="s">
        <v>291</v>
      </c>
      <c r="I131" s="1" t="s">
        <v>58</v>
      </c>
      <c r="J131" s="1" t="s">
        <v>59</v>
      </c>
      <c r="K131" s="1" t="s">
        <v>298</v>
      </c>
      <c r="L131" s="1" t="s">
        <v>267</v>
      </c>
      <c r="M131" s="1"/>
      <c r="N131" s="1">
        <f t="shared" si="10"/>
        <v>11</v>
      </c>
      <c r="O131" s="65"/>
    </row>
    <row r="132" spans="1:15" ht="15.75" hidden="1" x14ac:dyDescent="0.25">
      <c r="A132" s="1" t="str">
        <f t="shared" si="9"/>
        <v>437764377910MASTER CCTRANSPORTCAREEM</v>
      </c>
      <c r="B132" s="2">
        <v>43776</v>
      </c>
      <c r="C132" s="2">
        <v>43779</v>
      </c>
      <c r="D132" s="3" t="s">
        <v>152</v>
      </c>
      <c r="E132" s="3">
        <v>10</v>
      </c>
      <c r="F132" s="3">
        <v>1</v>
      </c>
      <c r="G132" s="3">
        <f t="shared" si="7"/>
        <v>10</v>
      </c>
      <c r="H132" s="3" t="s">
        <v>291</v>
      </c>
      <c r="I132" s="1" t="s">
        <v>296</v>
      </c>
      <c r="J132" s="1" t="s">
        <v>297</v>
      </c>
      <c r="K132" s="1" t="s">
        <v>298</v>
      </c>
      <c r="L132" s="1" t="s">
        <v>267</v>
      </c>
      <c r="M132" s="1"/>
      <c r="N132" s="1">
        <f t="shared" si="10"/>
        <v>11</v>
      </c>
      <c r="O132" s="65"/>
    </row>
    <row r="133" spans="1:15" ht="15.75" hidden="1" x14ac:dyDescent="0.25">
      <c r="A133" s="1" t="str">
        <f t="shared" si="9"/>
        <v>437764377911MASTER CCTRANSPORTCAREEM</v>
      </c>
      <c r="B133" s="2">
        <v>43776</v>
      </c>
      <c r="C133" s="2">
        <v>43779</v>
      </c>
      <c r="D133" s="3" t="s">
        <v>151</v>
      </c>
      <c r="E133" s="3">
        <v>11</v>
      </c>
      <c r="F133" s="3">
        <v>1</v>
      </c>
      <c r="G133" s="3">
        <f t="shared" si="7"/>
        <v>11</v>
      </c>
      <c r="H133" s="3" t="s">
        <v>291</v>
      </c>
      <c r="I133" s="1" t="s">
        <v>296</v>
      </c>
      <c r="J133" s="1" t="s">
        <v>297</v>
      </c>
      <c r="K133" s="1" t="s">
        <v>298</v>
      </c>
      <c r="L133" s="1" t="s">
        <v>267</v>
      </c>
      <c r="M133" s="1"/>
      <c r="N133" s="1">
        <f t="shared" si="10"/>
        <v>11</v>
      </c>
      <c r="O133" s="65"/>
    </row>
    <row r="134" spans="1:15" ht="15.75" hidden="1" x14ac:dyDescent="0.25">
      <c r="A134" s="1" t="str">
        <f t="shared" si="9"/>
        <v>4377743777420DINERSEDUCATIONALKHEBRA</v>
      </c>
      <c r="B134" s="2">
        <v>43777</v>
      </c>
      <c r="C134" s="2">
        <v>43777</v>
      </c>
      <c r="D134" s="3" t="s">
        <v>94</v>
      </c>
      <c r="E134" s="3">
        <v>420</v>
      </c>
      <c r="F134" s="3">
        <v>1</v>
      </c>
      <c r="G134" s="3">
        <f t="shared" si="7"/>
        <v>420</v>
      </c>
      <c r="H134" s="3" t="s">
        <v>266</v>
      </c>
      <c r="I134" s="1" t="s">
        <v>543</v>
      </c>
      <c r="J134" s="1" t="s">
        <v>92</v>
      </c>
      <c r="K134" s="1" t="s">
        <v>298</v>
      </c>
      <c r="L134" s="1" t="s">
        <v>267</v>
      </c>
      <c r="M134" s="1">
        <v>1</v>
      </c>
      <c r="N134" s="1">
        <f t="shared" si="10"/>
        <v>11</v>
      </c>
      <c r="O134" s="87"/>
    </row>
    <row r="135" spans="1:15" ht="15.75" hidden="1" x14ac:dyDescent="0.25">
      <c r="A135" s="1" t="str">
        <f t="shared" si="9"/>
        <v>4377943781100MASTER CCMEDICALHEALTH CENTER</v>
      </c>
      <c r="B135" s="2">
        <v>43779</v>
      </c>
      <c r="C135" s="2">
        <v>43781</v>
      </c>
      <c r="D135" s="3" t="s">
        <v>160</v>
      </c>
      <c r="E135" s="3">
        <v>100</v>
      </c>
      <c r="F135" s="3">
        <v>1</v>
      </c>
      <c r="G135" s="3">
        <f t="shared" si="7"/>
        <v>100</v>
      </c>
      <c r="H135" s="3" t="s">
        <v>291</v>
      </c>
      <c r="I135" s="1" t="s">
        <v>301</v>
      </c>
      <c r="J135" s="1" t="s">
        <v>159</v>
      </c>
      <c r="K135" s="1" t="s">
        <v>298</v>
      </c>
      <c r="L135" s="1" t="s">
        <v>267</v>
      </c>
      <c r="M135" s="1"/>
      <c r="N135" s="1">
        <f t="shared" si="10"/>
        <v>11</v>
      </c>
      <c r="O135" s="65"/>
    </row>
    <row r="136" spans="1:15" ht="15.75" hidden="1" x14ac:dyDescent="0.25">
      <c r="A136" s="1" t="str">
        <f t="shared" si="9"/>
        <v>4377943781100MASTER CCMEDICALHEALTH CENTER</v>
      </c>
      <c r="B136" s="2">
        <v>43779</v>
      </c>
      <c r="C136" s="2">
        <v>43781</v>
      </c>
      <c r="D136" s="3" t="s">
        <v>158</v>
      </c>
      <c r="E136" s="3">
        <v>100</v>
      </c>
      <c r="F136" s="3">
        <v>1</v>
      </c>
      <c r="G136" s="3">
        <f t="shared" si="7"/>
        <v>100</v>
      </c>
      <c r="H136" s="3" t="s">
        <v>291</v>
      </c>
      <c r="I136" s="1" t="s">
        <v>301</v>
      </c>
      <c r="J136" s="1" t="s">
        <v>159</v>
      </c>
      <c r="K136" s="1" t="s">
        <v>298</v>
      </c>
      <c r="L136" s="1" t="s">
        <v>267</v>
      </c>
      <c r="M136" s="1"/>
      <c r="N136" s="1">
        <f t="shared" si="10"/>
        <v>11</v>
      </c>
      <c r="O136" s="65"/>
    </row>
    <row r="137" spans="1:15" ht="15.75" hidden="1" x14ac:dyDescent="0.25">
      <c r="A137" s="1" t="str">
        <f t="shared" si="9"/>
        <v>437794378113MASTER CCTRANSPORTCAREEM</v>
      </c>
      <c r="B137" s="2">
        <v>43779</v>
      </c>
      <c r="C137" s="2">
        <v>43781</v>
      </c>
      <c r="D137" s="3" t="s">
        <v>157</v>
      </c>
      <c r="E137" s="3">
        <v>13</v>
      </c>
      <c r="F137" s="3">
        <v>1</v>
      </c>
      <c r="G137" s="3">
        <f t="shared" si="7"/>
        <v>13</v>
      </c>
      <c r="H137" s="3" t="s">
        <v>291</v>
      </c>
      <c r="I137" s="1" t="s">
        <v>296</v>
      </c>
      <c r="J137" s="1" t="s">
        <v>297</v>
      </c>
      <c r="K137" s="1" t="s">
        <v>298</v>
      </c>
      <c r="L137" s="1" t="s">
        <v>267</v>
      </c>
      <c r="M137" s="1"/>
      <c r="N137" s="1">
        <f t="shared" si="10"/>
        <v>11</v>
      </c>
      <c r="O137" s="65"/>
    </row>
    <row r="138" spans="1:15" ht="15.75" hidden="1" x14ac:dyDescent="0.25">
      <c r="A138" s="1" t="str">
        <f t="shared" si="9"/>
        <v>43779437818MASTER CCTRANSPORTCAREEM</v>
      </c>
      <c r="B138" s="2">
        <v>43779</v>
      </c>
      <c r="C138" s="2">
        <v>43781</v>
      </c>
      <c r="D138" s="3" t="s">
        <v>156</v>
      </c>
      <c r="E138" s="3">
        <v>8</v>
      </c>
      <c r="F138" s="3">
        <v>1</v>
      </c>
      <c r="G138" s="3">
        <f t="shared" si="7"/>
        <v>8</v>
      </c>
      <c r="H138" s="3" t="s">
        <v>291</v>
      </c>
      <c r="I138" s="1" t="s">
        <v>296</v>
      </c>
      <c r="J138" s="1" t="s">
        <v>297</v>
      </c>
      <c r="K138" s="1" t="s">
        <v>298</v>
      </c>
      <c r="L138" s="1" t="s">
        <v>267</v>
      </c>
      <c r="M138" s="1"/>
      <c r="N138" s="1">
        <f t="shared" si="10"/>
        <v>11</v>
      </c>
      <c r="O138" s="65"/>
    </row>
    <row r="139" spans="1:15" ht="15.75" hidden="1" x14ac:dyDescent="0.25">
      <c r="A139" s="1" t="str">
        <f t="shared" si="9"/>
        <v>4378043771305CURRENTTRAVELQATAR AIR</v>
      </c>
      <c r="B139" s="2">
        <v>43780</v>
      </c>
      <c r="C139" s="2">
        <v>43771</v>
      </c>
      <c r="D139" s="3" t="s">
        <v>392</v>
      </c>
      <c r="E139" s="3">
        <v>305</v>
      </c>
      <c r="F139" s="3">
        <v>1</v>
      </c>
      <c r="G139" s="3">
        <f t="shared" si="7"/>
        <v>305</v>
      </c>
      <c r="H139" s="3" t="s">
        <v>293</v>
      </c>
      <c r="I139" s="1" t="s">
        <v>393</v>
      </c>
      <c r="J139" s="1" t="s">
        <v>19</v>
      </c>
      <c r="K139" s="1" t="s">
        <v>298</v>
      </c>
      <c r="L139" s="1" t="s">
        <v>257</v>
      </c>
      <c r="M139" s="1"/>
      <c r="N139" s="1">
        <f t="shared" si="10"/>
        <v>11</v>
      </c>
      <c r="O139" s="65"/>
    </row>
    <row r="140" spans="1:15" ht="15.75" hidden="1" x14ac:dyDescent="0.25">
      <c r="A140" s="1" t="str">
        <f t="shared" si="9"/>
        <v>437814378311.59DINERSTRANSPORTUBER</v>
      </c>
      <c r="B140" s="2">
        <v>43781</v>
      </c>
      <c r="C140" s="2">
        <v>43783</v>
      </c>
      <c r="D140" s="3" t="s">
        <v>164</v>
      </c>
      <c r="E140" s="3">
        <v>11.59</v>
      </c>
      <c r="F140" s="3">
        <v>1</v>
      </c>
      <c r="G140" s="3">
        <f t="shared" si="7"/>
        <v>11.59</v>
      </c>
      <c r="H140" s="3" t="s">
        <v>266</v>
      </c>
      <c r="I140" s="1" t="s">
        <v>296</v>
      </c>
      <c r="J140" s="1" t="s">
        <v>299</v>
      </c>
      <c r="K140" s="1" t="s">
        <v>298</v>
      </c>
      <c r="L140" s="1" t="s">
        <v>267</v>
      </c>
      <c r="M140" s="1"/>
      <c r="N140" s="1">
        <f t="shared" si="10"/>
        <v>11</v>
      </c>
      <c r="O140" s="87"/>
    </row>
    <row r="141" spans="1:15" ht="15.75" hidden="1" x14ac:dyDescent="0.25">
      <c r="A141" s="1" t="str">
        <f t="shared" si="9"/>
        <v>437814378337MASTER CCFOODQATAR AIR</v>
      </c>
      <c r="B141" s="2">
        <v>43781</v>
      </c>
      <c r="C141" s="2">
        <v>43783</v>
      </c>
      <c r="D141" s="3" t="s">
        <v>162</v>
      </c>
      <c r="E141" s="3">
        <v>37</v>
      </c>
      <c r="F141" s="3">
        <v>1</v>
      </c>
      <c r="G141" s="3">
        <f t="shared" si="7"/>
        <v>37</v>
      </c>
      <c r="H141" s="3" t="s">
        <v>291</v>
      </c>
      <c r="I141" s="1" t="s">
        <v>10</v>
      </c>
      <c r="J141" s="1" t="s">
        <v>19</v>
      </c>
      <c r="K141" s="1" t="s">
        <v>298</v>
      </c>
      <c r="L141" s="1" t="s">
        <v>267</v>
      </c>
      <c r="M141" s="1"/>
      <c r="N141" s="1">
        <f t="shared" si="10"/>
        <v>11</v>
      </c>
      <c r="O141" s="65"/>
    </row>
    <row r="142" spans="1:15" ht="15.75" hidden="1" x14ac:dyDescent="0.25">
      <c r="A142" s="1" t="str">
        <f t="shared" si="9"/>
        <v>43781437838MASTER CCTRANSPORTCAREEM</v>
      </c>
      <c r="B142" s="2">
        <v>43781</v>
      </c>
      <c r="C142" s="2">
        <v>43783</v>
      </c>
      <c r="D142" s="3" t="s">
        <v>161</v>
      </c>
      <c r="E142" s="3">
        <v>8</v>
      </c>
      <c r="F142" s="3">
        <v>1</v>
      </c>
      <c r="G142" s="3">
        <f t="shared" ref="G142:G205" si="11">ABS(E142)*F142</f>
        <v>8</v>
      </c>
      <c r="H142" s="3" t="s">
        <v>291</v>
      </c>
      <c r="I142" s="1" t="s">
        <v>296</v>
      </c>
      <c r="J142" s="1" t="s">
        <v>297</v>
      </c>
      <c r="K142" s="1" t="s">
        <v>298</v>
      </c>
      <c r="L142" s="1" t="s">
        <v>267</v>
      </c>
      <c r="M142" s="1"/>
      <c r="N142" s="1">
        <f t="shared" si="10"/>
        <v>11</v>
      </c>
      <c r="O142" s="65"/>
    </row>
    <row r="143" spans="1:15" ht="15.75" hidden="1" x14ac:dyDescent="0.25">
      <c r="A143" s="1" t="str">
        <f t="shared" si="9"/>
        <v>437814378240.98MASTER CCMEDICALPHARMACY</v>
      </c>
      <c r="B143" s="2">
        <v>43781</v>
      </c>
      <c r="C143" s="2">
        <v>43782</v>
      </c>
      <c r="D143" s="3" t="s">
        <v>163</v>
      </c>
      <c r="E143" s="3">
        <v>40.98</v>
      </c>
      <c r="F143" s="3">
        <v>1</v>
      </c>
      <c r="G143" s="3">
        <f t="shared" si="11"/>
        <v>40.98</v>
      </c>
      <c r="H143" s="3" t="s">
        <v>291</v>
      </c>
      <c r="I143" s="1" t="s">
        <v>301</v>
      </c>
      <c r="J143" s="1" t="s">
        <v>304</v>
      </c>
      <c r="K143" s="1" t="s">
        <v>298</v>
      </c>
      <c r="L143" s="1" t="s">
        <v>267</v>
      </c>
      <c r="M143" s="1"/>
      <c r="N143" s="1">
        <f t="shared" si="10"/>
        <v>11</v>
      </c>
      <c r="O143" s="65"/>
    </row>
    <row r="144" spans="1:15" ht="15.75" hidden="1" x14ac:dyDescent="0.25">
      <c r="A144" s="1" t="str">
        <f t="shared" si="9"/>
        <v>437824378611.03DINERSTRANSPORTUBER</v>
      </c>
      <c r="B144" s="2">
        <v>43782</v>
      </c>
      <c r="C144" s="2">
        <v>43786</v>
      </c>
      <c r="D144" s="3" t="s">
        <v>165</v>
      </c>
      <c r="E144" s="3">
        <v>11.03</v>
      </c>
      <c r="F144" s="3">
        <v>1</v>
      </c>
      <c r="G144" s="3">
        <f t="shared" si="11"/>
        <v>11.03</v>
      </c>
      <c r="H144" s="3" t="s">
        <v>266</v>
      </c>
      <c r="I144" s="1" t="s">
        <v>296</v>
      </c>
      <c r="J144" s="1" t="s">
        <v>299</v>
      </c>
      <c r="K144" s="1" t="s">
        <v>298</v>
      </c>
      <c r="L144" s="1" t="s">
        <v>267</v>
      </c>
      <c r="M144" s="1"/>
      <c r="N144" s="1">
        <f t="shared" si="10"/>
        <v>11</v>
      </c>
      <c r="O144" s="87"/>
    </row>
    <row r="145" spans="1:15" ht="15.75" hidden="1" x14ac:dyDescent="0.25">
      <c r="A145" s="1" t="str">
        <f t="shared" si="9"/>
        <v>437824378612.55DINERSTRANSPORTUBER</v>
      </c>
      <c r="B145" s="2">
        <v>43782</v>
      </c>
      <c r="C145" s="2">
        <v>43786</v>
      </c>
      <c r="D145" s="3" t="s">
        <v>166</v>
      </c>
      <c r="E145" s="3">
        <v>12.55</v>
      </c>
      <c r="F145" s="3">
        <v>1</v>
      </c>
      <c r="G145" s="3">
        <f t="shared" si="11"/>
        <v>12.55</v>
      </c>
      <c r="H145" s="3" t="s">
        <v>266</v>
      </c>
      <c r="I145" s="1" t="s">
        <v>296</v>
      </c>
      <c r="J145" s="1" t="s">
        <v>299</v>
      </c>
      <c r="K145" s="1" t="s">
        <v>298</v>
      </c>
      <c r="L145" s="1" t="s">
        <v>267</v>
      </c>
      <c r="M145" s="1"/>
      <c r="N145" s="1">
        <f t="shared" si="10"/>
        <v>11</v>
      </c>
      <c r="O145" s="87"/>
    </row>
    <row r="146" spans="1:15" ht="15.75" hidden="1" x14ac:dyDescent="0.25">
      <c r="A146" s="1" t="str">
        <f t="shared" si="9"/>
        <v>4378243782114CURRENTGROCERYCARREFOUR</v>
      </c>
      <c r="B146" s="2">
        <v>43782</v>
      </c>
      <c r="C146" s="2">
        <f>B146</f>
        <v>43782</v>
      </c>
      <c r="D146" s="3" t="s">
        <v>168</v>
      </c>
      <c r="E146" s="3">
        <v>-114</v>
      </c>
      <c r="F146" s="3">
        <v>1</v>
      </c>
      <c r="G146" s="3">
        <f t="shared" si="11"/>
        <v>114</v>
      </c>
      <c r="H146" s="3" t="s">
        <v>293</v>
      </c>
      <c r="I146" s="1" t="s">
        <v>43</v>
      </c>
      <c r="J146" s="1" t="s">
        <v>67</v>
      </c>
      <c r="K146" s="1" t="s">
        <v>298</v>
      </c>
      <c r="L146" s="1" t="s">
        <v>257</v>
      </c>
      <c r="M146" s="1"/>
      <c r="N146" s="1">
        <f t="shared" si="10"/>
        <v>11</v>
      </c>
      <c r="O146" s="65"/>
    </row>
    <row r="147" spans="1:15" ht="15.75" hidden="1" x14ac:dyDescent="0.25">
      <c r="A147" s="1" t="str">
        <f t="shared" si="9"/>
        <v>437824378232CURRENTFOODCAFÉ/REST.</v>
      </c>
      <c r="B147" s="2">
        <v>43782</v>
      </c>
      <c r="C147" s="2">
        <f>B147</f>
        <v>43782</v>
      </c>
      <c r="D147" s="3" t="s">
        <v>167</v>
      </c>
      <c r="E147" s="3">
        <v>-32</v>
      </c>
      <c r="F147" s="3">
        <v>1</v>
      </c>
      <c r="G147" s="3">
        <f t="shared" si="11"/>
        <v>32</v>
      </c>
      <c r="H147" s="3" t="s">
        <v>293</v>
      </c>
      <c r="I147" s="1" t="s">
        <v>10</v>
      </c>
      <c r="J147" s="1" t="s">
        <v>11</v>
      </c>
      <c r="K147" s="1" t="s">
        <v>298</v>
      </c>
      <c r="L147" s="1" t="s">
        <v>257</v>
      </c>
      <c r="M147" s="1"/>
      <c r="N147" s="1">
        <f t="shared" si="10"/>
        <v>11</v>
      </c>
      <c r="O147" s="65"/>
    </row>
    <row r="148" spans="1:15" ht="15.75" hidden="1" x14ac:dyDescent="0.25">
      <c r="A148" s="1" t="str">
        <f t="shared" si="9"/>
        <v>43784437888.17DINERSTRANSPORTUBER</v>
      </c>
      <c r="B148" s="2">
        <v>43784</v>
      </c>
      <c r="C148" s="2">
        <v>43788</v>
      </c>
      <c r="D148" s="3" t="s">
        <v>169</v>
      </c>
      <c r="E148" s="3">
        <v>8.17</v>
      </c>
      <c r="F148" s="3">
        <v>1</v>
      </c>
      <c r="G148" s="3">
        <f t="shared" si="11"/>
        <v>8.17</v>
      </c>
      <c r="H148" s="3" t="s">
        <v>266</v>
      </c>
      <c r="I148" s="1" t="s">
        <v>296</v>
      </c>
      <c r="J148" s="1" t="s">
        <v>299</v>
      </c>
      <c r="K148" s="1" t="s">
        <v>298</v>
      </c>
      <c r="L148" s="1" t="s">
        <v>267</v>
      </c>
      <c r="M148" s="1"/>
      <c r="N148" s="1">
        <f t="shared" si="10"/>
        <v>11</v>
      </c>
      <c r="O148" s="87"/>
    </row>
    <row r="149" spans="1:15" ht="15.75" hidden="1" x14ac:dyDescent="0.25">
      <c r="A149" s="1" t="str">
        <f t="shared" si="9"/>
        <v>43784437889.12DINERSTRANSPORTUBER</v>
      </c>
      <c r="B149" s="2">
        <v>43784</v>
      </c>
      <c r="C149" s="2">
        <v>43788</v>
      </c>
      <c r="D149" s="3" t="s">
        <v>170</v>
      </c>
      <c r="E149" s="3">
        <v>9.1199999999999992</v>
      </c>
      <c r="F149" s="3">
        <v>1</v>
      </c>
      <c r="G149" s="3">
        <f t="shared" si="11"/>
        <v>9.1199999999999992</v>
      </c>
      <c r="H149" s="3" t="s">
        <v>266</v>
      </c>
      <c r="I149" s="1" t="s">
        <v>296</v>
      </c>
      <c r="J149" s="1" t="s">
        <v>299</v>
      </c>
      <c r="K149" s="1" t="s">
        <v>298</v>
      </c>
      <c r="L149" s="1" t="s">
        <v>267</v>
      </c>
      <c r="M149" s="1"/>
      <c r="N149" s="1">
        <f t="shared" si="10"/>
        <v>11</v>
      </c>
      <c r="O149" s="87"/>
    </row>
    <row r="150" spans="1:15" ht="15.75" hidden="1" x14ac:dyDescent="0.25">
      <c r="A150" s="1" t="str">
        <f t="shared" si="9"/>
        <v>4378443785349DINERSGROCERYLULU</v>
      </c>
      <c r="B150" s="2">
        <v>43784</v>
      </c>
      <c r="C150" s="2">
        <v>43785</v>
      </c>
      <c r="D150" s="3" t="s">
        <v>171</v>
      </c>
      <c r="E150" s="3">
        <v>349</v>
      </c>
      <c r="F150" s="3">
        <v>1</v>
      </c>
      <c r="G150" s="3">
        <f t="shared" si="11"/>
        <v>349</v>
      </c>
      <c r="H150" s="3" t="s">
        <v>266</v>
      </c>
      <c r="I150" s="1" t="s">
        <v>43</v>
      </c>
      <c r="J150" s="1" t="s">
        <v>44</v>
      </c>
      <c r="K150" s="1" t="s">
        <v>298</v>
      </c>
      <c r="L150" s="1" t="s">
        <v>267</v>
      </c>
      <c r="M150" s="1"/>
      <c r="N150" s="1">
        <f t="shared" si="10"/>
        <v>11</v>
      </c>
      <c r="O150" s="87"/>
    </row>
    <row r="151" spans="1:15" ht="15.75" x14ac:dyDescent="0.25">
      <c r="A151" s="1" t="str">
        <f t="shared" si="9"/>
        <v>43784437852642DINERSGOLDKALYAN</v>
      </c>
      <c r="B151" s="2">
        <v>43784</v>
      </c>
      <c r="C151" s="2">
        <v>43785</v>
      </c>
      <c r="D151" s="3" t="s">
        <v>172</v>
      </c>
      <c r="E151" s="3">
        <v>2642</v>
      </c>
      <c r="F151" s="3">
        <v>1</v>
      </c>
      <c r="G151" s="3">
        <f t="shared" si="11"/>
        <v>2642</v>
      </c>
      <c r="H151" s="3" t="s">
        <v>266</v>
      </c>
      <c r="I151" s="1" t="s">
        <v>106</v>
      </c>
      <c r="J151" s="1" t="s">
        <v>173</v>
      </c>
      <c r="K151" s="1" t="s">
        <v>298</v>
      </c>
      <c r="L151" s="1" t="s">
        <v>267</v>
      </c>
      <c r="M151" s="1"/>
      <c r="N151" s="1">
        <f t="shared" si="10"/>
        <v>11</v>
      </c>
      <c r="O151" s="87"/>
    </row>
    <row r="152" spans="1:15" ht="15.75" hidden="1" x14ac:dyDescent="0.25">
      <c r="A152" s="1" t="str">
        <f t="shared" si="9"/>
        <v>437864378620CURRENTFOODQATAR AIR</v>
      </c>
      <c r="B152" s="2">
        <v>43786</v>
      </c>
      <c r="C152" s="2">
        <f>B152</f>
        <v>43786</v>
      </c>
      <c r="D152" s="3" t="s">
        <v>174</v>
      </c>
      <c r="E152" s="3">
        <v>-20</v>
      </c>
      <c r="F152" s="3">
        <v>1</v>
      </c>
      <c r="G152" s="3">
        <f t="shared" si="11"/>
        <v>20</v>
      </c>
      <c r="H152" s="3" t="s">
        <v>293</v>
      </c>
      <c r="I152" s="1" t="s">
        <v>10</v>
      </c>
      <c r="J152" s="1" t="s">
        <v>19</v>
      </c>
      <c r="K152" s="1" t="s">
        <v>298</v>
      </c>
      <c r="L152" s="1" t="s">
        <v>257</v>
      </c>
      <c r="M152" s="1"/>
      <c r="N152" s="1">
        <f t="shared" si="10"/>
        <v>11</v>
      </c>
      <c r="O152" s="65"/>
    </row>
    <row r="153" spans="1:15" ht="15.75" hidden="1" x14ac:dyDescent="0.25">
      <c r="A153" s="1" t="str">
        <f t="shared" si="9"/>
        <v>437874378734CURRENTFOODQATAR AIR</v>
      </c>
      <c r="B153" s="2">
        <v>43787</v>
      </c>
      <c r="C153" s="2">
        <f>B153</f>
        <v>43787</v>
      </c>
      <c r="D153" s="3" t="s">
        <v>175</v>
      </c>
      <c r="E153" s="3">
        <v>-34</v>
      </c>
      <c r="F153" s="3">
        <v>1</v>
      </c>
      <c r="G153" s="3">
        <f t="shared" si="11"/>
        <v>34</v>
      </c>
      <c r="H153" s="3" t="s">
        <v>293</v>
      </c>
      <c r="I153" s="1" t="s">
        <v>10</v>
      </c>
      <c r="J153" s="1" t="s">
        <v>19</v>
      </c>
      <c r="K153" s="1" t="s">
        <v>298</v>
      </c>
      <c r="L153" s="1" t="s">
        <v>257</v>
      </c>
      <c r="M153" s="1"/>
      <c r="N153" s="1">
        <f t="shared" si="10"/>
        <v>11</v>
      </c>
      <c r="O153" s="65"/>
    </row>
    <row r="154" spans="1:15" ht="15.75" hidden="1" x14ac:dyDescent="0.25">
      <c r="A154" s="1" t="str">
        <f t="shared" si="9"/>
        <v>437894378958CURRENTFOODQATAR AIR</v>
      </c>
      <c r="B154" s="2">
        <v>43789</v>
      </c>
      <c r="C154" s="2">
        <f>B154</f>
        <v>43789</v>
      </c>
      <c r="D154" s="3" t="s">
        <v>176</v>
      </c>
      <c r="E154" s="3">
        <v>-58</v>
      </c>
      <c r="F154" s="3">
        <v>1</v>
      </c>
      <c r="G154" s="3">
        <f t="shared" si="11"/>
        <v>58</v>
      </c>
      <c r="H154" s="3" t="s">
        <v>293</v>
      </c>
      <c r="I154" s="1" t="s">
        <v>10</v>
      </c>
      <c r="J154" s="1" t="s">
        <v>19</v>
      </c>
      <c r="K154" s="1" t="s">
        <v>298</v>
      </c>
      <c r="L154" s="1" t="s">
        <v>257</v>
      </c>
      <c r="M154" s="1"/>
      <c r="N154" s="1">
        <f t="shared" si="10"/>
        <v>11</v>
      </c>
      <c r="O154" s="65"/>
    </row>
    <row r="155" spans="1:15" ht="15.75" hidden="1" x14ac:dyDescent="0.25">
      <c r="A155" s="1" t="str">
        <f t="shared" si="9"/>
        <v>4379043790333.17DINERSSHOPPINGLULU</v>
      </c>
      <c r="B155" s="2">
        <v>43790</v>
      </c>
      <c r="C155" s="2">
        <v>43790</v>
      </c>
      <c r="D155" s="3" t="s">
        <v>53</v>
      </c>
      <c r="E155" s="3">
        <v>333.17</v>
      </c>
      <c r="F155" s="3">
        <v>1</v>
      </c>
      <c r="G155" s="3">
        <f t="shared" si="11"/>
        <v>333.17</v>
      </c>
      <c r="H155" s="3" t="s">
        <v>266</v>
      </c>
      <c r="I155" s="1" t="s">
        <v>194</v>
      </c>
      <c r="J155" s="1" t="s">
        <v>44</v>
      </c>
      <c r="K155" s="1" t="s">
        <v>298</v>
      </c>
      <c r="L155" s="1" t="s">
        <v>267</v>
      </c>
      <c r="M155" s="1">
        <v>1</v>
      </c>
      <c r="N155" s="1">
        <f t="shared" si="10"/>
        <v>11</v>
      </c>
      <c r="O155" s="87"/>
    </row>
    <row r="156" spans="1:15" ht="15.75" hidden="1" x14ac:dyDescent="0.25">
      <c r="A156" s="1" t="str">
        <f t="shared" si="9"/>
        <v>437904379039CURRENTFOODQATAR AIR</v>
      </c>
      <c r="B156" s="2">
        <v>43790</v>
      </c>
      <c r="C156" s="2">
        <f>B156</f>
        <v>43790</v>
      </c>
      <c r="D156" s="3" t="s">
        <v>177</v>
      </c>
      <c r="E156" s="3">
        <v>-39</v>
      </c>
      <c r="F156" s="3">
        <v>1</v>
      </c>
      <c r="G156" s="3">
        <f t="shared" si="11"/>
        <v>39</v>
      </c>
      <c r="H156" s="3" t="s">
        <v>293</v>
      </c>
      <c r="I156" s="1" t="s">
        <v>10</v>
      </c>
      <c r="J156" s="1" t="s">
        <v>19</v>
      </c>
      <c r="K156" s="1" t="s">
        <v>298</v>
      </c>
      <c r="L156" s="1" t="s">
        <v>257</v>
      </c>
      <c r="M156" s="1"/>
      <c r="N156" s="1">
        <f t="shared" si="10"/>
        <v>11</v>
      </c>
      <c r="O156" s="65"/>
    </row>
    <row r="157" spans="1:15" ht="15.75" hidden="1" x14ac:dyDescent="0.25">
      <c r="A157" s="1" t="str">
        <f t="shared" si="9"/>
        <v>437924379349DINERSGROCERYLULU</v>
      </c>
      <c r="B157" s="2">
        <v>43792</v>
      </c>
      <c r="C157" s="2">
        <v>43793</v>
      </c>
      <c r="D157" s="3" t="s">
        <v>178</v>
      </c>
      <c r="E157" s="3">
        <v>49</v>
      </c>
      <c r="F157" s="3">
        <v>1</v>
      </c>
      <c r="G157" s="3">
        <f t="shared" si="11"/>
        <v>49</v>
      </c>
      <c r="H157" s="3" t="s">
        <v>266</v>
      </c>
      <c r="I157" s="1" t="s">
        <v>43</v>
      </c>
      <c r="J157" s="1" t="s">
        <v>44</v>
      </c>
      <c r="K157" s="1" t="s">
        <v>298</v>
      </c>
      <c r="L157" s="1" t="s">
        <v>267</v>
      </c>
      <c r="M157" s="1"/>
      <c r="N157" s="1">
        <f t="shared" si="10"/>
        <v>11</v>
      </c>
      <c r="O157" s="87"/>
    </row>
    <row r="158" spans="1:15" ht="15.75" hidden="1" x14ac:dyDescent="0.25">
      <c r="A158" s="1" t="str">
        <f t="shared" si="9"/>
        <v>4379343793275.8CURRENTGROCERYLULU</v>
      </c>
      <c r="B158" s="2">
        <v>43793</v>
      </c>
      <c r="C158" s="2">
        <f>B158</f>
        <v>43793</v>
      </c>
      <c r="D158" s="3" t="s">
        <v>180</v>
      </c>
      <c r="E158" s="3">
        <v>-275.8</v>
      </c>
      <c r="F158" s="3">
        <v>1</v>
      </c>
      <c r="G158" s="3">
        <f t="shared" si="11"/>
        <v>275.8</v>
      </c>
      <c r="H158" s="3" t="s">
        <v>293</v>
      </c>
      <c r="I158" s="1" t="s">
        <v>43</v>
      </c>
      <c r="J158" s="1" t="s">
        <v>44</v>
      </c>
      <c r="K158" s="1" t="s">
        <v>298</v>
      </c>
      <c r="L158" s="1" t="s">
        <v>257</v>
      </c>
      <c r="M158" s="1"/>
      <c r="N158" s="1">
        <f t="shared" si="10"/>
        <v>11</v>
      </c>
      <c r="O158" s="65"/>
    </row>
    <row r="159" spans="1:15" ht="15.75" hidden="1" x14ac:dyDescent="0.25">
      <c r="A159" s="1" t="str">
        <f t="shared" si="9"/>
        <v>437934379332.25CURRENTFOODCAFÉ/REST.</v>
      </c>
      <c r="B159" s="2">
        <v>43793</v>
      </c>
      <c r="C159" s="2">
        <f>B159</f>
        <v>43793</v>
      </c>
      <c r="D159" s="3" t="s">
        <v>179</v>
      </c>
      <c r="E159" s="3">
        <v>-32.25</v>
      </c>
      <c r="F159" s="3">
        <v>1</v>
      </c>
      <c r="G159" s="3">
        <f t="shared" si="11"/>
        <v>32.25</v>
      </c>
      <c r="H159" s="3" t="s">
        <v>293</v>
      </c>
      <c r="I159" s="1" t="s">
        <v>10</v>
      </c>
      <c r="J159" s="1" t="s">
        <v>11</v>
      </c>
      <c r="K159" s="1" t="s">
        <v>298</v>
      </c>
      <c r="L159" s="1" t="s">
        <v>257</v>
      </c>
      <c r="M159" s="1"/>
      <c r="N159" s="1">
        <f t="shared" si="10"/>
        <v>11</v>
      </c>
      <c r="O159" s="65"/>
    </row>
    <row r="160" spans="1:15" ht="15.75" hidden="1" x14ac:dyDescent="0.25">
      <c r="A160" s="1" t="str">
        <f t="shared" si="9"/>
        <v>437954379513930CURRENTSALARYQATAR AIR</v>
      </c>
      <c r="B160" s="2">
        <v>43795</v>
      </c>
      <c r="C160" s="2">
        <f>B160</f>
        <v>43795</v>
      </c>
      <c r="D160" s="3" t="s">
        <v>182</v>
      </c>
      <c r="E160" s="3">
        <v>13930</v>
      </c>
      <c r="F160" s="3">
        <v>1</v>
      </c>
      <c r="G160" s="3">
        <f t="shared" si="11"/>
        <v>13930</v>
      </c>
      <c r="H160" s="3" t="s">
        <v>293</v>
      </c>
      <c r="I160" s="1" t="s">
        <v>18</v>
      </c>
      <c r="J160" s="1" t="s">
        <v>19</v>
      </c>
      <c r="K160" s="1" t="s">
        <v>300</v>
      </c>
      <c r="L160" s="1" t="s">
        <v>257</v>
      </c>
      <c r="M160" s="1"/>
      <c r="N160" s="1">
        <f t="shared" si="10"/>
        <v>11</v>
      </c>
      <c r="O160" s="65"/>
    </row>
    <row r="161" spans="1:15" ht="15.75" hidden="1" x14ac:dyDescent="0.25">
      <c r="A161" s="1" t="str">
        <f t="shared" si="9"/>
        <v>437954379722MASTER CCFOODCAFÉ/REST.</v>
      </c>
      <c r="B161" s="2">
        <v>43795</v>
      </c>
      <c r="C161" s="2">
        <v>43797</v>
      </c>
      <c r="D161" s="3" t="s">
        <v>181</v>
      </c>
      <c r="E161" s="3">
        <v>22</v>
      </c>
      <c r="F161" s="3">
        <v>1</v>
      </c>
      <c r="G161" s="3">
        <f t="shared" si="11"/>
        <v>22</v>
      </c>
      <c r="H161" s="3" t="s">
        <v>291</v>
      </c>
      <c r="I161" s="1" t="s">
        <v>10</v>
      </c>
      <c r="J161" s="1" t="s">
        <v>11</v>
      </c>
      <c r="K161" s="1" t="s">
        <v>298</v>
      </c>
      <c r="L161" s="1" t="s">
        <v>267</v>
      </c>
      <c r="M161" s="1"/>
      <c r="N161" s="1">
        <f t="shared" si="10"/>
        <v>11</v>
      </c>
      <c r="O161" s="65"/>
    </row>
    <row r="162" spans="1:15" ht="15.75" hidden="1" x14ac:dyDescent="0.25">
      <c r="A162" s="1" t="str">
        <f t="shared" si="9"/>
        <v>437964380232MASTER CCGROCERYNEW MADEENA</v>
      </c>
      <c r="B162" s="2">
        <v>43796</v>
      </c>
      <c r="C162" s="2">
        <v>43802</v>
      </c>
      <c r="D162" s="3" t="s">
        <v>183</v>
      </c>
      <c r="E162" s="3">
        <v>32</v>
      </c>
      <c r="F162" s="3">
        <v>1</v>
      </c>
      <c r="G162" s="3">
        <f t="shared" si="11"/>
        <v>32</v>
      </c>
      <c r="H162" s="3" t="s">
        <v>291</v>
      </c>
      <c r="I162" s="1" t="s">
        <v>43</v>
      </c>
      <c r="J162" s="1" t="s">
        <v>184</v>
      </c>
      <c r="K162" s="1" t="s">
        <v>298</v>
      </c>
      <c r="L162" s="1" t="s">
        <v>267</v>
      </c>
      <c r="M162" s="1"/>
      <c r="N162" s="1">
        <f t="shared" si="10"/>
        <v>12</v>
      </c>
      <c r="O162" s="65"/>
    </row>
    <row r="163" spans="1:15" ht="15.75" hidden="1" x14ac:dyDescent="0.25">
      <c r="A163" s="1" t="str">
        <f t="shared" si="9"/>
        <v>4379743802150MASTER CCTELECOMVODAFONE</v>
      </c>
      <c r="B163" s="2">
        <v>43797</v>
      </c>
      <c r="C163" s="2">
        <v>43802</v>
      </c>
      <c r="D163" s="3" t="s">
        <v>185</v>
      </c>
      <c r="E163" s="3">
        <v>150</v>
      </c>
      <c r="F163" s="3">
        <v>1</v>
      </c>
      <c r="G163" s="3">
        <f t="shared" si="11"/>
        <v>150</v>
      </c>
      <c r="H163" s="3" t="s">
        <v>291</v>
      </c>
      <c r="I163" s="1" t="s">
        <v>58</v>
      </c>
      <c r="J163" s="1" t="s">
        <v>78</v>
      </c>
      <c r="K163" s="1" t="s">
        <v>298</v>
      </c>
      <c r="L163" s="1" t="s">
        <v>267</v>
      </c>
      <c r="M163" s="1"/>
      <c r="N163" s="1">
        <f t="shared" si="10"/>
        <v>12</v>
      </c>
      <c r="O163" s="65"/>
    </row>
    <row r="164" spans="1:15" ht="15.75" hidden="1" x14ac:dyDescent="0.25">
      <c r="A164" s="1" t="str">
        <f t="shared" si="9"/>
        <v>43797437975617CURRENTCC BILL PAYMENTBANK</v>
      </c>
      <c r="B164" s="2">
        <v>43797</v>
      </c>
      <c r="C164" s="2">
        <f>B164</f>
        <v>43797</v>
      </c>
      <c r="D164" s="3" t="s">
        <v>186</v>
      </c>
      <c r="E164" s="3">
        <v>-5617</v>
      </c>
      <c r="F164" s="3">
        <v>1</v>
      </c>
      <c r="G164" s="3">
        <f t="shared" si="11"/>
        <v>5617</v>
      </c>
      <c r="H164" s="3" t="s">
        <v>293</v>
      </c>
      <c r="I164" s="1" t="s">
        <v>81</v>
      </c>
      <c r="J164" s="1" t="s">
        <v>8</v>
      </c>
      <c r="K164" s="1" t="s">
        <v>298</v>
      </c>
      <c r="L164" s="1" t="s">
        <v>257</v>
      </c>
      <c r="M164" s="1"/>
      <c r="N164" s="1">
        <f t="shared" si="10"/>
        <v>11</v>
      </c>
      <c r="O164" s="65"/>
    </row>
    <row r="165" spans="1:15" ht="15.75" hidden="1" x14ac:dyDescent="0.25">
      <c r="A165" s="1" t="str">
        <f t="shared" si="9"/>
        <v>43797437975617DINERSCC BILL PAYMENTBANK</v>
      </c>
      <c r="B165" s="2">
        <v>43797</v>
      </c>
      <c r="C165" s="2">
        <v>43797</v>
      </c>
      <c r="D165" s="3" t="s">
        <v>80</v>
      </c>
      <c r="E165" s="3">
        <v>-5617</v>
      </c>
      <c r="F165" s="3">
        <v>1</v>
      </c>
      <c r="G165" s="3">
        <f t="shared" si="11"/>
        <v>5617</v>
      </c>
      <c r="H165" s="3" t="s">
        <v>266</v>
      </c>
      <c r="I165" s="1" t="s">
        <v>81</v>
      </c>
      <c r="J165" s="1" t="s">
        <v>8</v>
      </c>
      <c r="K165" s="1" t="s">
        <v>300</v>
      </c>
      <c r="L165" s="1" t="s">
        <v>267</v>
      </c>
      <c r="M165" s="1"/>
      <c r="N165" s="1">
        <f t="shared" si="10"/>
        <v>11</v>
      </c>
      <c r="O165" s="87"/>
    </row>
    <row r="166" spans="1:15" ht="15.75" hidden="1" x14ac:dyDescent="0.25">
      <c r="A166" s="1" t="str">
        <f t="shared" si="9"/>
        <v>4379743802100MASTER CCTELECOMOOREDOO</v>
      </c>
      <c r="B166" s="2">
        <v>43797</v>
      </c>
      <c r="C166" s="2">
        <v>43802</v>
      </c>
      <c r="D166" s="3" t="s">
        <v>187</v>
      </c>
      <c r="E166" s="3">
        <v>100</v>
      </c>
      <c r="F166" s="3">
        <v>1</v>
      </c>
      <c r="G166" s="3">
        <f t="shared" si="11"/>
        <v>100</v>
      </c>
      <c r="H166" s="3" t="s">
        <v>291</v>
      </c>
      <c r="I166" s="1" t="s">
        <v>58</v>
      </c>
      <c r="J166" s="1" t="s">
        <v>59</v>
      </c>
      <c r="K166" s="1" t="s">
        <v>298</v>
      </c>
      <c r="L166" s="1" t="s">
        <v>267</v>
      </c>
      <c r="M166" s="1"/>
      <c r="N166" s="1">
        <f t="shared" si="10"/>
        <v>12</v>
      </c>
      <c r="O166" s="65"/>
    </row>
    <row r="167" spans="1:15" ht="15.75" hidden="1" x14ac:dyDescent="0.25">
      <c r="A167" s="1" t="str">
        <f t="shared" si="9"/>
        <v>437984379963DINERSGROCERYIKEA</v>
      </c>
      <c r="B167" s="2">
        <v>43798</v>
      </c>
      <c r="C167" s="2">
        <v>43799</v>
      </c>
      <c r="D167" s="3" t="s">
        <v>191</v>
      </c>
      <c r="E167" s="3">
        <v>63</v>
      </c>
      <c r="F167" s="3">
        <v>1</v>
      </c>
      <c r="G167" s="3">
        <f t="shared" si="11"/>
        <v>63</v>
      </c>
      <c r="H167" s="3" t="s">
        <v>266</v>
      </c>
      <c r="I167" s="1" t="s">
        <v>43</v>
      </c>
      <c r="J167" s="1" t="s">
        <v>192</v>
      </c>
      <c r="K167" s="1" t="s">
        <v>298</v>
      </c>
      <c r="L167" s="1" t="s">
        <v>267</v>
      </c>
      <c r="M167" s="1"/>
      <c r="N167" s="1">
        <f t="shared" si="10"/>
        <v>11</v>
      </c>
      <c r="O167" s="87"/>
    </row>
    <row r="168" spans="1:15" ht="15.75" hidden="1" x14ac:dyDescent="0.25">
      <c r="A168" s="1" t="str">
        <f t="shared" si="9"/>
        <v>437984379922MASTER CCFOODCAFÉ/REST.</v>
      </c>
      <c r="B168" s="2">
        <v>43798</v>
      </c>
      <c r="C168" s="2">
        <v>43799</v>
      </c>
      <c r="D168" s="3" t="s">
        <v>190</v>
      </c>
      <c r="E168" s="3">
        <v>22</v>
      </c>
      <c r="F168" s="3">
        <v>1</v>
      </c>
      <c r="G168" s="3">
        <f t="shared" si="11"/>
        <v>22</v>
      </c>
      <c r="H168" s="3" t="s">
        <v>291</v>
      </c>
      <c r="I168" s="1" t="s">
        <v>10</v>
      </c>
      <c r="J168" s="1" t="s">
        <v>11</v>
      </c>
      <c r="K168" s="1" t="s">
        <v>298</v>
      </c>
      <c r="L168" s="1" t="s">
        <v>267</v>
      </c>
      <c r="M168" s="1"/>
      <c r="N168" s="1">
        <f t="shared" si="10"/>
        <v>11</v>
      </c>
      <c r="O168" s="65"/>
    </row>
    <row r="169" spans="1:15" ht="15.75" hidden="1" x14ac:dyDescent="0.25">
      <c r="A169" s="1" t="str">
        <f t="shared" si="9"/>
        <v>4379843799547MASTER CCCC BILL PAYMENTBANK</v>
      </c>
      <c r="B169" s="2">
        <v>43798</v>
      </c>
      <c r="C169" s="2">
        <v>43799</v>
      </c>
      <c r="D169" s="3" t="s">
        <v>80</v>
      </c>
      <c r="E169" s="3">
        <v>-547</v>
      </c>
      <c r="F169" s="3">
        <v>1</v>
      </c>
      <c r="G169" s="3">
        <f t="shared" si="11"/>
        <v>547</v>
      </c>
      <c r="H169" s="3" t="s">
        <v>291</v>
      </c>
      <c r="I169" s="1" t="s">
        <v>81</v>
      </c>
      <c r="J169" s="1" t="s">
        <v>8</v>
      </c>
      <c r="K169" s="1" t="s">
        <v>300</v>
      </c>
      <c r="L169" s="1" t="s">
        <v>267</v>
      </c>
      <c r="M169" s="1"/>
      <c r="N169" s="1">
        <f t="shared" si="10"/>
        <v>11</v>
      </c>
      <c r="O169" s="65"/>
    </row>
    <row r="170" spans="1:15" ht="15.75" hidden="1" x14ac:dyDescent="0.25">
      <c r="A170" s="1" t="str">
        <f t="shared" si="9"/>
        <v>437984380225MASTER CCTRANSPORTCAREEM</v>
      </c>
      <c r="B170" s="2">
        <v>43798</v>
      </c>
      <c r="C170" s="2">
        <v>43802</v>
      </c>
      <c r="D170" s="3" t="s">
        <v>189</v>
      </c>
      <c r="E170" s="3">
        <v>25</v>
      </c>
      <c r="F170" s="3">
        <v>1</v>
      </c>
      <c r="G170" s="3">
        <f t="shared" si="11"/>
        <v>25</v>
      </c>
      <c r="H170" s="3" t="s">
        <v>291</v>
      </c>
      <c r="I170" s="1" t="s">
        <v>296</v>
      </c>
      <c r="J170" s="1" t="s">
        <v>297</v>
      </c>
      <c r="K170" s="1" t="s">
        <v>298</v>
      </c>
      <c r="L170" s="1" t="s">
        <v>267</v>
      </c>
      <c r="M170" s="1"/>
      <c r="N170" s="1">
        <f t="shared" si="10"/>
        <v>12</v>
      </c>
      <c r="O170" s="65"/>
    </row>
    <row r="171" spans="1:15" ht="15.75" hidden="1" x14ac:dyDescent="0.25">
      <c r="A171" s="1" t="str">
        <f t="shared" si="9"/>
        <v>437984379928MASTER CCTRANSPORTCAREEM</v>
      </c>
      <c r="B171" s="2">
        <v>43798</v>
      </c>
      <c r="C171" s="2">
        <v>43799</v>
      </c>
      <c r="D171" s="3" t="s">
        <v>188</v>
      </c>
      <c r="E171" s="3">
        <v>28</v>
      </c>
      <c r="F171" s="3">
        <v>1</v>
      </c>
      <c r="G171" s="3">
        <f t="shared" si="11"/>
        <v>28</v>
      </c>
      <c r="H171" s="3" t="s">
        <v>291</v>
      </c>
      <c r="I171" s="1" t="s">
        <v>296</v>
      </c>
      <c r="J171" s="1" t="s">
        <v>297</v>
      </c>
      <c r="K171" s="1" t="s">
        <v>298</v>
      </c>
      <c r="L171" s="1" t="s">
        <v>267</v>
      </c>
      <c r="M171" s="1"/>
      <c r="N171" s="1">
        <f t="shared" si="10"/>
        <v>11</v>
      </c>
      <c r="O171" s="65"/>
    </row>
    <row r="172" spans="1:15" ht="15.75" hidden="1" x14ac:dyDescent="0.25">
      <c r="A172" s="1" t="str">
        <f t="shared" si="9"/>
        <v>4379843802409MASTER CCSHOPPINGR&amp;B</v>
      </c>
      <c r="B172" s="2">
        <v>43798</v>
      </c>
      <c r="C172" s="2">
        <v>43802</v>
      </c>
      <c r="D172" s="3" t="s">
        <v>193</v>
      </c>
      <c r="E172" s="3">
        <v>409</v>
      </c>
      <c r="F172" s="3">
        <v>1</v>
      </c>
      <c r="G172" s="3">
        <f t="shared" si="11"/>
        <v>409</v>
      </c>
      <c r="H172" s="3" t="s">
        <v>291</v>
      </c>
      <c r="I172" s="1" t="s">
        <v>194</v>
      </c>
      <c r="J172" s="1" t="s">
        <v>195</v>
      </c>
      <c r="K172" s="1" t="s">
        <v>298</v>
      </c>
      <c r="L172" s="1" t="s">
        <v>267</v>
      </c>
      <c r="M172" s="1"/>
      <c r="N172" s="1">
        <f t="shared" si="10"/>
        <v>12</v>
      </c>
      <c r="O172" s="65"/>
    </row>
    <row r="173" spans="1:15" ht="15.75" hidden="1" x14ac:dyDescent="0.25">
      <c r="A173" s="1" t="str">
        <f t="shared" si="9"/>
        <v>43799437992000CURRENTWITHDRAWSELF</v>
      </c>
      <c r="B173" s="2">
        <v>43799</v>
      </c>
      <c r="C173" s="2">
        <f>B173</f>
        <v>43799</v>
      </c>
      <c r="D173" s="3" t="s">
        <v>197</v>
      </c>
      <c r="E173" s="3">
        <v>-2000</v>
      </c>
      <c r="F173" s="3">
        <v>1</v>
      </c>
      <c r="G173" s="3">
        <f t="shared" si="11"/>
        <v>2000</v>
      </c>
      <c r="H173" s="3" t="s">
        <v>293</v>
      </c>
      <c r="I173" s="1" t="s">
        <v>13</v>
      </c>
      <c r="J173" s="1" t="s">
        <v>14</v>
      </c>
      <c r="K173" s="1" t="s">
        <v>298</v>
      </c>
      <c r="L173" s="1" t="s">
        <v>257</v>
      </c>
      <c r="M173" s="1"/>
      <c r="N173" s="1">
        <f t="shared" si="10"/>
        <v>11</v>
      </c>
      <c r="O173" s="65"/>
    </row>
    <row r="174" spans="1:15" ht="15.75" hidden="1" x14ac:dyDescent="0.25">
      <c r="A174" s="1" t="str">
        <f t="shared" si="9"/>
        <v>4379943799299.75CURRENTGROCERYLULU</v>
      </c>
      <c r="B174" s="2">
        <v>43799</v>
      </c>
      <c r="C174" s="2">
        <f>B174</f>
        <v>43799</v>
      </c>
      <c r="D174" s="3" t="s">
        <v>196</v>
      </c>
      <c r="E174" s="3">
        <v>-299.75</v>
      </c>
      <c r="F174" s="3">
        <v>1</v>
      </c>
      <c r="G174" s="3">
        <f t="shared" si="11"/>
        <v>299.75</v>
      </c>
      <c r="H174" s="3" t="s">
        <v>293</v>
      </c>
      <c r="I174" s="1" t="s">
        <v>43</v>
      </c>
      <c r="J174" s="1" t="s">
        <v>44</v>
      </c>
      <c r="K174" s="1" t="s">
        <v>298</v>
      </c>
      <c r="L174" s="1" t="s">
        <v>257</v>
      </c>
      <c r="M174" s="1"/>
      <c r="N174" s="1">
        <f t="shared" si="10"/>
        <v>11</v>
      </c>
      <c r="O174" s="65"/>
    </row>
    <row r="175" spans="1:15" ht="15.75" hidden="1" x14ac:dyDescent="0.25">
      <c r="A175" s="1" t="str">
        <f t="shared" si="9"/>
        <v>4379943799547CURRENTCC BILL PAYMENTBANK</v>
      </c>
      <c r="B175" s="2">
        <v>43799</v>
      </c>
      <c r="C175" s="2">
        <f>B175</f>
        <v>43799</v>
      </c>
      <c r="D175" s="3" t="s">
        <v>198</v>
      </c>
      <c r="E175" s="3">
        <v>-547</v>
      </c>
      <c r="F175" s="3">
        <v>1</v>
      </c>
      <c r="G175" s="3">
        <f t="shared" si="11"/>
        <v>547</v>
      </c>
      <c r="H175" s="3" t="s">
        <v>293</v>
      </c>
      <c r="I175" s="1" t="s">
        <v>81</v>
      </c>
      <c r="J175" s="1" t="s">
        <v>8</v>
      </c>
      <c r="K175" s="1" t="s">
        <v>298</v>
      </c>
      <c r="L175" s="1" t="s">
        <v>257</v>
      </c>
      <c r="M175" s="1"/>
      <c r="N175" s="1">
        <f t="shared" si="10"/>
        <v>11</v>
      </c>
      <c r="O175" s="65"/>
    </row>
    <row r="176" spans="1:15" ht="15.75" hidden="1" x14ac:dyDescent="0.25">
      <c r="A176" s="1" t="str">
        <f t="shared" si="9"/>
        <v>438004380015CURRENTSERVICEBANK</v>
      </c>
      <c r="B176" s="2">
        <v>43800</v>
      </c>
      <c r="C176" s="2">
        <f>B176</f>
        <v>43800</v>
      </c>
      <c r="D176" s="3" t="s">
        <v>202</v>
      </c>
      <c r="E176" s="3">
        <v>15</v>
      </c>
      <c r="F176" s="3">
        <v>1</v>
      </c>
      <c r="G176" s="3">
        <f t="shared" si="11"/>
        <v>15</v>
      </c>
      <c r="H176" s="3" t="s">
        <v>293</v>
      </c>
      <c r="I176" s="1" t="s">
        <v>7</v>
      </c>
      <c r="J176" s="1" t="s">
        <v>8</v>
      </c>
      <c r="K176" s="1" t="s">
        <v>300</v>
      </c>
      <c r="L176" s="1" t="s">
        <v>257</v>
      </c>
      <c r="M176" s="1"/>
      <c r="N176" s="1">
        <f t="shared" si="10"/>
        <v>12</v>
      </c>
      <c r="O176" s="65"/>
    </row>
    <row r="177" spans="1:15" ht="15.75" hidden="1" x14ac:dyDescent="0.25">
      <c r="A177" s="1" t="str">
        <f t="shared" si="9"/>
        <v>438004380215MASTER CCTRANSPORTCAREEM</v>
      </c>
      <c r="B177" s="2">
        <v>43800</v>
      </c>
      <c r="C177" s="2">
        <v>43802</v>
      </c>
      <c r="D177" s="3" t="s">
        <v>200</v>
      </c>
      <c r="E177" s="3">
        <v>15</v>
      </c>
      <c r="F177" s="3">
        <v>1</v>
      </c>
      <c r="G177" s="3">
        <f t="shared" si="11"/>
        <v>15</v>
      </c>
      <c r="H177" s="3" t="s">
        <v>291</v>
      </c>
      <c r="I177" s="1" t="s">
        <v>296</v>
      </c>
      <c r="J177" s="1" t="s">
        <v>297</v>
      </c>
      <c r="K177" s="1" t="s">
        <v>298</v>
      </c>
      <c r="L177" s="1" t="s">
        <v>267</v>
      </c>
      <c r="M177" s="1"/>
      <c r="N177" s="1">
        <f t="shared" si="10"/>
        <v>12</v>
      </c>
      <c r="O177" s="65"/>
    </row>
    <row r="178" spans="1:15" ht="15.75" hidden="1" x14ac:dyDescent="0.25">
      <c r="A178" s="1" t="str">
        <f t="shared" si="9"/>
        <v>43800438026MASTER CCTRANSPORTCAREEM</v>
      </c>
      <c r="B178" s="2">
        <v>43800</v>
      </c>
      <c r="C178" s="2">
        <v>43802</v>
      </c>
      <c r="D178" s="3" t="s">
        <v>201</v>
      </c>
      <c r="E178" s="3">
        <v>6</v>
      </c>
      <c r="F178" s="3">
        <v>1</v>
      </c>
      <c r="G178" s="3">
        <f t="shared" si="11"/>
        <v>6</v>
      </c>
      <c r="H178" s="3" t="s">
        <v>291</v>
      </c>
      <c r="I178" s="1" t="s">
        <v>296</v>
      </c>
      <c r="J178" s="1" t="s">
        <v>297</v>
      </c>
      <c r="K178" s="1" t="s">
        <v>298</v>
      </c>
      <c r="L178" s="1" t="s">
        <v>267</v>
      </c>
      <c r="M178" s="1"/>
      <c r="N178" s="1">
        <f t="shared" si="10"/>
        <v>12</v>
      </c>
      <c r="O178" s="65"/>
    </row>
    <row r="179" spans="1:15" ht="15.75" hidden="1" x14ac:dyDescent="0.25">
      <c r="A179" s="1" t="str">
        <f t="shared" si="9"/>
        <v>4380043802251MASTER CCTRANSPORTCAREEM</v>
      </c>
      <c r="B179" s="2">
        <v>43800</v>
      </c>
      <c r="C179" s="2">
        <v>43802</v>
      </c>
      <c r="D179" s="3" t="s">
        <v>199</v>
      </c>
      <c r="E179" s="3">
        <v>251</v>
      </c>
      <c r="F179" s="3">
        <v>1</v>
      </c>
      <c r="G179" s="3">
        <f t="shared" si="11"/>
        <v>251</v>
      </c>
      <c r="H179" s="3" t="s">
        <v>291</v>
      </c>
      <c r="I179" s="1" t="s">
        <v>296</v>
      </c>
      <c r="J179" s="1" t="s">
        <v>297</v>
      </c>
      <c r="K179" s="1" t="s">
        <v>298</v>
      </c>
      <c r="L179" s="1" t="s">
        <v>267</v>
      </c>
      <c r="M179" s="1"/>
      <c r="N179" s="1">
        <f t="shared" si="10"/>
        <v>12</v>
      </c>
      <c r="O179" s="65"/>
    </row>
    <row r="180" spans="1:15" ht="15.75" hidden="1" x14ac:dyDescent="0.25">
      <c r="A180" s="1" t="str">
        <f t="shared" si="9"/>
        <v>43801438014CURRENTSERVICEBANK</v>
      </c>
      <c r="B180" s="2">
        <v>43801</v>
      </c>
      <c r="C180" s="2">
        <f>B180</f>
        <v>43801</v>
      </c>
      <c r="D180" s="3" t="s">
        <v>204</v>
      </c>
      <c r="E180" s="3">
        <v>-4</v>
      </c>
      <c r="F180" s="3">
        <v>1</v>
      </c>
      <c r="G180" s="3">
        <f t="shared" si="11"/>
        <v>4</v>
      </c>
      <c r="H180" s="3" t="s">
        <v>293</v>
      </c>
      <c r="I180" s="1" t="s">
        <v>7</v>
      </c>
      <c r="J180" s="1" t="s">
        <v>8</v>
      </c>
      <c r="K180" s="1" t="s">
        <v>298</v>
      </c>
      <c r="L180" s="1" t="s">
        <v>257</v>
      </c>
      <c r="M180" s="1"/>
      <c r="N180" s="1">
        <f t="shared" si="10"/>
        <v>12</v>
      </c>
      <c r="O180" s="65"/>
    </row>
    <row r="181" spans="1:15" ht="15.75" hidden="1" x14ac:dyDescent="0.25">
      <c r="A181" s="1" t="str">
        <f t="shared" si="9"/>
        <v>43801438014850CURRENTRENTCAP ONE</v>
      </c>
      <c r="B181" s="2">
        <v>43801</v>
      </c>
      <c r="C181" s="2">
        <f>B181</f>
        <v>43801</v>
      </c>
      <c r="D181" s="3" t="s">
        <v>205</v>
      </c>
      <c r="E181" s="3">
        <v>-4850</v>
      </c>
      <c r="F181" s="3">
        <v>1</v>
      </c>
      <c r="G181" s="3">
        <f t="shared" si="11"/>
        <v>4850</v>
      </c>
      <c r="H181" s="3" t="s">
        <v>293</v>
      </c>
      <c r="I181" s="1" t="s">
        <v>83</v>
      </c>
      <c r="J181" s="1" t="s">
        <v>84</v>
      </c>
      <c r="K181" s="1" t="s">
        <v>298</v>
      </c>
      <c r="L181" s="1" t="s">
        <v>257</v>
      </c>
      <c r="M181" s="1"/>
      <c r="N181" s="1">
        <f t="shared" si="10"/>
        <v>12</v>
      </c>
      <c r="O181" s="65"/>
    </row>
    <row r="182" spans="1:15" ht="15.75" hidden="1" x14ac:dyDescent="0.25">
      <c r="A182" s="1" t="str">
        <f t="shared" si="9"/>
        <v>43801438035MASTER CCTRANSPORTCAREEM</v>
      </c>
      <c r="B182" s="2">
        <v>43801</v>
      </c>
      <c r="C182" s="2">
        <v>43803</v>
      </c>
      <c r="D182" s="3" t="s">
        <v>203</v>
      </c>
      <c r="E182" s="3">
        <v>5</v>
      </c>
      <c r="F182" s="3">
        <v>1</v>
      </c>
      <c r="G182" s="3">
        <f t="shared" si="11"/>
        <v>5</v>
      </c>
      <c r="H182" s="3" t="s">
        <v>291</v>
      </c>
      <c r="I182" s="1" t="s">
        <v>296</v>
      </c>
      <c r="J182" s="1" t="s">
        <v>297</v>
      </c>
      <c r="K182" s="1" t="s">
        <v>298</v>
      </c>
      <c r="L182" s="1" t="s">
        <v>267</v>
      </c>
      <c r="M182" s="1"/>
      <c r="N182" s="1">
        <f t="shared" si="10"/>
        <v>12</v>
      </c>
      <c r="O182" s="65"/>
    </row>
    <row r="183" spans="1:15" ht="15.75" hidden="1" x14ac:dyDescent="0.25">
      <c r="A183" s="1" t="str">
        <f t="shared" si="9"/>
        <v>43802438041MASTER CCTRANSPORTCAREEM</v>
      </c>
      <c r="B183" s="2">
        <v>43802</v>
      </c>
      <c r="C183" s="2">
        <v>43804</v>
      </c>
      <c r="D183" s="3" t="s">
        <v>206</v>
      </c>
      <c r="E183" s="3">
        <v>1</v>
      </c>
      <c r="F183" s="3">
        <v>1</v>
      </c>
      <c r="G183" s="3">
        <f t="shared" si="11"/>
        <v>1</v>
      </c>
      <c r="H183" s="3" t="s">
        <v>291</v>
      </c>
      <c r="I183" s="1" t="s">
        <v>296</v>
      </c>
      <c r="J183" s="1" t="s">
        <v>297</v>
      </c>
      <c r="K183" s="1" t="s">
        <v>298</v>
      </c>
      <c r="L183" s="1" t="s">
        <v>267</v>
      </c>
      <c r="M183" s="1"/>
      <c r="N183" s="1">
        <f t="shared" si="10"/>
        <v>12</v>
      </c>
      <c r="O183" s="65"/>
    </row>
    <row r="184" spans="1:15" ht="15.75" hidden="1" x14ac:dyDescent="0.25">
      <c r="A184" s="1" t="str">
        <f t="shared" si="9"/>
        <v>43802438045MASTER CCTRANSPORTCAREEM</v>
      </c>
      <c r="B184" s="2">
        <v>43802</v>
      </c>
      <c r="C184" s="2">
        <v>43804</v>
      </c>
      <c r="D184" s="3" t="s">
        <v>207</v>
      </c>
      <c r="E184" s="3">
        <v>5</v>
      </c>
      <c r="F184" s="3">
        <v>1</v>
      </c>
      <c r="G184" s="3">
        <f t="shared" si="11"/>
        <v>5</v>
      </c>
      <c r="H184" s="3" t="s">
        <v>291</v>
      </c>
      <c r="I184" s="1" t="s">
        <v>296</v>
      </c>
      <c r="J184" s="1" t="s">
        <v>297</v>
      </c>
      <c r="K184" s="1" t="s">
        <v>298</v>
      </c>
      <c r="L184" s="1" t="s">
        <v>267</v>
      </c>
      <c r="M184" s="1"/>
      <c r="N184" s="1">
        <f t="shared" si="10"/>
        <v>12</v>
      </c>
      <c r="O184" s="65"/>
    </row>
    <row r="185" spans="1:15" ht="15.75" hidden="1" x14ac:dyDescent="0.25">
      <c r="A185" s="1" t="str">
        <f t="shared" si="9"/>
        <v>43803438056MASTER CCTRANSPORTCAREEM</v>
      </c>
      <c r="B185" s="2">
        <v>43803</v>
      </c>
      <c r="C185" s="2">
        <v>43805</v>
      </c>
      <c r="D185" s="3" t="s">
        <v>208</v>
      </c>
      <c r="E185" s="3">
        <v>6</v>
      </c>
      <c r="F185" s="3">
        <v>1</v>
      </c>
      <c r="G185" s="3">
        <f t="shared" si="11"/>
        <v>6</v>
      </c>
      <c r="H185" s="3" t="s">
        <v>291</v>
      </c>
      <c r="I185" s="1" t="s">
        <v>296</v>
      </c>
      <c r="J185" s="1" t="s">
        <v>297</v>
      </c>
      <c r="K185" s="1" t="s">
        <v>298</v>
      </c>
      <c r="L185" s="1" t="s">
        <v>267</v>
      </c>
      <c r="M185" s="1"/>
      <c r="N185" s="1">
        <f t="shared" si="10"/>
        <v>12</v>
      </c>
      <c r="O185" s="65"/>
    </row>
    <row r="186" spans="1:15" ht="15.75" hidden="1" x14ac:dyDescent="0.25">
      <c r="A186" s="1" t="str">
        <f t="shared" si="9"/>
        <v>43804438075.72DINERSTRANSPORTUBER</v>
      </c>
      <c r="B186" s="2">
        <v>43804</v>
      </c>
      <c r="C186" s="2">
        <v>43807</v>
      </c>
      <c r="D186" s="3" t="s">
        <v>212</v>
      </c>
      <c r="E186" s="3">
        <v>5.72</v>
      </c>
      <c r="F186" s="3">
        <v>1</v>
      </c>
      <c r="G186" s="3">
        <f t="shared" si="11"/>
        <v>5.72</v>
      </c>
      <c r="H186" s="3" t="s">
        <v>266</v>
      </c>
      <c r="I186" s="1" t="s">
        <v>296</v>
      </c>
      <c r="J186" s="1" t="s">
        <v>299</v>
      </c>
      <c r="K186" s="1" t="s">
        <v>298</v>
      </c>
      <c r="L186" s="1" t="s">
        <v>267</v>
      </c>
      <c r="M186" s="1"/>
      <c r="N186" s="1">
        <f t="shared" si="10"/>
        <v>12</v>
      </c>
      <c r="O186" s="87"/>
    </row>
    <row r="187" spans="1:15" ht="15.75" hidden="1" x14ac:dyDescent="0.25">
      <c r="A187" s="1" t="str">
        <f t="shared" si="9"/>
        <v>43804438076.65DINERSTRANSPORTUBER</v>
      </c>
      <c r="B187" s="2">
        <v>43804</v>
      </c>
      <c r="C187" s="2">
        <v>43807</v>
      </c>
      <c r="D187" s="3" t="s">
        <v>211</v>
      </c>
      <c r="E187" s="3">
        <v>6.65</v>
      </c>
      <c r="F187" s="3">
        <v>1</v>
      </c>
      <c r="G187" s="3">
        <f t="shared" si="11"/>
        <v>6.65</v>
      </c>
      <c r="H187" s="3" t="s">
        <v>266</v>
      </c>
      <c r="I187" s="1" t="s">
        <v>296</v>
      </c>
      <c r="J187" s="1" t="s">
        <v>299</v>
      </c>
      <c r="K187" s="1" t="s">
        <v>298</v>
      </c>
      <c r="L187" s="1" t="s">
        <v>267</v>
      </c>
      <c r="M187" s="1"/>
      <c r="N187" s="1">
        <f t="shared" si="10"/>
        <v>12</v>
      </c>
      <c r="O187" s="87"/>
    </row>
    <row r="188" spans="1:15" ht="15.75" hidden="1" x14ac:dyDescent="0.25">
      <c r="A188" s="1" t="str">
        <f t="shared" si="9"/>
        <v>43804438044CURRENTMEDICALHEALTH CENTER</v>
      </c>
      <c r="B188" s="2">
        <v>43804</v>
      </c>
      <c r="C188" s="2">
        <f>B188</f>
        <v>43804</v>
      </c>
      <c r="D188" s="3" t="s">
        <v>213</v>
      </c>
      <c r="E188" s="3">
        <v>-4</v>
      </c>
      <c r="F188" s="3">
        <v>1</v>
      </c>
      <c r="G188" s="3">
        <f t="shared" si="11"/>
        <v>4</v>
      </c>
      <c r="H188" s="3" t="s">
        <v>293</v>
      </c>
      <c r="I188" s="1" t="s">
        <v>301</v>
      </c>
      <c r="J188" s="1" t="s">
        <v>159</v>
      </c>
      <c r="K188" s="1" t="s">
        <v>298</v>
      </c>
      <c r="L188" s="1" t="s">
        <v>257</v>
      </c>
      <c r="M188" s="1"/>
      <c r="N188" s="1">
        <f t="shared" si="10"/>
        <v>12</v>
      </c>
      <c r="O188" s="65"/>
    </row>
    <row r="189" spans="1:15" ht="15.75" hidden="1" x14ac:dyDescent="0.25">
      <c r="A189" s="1" t="str">
        <f t="shared" si="9"/>
        <v>43804438062MASTER CCTRANSPORTCAREEM</v>
      </c>
      <c r="B189" s="2">
        <v>43804</v>
      </c>
      <c r="C189" s="2">
        <v>43806</v>
      </c>
      <c r="D189" s="3" t="s">
        <v>209</v>
      </c>
      <c r="E189" s="3">
        <v>2</v>
      </c>
      <c r="F189" s="3">
        <v>1</v>
      </c>
      <c r="G189" s="3">
        <f t="shared" si="11"/>
        <v>2</v>
      </c>
      <c r="H189" s="3" t="s">
        <v>291</v>
      </c>
      <c r="I189" s="1" t="s">
        <v>296</v>
      </c>
      <c r="J189" s="1" t="s">
        <v>297</v>
      </c>
      <c r="K189" s="1" t="s">
        <v>298</v>
      </c>
      <c r="L189" s="1" t="s">
        <v>267</v>
      </c>
      <c r="M189" s="1"/>
      <c r="N189" s="1">
        <f t="shared" si="10"/>
        <v>12</v>
      </c>
      <c r="O189" s="65"/>
    </row>
    <row r="190" spans="1:15" ht="15.75" hidden="1" x14ac:dyDescent="0.25">
      <c r="A190" s="1" t="str">
        <f t="shared" si="9"/>
        <v>43804438067MASTER CCTRANSPORTCAREEM</v>
      </c>
      <c r="B190" s="2">
        <v>43804</v>
      </c>
      <c r="C190" s="2">
        <v>43806</v>
      </c>
      <c r="D190" s="3" t="s">
        <v>210</v>
      </c>
      <c r="E190" s="3">
        <v>7</v>
      </c>
      <c r="F190" s="3">
        <v>1</v>
      </c>
      <c r="G190" s="3">
        <f t="shared" si="11"/>
        <v>7</v>
      </c>
      <c r="H190" s="3" t="s">
        <v>291</v>
      </c>
      <c r="I190" s="1" t="s">
        <v>296</v>
      </c>
      <c r="J190" s="1" t="s">
        <v>297</v>
      </c>
      <c r="K190" s="1" t="s">
        <v>298</v>
      </c>
      <c r="L190" s="1" t="s">
        <v>267</v>
      </c>
      <c r="M190" s="1"/>
      <c r="N190" s="1">
        <f t="shared" si="10"/>
        <v>12</v>
      </c>
      <c r="O190" s="65"/>
    </row>
    <row r="191" spans="1:15" ht="15.75" hidden="1" x14ac:dyDescent="0.25">
      <c r="A191" s="1" t="str">
        <f t="shared" si="9"/>
        <v>43805438097.7DINERSTRANSPORTUBER</v>
      </c>
      <c r="B191" s="2">
        <v>43805</v>
      </c>
      <c r="C191" s="2">
        <v>43809</v>
      </c>
      <c r="D191" s="3" t="s">
        <v>215</v>
      </c>
      <c r="E191" s="3">
        <v>7.7</v>
      </c>
      <c r="F191" s="3">
        <v>1</v>
      </c>
      <c r="G191" s="3">
        <f t="shared" si="11"/>
        <v>7.7</v>
      </c>
      <c r="H191" s="3" t="s">
        <v>266</v>
      </c>
      <c r="I191" s="1" t="s">
        <v>296</v>
      </c>
      <c r="J191" s="1" t="s">
        <v>299</v>
      </c>
      <c r="K191" s="1" t="s">
        <v>298</v>
      </c>
      <c r="L191" s="1" t="s">
        <v>267</v>
      </c>
      <c r="M191" s="1"/>
      <c r="N191" s="1">
        <f t="shared" si="10"/>
        <v>12</v>
      </c>
      <c r="O191" s="87"/>
    </row>
    <row r="192" spans="1:15" ht="15.75" hidden="1" x14ac:dyDescent="0.25">
      <c r="A192" s="1" t="str">
        <f t="shared" si="9"/>
        <v>43805438098.43DINERSTRANSPORTUBER</v>
      </c>
      <c r="B192" s="2">
        <v>43805</v>
      </c>
      <c r="C192" s="2">
        <v>43809</v>
      </c>
      <c r="D192" s="3" t="s">
        <v>214</v>
      </c>
      <c r="E192" s="3">
        <v>8.43</v>
      </c>
      <c r="F192" s="3">
        <v>1</v>
      </c>
      <c r="G192" s="3">
        <f t="shared" si="11"/>
        <v>8.43</v>
      </c>
      <c r="H192" s="3" t="s">
        <v>266</v>
      </c>
      <c r="I192" s="1" t="s">
        <v>296</v>
      </c>
      <c r="J192" s="1" t="s">
        <v>299</v>
      </c>
      <c r="K192" s="1" t="s">
        <v>298</v>
      </c>
      <c r="L192" s="1" t="s">
        <v>267</v>
      </c>
      <c r="M192" s="1"/>
      <c r="N192" s="1">
        <f t="shared" si="10"/>
        <v>12</v>
      </c>
      <c r="O192" s="87"/>
    </row>
    <row r="193" spans="1:15" ht="15.75" hidden="1" x14ac:dyDescent="0.25">
      <c r="A193" s="1" t="str">
        <f t="shared" si="9"/>
        <v>4380543806218.05DINERSGROCERYLULU</v>
      </c>
      <c r="B193" s="2">
        <v>43805</v>
      </c>
      <c r="C193" s="2">
        <v>43806</v>
      </c>
      <c r="D193" s="3" t="s">
        <v>217</v>
      </c>
      <c r="E193" s="3">
        <v>218.05</v>
      </c>
      <c r="F193" s="3">
        <v>1</v>
      </c>
      <c r="G193" s="3">
        <f t="shared" si="11"/>
        <v>218.05</v>
      </c>
      <c r="H193" s="3" t="s">
        <v>266</v>
      </c>
      <c r="I193" s="1" t="s">
        <v>43</v>
      </c>
      <c r="J193" s="1" t="s">
        <v>44</v>
      </c>
      <c r="K193" s="1" t="s">
        <v>298</v>
      </c>
      <c r="L193" s="1" t="s">
        <v>267</v>
      </c>
      <c r="M193" s="1"/>
      <c r="N193" s="1">
        <f t="shared" si="10"/>
        <v>12</v>
      </c>
      <c r="O193" s="87"/>
    </row>
    <row r="194" spans="1:15" ht="15.75" hidden="1" x14ac:dyDescent="0.25">
      <c r="A194" s="1" t="str">
        <f t="shared" ref="A194:A257" si="12">B194&amp;C194&amp;G194&amp;H194&amp;I194&amp;J194</f>
        <v>4380543806469DINERSGROCERYLULU</v>
      </c>
      <c r="B194" s="2">
        <v>43805</v>
      </c>
      <c r="C194" s="2">
        <v>43806</v>
      </c>
      <c r="D194" s="3" t="s">
        <v>216</v>
      </c>
      <c r="E194" s="3">
        <v>469</v>
      </c>
      <c r="F194" s="3">
        <v>1</v>
      </c>
      <c r="G194" s="3">
        <f t="shared" si="11"/>
        <v>469</v>
      </c>
      <c r="H194" s="3" t="s">
        <v>266</v>
      </c>
      <c r="I194" s="1" t="s">
        <v>43</v>
      </c>
      <c r="J194" s="1" t="s">
        <v>44</v>
      </c>
      <c r="K194" s="1" t="s">
        <v>298</v>
      </c>
      <c r="L194" s="1" t="s">
        <v>267</v>
      </c>
      <c r="M194" s="1"/>
      <c r="N194" s="1">
        <f t="shared" ref="N194:N257" si="13">MONTH(C194)</f>
        <v>12</v>
      </c>
      <c r="O194" s="87"/>
    </row>
    <row r="195" spans="1:15" ht="15.75" hidden="1" x14ac:dyDescent="0.25">
      <c r="A195" s="1" t="str">
        <f t="shared" si="12"/>
        <v>438064380725DINERSMEDICALPHARMACY</v>
      </c>
      <c r="B195" s="2">
        <v>43806</v>
      </c>
      <c r="C195" s="2">
        <v>43807</v>
      </c>
      <c r="D195" s="3" t="s">
        <v>220</v>
      </c>
      <c r="E195" s="3">
        <v>25</v>
      </c>
      <c r="F195" s="3">
        <v>1</v>
      </c>
      <c r="G195" s="3">
        <f t="shared" si="11"/>
        <v>25</v>
      </c>
      <c r="H195" s="3" t="s">
        <v>266</v>
      </c>
      <c r="I195" s="1" t="s">
        <v>301</v>
      </c>
      <c r="J195" s="1" t="s">
        <v>304</v>
      </c>
      <c r="K195" s="1" t="s">
        <v>298</v>
      </c>
      <c r="L195" s="1" t="s">
        <v>267</v>
      </c>
      <c r="M195" s="1"/>
      <c r="N195" s="1">
        <f t="shared" si="13"/>
        <v>12</v>
      </c>
      <c r="O195" s="87"/>
    </row>
    <row r="196" spans="1:15" ht="15.75" hidden="1" x14ac:dyDescent="0.25">
      <c r="A196" s="1" t="str">
        <f t="shared" si="12"/>
        <v>438064380721DINERSGROCERYPICK-N-PACK</v>
      </c>
      <c r="B196" s="2">
        <v>43806</v>
      </c>
      <c r="C196" s="2">
        <v>43807</v>
      </c>
      <c r="D196" s="3" t="s">
        <v>221</v>
      </c>
      <c r="E196" s="3">
        <v>21</v>
      </c>
      <c r="F196" s="3">
        <v>1</v>
      </c>
      <c r="G196" s="3">
        <f t="shared" si="11"/>
        <v>21</v>
      </c>
      <c r="H196" s="3" t="s">
        <v>266</v>
      </c>
      <c r="I196" s="1" t="s">
        <v>43</v>
      </c>
      <c r="J196" s="1" t="s">
        <v>222</v>
      </c>
      <c r="K196" s="1" t="s">
        <v>298</v>
      </c>
      <c r="L196" s="1" t="s">
        <v>267</v>
      </c>
      <c r="M196" s="1"/>
      <c r="N196" s="1">
        <f t="shared" si="13"/>
        <v>12</v>
      </c>
      <c r="O196" s="87"/>
    </row>
    <row r="197" spans="1:15" ht="15.75" hidden="1" x14ac:dyDescent="0.25">
      <c r="A197" s="1" t="str">
        <f t="shared" si="12"/>
        <v>43806438095MASTER CCTRANSPORTCAREEM</v>
      </c>
      <c r="B197" s="2">
        <v>43806</v>
      </c>
      <c r="C197" s="2">
        <v>43809</v>
      </c>
      <c r="D197" s="3" t="s">
        <v>218</v>
      </c>
      <c r="E197" s="3">
        <v>5</v>
      </c>
      <c r="F197" s="3">
        <v>1</v>
      </c>
      <c r="G197" s="3">
        <f t="shared" si="11"/>
        <v>5</v>
      </c>
      <c r="H197" s="3" t="s">
        <v>291</v>
      </c>
      <c r="I197" s="1" t="s">
        <v>296</v>
      </c>
      <c r="J197" s="1" t="s">
        <v>297</v>
      </c>
      <c r="K197" s="1" t="s">
        <v>298</v>
      </c>
      <c r="L197" s="1" t="s">
        <v>267</v>
      </c>
      <c r="M197" s="1"/>
      <c r="N197" s="1">
        <f t="shared" si="13"/>
        <v>12</v>
      </c>
      <c r="O197" s="65"/>
    </row>
    <row r="198" spans="1:15" ht="15.75" hidden="1" x14ac:dyDescent="0.25">
      <c r="A198" s="1" t="str">
        <f t="shared" si="12"/>
        <v>43806438095MASTER CCTRANSPORTCAREEM</v>
      </c>
      <c r="B198" s="2">
        <v>43806</v>
      </c>
      <c r="C198" s="2">
        <v>43809</v>
      </c>
      <c r="D198" s="3" t="s">
        <v>219</v>
      </c>
      <c r="E198" s="3">
        <v>5</v>
      </c>
      <c r="F198" s="3">
        <v>1</v>
      </c>
      <c r="G198" s="3">
        <f t="shared" si="11"/>
        <v>5</v>
      </c>
      <c r="H198" s="3" t="s">
        <v>291</v>
      </c>
      <c r="I198" s="1" t="s">
        <v>296</v>
      </c>
      <c r="J198" s="1" t="s">
        <v>297</v>
      </c>
      <c r="K198" s="1" t="s">
        <v>298</v>
      </c>
      <c r="L198" s="1" t="s">
        <v>267</v>
      </c>
      <c r="M198" s="1"/>
      <c r="N198" s="1">
        <f t="shared" si="13"/>
        <v>12</v>
      </c>
      <c r="O198" s="65"/>
    </row>
    <row r="199" spans="1:15" ht="15.75" hidden="1" x14ac:dyDescent="0.25">
      <c r="A199" s="1" t="str">
        <f t="shared" si="12"/>
        <v>43807438096.58DINERSTRANSPORTUBER</v>
      </c>
      <c r="B199" s="2">
        <v>43807</v>
      </c>
      <c r="C199" s="2">
        <v>43809</v>
      </c>
      <c r="D199" s="3" t="s">
        <v>225</v>
      </c>
      <c r="E199" s="3">
        <v>6.58</v>
      </c>
      <c r="F199" s="3">
        <v>1</v>
      </c>
      <c r="G199" s="3">
        <f t="shared" si="11"/>
        <v>6.58</v>
      </c>
      <c r="H199" s="3" t="s">
        <v>266</v>
      </c>
      <c r="I199" s="1" t="s">
        <v>296</v>
      </c>
      <c r="J199" s="1" t="s">
        <v>299</v>
      </c>
      <c r="K199" s="1" t="s">
        <v>298</v>
      </c>
      <c r="L199" s="1" t="s">
        <v>267</v>
      </c>
      <c r="M199" s="1"/>
      <c r="N199" s="1">
        <f t="shared" si="13"/>
        <v>12</v>
      </c>
      <c r="O199" s="87"/>
    </row>
    <row r="200" spans="1:15" ht="15.75" hidden="1" x14ac:dyDescent="0.25">
      <c r="A200" s="1" t="str">
        <f t="shared" si="12"/>
        <v>4380743807420DINERSEDUCATIONALKHEBRA</v>
      </c>
      <c r="B200" s="2">
        <v>43807</v>
      </c>
      <c r="C200" s="2">
        <v>43807</v>
      </c>
      <c r="D200" s="3" t="s">
        <v>94</v>
      </c>
      <c r="E200" s="3">
        <v>420</v>
      </c>
      <c r="F200" s="3">
        <v>1</v>
      </c>
      <c r="G200" s="3">
        <f t="shared" si="11"/>
        <v>420</v>
      </c>
      <c r="H200" s="3" t="s">
        <v>266</v>
      </c>
      <c r="I200" s="1" t="s">
        <v>543</v>
      </c>
      <c r="J200" s="1" t="s">
        <v>92</v>
      </c>
      <c r="K200" s="1" t="s">
        <v>298</v>
      </c>
      <c r="L200" s="1" t="s">
        <v>267</v>
      </c>
      <c r="M200" s="1">
        <v>1</v>
      </c>
      <c r="N200" s="1">
        <f t="shared" si="13"/>
        <v>12</v>
      </c>
      <c r="O200" s="87"/>
    </row>
    <row r="201" spans="1:15" ht="15.75" hidden="1" x14ac:dyDescent="0.25">
      <c r="A201" s="1" t="str">
        <f t="shared" si="12"/>
        <v>438074380916MASTER CCTRANSPORTCAREEM</v>
      </c>
      <c r="B201" s="2">
        <v>43807</v>
      </c>
      <c r="C201" s="2">
        <v>43809</v>
      </c>
      <c r="D201" s="3" t="s">
        <v>224</v>
      </c>
      <c r="E201" s="3">
        <v>16</v>
      </c>
      <c r="F201" s="3">
        <v>1</v>
      </c>
      <c r="G201" s="3">
        <f t="shared" si="11"/>
        <v>16</v>
      </c>
      <c r="H201" s="3" t="s">
        <v>291</v>
      </c>
      <c r="I201" s="1" t="s">
        <v>296</v>
      </c>
      <c r="J201" s="1" t="s">
        <v>297</v>
      </c>
      <c r="K201" s="1" t="s">
        <v>298</v>
      </c>
      <c r="L201" s="1" t="s">
        <v>267</v>
      </c>
      <c r="M201" s="1"/>
      <c r="N201" s="1">
        <f t="shared" si="13"/>
        <v>12</v>
      </c>
      <c r="O201" s="65"/>
    </row>
    <row r="202" spans="1:15" ht="15.75" hidden="1" x14ac:dyDescent="0.25">
      <c r="A202" s="1" t="str">
        <f t="shared" si="12"/>
        <v>43807438091MASTER CCTRANSPORTCAREEM</v>
      </c>
      <c r="B202" s="2">
        <v>43807</v>
      </c>
      <c r="C202" s="2">
        <v>43809</v>
      </c>
      <c r="D202" s="3" t="s">
        <v>223</v>
      </c>
      <c r="E202" s="3">
        <v>1</v>
      </c>
      <c r="F202" s="3">
        <v>1</v>
      </c>
      <c r="G202" s="3">
        <f t="shared" si="11"/>
        <v>1</v>
      </c>
      <c r="H202" s="3" t="s">
        <v>291</v>
      </c>
      <c r="I202" s="1" t="s">
        <v>296</v>
      </c>
      <c r="J202" s="1" t="s">
        <v>297</v>
      </c>
      <c r="K202" s="1" t="s">
        <v>298</v>
      </c>
      <c r="L202" s="1" t="s">
        <v>267</v>
      </c>
      <c r="M202" s="1"/>
      <c r="N202" s="1">
        <f t="shared" si="13"/>
        <v>12</v>
      </c>
      <c r="O202" s="65"/>
    </row>
    <row r="203" spans="1:15" ht="15.75" hidden="1" x14ac:dyDescent="0.25">
      <c r="A203" s="1" t="str">
        <f t="shared" si="12"/>
        <v>43808438102MASTER CCTRANSPORTCAREEM</v>
      </c>
      <c r="B203" s="2">
        <v>43808</v>
      </c>
      <c r="C203" s="2">
        <v>43810</v>
      </c>
      <c r="D203" s="3" t="s">
        <v>226</v>
      </c>
      <c r="E203" s="3">
        <v>2</v>
      </c>
      <c r="F203" s="3">
        <v>1</v>
      </c>
      <c r="G203" s="3">
        <f t="shared" si="11"/>
        <v>2</v>
      </c>
      <c r="H203" s="3" t="s">
        <v>291</v>
      </c>
      <c r="I203" s="1" t="s">
        <v>296</v>
      </c>
      <c r="J203" s="1" t="s">
        <v>297</v>
      </c>
      <c r="K203" s="1" t="s">
        <v>298</v>
      </c>
      <c r="L203" s="1" t="s">
        <v>267</v>
      </c>
      <c r="M203" s="1"/>
      <c r="N203" s="1">
        <f t="shared" si="13"/>
        <v>12</v>
      </c>
      <c r="O203" s="65"/>
    </row>
    <row r="204" spans="1:15" ht="15.75" hidden="1" x14ac:dyDescent="0.25">
      <c r="A204" s="1" t="str">
        <f t="shared" si="12"/>
        <v>43808438105MASTER CCTRANSPORTCAREEM</v>
      </c>
      <c r="B204" s="2">
        <v>43808</v>
      </c>
      <c r="C204" s="2">
        <v>43810</v>
      </c>
      <c r="D204" s="3" t="s">
        <v>227</v>
      </c>
      <c r="E204" s="3">
        <v>5</v>
      </c>
      <c r="F204" s="3">
        <v>1</v>
      </c>
      <c r="G204" s="3">
        <f t="shared" si="11"/>
        <v>5</v>
      </c>
      <c r="H204" s="3" t="s">
        <v>291</v>
      </c>
      <c r="I204" s="1" t="s">
        <v>296</v>
      </c>
      <c r="J204" s="1" t="s">
        <v>297</v>
      </c>
      <c r="K204" s="1" t="s">
        <v>298</v>
      </c>
      <c r="L204" s="1" t="s">
        <v>267</v>
      </c>
      <c r="M204" s="1"/>
      <c r="N204" s="1">
        <f t="shared" si="13"/>
        <v>12</v>
      </c>
      <c r="O204" s="65"/>
    </row>
    <row r="205" spans="1:15" ht="15.75" hidden="1" x14ac:dyDescent="0.25">
      <c r="A205" s="1" t="str">
        <f t="shared" si="12"/>
        <v>43809438117.18DINERSTRANSPORTUBER</v>
      </c>
      <c r="B205" s="2">
        <v>43809</v>
      </c>
      <c r="C205" s="2">
        <v>43811</v>
      </c>
      <c r="D205" s="3" t="s">
        <v>232</v>
      </c>
      <c r="E205" s="3">
        <v>7.18</v>
      </c>
      <c r="F205" s="3">
        <v>1</v>
      </c>
      <c r="G205" s="3">
        <f t="shared" si="11"/>
        <v>7.18</v>
      </c>
      <c r="H205" s="3" t="s">
        <v>266</v>
      </c>
      <c r="I205" s="1" t="s">
        <v>296</v>
      </c>
      <c r="J205" s="1" t="s">
        <v>299</v>
      </c>
      <c r="K205" s="1" t="s">
        <v>298</v>
      </c>
      <c r="L205" s="1" t="s">
        <v>267</v>
      </c>
      <c r="M205" s="1"/>
      <c r="N205" s="1">
        <f t="shared" si="13"/>
        <v>12</v>
      </c>
      <c r="O205" s="87"/>
    </row>
    <row r="206" spans="1:15" ht="15.75" hidden="1" x14ac:dyDescent="0.25">
      <c r="A206" s="1" t="str">
        <f t="shared" si="12"/>
        <v>43809438119.36DINERSTRANSPORTUBER</v>
      </c>
      <c r="B206" s="2">
        <v>43809</v>
      </c>
      <c r="C206" s="2">
        <v>43811</v>
      </c>
      <c r="D206" s="3" t="s">
        <v>231</v>
      </c>
      <c r="E206" s="3">
        <v>9.36</v>
      </c>
      <c r="F206" s="3">
        <v>1</v>
      </c>
      <c r="G206" s="3">
        <f t="shared" ref="G206:G269" si="14">ABS(E206)*F206</f>
        <v>9.36</v>
      </c>
      <c r="H206" s="3" t="s">
        <v>266</v>
      </c>
      <c r="I206" s="1" t="s">
        <v>296</v>
      </c>
      <c r="J206" s="1" t="s">
        <v>299</v>
      </c>
      <c r="K206" s="1" t="s">
        <v>298</v>
      </c>
      <c r="L206" s="1" t="s">
        <v>267</v>
      </c>
      <c r="M206" s="1"/>
      <c r="N206" s="1">
        <f t="shared" si="13"/>
        <v>12</v>
      </c>
      <c r="O206" s="87"/>
    </row>
    <row r="207" spans="1:15" ht="15.75" hidden="1" x14ac:dyDescent="0.25">
      <c r="A207" s="1" t="str">
        <f t="shared" si="12"/>
        <v>43809438114MASTER CCTRANSPORTCAREEM</v>
      </c>
      <c r="B207" s="2">
        <v>43809</v>
      </c>
      <c r="C207" s="2">
        <v>43811</v>
      </c>
      <c r="D207" s="3" t="s">
        <v>229</v>
      </c>
      <c r="E207" s="3">
        <v>4</v>
      </c>
      <c r="F207" s="3">
        <v>1</v>
      </c>
      <c r="G207" s="3">
        <f t="shared" si="14"/>
        <v>4</v>
      </c>
      <c r="H207" s="3" t="s">
        <v>291</v>
      </c>
      <c r="I207" s="1" t="s">
        <v>296</v>
      </c>
      <c r="J207" s="1" t="s">
        <v>297</v>
      </c>
      <c r="K207" s="1" t="s">
        <v>298</v>
      </c>
      <c r="L207" s="1" t="s">
        <v>267</v>
      </c>
      <c r="M207" s="1"/>
      <c r="N207" s="1">
        <f t="shared" si="13"/>
        <v>12</v>
      </c>
      <c r="O207" s="65"/>
    </row>
    <row r="208" spans="1:15" ht="15.75" hidden="1" x14ac:dyDescent="0.25">
      <c r="A208" s="1" t="str">
        <f t="shared" si="12"/>
        <v>43809438115MASTER CCTRANSPORTCAREEM</v>
      </c>
      <c r="B208" s="2">
        <v>43809</v>
      </c>
      <c r="C208" s="2">
        <v>43811</v>
      </c>
      <c r="D208" s="3" t="s">
        <v>228</v>
      </c>
      <c r="E208" s="3">
        <v>5</v>
      </c>
      <c r="F208" s="3">
        <v>1</v>
      </c>
      <c r="G208" s="3">
        <f t="shared" si="14"/>
        <v>5</v>
      </c>
      <c r="H208" s="3" t="s">
        <v>291</v>
      </c>
      <c r="I208" s="1" t="s">
        <v>296</v>
      </c>
      <c r="J208" s="1" t="s">
        <v>297</v>
      </c>
      <c r="K208" s="1" t="s">
        <v>298</v>
      </c>
      <c r="L208" s="1" t="s">
        <v>267</v>
      </c>
      <c r="M208" s="1"/>
      <c r="N208" s="1">
        <f t="shared" si="13"/>
        <v>12</v>
      </c>
      <c r="O208" s="65"/>
    </row>
    <row r="209" spans="1:15" ht="15.75" hidden="1" x14ac:dyDescent="0.25">
      <c r="A209" s="1" t="str">
        <f t="shared" si="12"/>
        <v>438094381268MASTER CCFOODCAFÉ/REST.</v>
      </c>
      <c r="B209" s="2">
        <v>43809</v>
      </c>
      <c r="C209" s="2">
        <v>43812</v>
      </c>
      <c r="D209" s="3" t="s">
        <v>230</v>
      </c>
      <c r="E209" s="3">
        <v>68</v>
      </c>
      <c r="F209" s="3">
        <v>1</v>
      </c>
      <c r="G209" s="3">
        <f t="shared" si="14"/>
        <v>68</v>
      </c>
      <c r="H209" s="3" t="s">
        <v>291</v>
      </c>
      <c r="I209" s="1" t="s">
        <v>10</v>
      </c>
      <c r="J209" s="1" t="s">
        <v>11</v>
      </c>
      <c r="K209" s="1" t="s">
        <v>298</v>
      </c>
      <c r="L209" s="1" t="s">
        <v>267</v>
      </c>
      <c r="M209" s="1"/>
      <c r="N209" s="1">
        <f t="shared" si="13"/>
        <v>12</v>
      </c>
      <c r="O209" s="65"/>
    </row>
    <row r="210" spans="1:15" ht="15.75" hidden="1" x14ac:dyDescent="0.25">
      <c r="A210" s="1" t="str">
        <f t="shared" si="12"/>
        <v>43810438124MASTER CCTRANSPORTCAREEM</v>
      </c>
      <c r="B210" s="2">
        <v>43810</v>
      </c>
      <c r="C210" s="2">
        <v>43812</v>
      </c>
      <c r="D210" s="3" t="s">
        <v>234</v>
      </c>
      <c r="E210" s="3">
        <v>4</v>
      </c>
      <c r="F210" s="3">
        <v>1</v>
      </c>
      <c r="G210" s="3">
        <f t="shared" si="14"/>
        <v>4</v>
      </c>
      <c r="H210" s="3" t="s">
        <v>291</v>
      </c>
      <c r="I210" s="1" t="s">
        <v>296</v>
      </c>
      <c r="J210" s="1" t="s">
        <v>297</v>
      </c>
      <c r="K210" s="1" t="s">
        <v>298</v>
      </c>
      <c r="L210" s="1" t="s">
        <v>267</v>
      </c>
      <c r="M210" s="1"/>
      <c r="N210" s="1">
        <f t="shared" si="13"/>
        <v>12</v>
      </c>
      <c r="O210" s="65"/>
    </row>
    <row r="211" spans="1:15" ht="15.75" hidden="1" x14ac:dyDescent="0.25">
      <c r="A211" s="1" t="str">
        <f t="shared" si="12"/>
        <v>43810438123MASTER CCTRANSPORTCAREEM</v>
      </c>
      <c r="B211" s="2">
        <v>43810</v>
      </c>
      <c r="C211" s="2">
        <v>43812</v>
      </c>
      <c r="D211" s="3" t="s">
        <v>233</v>
      </c>
      <c r="E211" s="3">
        <v>3</v>
      </c>
      <c r="F211" s="3">
        <v>1</v>
      </c>
      <c r="G211" s="3">
        <f t="shared" si="14"/>
        <v>3</v>
      </c>
      <c r="H211" s="3" t="s">
        <v>291</v>
      </c>
      <c r="I211" s="1" t="s">
        <v>296</v>
      </c>
      <c r="J211" s="1" t="s">
        <v>297</v>
      </c>
      <c r="K211" s="1" t="s">
        <v>298</v>
      </c>
      <c r="L211" s="1" t="s">
        <v>267</v>
      </c>
      <c r="M211" s="1"/>
      <c r="N211" s="1">
        <f t="shared" si="13"/>
        <v>12</v>
      </c>
      <c r="O211" s="65"/>
    </row>
    <row r="212" spans="1:15" ht="15.75" hidden="1" x14ac:dyDescent="0.25">
      <c r="A212" s="1" t="str">
        <f t="shared" si="12"/>
        <v>43811438148.7DINERSTRANSPORTUBER</v>
      </c>
      <c r="B212" s="2">
        <v>43811</v>
      </c>
      <c r="C212" s="2">
        <v>43814</v>
      </c>
      <c r="D212" s="3" t="s">
        <v>238</v>
      </c>
      <c r="E212" s="3">
        <v>8.6999999999999993</v>
      </c>
      <c r="F212" s="3">
        <v>1</v>
      </c>
      <c r="G212" s="3">
        <f t="shared" si="14"/>
        <v>8.6999999999999993</v>
      </c>
      <c r="H212" s="3" t="s">
        <v>266</v>
      </c>
      <c r="I212" s="1" t="s">
        <v>296</v>
      </c>
      <c r="J212" s="1" t="s">
        <v>299</v>
      </c>
      <c r="K212" s="1" t="s">
        <v>298</v>
      </c>
      <c r="L212" s="1" t="s">
        <v>267</v>
      </c>
      <c r="M212" s="1"/>
      <c r="N212" s="1">
        <f t="shared" si="13"/>
        <v>12</v>
      </c>
      <c r="O212" s="87"/>
    </row>
    <row r="213" spans="1:15" ht="15.75" hidden="1" x14ac:dyDescent="0.25">
      <c r="A213" s="1" t="str">
        <f t="shared" si="12"/>
        <v>43811438149.92DINERSTRANSPORTUBER</v>
      </c>
      <c r="B213" s="2">
        <v>43811</v>
      </c>
      <c r="C213" s="2">
        <v>43814</v>
      </c>
      <c r="D213" s="3" t="s">
        <v>239</v>
      </c>
      <c r="E213" s="3">
        <v>9.92</v>
      </c>
      <c r="F213" s="3">
        <v>1</v>
      </c>
      <c r="G213" s="3">
        <f t="shared" si="14"/>
        <v>9.92</v>
      </c>
      <c r="H213" s="3" t="s">
        <v>266</v>
      </c>
      <c r="I213" s="1" t="s">
        <v>296</v>
      </c>
      <c r="J213" s="1" t="s">
        <v>299</v>
      </c>
      <c r="K213" s="1" t="s">
        <v>298</v>
      </c>
      <c r="L213" s="1" t="s">
        <v>267</v>
      </c>
      <c r="M213" s="1"/>
      <c r="N213" s="1">
        <f t="shared" si="13"/>
        <v>12</v>
      </c>
      <c r="O213" s="87"/>
    </row>
    <row r="214" spans="1:15" ht="15.75" hidden="1" x14ac:dyDescent="0.25">
      <c r="A214" s="1" t="str">
        <f t="shared" si="12"/>
        <v>4381143812108.8DINERSGROCERYLULU</v>
      </c>
      <c r="B214" s="2">
        <v>43811</v>
      </c>
      <c r="C214" s="2">
        <v>43812</v>
      </c>
      <c r="D214" s="3" t="s">
        <v>240</v>
      </c>
      <c r="E214" s="3">
        <v>108.8</v>
      </c>
      <c r="F214" s="3">
        <v>1</v>
      </c>
      <c r="G214" s="3">
        <f t="shared" si="14"/>
        <v>108.8</v>
      </c>
      <c r="H214" s="3" t="s">
        <v>266</v>
      </c>
      <c r="I214" s="1" t="s">
        <v>43</v>
      </c>
      <c r="J214" s="1" t="s">
        <v>44</v>
      </c>
      <c r="K214" s="1" t="s">
        <v>298</v>
      </c>
      <c r="L214" s="1" t="s">
        <v>267</v>
      </c>
      <c r="M214" s="1"/>
      <c r="N214" s="1">
        <f t="shared" si="13"/>
        <v>12</v>
      </c>
      <c r="O214" s="87"/>
    </row>
    <row r="215" spans="1:15" ht="15.75" hidden="1" x14ac:dyDescent="0.25">
      <c r="A215" s="1" t="str">
        <f t="shared" si="12"/>
        <v>43811438165.76MASTER CCMEDICALHEALTH CENTER</v>
      </c>
      <c r="B215" s="2">
        <v>43811</v>
      </c>
      <c r="C215" s="2">
        <v>43816</v>
      </c>
      <c r="D215" s="3" t="s">
        <v>237</v>
      </c>
      <c r="E215" s="3">
        <v>5.76</v>
      </c>
      <c r="F215" s="3">
        <v>1</v>
      </c>
      <c r="G215" s="3">
        <f t="shared" si="14"/>
        <v>5.76</v>
      </c>
      <c r="H215" s="3" t="s">
        <v>291</v>
      </c>
      <c r="I215" s="1" t="s">
        <v>301</v>
      </c>
      <c r="J215" s="1" t="s">
        <v>159</v>
      </c>
      <c r="K215" s="1" t="s">
        <v>298</v>
      </c>
      <c r="L215" s="1" t="s">
        <v>267</v>
      </c>
      <c r="M215" s="1"/>
      <c r="N215" s="1">
        <f t="shared" si="13"/>
        <v>12</v>
      </c>
      <c r="O215" s="65"/>
    </row>
    <row r="216" spans="1:15" ht="15.75" hidden="1" x14ac:dyDescent="0.25">
      <c r="A216" s="1" t="str">
        <f t="shared" si="12"/>
        <v>43811438134MASTER CCTRANSPORTCAREEM</v>
      </c>
      <c r="B216" s="2">
        <v>43811</v>
      </c>
      <c r="C216" s="2">
        <v>43813</v>
      </c>
      <c r="D216" s="3" t="s">
        <v>236</v>
      </c>
      <c r="E216" s="3">
        <v>4</v>
      </c>
      <c r="F216" s="3">
        <v>1</v>
      </c>
      <c r="G216" s="3">
        <f t="shared" si="14"/>
        <v>4</v>
      </c>
      <c r="H216" s="3" t="s">
        <v>291</v>
      </c>
      <c r="I216" s="1" t="s">
        <v>296</v>
      </c>
      <c r="J216" s="1" t="s">
        <v>297</v>
      </c>
      <c r="K216" s="1" t="s">
        <v>298</v>
      </c>
      <c r="L216" s="1" t="s">
        <v>267</v>
      </c>
      <c r="M216" s="1"/>
      <c r="N216" s="1">
        <f t="shared" si="13"/>
        <v>12</v>
      </c>
      <c r="O216" s="65"/>
    </row>
    <row r="217" spans="1:15" ht="15.75" hidden="1" x14ac:dyDescent="0.25">
      <c r="A217" s="1" t="str">
        <f t="shared" si="12"/>
        <v>43811438131MASTER CCTRANSPORTCAREEM</v>
      </c>
      <c r="B217" s="2">
        <v>43811</v>
      </c>
      <c r="C217" s="2">
        <v>43813</v>
      </c>
      <c r="D217" s="3" t="s">
        <v>235</v>
      </c>
      <c r="E217" s="3">
        <v>1</v>
      </c>
      <c r="F217" s="3">
        <v>1</v>
      </c>
      <c r="G217" s="3">
        <f t="shared" si="14"/>
        <v>1</v>
      </c>
      <c r="H217" s="3" t="s">
        <v>291</v>
      </c>
      <c r="I217" s="1" t="s">
        <v>296</v>
      </c>
      <c r="J217" s="1" t="s">
        <v>297</v>
      </c>
      <c r="K217" s="1" t="s">
        <v>298</v>
      </c>
      <c r="L217" s="1" t="s">
        <v>267</v>
      </c>
      <c r="M217" s="1"/>
      <c r="N217" s="1">
        <f t="shared" si="13"/>
        <v>12</v>
      </c>
      <c r="O217" s="65"/>
    </row>
    <row r="218" spans="1:15" ht="15.75" hidden="1" x14ac:dyDescent="0.25">
      <c r="A218" s="1" t="str">
        <f t="shared" si="12"/>
        <v>43813438167MASTER CCTRANSPORTCAREEM</v>
      </c>
      <c r="B218" s="2">
        <v>43813</v>
      </c>
      <c r="C218" s="2">
        <v>43816</v>
      </c>
      <c r="D218" s="3" t="s">
        <v>241</v>
      </c>
      <c r="E218" s="3">
        <v>7</v>
      </c>
      <c r="F218" s="3">
        <v>1</v>
      </c>
      <c r="G218" s="3">
        <f t="shared" si="14"/>
        <v>7</v>
      </c>
      <c r="H218" s="3" t="s">
        <v>291</v>
      </c>
      <c r="I218" s="1" t="s">
        <v>296</v>
      </c>
      <c r="J218" s="1" t="s">
        <v>297</v>
      </c>
      <c r="K218" s="1" t="s">
        <v>298</v>
      </c>
      <c r="L218" s="1" t="s">
        <v>267</v>
      </c>
      <c r="M218" s="1"/>
      <c r="N218" s="1">
        <f t="shared" si="13"/>
        <v>12</v>
      </c>
      <c r="O218" s="65"/>
    </row>
    <row r="219" spans="1:15" ht="15.75" hidden="1" x14ac:dyDescent="0.25">
      <c r="A219" s="1" t="str">
        <f t="shared" si="12"/>
        <v>43814438161MASTER CCTRANSPORTCAREEM</v>
      </c>
      <c r="B219" s="2">
        <v>43814</v>
      </c>
      <c r="C219" s="2">
        <v>43816</v>
      </c>
      <c r="D219" s="3" t="s">
        <v>243</v>
      </c>
      <c r="E219" s="3">
        <v>1</v>
      </c>
      <c r="F219" s="3">
        <v>1</v>
      </c>
      <c r="G219" s="3">
        <f t="shared" si="14"/>
        <v>1</v>
      </c>
      <c r="H219" s="3" t="s">
        <v>291</v>
      </c>
      <c r="I219" s="1" t="s">
        <v>296</v>
      </c>
      <c r="J219" s="1" t="s">
        <v>297</v>
      </c>
      <c r="K219" s="1" t="s">
        <v>298</v>
      </c>
      <c r="L219" s="1" t="s">
        <v>267</v>
      </c>
      <c r="M219" s="1"/>
      <c r="N219" s="1">
        <f t="shared" si="13"/>
        <v>12</v>
      </c>
      <c r="O219" s="65"/>
    </row>
    <row r="220" spans="1:15" ht="15.75" hidden="1" x14ac:dyDescent="0.25">
      <c r="A220" s="1" t="str">
        <f t="shared" si="12"/>
        <v>43814438163MASTER CCTRANSPORTCAREEM</v>
      </c>
      <c r="B220" s="2">
        <v>43814</v>
      </c>
      <c r="C220" s="2">
        <v>43816</v>
      </c>
      <c r="D220" s="3" t="s">
        <v>244</v>
      </c>
      <c r="E220" s="3">
        <v>3</v>
      </c>
      <c r="F220" s="3">
        <v>1</v>
      </c>
      <c r="G220" s="3">
        <f t="shared" si="14"/>
        <v>3</v>
      </c>
      <c r="H220" s="3" t="s">
        <v>291</v>
      </c>
      <c r="I220" s="1" t="s">
        <v>296</v>
      </c>
      <c r="J220" s="1" t="s">
        <v>297</v>
      </c>
      <c r="K220" s="1" t="s">
        <v>298</v>
      </c>
      <c r="L220" s="1" t="s">
        <v>267</v>
      </c>
      <c r="M220" s="1"/>
      <c r="N220" s="1">
        <f t="shared" si="13"/>
        <v>12</v>
      </c>
      <c r="O220" s="65"/>
    </row>
    <row r="221" spans="1:15" ht="15.75" hidden="1" x14ac:dyDescent="0.25">
      <c r="A221" s="1" t="str">
        <f t="shared" si="12"/>
        <v>43814438162MASTER CCTRANSPORTCAREEM</v>
      </c>
      <c r="B221" s="2">
        <v>43814</v>
      </c>
      <c r="C221" s="2">
        <v>43816</v>
      </c>
      <c r="D221" s="3" t="s">
        <v>242</v>
      </c>
      <c r="E221" s="3">
        <v>2</v>
      </c>
      <c r="F221" s="3">
        <v>1</v>
      </c>
      <c r="G221" s="3">
        <f t="shared" si="14"/>
        <v>2</v>
      </c>
      <c r="H221" s="3" t="s">
        <v>291</v>
      </c>
      <c r="I221" s="1" t="s">
        <v>296</v>
      </c>
      <c r="J221" s="1" t="s">
        <v>297</v>
      </c>
      <c r="K221" s="1" t="s">
        <v>298</v>
      </c>
      <c r="L221" s="1" t="s">
        <v>267</v>
      </c>
      <c r="M221" s="1"/>
      <c r="N221" s="1">
        <f t="shared" si="13"/>
        <v>12</v>
      </c>
      <c r="O221" s="65"/>
    </row>
    <row r="222" spans="1:15" ht="15.75" hidden="1" x14ac:dyDescent="0.25">
      <c r="A222" s="1" t="str">
        <f t="shared" si="12"/>
        <v>43814438167MASTER CCTRANSPORTCAREEM</v>
      </c>
      <c r="B222" s="2">
        <v>43814</v>
      </c>
      <c r="C222" s="2">
        <v>43816</v>
      </c>
      <c r="D222" s="3" t="s">
        <v>245</v>
      </c>
      <c r="E222" s="3">
        <v>7</v>
      </c>
      <c r="F222" s="3">
        <v>1</v>
      </c>
      <c r="G222" s="3">
        <f t="shared" si="14"/>
        <v>7</v>
      </c>
      <c r="H222" s="3" t="s">
        <v>291</v>
      </c>
      <c r="I222" s="1" t="s">
        <v>296</v>
      </c>
      <c r="J222" s="1" t="s">
        <v>297</v>
      </c>
      <c r="K222" s="1" t="s">
        <v>298</v>
      </c>
      <c r="L222" s="1" t="s">
        <v>267</v>
      </c>
      <c r="M222" s="1"/>
      <c r="N222" s="1">
        <f t="shared" si="13"/>
        <v>12</v>
      </c>
      <c r="O222" s="65"/>
    </row>
    <row r="223" spans="1:15" ht="15.75" hidden="1" x14ac:dyDescent="0.25">
      <c r="A223" s="1" t="str">
        <f t="shared" si="12"/>
        <v>43815438173MASTER CCTRANSPORTCAREEM</v>
      </c>
      <c r="B223" s="2">
        <v>43815</v>
      </c>
      <c r="C223" s="2">
        <v>43817</v>
      </c>
      <c r="D223" s="3" t="s">
        <v>246</v>
      </c>
      <c r="E223" s="3">
        <v>3</v>
      </c>
      <c r="F223" s="3">
        <v>1</v>
      </c>
      <c r="G223" s="3">
        <f t="shared" si="14"/>
        <v>3</v>
      </c>
      <c r="H223" s="3" t="s">
        <v>291</v>
      </c>
      <c r="I223" s="1" t="s">
        <v>296</v>
      </c>
      <c r="J223" s="1" t="s">
        <v>297</v>
      </c>
      <c r="K223" s="1" t="s">
        <v>298</v>
      </c>
      <c r="L223" s="1" t="s">
        <v>267</v>
      </c>
      <c r="M223" s="1"/>
      <c r="N223" s="1">
        <f t="shared" si="13"/>
        <v>12</v>
      </c>
      <c r="O223" s="65"/>
    </row>
    <row r="224" spans="1:15" ht="15.75" hidden="1" x14ac:dyDescent="0.25">
      <c r="A224" s="1" t="str">
        <f t="shared" si="12"/>
        <v>43815438172MASTER CCTRANSPORTCAREEM</v>
      </c>
      <c r="B224" s="2">
        <v>43815</v>
      </c>
      <c r="C224" s="2">
        <v>43817</v>
      </c>
      <c r="D224" s="3" t="s">
        <v>247</v>
      </c>
      <c r="E224" s="3">
        <v>2</v>
      </c>
      <c r="F224" s="3">
        <v>1</v>
      </c>
      <c r="G224" s="3">
        <f t="shared" si="14"/>
        <v>2</v>
      </c>
      <c r="H224" s="3" t="s">
        <v>291</v>
      </c>
      <c r="I224" s="1" t="s">
        <v>296</v>
      </c>
      <c r="J224" s="1" t="s">
        <v>297</v>
      </c>
      <c r="K224" s="1" t="s">
        <v>298</v>
      </c>
      <c r="L224" s="1" t="s">
        <v>267</v>
      </c>
      <c r="M224" s="1"/>
      <c r="N224" s="1">
        <f t="shared" si="13"/>
        <v>12</v>
      </c>
      <c r="O224" s="65"/>
    </row>
    <row r="225" spans="1:15" ht="15.75" hidden="1" x14ac:dyDescent="0.25">
      <c r="A225" s="1" t="str">
        <f t="shared" si="12"/>
        <v>43816438218.51DINERSTRANSPORTUBER</v>
      </c>
      <c r="B225" s="2">
        <v>43816</v>
      </c>
      <c r="C225" s="2">
        <v>43821</v>
      </c>
      <c r="D225" s="3" t="s">
        <v>262</v>
      </c>
      <c r="E225" s="3">
        <v>8.51</v>
      </c>
      <c r="F225" s="3">
        <v>1</v>
      </c>
      <c r="G225" s="3">
        <f t="shared" si="14"/>
        <v>8.51</v>
      </c>
      <c r="H225" s="3" t="s">
        <v>266</v>
      </c>
      <c r="I225" s="1" t="s">
        <v>296</v>
      </c>
      <c r="J225" s="1" t="s">
        <v>299</v>
      </c>
      <c r="K225" s="1" t="s">
        <v>298</v>
      </c>
      <c r="L225" s="1" t="s">
        <v>267</v>
      </c>
      <c r="M225" s="1"/>
      <c r="N225" s="1">
        <f t="shared" si="13"/>
        <v>12</v>
      </c>
      <c r="O225" s="87"/>
    </row>
    <row r="226" spans="1:15" ht="15.75" hidden="1" x14ac:dyDescent="0.25">
      <c r="A226" s="1" t="str">
        <f t="shared" si="12"/>
        <v>43816438218.51DINERSTRANSPORTUBER</v>
      </c>
      <c r="B226" s="2">
        <v>43816</v>
      </c>
      <c r="C226" s="2">
        <v>43821</v>
      </c>
      <c r="D226" s="3" t="s">
        <v>263</v>
      </c>
      <c r="E226" s="3">
        <v>8.51</v>
      </c>
      <c r="F226" s="3">
        <v>1</v>
      </c>
      <c r="G226" s="3">
        <f t="shared" si="14"/>
        <v>8.51</v>
      </c>
      <c r="H226" s="3" t="s">
        <v>266</v>
      </c>
      <c r="I226" s="1" t="s">
        <v>296</v>
      </c>
      <c r="J226" s="1" t="s">
        <v>299</v>
      </c>
      <c r="K226" s="1" t="s">
        <v>298</v>
      </c>
      <c r="L226" s="1" t="s">
        <v>267</v>
      </c>
      <c r="M226" s="1"/>
      <c r="N226" s="1">
        <f t="shared" si="13"/>
        <v>12</v>
      </c>
      <c r="O226" s="87"/>
    </row>
    <row r="227" spans="1:15" ht="15.75" hidden="1" x14ac:dyDescent="0.25">
      <c r="A227" s="1" t="str">
        <f t="shared" si="12"/>
        <v>438164381780DINERSMEDICALPHARMACY</v>
      </c>
      <c r="B227" s="2">
        <v>43816</v>
      </c>
      <c r="C227" s="2">
        <v>43817</v>
      </c>
      <c r="D227" s="3" t="s">
        <v>264</v>
      </c>
      <c r="E227" s="3">
        <v>80</v>
      </c>
      <c r="F227" s="3">
        <v>1</v>
      </c>
      <c r="G227" s="3">
        <f t="shared" si="14"/>
        <v>80</v>
      </c>
      <c r="H227" s="3" t="s">
        <v>266</v>
      </c>
      <c r="I227" s="1" t="s">
        <v>301</v>
      </c>
      <c r="J227" s="1" t="s">
        <v>304</v>
      </c>
      <c r="K227" s="1" t="s">
        <v>298</v>
      </c>
      <c r="L227" s="1" t="s">
        <v>267</v>
      </c>
      <c r="M227" s="1"/>
      <c r="N227" s="1">
        <f t="shared" si="13"/>
        <v>12</v>
      </c>
      <c r="O227" s="87"/>
    </row>
    <row r="228" spans="1:15" ht="15.75" hidden="1" x14ac:dyDescent="0.25">
      <c r="A228" s="1" t="str">
        <f t="shared" si="12"/>
        <v>4381643817299.75DINERSGROCERYLULU</v>
      </c>
      <c r="B228" s="2">
        <v>43816</v>
      </c>
      <c r="C228" s="2">
        <v>43817</v>
      </c>
      <c r="D228" s="3" t="s">
        <v>265</v>
      </c>
      <c r="E228" s="3">
        <v>299.75</v>
      </c>
      <c r="F228" s="3">
        <v>1</v>
      </c>
      <c r="G228" s="3">
        <f t="shared" si="14"/>
        <v>299.75</v>
      </c>
      <c r="H228" s="3" t="s">
        <v>266</v>
      </c>
      <c r="I228" s="1" t="s">
        <v>43</v>
      </c>
      <c r="J228" s="1" t="s">
        <v>44</v>
      </c>
      <c r="K228" s="1" t="s">
        <v>298</v>
      </c>
      <c r="L228" s="1" t="s">
        <v>267</v>
      </c>
      <c r="M228" s="1"/>
      <c r="N228" s="1">
        <f t="shared" si="13"/>
        <v>12</v>
      </c>
      <c r="O228" s="87"/>
    </row>
    <row r="229" spans="1:15" ht="15.75" hidden="1" x14ac:dyDescent="0.25">
      <c r="A229" s="1" t="str">
        <f t="shared" si="12"/>
        <v>43816438187MASTER CCTRANSPORTCAREEM</v>
      </c>
      <c r="B229" s="2">
        <v>43816</v>
      </c>
      <c r="C229" s="2">
        <v>43818</v>
      </c>
      <c r="D229" s="3" t="s">
        <v>249</v>
      </c>
      <c r="E229" s="3">
        <v>7</v>
      </c>
      <c r="F229" s="3">
        <v>1</v>
      </c>
      <c r="G229" s="3">
        <f t="shared" si="14"/>
        <v>7</v>
      </c>
      <c r="H229" s="3" t="s">
        <v>291</v>
      </c>
      <c r="I229" s="1" t="s">
        <v>296</v>
      </c>
      <c r="J229" s="1" t="s">
        <v>297</v>
      </c>
      <c r="K229" s="1" t="s">
        <v>298</v>
      </c>
      <c r="L229" s="1" t="s">
        <v>267</v>
      </c>
      <c r="M229" s="1"/>
      <c r="N229" s="1">
        <f t="shared" si="13"/>
        <v>12</v>
      </c>
      <c r="O229" s="65"/>
    </row>
    <row r="230" spans="1:15" ht="15.75" hidden="1" x14ac:dyDescent="0.25">
      <c r="A230" s="1" t="str">
        <f t="shared" si="12"/>
        <v>43816438185MASTER CCTRANSPORTCAREEM</v>
      </c>
      <c r="B230" s="2">
        <v>43816</v>
      </c>
      <c r="C230" s="2">
        <v>43818</v>
      </c>
      <c r="D230" s="3" t="s">
        <v>248</v>
      </c>
      <c r="E230" s="3">
        <v>5</v>
      </c>
      <c r="F230" s="3">
        <v>1</v>
      </c>
      <c r="G230" s="3">
        <f t="shared" si="14"/>
        <v>5</v>
      </c>
      <c r="H230" s="3" t="s">
        <v>291</v>
      </c>
      <c r="I230" s="1" t="s">
        <v>296</v>
      </c>
      <c r="J230" s="1" t="s">
        <v>297</v>
      </c>
      <c r="K230" s="1" t="s">
        <v>298</v>
      </c>
      <c r="L230" s="1" t="s">
        <v>267</v>
      </c>
      <c r="M230" s="1"/>
      <c r="N230" s="1">
        <f t="shared" si="13"/>
        <v>12</v>
      </c>
      <c r="O230" s="65"/>
    </row>
    <row r="231" spans="1:15" ht="15.75" hidden="1" x14ac:dyDescent="0.25">
      <c r="A231" s="1" t="str">
        <f t="shared" si="12"/>
        <v>43817438216.05DINERSTRANSPORTUBER</v>
      </c>
      <c r="B231" s="2">
        <v>43817</v>
      </c>
      <c r="C231" s="2">
        <v>43821</v>
      </c>
      <c r="D231" s="3" t="s">
        <v>261</v>
      </c>
      <c r="E231" s="3">
        <v>6.05</v>
      </c>
      <c r="F231" s="3">
        <v>1</v>
      </c>
      <c r="G231" s="3">
        <f t="shared" si="14"/>
        <v>6.05</v>
      </c>
      <c r="H231" s="3" t="s">
        <v>266</v>
      </c>
      <c r="I231" s="1" t="s">
        <v>296</v>
      </c>
      <c r="J231" s="1" t="s">
        <v>299</v>
      </c>
      <c r="K231" s="1" t="s">
        <v>298</v>
      </c>
      <c r="L231" s="1" t="s">
        <v>267</v>
      </c>
      <c r="M231" s="1"/>
      <c r="N231" s="1">
        <f t="shared" si="13"/>
        <v>12</v>
      </c>
      <c r="O231" s="87"/>
    </row>
    <row r="232" spans="1:15" ht="15.75" hidden="1" x14ac:dyDescent="0.25">
      <c r="A232" s="1" t="str">
        <f t="shared" si="12"/>
        <v>438174382320MASTER CCTELECOMOOREDOO</v>
      </c>
      <c r="B232" s="2">
        <v>43817</v>
      </c>
      <c r="C232" s="2">
        <v>43823</v>
      </c>
      <c r="D232" s="3" t="s">
        <v>290</v>
      </c>
      <c r="E232" s="3">
        <v>20</v>
      </c>
      <c r="F232" s="3">
        <v>1</v>
      </c>
      <c r="G232" s="3">
        <f t="shared" si="14"/>
        <v>20</v>
      </c>
      <c r="H232" s="3" t="s">
        <v>291</v>
      </c>
      <c r="I232" s="1" t="s">
        <v>58</v>
      </c>
      <c r="J232" s="1" t="s">
        <v>59</v>
      </c>
      <c r="K232" s="1" t="s">
        <v>298</v>
      </c>
      <c r="L232" s="1" t="s">
        <v>267</v>
      </c>
      <c r="M232" s="1"/>
      <c r="N232" s="1">
        <f t="shared" si="13"/>
        <v>12</v>
      </c>
      <c r="O232" s="65"/>
    </row>
    <row r="233" spans="1:15" ht="15.75" hidden="1" x14ac:dyDescent="0.25">
      <c r="A233" s="1" t="str">
        <f t="shared" si="12"/>
        <v>43818438181250CURRENTSAVINGSELF</v>
      </c>
      <c r="B233" s="2">
        <v>43818</v>
      </c>
      <c r="C233" s="2">
        <f>B233</f>
        <v>43818</v>
      </c>
      <c r="D233" s="3" t="s">
        <v>292</v>
      </c>
      <c r="E233" s="3">
        <v>-1250</v>
      </c>
      <c r="F233" s="3">
        <v>1</v>
      </c>
      <c r="G233" s="3">
        <f t="shared" si="14"/>
        <v>1250</v>
      </c>
      <c r="H233" s="3" t="s">
        <v>293</v>
      </c>
      <c r="I233" s="1" t="s">
        <v>302</v>
      </c>
      <c r="J233" s="1" t="s">
        <v>14</v>
      </c>
      <c r="K233" s="1" t="s">
        <v>298</v>
      </c>
      <c r="L233" s="1" t="s">
        <v>257</v>
      </c>
      <c r="M233" s="1"/>
      <c r="N233" s="1">
        <f t="shared" si="13"/>
        <v>12</v>
      </c>
      <c r="O233" s="65"/>
    </row>
    <row r="234" spans="1:15" ht="15.75" hidden="1" x14ac:dyDescent="0.25">
      <c r="A234" s="1" t="str">
        <f t="shared" si="12"/>
        <v>43818438205MASTER CCTRANSPORTCAREEM</v>
      </c>
      <c r="B234" s="2">
        <v>43818</v>
      </c>
      <c r="C234" s="2">
        <v>43820</v>
      </c>
      <c r="D234" s="3" t="s">
        <v>289</v>
      </c>
      <c r="E234" s="3">
        <v>5</v>
      </c>
      <c r="F234" s="3">
        <v>1</v>
      </c>
      <c r="G234" s="3">
        <f t="shared" si="14"/>
        <v>5</v>
      </c>
      <c r="H234" s="3" t="s">
        <v>291</v>
      </c>
      <c r="I234" s="1" t="s">
        <v>296</v>
      </c>
      <c r="J234" s="1" t="s">
        <v>297</v>
      </c>
      <c r="K234" s="1" t="s">
        <v>298</v>
      </c>
      <c r="L234" s="1" t="s">
        <v>267</v>
      </c>
      <c r="M234" s="1"/>
      <c r="N234" s="1">
        <f t="shared" si="13"/>
        <v>12</v>
      </c>
      <c r="O234" s="65"/>
    </row>
    <row r="235" spans="1:15" ht="15.75" hidden="1" x14ac:dyDescent="0.25">
      <c r="A235" s="1" t="str">
        <f t="shared" si="12"/>
        <v>43818438201MASTER CCTRANSPORTCAREEM</v>
      </c>
      <c r="B235" s="2">
        <v>43818</v>
      </c>
      <c r="C235" s="2">
        <v>43820</v>
      </c>
      <c r="D235" s="3" t="s">
        <v>288</v>
      </c>
      <c r="E235" s="3">
        <v>1</v>
      </c>
      <c r="F235" s="3">
        <v>1</v>
      </c>
      <c r="G235" s="3">
        <f t="shared" si="14"/>
        <v>1</v>
      </c>
      <c r="H235" s="3" t="s">
        <v>291</v>
      </c>
      <c r="I235" s="1" t="s">
        <v>296</v>
      </c>
      <c r="J235" s="1" t="s">
        <v>297</v>
      </c>
      <c r="K235" s="1" t="s">
        <v>298</v>
      </c>
      <c r="L235" s="1" t="s">
        <v>267</v>
      </c>
      <c r="M235" s="1"/>
      <c r="N235" s="1">
        <f t="shared" si="13"/>
        <v>12</v>
      </c>
      <c r="O235" s="65"/>
    </row>
    <row r="236" spans="1:15" ht="15.75" hidden="1" x14ac:dyDescent="0.25">
      <c r="A236" s="1" t="str">
        <f t="shared" si="12"/>
        <v>43819438230DINERSTRANSPORTUBER</v>
      </c>
      <c r="B236" s="2">
        <v>43819</v>
      </c>
      <c r="C236" s="2">
        <v>43823</v>
      </c>
      <c r="D236" s="3" t="s">
        <v>260</v>
      </c>
      <c r="E236" s="3">
        <v>8.17</v>
      </c>
      <c r="F236" s="3">
        <v>0</v>
      </c>
      <c r="G236" s="3">
        <f t="shared" si="14"/>
        <v>0</v>
      </c>
      <c r="H236" s="3" t="s">
        <v>266</v>
      </c>
      <c r="I236" s="1" t="s">
        <v>296</v>
      </c>
      <c r="J236" s="1" t="s">
        <v>299</v>
      </c>
      <c r="K236" s="1" t="s">
        <v>298</v>
      </c>
      <c r="L236" s="1" t="s">
        <v>267</v>
      </c>
      <c r="M236" s="1"/>
      <c r="N236" s="1">
        <f t="shared" si="13"/>
        <v>12</v>
      </c>
      <c r="O236" s="87"/>
    </row>
    <row r="237" spans="1:15" ht="15.75" hidden="1" x14ac:dyDescent="0.25">
      <c r="A237" s="1" t="str">
        <f t="shared" si="12"/>
        <v>43819438230DINERSTRANSPORTUBER</v>
      </c>
      <c r="B237" s="2">
        <v>43819</v>
      </c>
      <c r="C237" s="2">
        <v>43823</v>
      </c>
      <c r="D237" s="3" t="s">
        <v>260</v>
      </c>
      <c r="E237" s="3">
        <v>-8.17</v>
      </c>
      <c r="F237" s="3">
        <v>0</v>
      </c>
      <c r="G237" s="3">
        <f t="shared" si="14"/>
        <v>0</v>
      </c>
      <c r="H237" s="3" t="s">
        <v>266</v>
      </c>
      <c r="I237" s="1" t="s">
        <v>296</v>
      </c>
      <c r="J237" s="1" t="s">
        <v>299</v>
      </c>
      <c r="K237" s="1" t="s">
        <v>300</v>
      </c>
      <c r="L237" s="1" t="s">
        <v>267</v>
      </c>
      <c r="M237" s="1"/>
      <c r="N237" s="1">
        <f t="shared" si="13"/>
        <v>12</v>
      </c>
      <c r="O237" s="87"/>
    </row>
    <row r="238" spans="1:15" ht="15.75" hidden="1" x14ac:dyDescent="0.25">
      <c r="A238" s="1" t="str">
        <f t="shared" si="12"/>
        <v>43819438236.93DINERSTRANSPORTUBER</v>
      </c>
      <c r="B238" s="2">
        <v>43819</v>
      </c>
      <c r="C238" s="2">
        <v>43823</v>
      </c>
      <c r="D238" s="3" t="s">
        <v>259</v>
      </c>
      <c r="E238" s="3">
        <v>6.93</v>
      </c>
      <c r="F238" s="3">
        <v>1</v>
      </c>
      <c r="G238" s="3">
        <f t="shared" si="14"/>
        <v>6.93</v>
      </c>
      <c r="H238" s="3" t="s">
        <v>266</v>
      </c>
      <c r="I238" s="1" t="s">
        <v>296</v>
      </c>
      <c r="J238" s="1" t="s">
        <v>299</v>
      </c>
      <c r="K238" s="1" t="s">
        <v>298</v>
      </c>
      <c r="L238" s="1" t="s">
        <v>267</v>
      </c>
      <c r="M238" s="1"/>
      <c r="N238" s="1">
        <f t="shared" si="13"/>
        <v>12</v>
      </c>
      <c r="O238" s="87"/>
    </row>
    <row r="239" spans="1:15" ht="15.75" hidden="1" x14ac:dyDescent="0.25">
      <c r="A239" s="1" t="str">
        <f t="shared" si="12"/>
        <v>4382043820333.17DINERSSHOPPINGLULU</v>
      </c>
      <c r="B239" s="2">
        <v>43820</v>
      </c>
      <c r="C239" s="2">
        <v>43820</v>
      </c>
      <c r="D239" s="3" t="s">
        <v>53</v>
      </c>
      <c r="E239" s="3">
        <v>333.17</v>
      </c>
      <c r="F239" s="3">
        <v>1</v>
      </c>
      <c r="G239" s="3">
        <f t="shared" si="14"/>
        <v>333.17</v>
      </c>
      <c r="H239" s="3" t="s">
        <v>266</v>
      </c>
      <c r="I239" s="1" t="s">
        <v>194</v>
      </c>
      <c r="J239" s="1" t="s">
        <v>44</v>
      </c>
      <c r="K239" s="1" t="s">
        <v>298</v>
      </c>
      <c r="L239" s="1" t="s">
        <v>267</v>
      </c>
      <c r="M239" s="1">
        <v>1</v>
      </c>
      <c r="N239" s="1">
        <f t="shared" si="13"/>
        <v>12</v>
      </c>
      <c r="O239" s="87"/>
    </row>
    <row r="240" spans="1:15" ht="15.75" hidden="1" x14ac:dyDescent="0.25">
      <c r="A240" s="1" t="str">
        <f t="shared" si="12"/>
        <v>438204382363.75MASTER CCGROCERYCARREFOUR</v>
      </c>
      <c r="B240" s="2">
        <v>43820</v>
      </c>
      <c r="C240" s="2">
        <v>43823</v>
      </c>
      <c r="D240" s="3" t="s">
        <v>285</v>
      </c>
      <c r="E240" s="3">
        <v>63.75</v>
      </c>
      <c r="F240" s="3">
        <v>1</v>
      </c>
      <c r="G240" s="3">
        <f t="shared" si="14"/>
        <v>63.75</v>
      </c>
      <c r="H240" s="3" t="s">
        <v>291</v>
      </c>
      <c r="I240" s="1" t="s">
        <v>43</v>
      </c>
      <c r="J240" s="1" t="s">
        <v>67</v>
      </c>
      <c r="K240" s="1" t="s">
        <v>298</v>
      </c>
      <c r="L240" s="1" t="s">
        <v>267</v>
      </c>
      <c r="M240" s="1"/>
      <c r="N240" s="1">
        <f t="shared" si="13"/>
        <v>12</v>
      </c>
      <c r="O240" s="65"/>
    </row>
    <row r="241" spans="1:15" ht="15.75" hidden="1" x14ac:dyDescent="0.25">
      <c r="A241" s="1" t="str">
        <f t="shared" si="12"/>
        <v>43820438231MASTER CCTRANSPORTCAREEM</v>
      </c>
      <c r="B241" s="2">
        <v>43820</v>
      </c>
      <c r="C241" s="2">
        <v>43823</v>
      </c>
      <c r="D241" s="3" t="s">
        <v>286</v>
      </c>
      <c r="E241" s="3">
        <v>1</v>
      </c>
      <c r="F241" s="3">
        <v>1</v>
      </c>
      <c r="G241" s="3">
        <f t="shared" si="14"/>
        <v>1</v>
      </c>
      <c r="H241" s="3" t="s">
        <v>291</v>
      </c>
      <c r="I241" s="1" t="s">
        <v>296</v>
      </c>
      <c r="J241" s="1" t="s">
        <v>297</v>
      </c>
      <c r="K241" s="1" t="s">
        <v>298</v>
      </c>
      <c r="L241" s="1" t="s">
        <v>267</v>
      </c>
      <c r="M241" s="1"/>
      <c r="N241" s="1">
        <f t="shared" si="13"/>
        <v>12</v>
      </c>
      <c r="O241" s="65"/>
    </row>
    <row r="242" spans="1:15" ht="15.75" hidden="1" x14ac:dyDescent="0.25">
      <c r="A242" s="1" t="str">
        <f t="shared" si="12"/>
        <v>43820438232MASTER CCTRANSPORTCAREEM</v>
      </c>
      <c r="B242" s="2">
        <v>43820</v>
      </c>
      <c r="C242" s="2">
        <v>43823</v>
      </c>
      <c r="D242" s="3" t="s">
        <v>284</v>
      </c>
      <c r="E242" s="3">
        <v>2</v>
      </c>
      <c r="F242" s="3">
        <v>1</v>
      </c>
      <c r="G242" s="3">
        <f t="shared" si="14"/>
        <v>2</v>
      </c>
      <c r="H242" s="3" t="s">
        <v>291</v>
      </c>
      <c r="I242" s="1" t="s">
        <v>296</v>
      </c>
      <c r="J242" s="1" t="s">
        <v>297</v>
      </c>
      <c r="K242" s="1" t="s">
        <v>298</v>
      </c>
      <c r="L242" s="1" t="s">
        <v>267</v>
      </c>
      <c r="M242" s="1"/>
      <c r="N242" s="1">
        <f t="shared" si="13"/>
        <v>12</v>
      </c>
      <c r="O242" s="65"/>
    </row>
    <row r="243" spans="1:15" ht="15.75" hidden="1" x14ac:dyDescent="0.25">
      <c r="A243" s="1" t="str">
        <f t="shared" si="12"/>
        <v>43820438234MASTER CCTRANSPORTCAREEM</v>
      </c>
      <c r="B243" s="2">
        <v>43820</v>
      </c>
      <c r="C243" s="2">
        <v>43823</v>
      </c>
      <c r="D243" s="3" t="s">
        <v>287</v>
      </c>
      <c r="E243" s="3">
        <v>4</v>
      </c>
      <c r="F243" s="3">
        <v>1</v>
      </c>
      <c r="G243" s="3">
        <f t="shared" si="14"/>
        <v>4</v>
      </c>
      <c r="H243" s="3" t="s">
        <v>291</v>
      </c>
      <c r="I243" s="1" t="s">
        <v>296</v>
      </c>
      <c r="J243" s="1" t="s">
        <v>297</v>
      </c>
      <c r="K243" s="1" t="s">
        <v>298</v>
      </c>
      <c r="L243" s="1" t="s">
        <v>267</v>
      </c>
      <c r="M243" s="1"/>
      <c r="N243" s="1">
        <f t="shared" si="13"/>
        <v>12</v>
      </c>
      <c r="O243" s="65"/>
    </row>
    <row r="244" spans="1:15" ht="15.75" hidden="1" x14ac:dyDescent="0.25">
      <c r="A244" s="1" t="str">
        <f t="shared" si="12"/>
        <v>43821438236.79DINERSTRANSPORTUBER</v>
      </c>
      <c r="B244" s="2">
        <v>43821</v>
      </c>
      <c r="C244" s="2">
        <v>43823</v>
      </c>
      <c r="D244" s="3" t="s">
        <v>258</v>
      </c>
      <c r="E244" s="3">
        <v>6.79</v>
      </c>
      <c r="F244" s="3">
        <v>1</v>
      </c>
      <c r="G244" s="3">
        <f t="shared" si="14"/>
        <v>6.79</v>
      </c>
      <c r="H244" s="3" t="s">
        <v>266</v>
      </c>
      <c r="I244" s="1" t="s">
        <v>296</v>
      </c>
      <c r="J244" s="1" t="s">
        <v>299</v>
      </c>
      <c r="K244" s="1" t="s">
        <v>298</v>
      </c>
      <c r="L244" s="1" t="s">
        <v>267</v>
      </c>
      <c r="M244" s="1"/>
      <c r="N244" s="1">
        <f t="shared" si="13"/>
        <v>12</v>
      </c>
      <c r="O244" s="87"/>
    </row>
    <row r="245" spans="1:15" ht="15.75" hidden="1" x14ac:dyDescent="0.25">
      <c r="A245" s="1" t="str">
        <f t="shared" si="12"/>
        <v>43821438232MASTER CCTRANSPORTCAREEM</v>
      </c>
      <c r="B245" s="2">
        <v>43821</v>
      </c>
      <c r="C245" s="2">
        <v>43823</v>
      </c>
      <c r="D245" s="3" t="s">
        <v>282</v>
      </c>
      <c r="E245" s="3">
        <v>2</v>
      </c>
      <c r="F245" s="3">
        <v>1</v>
      </c>
      <c r="G245" s="3">
        <f t="shared" si="14"/>
        <v>2</v>
      </c>
      <c r="H245" s="3" t="s">
        <v>291</v>
      </c>
      <c r="I245" s="1" t="s">
        <v>296</v>
      </c>
      <c r="J245" s="1" t="s">
        <v>297</v>
      </c>
      <c r="K245" s="1" t="s">
        <v>298</v>
      </c>
      <c r="L245" s="1" t="s">
        <v>267</v>
      </c>
      <c r="M245" s="1"/>
      <c r="N245" s="1">
        <f t="shared" si="13"/>
        <v>12</v>
      </c>
      <c r="O245" s="65"/>
    </row>
    <row r="246" spans="1:15" ht="15.75" hidden="1" x14ac:dyDescent="0.25">
      <c r="A246" s="1" t="str">
        <f t="shared" si="12"/>
        <v>43821438231MASTER CCTRANSPORTCAREEM</v>
      </c>
      <c r="B246" s="2">
        <v>43821</v>
      </c>
      <c r="C246" s="2">
        <v>43823</v>
      </c>
      <c r="D246" s="3" t="s">
        <v>280</v>
      </c>
      <c r="E246" s="3">
        <v>1</v>
      </c>
      <c r="F246" s="3">
        <v>1</v>
      </c>
      <c r="G246" s="3">
        <f t="shared" si="14"/>
        <v>1</v>
      </c>
      <c r="H246" s="3" t="s">
        <v>291</v>
      </c>
      <c r="I246" s="1" t="s">
        <v>296</v>
      </c>
      <c r="J246" s="1" t="s">
        <v>297</v>
      </c>
      <c r="K246" s="1" t="s">
        <v>298</v>
      </c>
      <c r="L246" s="1" t="s">
        <v>267</v>
      </c>
      <c r="M246" s="1"/>
      <c r="N246" s="1">
        <f t="shared" si="13"/>
        <v>12</v>
      </c>
      <c r="O246" s="65"/>
    </row>
    <row r="247" spans="1:15" ht="15.75" hidden="1" x14ac:dyDescent="0.25">
      <c r="A247" s="1" t="str">
        <f t="shared" si="12"/>
        <v>43821438232MASTER CCTRANSPORTCAREEM</v>
      </c>
      <c r="B247" s="2">
        <v>43821</v>
      </c>
      <c r="C247" s="2">
        <v>43823</v>
      </c>
      <c r="D247" s="3" t="s">
        <v>283</v>
      </c>
      <c r="E247" s="3">
        <v>2</v>
      </c>
      <c r="F247" s="3">
        <v>1</v>
      </c>
      <c r="G247" s="3">
        <f t="shared" si="14"/>
        <v>2</v>
      </c>
      <c r="H247" s="3" t="s">
        <v>291</v>
      </c>
      <c r="I247" s="1" t="s">
        <v>296</v>
      </c>
      <c r="J247" s="1" t="s">
        <v>297</v>
      </c>
      <c r="K247" s="1" t="s">
        <v>298</v>
      </c>
      <c r="L247" s="1" t="s">
        <v>267</v>
      </c>
      <c r="M247" s="1"/>
      <c r="N247" s="1">
        <f t="shared" si="13"/>
        <v>12</v>
      </c>
      <c r="O247" s="65"/>
    </row>
    <row r="248" spans="1:15" ht="15.75" hidden="1" x14ac:dyDescent="0.25">
      <c r="A248" s="1" t="str">
        <f t="shared" si="12"/>
        <v>4382143823160MASTER CCTRANSPORTCAREEM</v>
      </c>
      <c r="B248" s="2">
        <v>43821</v>
      </c>
      <c r="C248" s="2">
        <v>43823</v>
      </c>
      <c r="D248" s="3" t="s">
        <v>281</v>
      </c>
      <c r="E248" s="3">
        <v>160</v>
      </c>
      <c r="F248" s="3">
        <v>1</v>
      </c>
      <c r="G248" s="3">
        <f t="shared" si="14"/>
        <v>160</v>
      </c>
      <c r="H248" s="3" t="s">
        <v>291</v>
      </c>
      <c r="I248" s="1" t="s">
        <v>296</v>
      </c>
      <c r="J248" s="1" t="s">
        <v>297</v>
      </c>
      <c r="K248" s="1" t="s">
        <v>298</v>
      </c>
      <c r="L248" s="1" t="s">
        <v>267</v>
      </c>
      <c r="M248" s="1"/>
      <c r="N248" s="1">
        <f t="shared" si="13"/>
        <v>12</v>
      </c>
      <c r="O248" s="65"/>
    </row>
    <row r="249" spans="1:15" ht="15.75" hidden="1" x14ac:dyDescent="0.25">
      <c r="A249" s="1" t="str">
        <f t="shared" si="12"/>
        <v>438224382414MASTER CCFOODQATAR AIR</v>
      </c>
      <c r="B249" s="2">
        <v>43822</v>
      </c>
      <c r="C249" s="2">
        <v>43824</v>
      </c>
      <c r="D249" s="3" t="s">
        <v>277</v>
      </c>
      <c r="E249" s="3">
        <v>14</v>
      </c>
      <c r="F249" s="3">
        <v>1</v>
      </c>
      <c r="G249" s="3">
        <f t="shared" si="14"/>
        <v>14</v>
      </c>
      <c r="H249" s="3" t="s">
        <v>291</v>
      </c>
      <c r="I249" s="1" t="s">
        <v>10</v>
      </c>
      <c r="J249" s="1" t="s">
        <v>19</v>
      </c>
      <c r="K249" s="1" t="s">
        <v>298</v>
      </c>
      <c r="L249" s="1" t="s">
        <v>267</v>
      </c>
      <c r="M249" s="1"/>
      <c r="N249" s="1">
        <f t="shared" si="13"/>
        <v>12</v>
      </c>
      <c r="O249" s="65"/>
    </row>
    <row r="250" spans="1:15" ht="15.75" hidden="1" x14ac:dyDescent="0.25">
      <c r="A250" s="1" t="str">
        <f t="shared" si="12"/>
        <v>43822438244MASTER CCTRANSPORTCAREEM</v>
      </c>
      <c r="B250" s="2">
        <v>43822</v>
      </c>
      <c r="C250" s="2">
        <v>43824</v>
      </c>
      <c r="D250" s="3" t="s">
        <v>279</v>
      </c>
      <c r="E250" s="3">
        <v>4</v>
      </c>
      <c r="F250" s="3">
        <v>1</v>
      </c>
      <c r="G250" s="3">
        <f t="shared" si="14"/>
        <v>4</v>
      </c>
      <c r="H250" s="3" t="s">
        <v>291</v>
      </c>
      <c r="I250" s="1" t="s">
        <v>296</v>
      </c>
      <c r="J250" s="1" t="s">
        <v>297</v>
      </c>
      <c r="K250" s="1" t="s">
        <v>298</v>
      </c>
      <c r="L250" s="1" t="s">
        <v>267</v>
      </c>
      <c r="M250" s="1"/>
      <c r="N250" s="1">
        <f t="shared" si="13"/>
        <v>12</v>
      </c>
      <c r="O250" s="65"/>
    </row>
    <row r="251" spans="1:15" ht="15.75" hidden="1" x14ac:dyDescent="0.25">
      <c r="A251" s="1" t="str">
        <f t="shared" si="12"/>
        <v>43822438242MASTER CCTRANSPORTCAREEM</v>
      </c>
      <c r="B251" s="2">
        <v>43822</v>
      </c>
      <c r="C251" s="2">
        <v>43824</v>
      </c>
      <c r="D251" s="3" t="s">
        <v>278</v>
      </c>
      <c r="E251" s="3">
        <v>2</v>
      </c>
      <c r="F251" s="3">
        <v>1</v>
      </c>
      <c r="G251" s="3">
        <f t="shared" si="14"/>
        <v>2</v>
      </c>
      <c r="H251" s="3" t="s">
        <v>291</v>
      </c>
      <c r="I251" s="1" t="s">
        <v>296</v>
      </c>
      <c r="J251" s="1" t="s">
        <v>297</v>
      </c>
      <c r="K251" s="1" t="s">
        <v>298</v>
      </c>
      <c r="L251" s="1" t="s">
        <v>267</v>
      </c>
      <c r="M251" s="1"/>
      <c r="N251" s="1">
        <f t="shared" si="13"/>
        <v>12</v>
      </c>
      <c r="O251" s="65"/>
    </row>
    <row r="252" spans="1:15" ht="15.75" hidden="1" x14ac:dyDescent="0.25">
      <c r="A252" s="1" t="str">
        <f t="shared" si="12"/>
        <v>438234382320MASTER CCTELECOMOOREDOO</v>
      </c>
      <c r="B252" s="2">
        <v>43823</v>
      </c>
      <c r="C252" s="2">
        <f>B252</f>
        <v>43823</v>
      </c>
      <c r="D252" s="3" t="s">
        <v>274</v>
      </c>
      <c r="E252" s="3">
        <v>20</v>
      </c>
      <c r="F252" s="3">
        <v>1</v>
      </c>
      <c r="G252" s="3">
        <f t="shared" si="14"/>
        <v>20</v>
      </c>
      <c r="H252" s="3" t="s">
        <v>291</v>
      </c>
      <c r="I252" s="1" t="s">
        <v>58</v>
      </c>
      <c r="J252" s="1" t="s">
        <v>59</v>
      </c>
      <c r="K252" s="1" t="s">
        <v>298</v>
      </c>
      <c r="L252" s="1" t="s">
        <v>267</v>
      </c>
      <c r="M252" s="1"/>
      <c r="N252" s="1">
        <f t="shared" si="13"/>
        <v>12</v>
      </c>
      <c r="O252" s="65"/>
    </row>
    <row r="253" spans="1:15" ht="15.75" hidden="1" x14ac:dyDescent="0.25">
      <c r="A253" s="1" t="str">
        <f t="shared" si="12"/>
        <v>438234382518MASTER CCTRANSPORTCAREEM</v>
      </c>
      <c r="B253" s="2">
        <v>43823</v>
      </c>
      <c r="C253" s="2">
        <v>43825</v>
      </c>
      <c r="D253" s="3" t="s">
        <v>276</v>
      </c>
      <c r="E253" s="3">
        <v>18</v>
      </c>
      <c r="F253" s="3">
        <v>1</v>
      </c>
      <c r="G253" s="3">
        <f t="shared" si="14"/>
        <v>18</v>
      </c>
      <c r="H253" s="3" t="s">
        <v>291</v>
      </c>
      <c r="I253" s="1" t="s">
        <v>296</v>
      </c>
      <c r="J253" s="1" t="s">
        <v>297</v>
      </c>
      <c r="K253" s="1" t="s">
        <v>298</v>
      </c>
      <c r="L253" s="1" t="s">
        <v>267</v>
      </c>
      <c r="M253" s="1"/>
      <c r="N253" s="1">
        <f t="shared" si="13"/>
        <v>12</v>
      </c>
      <c r="O253" s="65"/>
    </row>
    <row r="254" spans="1:15" ht="15.75" hidden="1" x14ac:dyDescent="0.25">
      <c r="A254" s="1" t="str">
        <f t="shared" si="12"/>
        <v>43823438251MASTER CCTRANSPORTCAREEM</v>
      </c>
      <c r="B254" s="2">
        <v>43823</v>
      </c>
      <c r="C254" s="2">
        <v>43825</v>
      </c>
      <c r="D254" s="3" t="s">
        <v>275</v>
      </c>
      <c r="E254" s="3">
        <v>1</v>
      </c>
      <c r="F254" s="3">
        <v>1</v>
      </c>
      <c r="G254" s="3">
        <f t="shared" si="14"/>
        <v>1</v>
      </c>
      <c r="H254" s="3" t="s">
        <v>291</v>
      </c>
      <c r="I254" s="1" t="s">
        <v>296</v>
      </c>
      <c r="J254" s="1" t="s">
        <v>297</v>
      </c>
      <c r="K254" s="1" t="s">
        <v>298</v>
      </c>
      <c r="L254" s="1" t="s">
        <v>267</v>
      </c>
      <c r="M254" s="1"/>
      <c r="N254" s="1">
        <f t="shared" si="13"/>
        <v>12</v>
      </c>
      <c r="O254" s="65"/>
    </row>
    <row r="255" spans="1:15" ht="15.75" hidden="1" x14ac:dyDescent="0.25">
      <c r="A255" s="1" t="str">
        <f t="shared" si="12"/>
        <v>438244382410MASTER CCFOODQATAR AIR</v>
      </c>
      <c r="B255" s="2">
        <v>43824</v>
      </c>
      <c r="C255" s="2">
        <f>B255</f>
        <v>43824</v>
      </c>
      <c r="D255" s="3" t="s">
        <v>271</v>
      </c>
      <c r="E255" s="3">
        <v>10</v>
      </c>
      <c r="F255" s="3">
        <v>1</v>
      </c>
      <c r="G255" s="3">
        <f t="shared" si="14"/>
        <v>10</v>
      </c>
      <c r="H255" s="3" t="s">
        <v>291</v>
      </c>
      <c r="I255" s="1" t="s">
        <v>10</v>
      </c>
      <c r="J255" s="1" t="s">
        <v>19</v>
      </c>
      <c r="K255" s="1" t="s">
        <v>298</v>
      </c>
      <c r="L255" s="1" t="s">
        <v>267</v>
      </c>
      <c r="M255" s="1"/>
      <c r="N255" s="1">
        <f t="shared" si="13"/>
        <v>12</v>
      </c>
      <c r="O255" s="65"/>
    </row>
    <row r="256" spans="1:15" ht="15.75" hidden="1" x14ac:dyDescent="0.25">
      <c r="A256" s="1" t="str">
        <f t="shared" si="12"/>
        <v>43824438243MASTER CCTRANSPORTCAREEM</v>
      </c>
      <c r="B256" s="2">
        <v>43824</v>
      </c>
      <c r="C256" s="2">
        <f>B256</f>
        <v>43824</v>
      </c>
      <c r="D256" s="3" t="s">
        <v>272</v>
      </c>
      <c r="E256" s="3">
        <v>3</v>
      </c>
      <c r="F256" s="3">
        <v>1</v>
      </c>
      <c r="G256" s="3">
        <f t="shared" si="14"/>
        <v>3</v>
      </c>
      <c r="H256" s="3" t="s">
        <v>291</v>
      </c>
      <c r="I256" s="1" t="s">
        <v>296</v>
      </c>
      <c r="J256" s="1" t="s">
        <v>297</v>
      </c>
      <c r="K256" s="1" t="s">
        <v>298</v>
      </c>
      <c r="L256" s="1" t="s">
        <v>267</v>
      </c>
      <c r="M256" s="1"/>
      <c r="N256" s="1">
        <f t="shared" si="13"/>
        <v>12</v>
      </c>
      <c r="O256" s="65"/>
    </row>
    <row r="257" spans="1:15" ht="15.75" hidden="1" x14ac:dyDescent="0.25">
      <c r="A257" s="1" t="str">
        <f t="shared" si="12"/>
        <v>43824438247MASTER CCTRANSPORTCAREEM</v>
      </c>
      <c r="B257" s="2">
        <v>43824</v>
      </c>
      <c r="C257" s="2">
        <f>B257</f>
        <v>43824</v>
      </c>
      <c r="D257" s="3" t="s">
        <v>273</v>
      </c>
      <c r="E257" s="3">
        <v>7</v>
      </c>
      <c r="F257" s="3">
        <v>1</v>
      </c>
      <c r="G257" s="3">
        <f t="shared" si="14"/>
        <v>7</v>
      </c>
      <c r="H257" s="3" t="s">
        <v>291</v>
      </c>
      <c r="I257" s="1" t="s">
        <v>296</v>
      </c>
      <c r="J257" s="1" t="s">
        <v>297</v>
      </c>
      <c r="K257" s="1" t="s">
        <v>298</v>
      </c>
      <c r="L257" s="1" t="s">
        <v>267</v>
      </c>
      <c r="M257" s="1"/>
      <c r="N257" s="1">
        <f t="shared" si="13"/>
        <v>12</v>
      </c>
      <c r="O257" s="65"/>
    </row>
    <row r="258" spans="1:15" ht="15.75" hidden="1" x14ac:dyDescent="0.25">
      <c r="A258" s="1" t="str">
        <f t="shared" ref="A258:A321" si="15">B258&amp;C258&amp;G258&amp;H258&amp;I258&amp;J258</f>
        <v>43825438252MASTER CCTRANSPORTCAREEM</v>
      </c>
      <c r="B258" s="2">
        <v>43825</v>
      </c>
      <c r="C258" s="2">
        <f>B258</f>
        <v>43825</v>
      </c>
      <c r="D258" s="3" t="s">
        <v>269</v>
      </c>
      <c r="E258" s="3">
        <v>2</v>
      </c>
      <c r="F258" s="3">
        <v>1</v>
      </c>
      <c r="G258" s="3">
        <f t="shared" si="14"/>
        <v>2</v>
      </c>
      <c r="H258" s="3" t="s">
        <v>291</v>
      </c>
      <c r="I258" s="1" t="s">
        <v>296</v>
      </c>
      <c r="J258" s="1" t="s">
        <v>297</v>
      </c>
      <c r="K258" s="1" t="s">
        <v>298</v>
      </c>
      <c r="L258" s="1" t="s">
        <v>267</v>
      </c>
      <c r="M258" s="1"/>
      <c r="N258" s="1">
        <f t="shared" ref="N258:N321" si="16">MONTH(C258)</f>
        <v>12</v>
      </c>
      <c r="O258" s="65"/>
    </row>
    <row r="259" spans="1:15" ht="15.75" hidden="1" x14ac:dyDescent="0.25">
      <c r="A259" s="1" t="str">
        <f t="shared" si="15"/>
        <v>43825438251MASTER CCTRANSPORTCAREEM</v>
      </c>
      <c r="B259" s="2">
        <v>43825</v>
      </c>
      <c r="C259" s="2">
        <f>B259</f>
        <v>43825</v>
      </c>
      <c r="D259" s="3" t="s">
        <v>270</v>
      </c>
      <c r="E259" s="3">
        <v>1</v>
      </c>
      <c r="F259" s="3">
        <v>1</v>
      </c>
      <c r="G259" s="3">
        <f t="shared" si="14"/>
        <v>1</v>
      </c>
      <c r="H259" s="3" t="s">
        <v>291</v>
      </c>
      <c r="I259" s="1" t="s">
        <v>296</v>
      </c>
      <c r="J259" s="1" t="s">
        <v>297</v>
      </c>
      <c r="K259" s="1" t="s">
        <v>298</v>
      </c>
      <c r="L259" s="1" t="s">
        <v>267</v>
      </c>
      <c r="M259" s="1"/>
      <c r="N259" s="1">
        <f t="shared" si="16"/>
        <v>12</v>
      </c>
      <c r="O259" s="65"/>
    </row>
    <row r="260" spans="1:15" ht="15.75" hidden="1" x14ac:dyDescent="0.25">
      <c r="A260" s="1" t="str">
        <f t="shared" si="15"/>
        <v>4382543830250MASTER CCTRANSPORTMINISTERY</v>
      </c>
      <c r="B260" s="2">
        <v>43825</v>
      </c>
      <c r="C260" s="2">
        <v>43830</v>
      </c>
      <c r="D260" s="3" t="s">
        <v>268</v>
      </c>
      <c r="E260" s="3">
        <v>250</v>
      </c>
      <c r="F260" s="3">
        <v>1</v>
      </c>
      <c r="G260" s="3">
        <f t="shared" si="14"/>
        <v>250</v>
      </c>
      <c r="H260" s="3" t="s">
        <v>291</v>
      </c>
      <c r="I260" s="1" t="s">
        <v>296</v>
      </c>
      <c r="J260" s="1" t="s">
        <v>30</v>
      </c>
      <c r="K260" s="1" t="s">
        <v>298</v>
      </c>
      <c r="L260" s="1" t="s">
        <v>267</v>
      </c>
      <c r="M260" s="1"/>
      <c r="N260" s="1">
        <f t="shared" si="16"/>
        <v>12</v>
      </c>
      <c r="O260" s="65"/>
    </row>
    <row r="261" spans="1:15" ht="15.75" hidden="1" x14ac:dyDescent="0.25">
      <c r="A261" s="1" t="str">
        <f t="shared" si="15"/>
        <v>438284382820CURRENTTELECOMOOREDOO</v>
      </c>
      <c r="B261" s="2">
        <v>43828</v>
      </c>
      <c r="C261" s="2">
        <v>43828</v>
      </c>
      <c r="D261" s="3" t="s">
        <v>307</v>
      </c>
      <c r="E261" s="3">
        <v>-20</v>
      </c>
      <c r="F261" s="3">
        <v>1</v>
      </c>
      <c r="G261" s="3">
        <f t="shared" si="14"/>
        <v>20</v>
      </c>
      <c r="H261" s="3" t="s">
        <v>293</v>
      </c>
      <c r="I261" s="1" t="s">
        <v>58</v>
      </c>
      <c r="J261" s="1" t="s">
        <v>59</v>
      </c>
      <c r="K261" s="1" t="s">
        <v>298</v>
      </c>
      <c r="L261" s="1" t="s">
        <v>257</v>
      </c>
      <c r="M261" s="1"/>
      <c r="N261" s="1">
        <f t="shared" si="16"/>
        <v>12</v>
      </c>
      <c r="O261" s="65"/>
    </row>
    <row r="262" spans="1:15" ht="15.75" hidden="1" x14ac:dyDescent="0.25">
      <c r="A262" s="1" t="str">
        <f t="shared" si="15"/>
        <v>438284382813730CURRENTSALARYQATAR AIR</v>
      </c>
      <c r="B262" s="2">
        <v>43828</v>
      </c>
      <c r="C262" s="2">
        <v>43828</v>
      </c>
      <c r="D262" s="3" t="s">
        <v>308</v>
      </c>
      <c r="E262" s="3">
        <v>13730</v>
      </c>
      <c r="F262" s="3">
        <v>1</v>
      </c>
      <c r="G262" s="3">
        <f t="shared" si="14"/>
        <v>13730</v>
      </c>
      <c r="H262" s="3" t="s">
        <v>293</v>
      </c>
      <c r="I262" s="1" t="s">
        <v>18</v>
      </c>
      <c r="J262" s="1" t="s">
        <v>19</v>
      </c>
      <c r="K262" s="1" t="s">
        <v>300</v>
      </c>
      <c r="L262" s="1" t="s">
        <v>257</v>
      </c>
      <c r="M262" s="1"/>
      <c r="N262" s="1">
        <f t="shared" si="16"/>
        <v>12</v>
      </c>
      <c r="O262" s="65"/>
    </row>
    <row r="263" spans="1:15" ht="15.75" hidden="1" x14ac:dyDescent="0.25">
      <c r="A263" s="1" t="str">
        <f t="shared" si="15"/>
        <v>4382843828430.05CURRENTGROCERYLULU</v>
      </c>
      <c r="B263" s="2">
        <v>43828</v>
      </c>
      <c r="C263" s="2">
        <v>43828</v>
      </c>
      <c r="D263" s="3" t="s">
        <v>309</v>
      </c>
      <c r="E263" s="3">
        <v>-430.05</v>
      </c>
      <c r="F263" s="3">
        <v>1</v>
      </c>
      <c r="G263" s="3">
        <f t="shared" si="14"/>
        <v>430.05</v>
      </c>
      <c r="H263" s="3" t="s">
        <v>293</v>
      </c>
      <c r="I263" s="1" t="s">
        <v>43</v>
      </c>
      <c r="J263" s="1" t="s">
        <v>44</v>
      </c>
      <c r="K263" s="1" t="s">
        <v>298</v>
      </c>
      <c r="L263" s="1" t="s">
        <v>257</v>
      </c>
      <c r="M263" s="1"/>
      <c r="N263" s="1">
        <f t="shared" si="16"/>
        <v>12</v>
      </c>
      <c r="O263" s="65"/>
    </row>
    <row r="264" spans="1:15" ht="15.75" hidden="1" x14ac:dyDescent="0.25">
      <c r="A264" s="1" t="str">
        <f t="shared" si="15"/>
        <v>43829438293051.93CURRENTCC BILL PAYMENTBANK</v>
      </c>
      <c r="B264" s="2">
        <v>43829</v>
      </c>
      <c r="C264" s="2">
        <f>B264</f>
        <v>43829</v>
      </c>
      <c r="D264" s="3" t="s">
        <v>310</v>
      </c>
      <c r="E264" s="3">
        <v>-3051.93</v>
      </c>
      <c r="F264" s="3">
        <v>1</v>
      </c>
      <c r="G264" s="3">
        <f t="shared" si="14"/>
        <v>3051.93</v>
      </c>
      <c r="H264" s="3" t="s">
        <v>293</v>
      </c>
      <c r="I264" s="1" t="s">
        <v>81</v>
      </c>
      <c r="J264" s="1" t="s">
        <v>8</v>
      </c>
      <c r="K264" s="1" t="s">
        <v>298</v>
      </c>
      <c r="L264" s="1" t="s">
        <v>257</v>
      </c>
      <c r="M264" s="1"/>
      <c r="N264" s="1">
        <f t="shared" si="16"/>
        <v>12</v>
      </c>
      <c r="O264" s="65"/>
    </row>
    <row r="265" spans="1:15" ht="15.75" hidden="1" x14ac:dyDescent="0.25">
      <c r="A265" s="1" t="str">
        <f t="shared" si="15"/>
        <v>43829438293051.93DINERSCC BILL PAYMENTBANK</v>
      </c>
      <c r="B265" s="2">
        <v>43829</v>
      </c>
      <c r="C265" s="2">
        <v>43829</v>
      </c>
      <c r="D265" s="3" t="s">
        <v>80</v>
      </c>
      <c r="E265" s="3">
        <v>-3051.93</v>
      </c>
      <c r="F265" s="3">
        <v>1</v>
      </c>
      <c r="G265" s="3">
        <f t="shared" si="14"/>
        <v>3051.93</v>
      </c>
      <c r="H265" s="3" t="s">
        <v>266</v>
      </c>
      <c r="I265" s="1" t="s">
        <v>81</v>
      </c>
      <c r="J265" s="1" t="s">
        <v>8</v>
      </c>
      <c r="K265" s="1" t="s">
        <v>300</v>
      </c>
      <c r="L265" s="1" t="s">
        <v>267</v>
      </c>
      <c r="M265" s="1"/>
      <c r="N265" s="1">
        <f t="shared" si="16"/>
        <v>12</v>
      </c>
      <c r="O265" s="87"/>
    </row>
    <row r="266" spans="1:15" ht="15.75" hidden="1" x14ac:dyDescent="0.25">
      <c r="A266" s="1" t="str">
        <f t="shared" si="15"/>
        <v>4383143833150MASTER CCTELECOMVODAFONE</v>
      </c>
      <c r="B266" s="2">
        <v>43831</v>
      </c>
      <c r="C266" s="2">
        <v>43833</v>
      </c>
      <c r="D266" s="3" t="s">
        <v>313</v>
      </c>
      <c r="E266" s="3">
        <v>150</v>
      </c>
      <c r="F266" s="3">
        <v>1</v>
      </c>
      <c r="G266" s="3">
        <f t="shared" si="14"/>
        <v>150</v>
      </c>
      <c r="H266" s="3" t="s">
        <v>291</v>
      </c>
      <c r="I266" s="1" t="s">
        <v>58</v>
      </c>
      <c r="J266" s="1" t="s">
        <v>78</v>
      </c>
      <c r="K266" s="1" t="s">
        <v>298</v>
      </c>
      <c r="L266" s="1" t="s">
        <v>267</v>
      </c>
      <c r="M266" s="1"/>
      <c r="N266" s="1">
        <f t="shared" si="16"/>
        <v>1</v>
      </c>
      <c r="O266" s="65"/>
    </row>
    <row r="267" spans="1:15" ht="15.75" hidden="1" x14ac:dyDescent="0.25">
      <c r="A267" s="1" t="str">
        <f t="shared" si="15"/>
        <v>43831438356.97DINERSTRANSPORTUBER</v>
      </c>
      <c r="B267" s="2">
        <v>43831</v>
      </c>
      <c r="C267" s="2">
        <v>43835</v>
      </c>
      <c r="D267" s="3" t="s">
        <v>317</v>
      </c>
      <c r="E267" s="3">
        <v>6.97</v>
      </c>
      <c r="F267" s="3">
        <v>1</v>
      </c>
      <c r="G267" s="3">
        <f t="shared" si="14"/>
        <v>6.97</v>
      </c>
      <c r="H267" s="3" t="s">
        <v>266</v>
      </c>
      <c r="I267" s="1" t="s">
        <v>296</v>
      </c>
      <c r="J267" s="1" t="s">
        <v>299</v>
      </c>
      <c r="K267" s="1" t="s">
        <v>298</v>
      </c>
      <c r="L267" s="1" t="s">
        <v>267</v>
      </c>
      <c r="M267" s="1"/>
      <c r="N267" s="1">
        <f t="shared" si="16"/>
        <v>1</v>
      </c>
      <c r="O267" s="87"/>
    </row>
    <row r="268" spans="1:15" ht="15.75" hidden="1" x14ac:dyDescent="0.25">
      <c r="A268" s="1" t="str">
        <f t="shared" si="15"/>
        <v>43831438314CURRENTSERVICEBANK</v>
      </c>
      <c r="B268" s="2">
        <v>43831</v>
      </c>
      <c r="C268" s="2">
        <v>43831</v>
      </c>
      <c r="D268" s="3" t="s">
        <v>315</v>
      </c>
      <c r="E268" s="3">
        <v>-4</v>
      </c>
      <c r="F268" s="3">
        <v>1</v>
      </c>
      <c r="G268" s="3">
        <f t="shared" si="14"/>
        <v>4</v>
      </c>
      <c r="H268" s="3" t="s">
        <v>293</v>
      </c>
      <c r="I268" s="1" t="s">
        <v>7</v>
      </c>
      <c r="J268" s="1" t="s">
        <v>8</v>
      </c>
      <c r="K268" s="1" t="s">
        <v>298</v>
      </c>
      <c r="L268" s="1" t="s">
        <v>257</v>
      </c>
      <c r="M268" s="1"/>
      <c r="N268" s="1">
        <f t="shared" si="16"/>
        <v>1</v>
      </c>
      <c r="O268" s="65"/>
    </row>
    <row r="269" spans="1:15" ht="15.75" hidden="1" x14ac:dyDescent="0.25">
      <c r="A269" s="1" t="str">
        <f t="shared" si="15"/>
        <v>43831438311000CURRENTSAVINGSELF</v>
      </c>
      <c r="B269" s="2">
        <v>43831</v>
      </c>
      <c r="C269" s="2">
        <v>43831</v>
      </c>
      <c r="D269" s="3" t="s">
        <v>316</v>
      </c>
      <c r="E269" s="3">
        <v>-1000</v>
      </c>
      <c r="F269" s="3">
        <v>1</v>
      </c>
      <c r="G269" s="3">
        <f t="shared" si="14"/>
        <v>1000</v>
      </c>
      <c r="H269" s="3" t="s">
        <v>293</v>
      </c>
      <c r="I269" s="1" t="s">
        <v>302</v>
      </c>
      <c r="J269" s="1" t="s">
        <v>14</v>
      </c>
      <c r="K269" s="1" t="s">
        <v>298</v>
      </c>
      <c r="L269" s="1" t="s">
        <v>257</v>
      </c>
      <c r="M269" s="1"/>
      <c r="N269" s="1">
        <f t="shared" si="16"/>
        <v>1</v>
      </c>
      <c r="O269" s="65"/>
    </row>
    <row r="270" spans="1:15" ht="15.75" hidden="1" x14ac:dyDescent="0.25">
      <c r="A270" s="1" t="str">
        <f t="shared" si="15"/>
        <v>43831438314850CURRENTRENTCAP ONE</v>
      </c>
      <c r="B270" s="2">
        <v>43831</v>
      </c>
      <c r="C270" s="2">
        <v>43831</v>
      </c>
      <c r="D270" s="3" t="s">
        <v>314</v>
      </c>
      <c r="E270" s="3">
        <v>-4850</v>
      </c>
      <c r="F270" s="3">
        <v>1</v>
      </c>
      <c r="G270" s="3">
        <f t="shared" ref="G270:G333" si="17">ABS(E270)*F270</f>
        <v>4850</v>
      </c>
      <c r="H270" s="3" t="s">
        <v>293</v>
      </c>
      <c r="I270" s="1" t="s">
        <v>83</v>
      </c>
      <c r="J270" s="1" t="s">
        <v>84</v>
      </c>
      <c r="K270" s="1" t="s">
        <v>298</v>
      </c>
      <c r="L270" s="1" t="s">
        <v>257</v>
      </c>
      <c r="M270" s="1"/>
      <c r="N270" s="1">
        <f t="shared" si="16"/>
        <v>1</v>
      </c>
      <c r="O270" s="65"/>
    </row>
    <row r="271" spans="1:15" ht="15.75" hidden="1" x14ac:dyDescent="0.25">
      <c r="A271" s="1" t="str">
        <f t="shared" si="15"/>
        <v>438314383344MASTER CCFOODCAFÉ/REST.</v>
      </c>
      <c r="B271" s="2">
        <v>43831</v>
      </c>
      <c r="C271" s="2">
        <v>43833</v>
      </c>
      <c r="D271" s="3" t="s">
        <v>318</v>
      </c>
      <c r="E271" s="3">
        <v>44</v>
      </c>
      <c r="F271" s="3">
        <v>1</v>
      </c>
      <c r="G271" s="3">
        <f t="shared" si="17"/>
        <v>44</v>
      </c>
      <c r="H271" s="3" t="s">
        <v>291</v>
      </c>
      <c r="I271" s="1" t="s">
        <v>10</v>
      </c>
      <c r="J271" s="1" t="s">
        <v>11</v>
      </c>
      <c r="K271" s="1" t="s">
        <v>298</v>
      </c>
      <c r="L271" s="1" t="s">
        <v>267</v>
      </c>
      <c r="M271" s="1"/>
      <c r="N271" s="1">
        <f t="shared" si="16"/>
        <v>1</v>
      </c>
      <c r="O271" s="65"/>
    </row>
    <row r="272" spans="1:15" ht="15.75" hidden="1" x14ac:dyDescent="0.25">
      <c r="A272" s="1" t="str">
        <f t="shared" si="15"/>
        <v>438314383360MASTER CCTELECOMOOREDOO</v>
      </c>
      <c r="B272" s="2">
        <v>43831</v>
      </c>
      <c r="C272" s="2">
        <v>43833</v>
      </c>
      <c r="D272" s="3" t="s">
        <v>312</v>
      </c>
      <c r="E272" s="3">
        <v>60</v>
      </c>
      <c r="F272" s="3">
        <v>1</v>
      </c>
      <c r="G272" s="3">
        <f t="shared" si="17"/>
        <v>60</v>
      </c>
      <c r="H272" s="3" t="s">
        <v>291</v>
      </c>
      <c r="I272" s="1" t="s">
        <v>58</v>
      </c>
      <c r="J272" s="1" t="s">
        <v>59</v>
      </c>
      <c r="K272" s="1" t="s">
        <v>298</v>
      </c>
      <c r="L272" s="1" t="s">
        <v>267</v>
      </c>
      <c r="M272" s="1"/>
      <c r="N272" s="1">
        <f t="shared" si="16"/>
        <v>1</v>
      </c>
      <c r="O272" s="65"/>
    </row>
    <row r="273" spans="1:15" ht="15.75" hidden="1" x14ac:dyDescent="0.25">
      <c r="A273" s="1" t="str">
        <f t="shared" si="15"/>
        <v>43835438351500CURRENTWITHDRAWSELF</v>
      </c>
      <c r="B273" s="2">
        <v>43835</v>
      </c>
      <c r="C273" s="2">
        <v>43835</v>
      </c>
      <c r="D273" s="3" t="s">
        <v>334</v>
      </c>
      <c r="E273" s="3">
        <v>-1500</v>
      </c>
      <c r="F273" s="3">
        <v>1</v>
      </c>
      <c r="G273" s="3">
        <f t="shared" si="17"/>
        <v>1500</v>
      </c>
      <c r="H273" s="3" t="s">
        <v>293</v>
      </c>
      <c r="I273" s="1" t="s">
        <v>13</v>
      </c>
      <c r="J273" s="1" t="s">
        <v>14</v>
      </c>
      <c r="K273" s="1" t="s">
        <v>298</v>
      </c>
      <c r="L273" s="1" t="s">
        <v>257</v>
      </c>
      <c r="M273" s="1"/>
      <c r="N273" s="1">
        <f t="shared" si="16"/>
        <v>1</v>
      </c>
      <c r="O273" s="65"/>
    </row>
    <row r="274" spans="1:15" ht="15.75" hidden="1" x14ac:dyDescent="0.25">
      <c r="A274" s="1" t="str">
        <f t="shared" si="15"/>
        <v>43835438351250CURRENTSAVINGSELF</v>
      </c>
      <c r="B274" s="2">
        <v>43835</v>
      </c>
      <c r="C274" s="2">
        <v>43835</v>
      </c>
      <c r="D274" s="3" t="s">
        <v>333</v>
      </c>
      <c r="E274" s="3">
        <v>-1250</v>
      </c>
      <c r="F274" s="3">
        <v>1</v>
      </c>
      <c r="G274" s="3">
        <f t="shared" si="17"/>
        <v>1250</v>
      </c>
      <c r="H274" s="3" t="s">
        <v>293</v>
      </c>
      <c r="I274" s="1" t="s">
        <v>302</v>
      </c>
      <c r="J274" s="1" t="s">
        <v>14</v>
      </c>
      <c r="K274" s="1" t="s">
        <v>298</v>
      </c>
      <c r="L274" s="1" t="s">
        <v>257</v>
      </c>
      <c r="M274" s="1"/>
      <c r="N274" s="1">
        <f t="shared" si="16"/>
        <v>1</v>
      </c>
      <c r="O274" s="65"/>
    </row>
    <row r="275" spans="1:15" ht="15.75" hidden="1" x14ac:dyDescent="0.25">
      <c r="A275" s="1" t="str">
        <f t="shared" si="15"/>
        <v>4383643837288.5DINERSGROCERYLULU</v>
      </c>
      <c r="B275" s="2">
        <v>43836</v>
      </c>
      <c r="C275" s="2">
        <v>43837</v>
      </c>
      <c r="D275" s="3" t="s">
        <v>335</v>
      </c>
      <c r="E275" s="3">
        <v>288.5</v>
      </c>
      <c r="F275" s="3">
        <v>1</v>
      </c>
      <c r="G275" s="3">
        <f t="shared" si="17"/>
        <v>288.5</v>
      </c>
      <c r="H275" s="3" t="s">
        <v>266</v>
      </c>
      <c r="I275" s="1" t="s">
        <v>43</v>
      </c>
      <c r="J275" s="1" t="s">
        <v>44</v>
      </c>
      <c r="K275" s="1" t="s">
        <v>298</v>
      </c>
      <c r="L275" s="1" t="s">
        <v>267</v>
      </c>
      <c r="M275" s="1"/>
      <c r="N275" s="1">
        <f t="shared" si="16"/>
        <v>1</v>
      </c>
      <c r="O275" s="87"/>
    </row>
    <row r="276" spans="1:15" ht="15.75" hidden="1" x14ac:dyDescent="0.25">
      <c r="A276" s="1" t="str">
        <f t="shared" si="15"/>
        <v>4383843838420DINERSEDUCATIONALKHEBRA</v>
      </c>
      <c r="B276" s="2">
        <v>43838</v>
      </c>
      <c r="C276" s="2">
        <v>43838</v>
      </c>
      <c r="D276" s="3" t="s">
        <v>94</v>
      </c>
      <c r="E276" s="3">
        <v>420</v>
      </c>
      <c r="F276" s="3">
        <v>1</v>
      </c>
      <c r="G276" s="3">
        <f t="shared" si="17"/>
        <v>420</v>
      </c>
      <c r="H276" s="3" t="s">
        <v>266</v>
      </c>
      <c r="I276" s="1" t="s">
        <v>543</v>
      </c>
      <c r="J276" s="1" t="s">
        <v>92</v>
      </c>
      <c r="K276" s="1" t="s">
        <v>298</v>
      </c>
      <c r="L276" s="1" t="s">
        <v>267</v>
      </c>
      <c r="M276" s="1">
        <v>1</v>
      </c>
      <c r="N276" s="1">
        <f t="shared" si="16"/>
        <v>1</v>
      </c>
      <c r="O276" s="87"/>
    </row>
    <row r="277" spans="1:15" ht="15.75" hidden="1" x14ac:dyDescent="0.25">
      <c r="A277" s="1" t="str">
        <f t="shared" si="15"/>
        <v>438464385321MASTER CCFOODCAFÉ/REST.</v>
      </c>
      <c r="B277" s="2">
        <v>43846</v>
      </c>
      <c r="C277" s="2">
        <v>43853</v>
      </c>
      <c r="D277" s="3" t="s">
        <v>354</v>
      </c>
      <c r="E277" s="3">
        <v>21</v>
      </c>
      <c r="F277" s="3">
        <v>1</v>
      </c>
      <c r="G277" s="3">
        <f t="shared" si="17"/>
        <v>21</v>
      </c>
      <c r="H277" s="3" t="s">
        <v>291</v>
      </c>
      <c r="I277" s="1" t="s">
        <v>10</v>
      </c>
      <c r="J277" s="1" t="s">
        <v>11</v>
      </c>
      <c r="K277" s="1" t="s">
        <v>298</v>
      </c>
      <c r="L277" s="1" t="s">
        <v>267</v>
      </c>
      <c r="M277" s="1"/>
      <c r="N277" s="1">
        <f t="shared" si="16"/>
        <v>1</v>
      </c>
      <c r="O277" s="65"/>
    </row>
    <row r="278" spans="1:15" ht="15.75" hidden="1" x14ac:dyDescent="0.25">
      <c r="A278" s="1" t="str">
        <f t="shared" si="15"/>
        <v>4384743848278.45DINERSGROCERYLULU</v>
      </c>
      <c r="B278" s="2">
        <v>43847</v>
      </c>
      <c r="C278" s="2">
        <v>43848</v>
      </c>
      <c r="D278" s="3" t="s">
        <v>356</v>
      </c>
      <c r="E278" s="3">
        <v>278.45</v>
      </c>
      <c r="F278" s="3">
        <v>1</v>
      </c>
      <c r="G278" s="3">
        <f t="shared" si="17"/>
        <v>278.45</v>
      </c>
      <c r="H278" s="3" t="s">
        <v>266</v>
      </c>
      <c r="I278" s="1" t="s">
        <v>43</v>
      </c>
      <c r="J278" s="1" t="s">
        <v>44</v>
      </c>
      <c r="K278" s="1" t="s">
        <v>298</v>
      </c>
      <c r="L278" s="1" t="s">
        <v>267</v>
      </c>
      <c r="M278" s="1"/>
      <c r="N278" s="1">
        <f t="shared" si="16"/>
        <v>1</v>
      </c>
      <c r="O278" s="87"/>
    </row>
    <row r="279" spans="1:15" ht="15.75" hidden="1" x14ac:dyDescent="0.25">
      <c r="A279" s="1" t="str">
        <f t="shared" si="15"/>
        <v>4384743851140MASTER CCSHOPPINGLULU</v>
      </c>
      <c r="B279" s="2">
        <v>43847</v>
      </c>
      <c r="C279" s="2">
        <v>43851</v>
      </c>
      <c r="D279" s="3" t="s">
        <v>355</v>
      </c>
      <c r="E279" s="3">
        <v>140</v>
      </c>
      <c r="F279" s="3">
        <v>1</v>
      </c>
      <c r="G279" s="3">
        <f t="shared" si="17"/>
        <v>140</v>
      </c>
      <c r="H279" s="3" t="s">
        <v>291</v>
      </c>
      <c r="I279" s="1" t="s">
        <v>194</v>
      </c>
      <c r="J279" s="1" t="s">
        <v>44</v>
      </c>
      <c r="K279" s="1" t="s">
        <v>298</v>
      </c>
      <c r="L279" s="1" t="s">
        <v>267</v>
      </c>
      <c r="M279" s="1"/>
      <c r="N279" s="1">
        <f t="shared" si="16"/>
        <v>1</v>
      </c>
      <c r="O279" s="65"/>
    </row>
    <row r="280" spans="1:15" ht="15.75" hidden="1" x14ac:dyDescent="0.25">
      <c r="A280" s="1" t="str">
        <f t="shared" si="15"/>
        <v>4385143862210CURRENTTRAVELAIR INDIA</v>
      </c>
      <c r="B280" s="2">
        <v>43851</v>
      </c>
      <c r="C280" s="2">
        <v>43862</v>
      </c>
      <c r="D280" s="3" t="s">
        <v>390</v>
      </c>
      <c r="E280" s="3">
        <v>210</v>
      </c>
      <c r="F280" s="3">
        <v>1</v>
      </c>
      <c r="G280" s="3">
        <f t="shared" si="17"/>
        <v>210</v>
      </c>
      <c r="H280" s="3" t="s">
        <v>293</v>
      </c>
      <c r="I280" s="1" t="s">
        <v>393</v>
      </c>
      <c r="J280" s="1" t="s">
        <v>474</v>
      </c>
      <c r="K280" s="1" t="s">
        <v>298</v>
      </c>
      <c r="L280" s="1" t="s">
        <v>257</v>
      </c>
      <c r="M280" s="1"/>
      <c r="N280" s="1">
        <f t="shared" si="16"/>
        <v>2</v>
      </c>
      <c r="O280" s="65"/>
    </row>
    <row r="281" spans="1:15" ht="15.75" hidden="1" x14ac:dyDescent="0.25">
      <c r="A281" s="1" t="str">
        <f t="shared" si="15"/>
        <v>4385143862210CURRENTTRAVELAIR INDIA</v>
      </c>
      <c r="B281" s="2">
        <v>43851</v>
      </c>
      <c r="C281" s="2">
        <v>43862</v>
      </c>
      <c r="D281" s="3" t="s">
        <v>391</v>
      </c>
      <c r="E281" s="3">
        <v>210</v>
      </c>
      <c r="F281" s="3">
        <v>1</v>
      </c>
      <c r="G281" s="3">
        <f t="shared" si="17"/>
        <v>210</v>
      </c>
      <c r="H281" s="3" t="s">
        <v>293</v>
      </c>
      <c r="I281" s="1" t="s">
        <v>393</v>
      </c>
      <c r="J281" s="1" t="s">
        <v>474</v>
      </c>
      <c r="K281" s="1" t="s">
        <v>298</v>
      </c>
      <c r="L281" s="1" t="s">
        <v>257</v>
      </c>
      <c r="M281" s="1"/>
      <c r="N281" s="1">
        <f t="shared" si="16"/>
        <v>2</v>
      </c>
      <c r="O281" s="65"/>
    </row>
    <row r="282" spans="1:15" ht="15.75" hidden="1" x14ac:dyDescent="0.25">
      <c r="A282" s="1" t="str">
        <f t="shared" si="15"/>
        <v>4385143851333.17DINERSSHOPPINGLULU</v>
      </c>
      <c r="B282" s="2">
        <v>43851</v>
      </c>
      <c r="C282" s="2">
        <v>43851</v>
      </c>
      <c r="D282" s="3" t="s">
        <v>53</v>
      </c>
      <c r="E282" s="3">
        <v>333.17</v>
      </c>
      <c r="F282" s="3">
        <v>1</v>
      </c>
      <c r="G282" s="3">
        <f t="shared" si="17"/>
        <v>333.17</v>
      </c>
      <c r="H282" s="3" t="s">
        <v>266</v>
      </c>
      <c r="I282" s="1" t="s">
        <v>194</v>
      </c>
      <c r="J282" s="1" t="s">
        <v>44</v>
      </c>
      <c r="K282" s="1" t="s">
        <v>298</v>
      </c>
      <c r="L282" s="1" t="s">
        <v>267</v>
      </c>
      <c r="M282" s="1">
        <v>1</v>
      </c>
      <c r="N282" s="1">
        <f t="shared" si="16"/>
        <v>1</v>
      </c>
      <c r="O282" s="87"/>
    </row>
    <row r="283" spans="1:15" ht="15.75" hidden="1" x14ac:dyDescent="0.25">
      <c r="A283" s="1" t="str">
        <f t="shared" si="15"/>
        <v>4385243854129MASTER CCFOODQATAR AIR</v>
      </c>
      <c r="B283" s="2">
        <v>43852</v>
      </c>
      <c r="C283" s="2">
        <v>43854</v>
      </c>
      <c r="D283" s="3" t="s">
        <v>387</v>
      </c>
      <c r="E283" s="3">
        <v>129</v>
      </c>
      <c r="F283" s="3">
        <v>1</v>
      </c>
      <c r="G283" s="3">
        <f t="shared" si="17"/>
        <v>129</v>
      </c>
      <c r="H283" s="3" t="s">
        <v>291</v>
      </c>
      <c r="I283" s="1" t="s">
        <v>10</v>
      </c>
      <c r="J283" s="1" t="s">
        <v>19</v>
      </c>
      <c r="K283" s="1" t="s">
        <v>298</v>
      </c>
      <c r="L283" s="1" t="s">
        <v>267</v>
      </c>
      <c r="M283" s="1"/>
      <c r="N283" s="1">
        <f t="shared" si="16"/>
        <v>1</v>
      </c>
      <c r="O283" s="65"/>
    </row>
    <row r="284" spans="1:15" ht="15.75" hidden="1" x14ac:dyDescent="0.25">
      <c r="A284" s="1" t="str">
        <f t="shared" si="15"/>
        <v>438564385674.44CURRENTGROCERYGRANDMART</v>
      </c>
      <c r="B284" s="2">
        <v>43856</v>
      </c>
      <c r="C284" s="2">
        <v>43856</v>
      </c>
      <c r="D284" s="3" t="s">
        <v>388</v>
      </c>
      <c r="E284" s="3">
        <v>-74.44</v>
      </c>
      <c r="F284" s="3">
        <v>1</v>
      </c>
      <c r="G284" s="3">
        <f t="shared" si="17"/>
        <v>74.44</v>
      </c>
      <c r="H284" s="3" t="s">
        <v>293</v>
      </c>
      <c r="I284" s="1" t="s">
        <v>43</v>
      </c>
      <c r="J284" s="1" t="s">
        <v>50</v>
      </c>
      <c r="K284" s="1" t="s">
        <v>298</v>
      </c>
      <c r="L284" s="1" t="s">
        <v>257</v>
      </c>
      <c r="M284" s="1"/>
      <c r="N284" s="1">
        <f t="shared" si="16"/>
        <v>1</v>
      </c>
      <c r="O284" s="65"/>
    </row>
    <row r="285" spans="1:15" ht="15.75" hidden="1" x14ac:dyDescent="0.25">
      <c r="A285" s="1" t="str">
        <f t="shared" si="15"/>
        <v>438584385813730CURRENTSALARYQATAR AIR</v>
      </c>
      <c r="B285" s="2">
        <v>43858</v>
      </c>
      <c r="C285" s="2">
        <v>43858</v>
      </c>
      <c r="D285" s="3" t="s">
        <v>394</v>
      </c>
      <c r="E285" s="3">
        <v>13730</v>
      </c>
      <c r="F285" s="3">
        <v>1</v>
      </c>
      <c r="G285" s="3">
        <f t="shared" si="17"/>
        <v>13730</v>
      </c>
      <c r="H285" s="3" t="s">
        <v>293</v>
      </c>
      <c r="I285" s="1" t="s">
        <v>18</v>
      </c>
      <c r="J285" s="1" t="s">
        <v>19</v>
      </c>
      <c r="K285" s="1" t="s">
        <v>300</v>
      </c>
      <c r="L285" s="1" t="s">
        <v>257</v>
      </c>
      <c r="M285" s="1"/>
      <c r="N285" s="1">
        <f t="shared" si="16"/>
        <v>1</v>
      </c>
      <c r="O285" s="65"/>
    </row>
    <row r="286" spans="1:15" ht="15.75" hidden="1" x14ac:dyDescent="0.25">
      <c r="A286" s="1" t="str">
        <f t="shared" si="15"/>
        <v>438594386340.81DINERSTRANSPORTUBER</v>
      </c>
      <c r="B286" s="2">
        <v>43859</v>
      </c>
      <c r="C286" s="2">
        <v>43863</v>
      </c>
      <c r="D286" s="3" t="s">
        <v>395</v>
      </c>
      <c r="E286" s="3">
        <v>40.81</v>
      </c>
      <c r="F286" s="3">
        <v>1</v>
      </c>
      <c r="G286" s="3">
        <f t="shared" si="17"/>
        <v>40.81</v>
      </c>
      <c r="H286" s="3" t="s">
        <v>266</v>
      </c>
      <c r="I286" s="1" t="s">
        <v>296</v>
      </c>
      <c r="J286" s="1" t="s">
        <v>299</v>
      </c>
      <c r="K286" s="1" t="s">
        <v>298</v>
      </c>
      <c r="L286" s="1" t="s">
        <v>267</v>
      </c>
      <c r="M286" s="1"/>
      <c r="N286" s="1">
        <f t="shared" si="16"/>
        <v>2</v>
      </c>
      <c r="O286" s="87"/>
    </row>
    <row r="287" spans="1:15" ht="15.75" hidden="1" x14ac:dyDescent="0.25">
      <c r="A287" s="1" t="str">
        <f t="shared" si="15"/>
        <v>43859438592CURRENTFOODQATAR AIR</v>
      </c>
      <c r="B287" s="2">
        <v>43859</v>
      </c>
      <c r="C287" s="2">
        <v>43859</v>
      </c>
      <c r="D287" s="3" t="s">
        <v>398</v>
      </c>
      <c r="E287" s="3">
        <v>-2</v>
      </c>
      <c r="F287" s="3">
        <v>1</v>
      </c>
      <c r="G287" s="3">
        <f t="shared" si="17"/>
        <v>2</v>
      </c>
      <c r="H287" s="3" t="s">
        <v>293</v>
      </c>
      <c r="I287" s="1" t="s">
        <v>10</v>
      </c>
      <c r="J287" s="1" t="s">
        <v>19</v>
      </c>
      <c r="K287" s="1" t="s">
        <v>298</v>
      </c>
      <c r="L287" s="1" t="s">
        <v>257</v>
      </c>
      <c r="M287" s="1"/>
      <c r="N287" s="1">
        <f t="shared" si="16"/>
        <v>1</v>
      </c>
      <c r="O287" s="65"/>
    </row>
    <row r="288" spans="1:15" ht="15.75" hidden="1" x14ac:dyDescent="0.25">
      <c r="A288" s="1" t="str">
        <f t="shared" si="15"/>
        <v>43859438598CURRENTFOODQATAR AIR</v>
      </c>
      <c r="B288" s="2">
        <v>43859</v>
      </c>
      <c r="C288" s="2">
        <v>43859</v>
      </c>
      <c r="D288" s="3" t="s">
        <v>399</v>
      </c>
      <c r="E288" s="3">
        <v>-8</v>
      </c>
      <c r="F288" s="3">
        <v>1</v>
      </c>
      <c r="G288" s="3">
        <f t="shared" si="17"/>
        <v>8</v>
      </c>
      <c r="H288" s="3" t="s">
        <v>293</v>
      </c>
      <c r="I288" s="1" t="s">
        <v>10</v>
      </c>
      <c r="J288" s="1" t="s">
        <v>19</v>
      </c>
      <c r="K288" s="1" t="s">
        <v>298</v>
      </c>
      <c r="L288" s="1" t="s">
        <v>257</v>
      </c>
      <c r="M288" s="1"/>
      <c r="N288" s="1">
        <f t="shared" si="16"/>
        <v>1</v>
      </c>
      <c r="O288" s="65"/>
    </row>
    <row r="289" spans="1:15" ht="15.75" hidden="1" x14ac:dyDescent="0.25">
      <c r="A289" s="1" t="str">
        <f t="shared" si="15"/>
        <v>4386043860321CURRENTGROCERYLULU</v>
      </c>
      <c r="B289" s="2">
        <v>43860</v>
      </c>
      <c r="C289" s="2">
        <v>43860</v>
      </c>
      <c r="D289" s="3" t="s">
        <v>396</v>
      </c>
      <c r="E289" s="3">
        <v>-321</v>
      </c>
      <c r="F289" s="3">
        <v>1</v>
      </c>
      <c r="G289" s="3">
        <f t="shared" si="17"/>
        <v>321</v>
      </c>
      <c r="H289" s="3" t="s">
        <v>293</v>
      </c>
      <c r="I289" s="1" t="s">
        <v>43</v>
      </c>
      <c r="J289" s="1" t="s">
        <v>44</v>
      </c>
      <c r="K289" s="1" t="s">
        <v>298</v>
      </c>
      <c r="L289" s="1" t="s">
        <v>257</v>
      </c>
      <c r="M289" s="1"/>
      <c r="N289" s="1">
        <f t="shared" si="16"/>
        <v>1</v>
      </c>
      <c r="O289" s="65"/>
    </row>
    <row r="290" spans="1:15" ht="15.75" hidden="1" x14ac:dyDescent="0.25">
      <c r="A290" s="1" t="str">
        <f t="shared" si="15"/>
        <v>43860438601912CURRENTCC BILL PAYMENTBANK</v>
      </c>
      <c r="B290" s="2">
        <v>43860</v>
      </c>
      <c r="C290" s="2">
        <v>43860</v>
      </c>
      <c r="D290" s="3" t="s">
        <v>397</v>
      </c>
      <c r="E290" s="3">
        <v>-1912</v>
      </c>
      <c r="F290" s="3">
        <v>1</v>
      </c>
      <c r="G290" s="3">
        <f t="shared" si="17"/>
        <v>1912</v>
      </c>
      <c r="H290" s="3" t="s">
        <v>293</v>
      </c>
      <c r="I290" s="1" t="s">
        <v>81</v>
      </c>
      <c r="J290" s="1" t="s">
        <v>8</v>
      </c>
      <c r="K290" s="1" t="s">
        <v>298</v>
      </c>
      <c r="L290" s="1" t="s">
        <v>257</v>
      </c>
      <c r="M290" s="1"/>
      <c r="N290" s="1">
        <f t="shared" si="16"/>
        <v>1</v>
      </c>
      <c r="O290" s="65"/>
    </row>
    <row r="291" spans="1:15" ht="15.75" hidden="1" x14ac:dyDescent="0.25">
      <c r="A291" s="1" t="str">
        <f t="shared" si="15"/>
        <v>43860438601912DINERSCC BILL PAYMENTBANK</v>
      </c>
      <c r="B291" s="2">
        <v>43860</v>
      </c>
      <c r="C291" s="2">
        <v>43860</v>
      </c>
      <c r="D291" s="3" t="s">
        <v>80</v>
      </c>
      <c r="E291" s="3">
        <v>-1912</v>
      </c>
      <c r="F291" s="3">
        <v>1</v>
      </c>
      <c r="G291" s="3">
        <f t="shared" si="17"/>
        <v>1912</v>
      </c>
      <c r="H291" s="3" t="s">
        <v>266</v>
      </c>
      <c r="I291" s="1" t="s">
        <v>81</v>
      </c>
      <c r="J291" s="1" t="s">
        <v>8</v>
      </c>
      <c r="K291" s="1" t="s">
        <v>300</v>
      </c>
      <c r="L291" s="1" t="s">
        <v>267</v>
      </c>
      <c r="M291" s="1"/>
      <c r="N291" s="1">
        <f t="shared" si="16"/>
        <v>1</v>
      </c>
      <c r="O291" s="87"/>
    </row>
    <row r="292" spans="1:15" ht="15.75" hidden="1" x14ac:dyDescent="0.25">
      <c r="A292" s="1" t="str">
        <f t="shared" si="15"/>
        <v>438614386133.5CURRENTGROCERYGRANDMART</v>
      </c>
      <c r="B292" s="2">
        <v>43861</v>
      </c>
      <c r="C292" s="2">
        <v>43861</v>
      </c>
      <c r="D292" s="3" t="s">
        <v>403</v>
      </c>
      <c r="E292" s="3">
        <v>-33.5</v>
      </c>
      <c r="F292" s="3">
        <v>1</v>
      </c>
      <c r="G292" s="3">
        <f t="shared" si="17"/>
        <v>33.5</v>
      </c>
      <c r="H292" s="3" t="s">
        <v>293</v>
      </c>
      <c r="I292" s="1" t="s">
        <v>43</v>
      </c>
      <c r="J292" s="1" t="s">
        <v>50</v>
      </c>
      <c r="K292" s="1" t="s">
        <v>298</v>
      </c>
      <c r="L292" s="1" t="s">
        <v>257</v>
      </c>
      <c r="M292" s="1"/>
      <c r="N292" s="1">
        <f t="shared" si="16"/>
        <v>1</v>
      </c>
      <c r="O292" s="65"/>
    </row>
    <row r="293" spans="1:15" ht="15.75" hidden="1" x14ac:dyDescent="0.25">
      <c r="A293" s="1" t="str">
        <f t="shared" si="15"/>
        <v>4386243865150MASTER CCTELECOMVODAFONE</v>
      </c>
      <c r="B293" s="2">
        <v>43862</v>
      </c>
      <c r="C293" s="2">
        <v>43865</v>
      </c>
      <c r="D293" s="3" t="s">
        <v>407</v>
      </c>
      <c r="E293" s="3">
        <v>150</v>
      </c>
      <c r="F293" s="3">
        <v>1</v>
      </c>
      <c r="G293" s="3">
        <f t="shared" si="17"/>
        <v>150</v>
      </c>
      <c r="H293" s="3" t="s">
        <v>291</v>
      </c>
      <c r="I293" s="1" t="s">
        <v>58</v>
      </c>
      <c r="J293" s="1" t="s">
        <v>78</v>
      </c>
      <c r="K293" s="1" t="s">
        <v>298</v>
      </c>
      <c r="L293" s="1" t="s">
        <v>267</v>
      </c>
      <c r="M293" s="1"/>
      <c r="N293" s="1">
        <f t="shared" si="16"/>
        <v>2</v>
      </c>
      <c r="O293" s="65"/>
    </row>
    <row r="294" spans="1:15" ht="15.75" hidden="1" x14ac:dyDescent="0.25">
      <c r="A294" s="1" t="str">
        <f t="shared" si="15"/>
        <v>438624386560MASTER CCTELECOMOOREDOO</v>
      </c>
      <c r="B294" s="2">
        <v>43862</v>
      </c>
      <c r="C294" s="2">
        <v>43865</v>
      </c>
      <c r="D294" s="3" t="s">
        <v>408</v>
      </c>
      <c r="E294" s="3">
        <v>60</v>
      </c>
      <c r="F294" s="3">
        <v>1</v>
      </c>
      <c r="G294" s="3">
        <f t="shared" si="17"/>
        <v>60</v>
      </c>
      <c r="H294" s="3" t="s">
        <v>291</v>
      </c>
      <c r="I294" s="1" t="s">
        <v>58</v>
      </c>
      <c r="J294" s="1" t="s">
        <v>59</v>
      </c>
      <c r="K294" s="1" t="s">
        <v>298</v>
      </c>
      <c r="L294" s="1" t="s">
        <v>267</v>
      </c>
      <c r="M294" s="1"/>
      <c r="N294" s="1">
        <f t="shared" si="16"/>
        <v>2</v>
      </c>
      <c r="O294" s="65"/>
    </row>
    <row r="295" spans="1:15" ht="15.75" hidden="1" x14ac:dyDescent="0.25">
      <c r="A295" s="1" t="str">
        <f t="shared" si="15"/>
        <v>43863438631000CURRENTWITHDRAWSELF</v>
      </c>
      <c r="B295" s="2">
        <v>43863</v>
      </c>
      <c r="C295" s="2">
        <v>43863</v>
      </c>
      <c r="D295" s="3" t="s">
        <v>409</v>
      </c>
      <c r="E295" s="3">
        <v>-1000</v>
      </c>
      <c r="F295" s="3">
        <v>1</v>
      </c>
      <c r="G295" s="3">
        <f t="shared" si="17"/>
        <v>1000</v>
      </c>
      <c r="H295" s="3" t="s">
        <v>293</v>
      </c>
      <c r="I295" s="1" t="s">
        <v>13</v>
      </c>
      <c r="J295" s="1" t="s">
        <v>14</v>
      </c>
      <c r="K295" s="1" t="s">
        <v>298</v>
      </c>
      <c r="L295" s="1" t="s">
        <v>257</v>
      </c>
      <c r="M295" s="1"/>
      <c r="N295" s="1">
        <f t="shared" si="16"/>
        <v>2</v>
      </c>
      <c r="O295" s="65"/>
    </row>
    <row r="296" spans="1:15" ht="15.75" hidden="1" x14ac:dyDescent="0.25">
      <c r="A296" s="1" t="str">
        <f t="shared" si="15"/>
        <v>43863438634CURRENTSERVICEBANK</v>
      </c>
      <c r="B296" s="2">
        <v>43863</v>
      </c>
      <c r="C296" s="2">
        <v>43863</v>
      </c>
      <c r="D296" s="3" t="s">
        <v>402</v>
      </c>
      <c r="E296" s="3">
        <v>-4</v>
      </c>
      <c r="F296" s="3">
        <v>1</v>
      </c>
      <c r="G296" s="3">
        <f t="shared" si="17"/>
        <v>4</v>
      </c>
      <c r="H296" s="3" t="s">
        <v>293</v>
      </c>
      <c r="I296" s="1" t="s">
        <v>7</v>
      </c>
      <c r="J296" s="1" t="s">
        <v>8</v>
      </c>
      <c r="K296" s="1" t="s">
        <v>298</v>
      </c>
      <c r="L296" s="1" t="s">
        <v>257</v>
      </c>
      <c r="M296" s="1"/>
      <c r="N296" s="1">
        <f t="shared" si="16"/>
        <v>2</v>
      </c>
      <c r="O296" s="65"/>
    </row>
    <row r="297" spans="1:15" ht="15.75" hidden="1" x14ac:dyDescent="0.25">
      <c r="A297" s="1" t="str">
        <f t="shared" si="15"/>
        <v>43863438631000CURRENTSAVINGSELF</v>
      </c>
      <c r="B297" s="2">
        <v>43863</v>
      </c>
      <c r="C297" s="2">
        <v>43863</v>
      </c>
      <c r="D297" s="3" t="s">
        <v>316</v>
      </c>
      <c r="E297" s="3">
        <v>-1000</v>
      </c>
      <c r="F297" s="3">
        <v>1</v>
      </c>
      <c r="G297" s="3">
        <f t="shared" si="17"/>
        <v>1000</v>
      </c>
      <c r="H297" s="3" t="s">
        <v>293</v>
      </c>
      <c r="I297" s="1" t="s">
        <v>302</v>
      </c>
      <c r="J297" s="1" t="s">
        <v>14</v>
      </c>
      <c r="K297" s="1" t="s">
        <v>298</v>
      </c>
      <c r="L297" s="1" t="s">
        <v>257</v>
      </c>
      <c r="M297" s="1"/>
      <c r="N297" s="1">
        <f t="shared" si="16"/>
        <v>2</v>
      </c>
      <c r="O297" s="65"/>
    </row>
    <row r="298" spans="1:15" ht="15.75" hidden="1" x14ac:dyDescent="0.25">
      <c r="A298" s="1" t="str">
        <f t="shared" si="15"/>
        <v>43863438634850CURRENTRENTCAP ONE</v>
      </c>
      <c r="B298" s="2">
        <v>43863</v>
      </c>
      <c r="C298" s="2">
        <v>43863</v>
      </c>
      <c r="D298" s="3" t="s">
        <v>401</v>
      </c>
      <c r="E298" s="3">
        <v>-4850</v>
      </c>
      <c r="F298" s="3">
        <v>1</v>
      </c>
      <c r="G298" s="3">
        <f t="shared" si="17"/>
        <v>4850</v>
      </c>
      <c r="H298" s="3" t="s">
        <v>293</v>
      </c>
      <c r="I298" s="1" t="s">
        <v>83</v>
      </c>
      <c r="J298" s="1" t="s">
        <v>84</v>
      </c>
      <c r="K298" s="1" t="s">
        <v>298</v>
      </c>
      <c r="L298" s="1" t="s">
        <v>257</v>
      </c>
      <c r="M298" s="1"/>
      <c r="N298" s="1">
        <f t="shared" si="16"/>
        <v>2</v>
      </c>
      <c r="O298" s="65"/>
    </row>
    <row r="299" spans="1:15" ht="15.75" hidden="1" x14ac:dyDescent="0.25">
      <c r="A299" s="1" t="str">
        <f t="shared" si="15"/>
        <v>43866438661250CURRENTSAVINGSELF</v>
      </c>
      <c r="B299" s="2">
        <v>43866</v>
      </c>
      <c r="C299" s="2">
        <v>43866</v>
      </c>
      <c r="D299" s="3" t="s">
        <v>333</v>
      </c>
      <c r="E299" s="3">
        <v>-1250</v>
      </c>
      <c r="F299" s="3">
        <v>1</v>
      </c>
      <c r="G299" s="3">
        <f t="shared" si="17"/>
        <v>1250</v>
      </c>
      <c r="H299" s="3" t="s">
        <v>293</v>
      </c>
      <c r="I299" s="1" t="s">
        <v>302</v>
      </c>
      <c r="J299" s="1" t="s">
        <v>14</v>
      </c>
      <c r="K299" s="1" t="s">
        <v>298</v>
      </c>
      <c r="L299" s="1" t="s">
        <v>257</v>
      </c>
      <c r="M299" s="1"/>
      <c r="N299" s="1">
        <f t="shared" si="16"/>
        <v>2</v>
      </c>
      <c r="O299" s="65"/>
    </row>
    <row r="300" spans="1:15" ht="15.75" hidden="1" x14ac:dyDescent="0.25">
      <c r="A300" s="1" t="str">
        <f t="shared" si="15"/>
        <v>438664386741.15DINERSGROCERYFFC</v>
      </c>
      <c r="B300" s="2">
        <v>43866</v>
      </c>
      <c r="C300" s="2">
        <v>43867</v>
      </c>
      <c r="D300" s="3" t="s">
        <v>406</v>
      </c>
      <c r="E300" s="3">
        <v>41.15</v>
      </c>
      <c r="F300" s="3">
        <v>1</v>
      </c>
      <c r="G300" s="3">
        <f t="shared" si="17"/>
        <v>41.15</v>
      </c>
      <c r="H300" s="3" t="s">
        <v>266</v>
      </c>
      <c r="I300" s="1" t="s">
        <v>43</v>
      </c>
      <c r="J300" s="1" t="s">
        <v>96</v>
      </c>
      <c r="K300" s="1" t="s">
        <v>298</v>
      </c>
      <c r="L300" s="1" t="s">
        <v>267</v>
      </c>
      <c r="M300" s="1"/>
      <c r="N300" s="1">
        <f t="shared" si="16"/>
        <v>2</v>
      </c>
      <c r="O300" s="87"/>
    </row>
    <row r="301" spans="1:15" ht="15.75" hidden="1" x14ac:dyDescent="0.25">
      <c r="A301" s="1" t="str">
        <f t="shared" si="15"/>
        <v>438674387295MASTER CCFOODQATAR AIR</v>
      </c>
      <c r="B301" s="2">
        <v>43867</v>
      </c>
      <c r="C301" s="2">
        <v>43872</v>
      </c>
      <c r="D301" s="3" t="s">
        <v>415</v>
      </c>
      <c r="E301" s="3">
        <v>95</v>
      </c>
      <c r="F301" s="3">
        <v>1</v>
      </c>
      <c r="G301" s="3">
        <f t="shared" si="17"/>
        <v>95</v>
      </c>
      <c r="H301" s="3" t="s">
        <v>291</v>
      </c>
      <c r="I301" s="1" t="s">
        <v>10</v>
      </c>
      <c r="J301" s="1" t="s">
        <v>19</v>
      </c>
      <c r="K301" s="1" t="s">
        <v>298</v>
      </c>
      <c r="L301" s="1" t="s">
        <v>267</v>
      </c>
      <c r="M301" s="1"/>
      <c r="N301" s="1">
        <f t="shared" si="16"/>
        <v>2</v>
      </c>
      <c r="O301" s="65"/>
    </row>
    <row r="302" spans="1:15" ht="15.75" hidden="1" x14ac:dyDescent="0.25">
      <c r="A302" s="1" t="str">
        <f t="shared" si="15"/>
        <v>43867438708.69DINERSTRANSPORTUBER</v>
      </c>
      <c r="B302" s="2">
        <v>43867</v>
      </c>
      <c r="C302" s="2">
        <v>43870</v>
      </c>
      <c r="D302" s="3" t="s">
        <v>411</v>
      </c>
      <c r="E302" s="3">
        <v>8.69</v>
      </c>
      <c r="F302" s="3">
        <v>1</v>
      </c>
      <c r="G302" s="3">
        <f t="shared" si="17"/>
        <v>8.69</v>
      </c>
      <c r="H302" s="3" t="s">
        <v>266</v>
      </c>
      <c r="I302" s="1" t="s">
        <v>296</v>
      </c>
      <c r="J302" s="1" t="s">
        <v>299</v>
      </c>
      <c r="K302" s="1" t="s">
        <v>298</v>
      </c>
      <c r="L302" s="1" t="s">
        <v>267</v>
      </c>
      <c r="M302" s="1"/>
      <c r="N302" s="1">
        <f t="shared" si="16"/>
        <v>2</v>
      </c>
      <c r="O302" s="87"/>
    </row>
    <row r="303" spans="1:15" ht="15.75" hidden="1" x14ac:dyDescent="0.25">
      <c r="A303" s="1" t="str">
        <f t="shared" si="15"/>
        <v>43867438708.91DINERSTRANSPORTUBER</v>
      </c>
      <c r="B303" s="2">
        <v>43867</v>
      </c>
      <c r="C303" s="2">
        <v>43870</v>
      </c>
      <c r="D303" s="3" t="s">
        <v>412</v>
      </c>
      <c r="E303" s="3">
        <v>8.91</v>
      </c>
      <c r="F303" s="3">
        <v>1</v>
      </c>
      <c r="G303" s="3">
        <f t="shared" si="17"/>
        <v>8.91</v>
      </c>
      <c r="H303" s="3" t="s">
        <v>266</v>
      </c>
      <c r="I303" s="1" t="s">
        <v>296</v>
      </c>
      <c r="J303" s="1" t="s">
        <v>299</v>
      </c>
      <c r="K303" s="1" t="s">
        <v>298</v>
      </c>
      <c r="L303" s="1" t="s">
        <v>267</v>
      </c>
      <c r="M303" s="1"/>
      <c r="N303" s="1">
        <f t="shared" si="16"/>
        <v>2</v>
      </c>
      <c r="O303" s="87"/>
    </row>
    <row r="304" spans="1:15" ht="15.75" hidden="1" x14ac:dyDescent="0.25">
      <c r="A304" s="1" t="str">
        <f t="shared" si="15"/>
        <v>4386743868144.55DINERSGROCERYLULU</v>
      </c>
      <c r="B304" s="2">
        <v>43867</v>
      </c>
      <c r="C304" s="2">
        <v>43868</v>
      </c>
      <c r="D304" s="3" t="s">
        <v>414</v>
      </c>
      <c r="E304" s="3">
        <v>144.55000000000001</v>
      </c>
      <c r="F304" s="3">
        <v>1</v>
      </c>
      <c r="G304" s="3">
        <f t="shared" si="17"/>
        <v>144.55000000000001</v>
      </c>
      <c r="H304" s="3" t="s">
        <v>266</v>
      </c>
      <c r="I304" s="1" t="s">
        <v>43</v>
      </c>
      <c r="J304" s="1" t="s">
        <v>44</v>
      </c>
      <c r="K304" s="1" t="s">
        <v>298</v>
      </c>
      <c r="L304" s="1" t="s">
        <v>267</v>
      </c>
      <c r="M304" s="1"/>
      <c r="N304" s="1">
        <f t="shared" si="16"/>
        <v>2</v>
      </c>
      <c r="O304" s="87"/>
    </row>
    <row r="305" spans="1:15" ht="15.75" x14ac:dyDescent="0.25">
      <c r="A305" s="1" t="str">
        <f t="shared" si="15"/>
        <v>4386743868891DINERSGOLDKALYAN</v>
      </c>
      <c r="B305" s="2">
        <v>43867</v>
      </c>
      <c r="C305" s="2">
        <v>43868</v>
      </c>
      <c r="D305" s="3" t="s">
        <v>413</v>
      </c>
      <c r="E305" s="3">
        <v>891</v>
      </c>
      <c r="F305" s="3">
        <v>1</v>
      </c>
      <c r="G305" s="3">
        <f t="shared" si="17"/>
        <v>891</v>
      </c>
      <c r="H305" s="3" t="s">
        <v>266</v>
      </c>
      <c r="I305" s="1" t="s">
        <v>106</v>
      </c>
      <c r="J305" s="1" t="s">
        <v>173</v>
      </c>
      <c r="K305" s="1" t="s">
        <v>298</v>
      </c>
      <c r="L305" s="1" t="s">
        <v>267</v>
      </c>
      <c r="M305" s="1"/>
      <c r="N305" s="1">
        <f t="shared" si="16"/>
        <v>2</v>
      </c>
      <c r="O305" s="87"/>
    </row>
    <row r="306" spans="1:15" ht="15.75" hidden="1" x14ac:dyDescent="0.25">
      <c r="A306" s="1" t="str">
        <f t="shared" si="15"/>
        <v>438674386714CURRENTFOODQATAR AIR</v>
      </c>
      <c r="B306" s="2">
        <v>43867</v>
      </c>
      <c r="C306" s="2">
        <v>43867</v>
      </c>
      <c r="D306" s="3" t="s">
        <v>410</v>
      </c>
      <c r="E306" s="3">
        <v>-14</v>
      </c>
      <c r="F306" s="3">
        <v>1</v>
      </c>
      <c r="G306" s="3">
        <f t="shared" si="17"/>
        <v>14</v>
      </c>
      <c r="H306" s="3" t="s">
        <v>293</v>
      </c>
      <c r="I306" s="1" t="s">
        <v>10</v>
      </c>
      <c r="J306" s="1" t="s">
        <v>19</v>
      </c>
      <c r="K306" s="1" t="s">
        <v>298</v>
      </c>
      <c r="L306" s="1" t="s">
        <v>257</v>
      </c>
      <c r="M306" s="1"/>
      <c r="N306" s="1">
        <f t="shared" si="16"/>
        <v>2</v>
      </c>
      <c r="O306" s="65"/>
    </row>
    <row r="307" spans="1:15" ht="15.75" x14ac:dyDescent="0.25">
      <c r="A307" s="1" t="str">
        <f t="shared" si="15"/>
        <v>43869438701221DINERSGOLDKALYAN</v>
      </c>
      <c r="B307" s="2">
        <v>43869</v>
      </c>
      <c r="C307" s="2">
        <v>43870</v>
      </c>
      <c r="D307" s="3" t="s">
        <v>469</v>
      </c>
      <c r="E307" s="3">
        <v>1221</v>
      </c>
      <c r="F307" s="3">
        <v>1</v>
      </c>
      <c r="G307" s="3">
        <f t="shared" si="17"/>
        <v>1221</v>
      </c>
      <c r="H307" s="3" t="s">
        <v>266</v>
      </c>
      <c r="I307" s="1" t="s">
        <v>106</v>
      </c>
      <c r="J307" s="1" t="s">
        <v>173</v>
      </c>
      <c r="K307" s="1" t="s">
        <v>298</v>
      </c>
      <c r="L307" s="1" t="s">
        <v>267</v>
      </c>
      <c r="M307" s="1"/>
      <c r="N307" s="1">
        <f t="shared" si="16"/>
        <v>2</v>
      </c>
      <c r="O307" s="87"/>
    </row>
    <row r="308" spans="1:15" ht="15.75" hidden="1" x14ac:dyDescent="0.25">
      <c r="A308" s="1" t="str">
        <f t="shared" si="15"/>
        <v>4386943869420DINERSEDUCATIONALKHEBRA</v>
      </c>
      <c r="B308" s="2">
        <v>43869</v>
      </c>
      <c r="C308" s="2">
        <v>43869</v>
      </c>
      <c r="D308" s="3" t="s">
        <v>94</v>
      </c>
      <c r="E308" s="3">
        <v>420</v>
      </c>
      <c r="F308" s="3">
        <v>1</v>
      </c>
      <c r="G308" s="3">
        <f t="shared" si="17"/>
        <v>420</v>
      </c>
      <c r="H308" s="3" t="s">
        <v>266</v>
      </c>
      <c r="I308" s="1" t="s">
        <v>543</v>
      </c>
      <c r="J308" s="1" t="s">
        <v>92</v>
      </c>
      <c r="K308" s="1" t="s">
        <v>298</v>
      </c>
      <c r="L308" s="1" t="s">
        <v>267</v>
      </c>
      <c r="M308" s="1">
        <v>1</v>
      </c>
      <c r="N308" s="1">
        <f t="shared" si="16"/>
        <v>2</v>
      </c>
      <c r="O308" s="87"/>
    </row>
    <row r="309" spans="1:15" ht="15.75" hidden="1" x14ac:dyDescent="0.25">
      <c r="A309" s="1" t="str">
        <f t="shared" si="15"/>
        <v>4387443874235CURRENTTRAVELAIR INDIA</v>
      </c>
      <c r="B309" s="2">
        <v>43874</v>
      </c>
      <c r="C309" s="2">
        <v>43874</v>
      </c>
      <c r="D309" s="3" t="s">
        <v>473</v>
      </c>
      <c r="E309" s="3">
        <v>235</v>
      </c>
      <c r="F309" s="3">
        <v>1</v>
      </c>
      <c r="G309" s="3">
        <f t="shared" si="17"/>
        <v>235</v>
      </c>
      <c r="H309" s="3" t="s">
        <v>293</v>
      </c>
      <c r="I309" s="1" t="s">
        <v>393</v>
      </c>
      <c r="J309" s="1" t="s">
        <v>474</v>
      </c>
      <c r="K309" s="1" t="s">
        <v>298</v>
      </c>
      <c r="L309" s="1" t="s">
        <v>257</v>
      </c>
      <c r="M309" s="1"/>
      <c r="N309" s="1">
        <f t="shared" si="16"/>
        <v>2</v>
      </c>
      <c r="O309" s="65"/>
    </row>
    <row r="310" spans="1:15" ht="15.75" hidden="1" x14ac:dyDescent="0.25">
      <c r="A310" s="1" t="str">
        <f t="shared" si="15"/>
        <v>4387443891215CURRENTTRAVELAIR INDIA</v>
      </c>
      <c r="B310" s="2">
        <v>43874</v>
      </c>
      <c r="C310" s="2">
        <v>43891</v>
      </c>
      <c r="D310" s="3" t="s">
        <v>473</v>
      </c>
      <c r="E310" s="3">
        <v>-215</v>
      </c>
      <c r="F310" s="3">
        <v>1</v>
      </c>
      <c r="G310" s="3">
        <f t="shared" si="17"/>
        <v>215</v>
      </c>
      <c r="H310" s="3" t="s">
        <v>293</v>
      </c>
      <c r="I310" s="1" t="s">
        <v>393</v>
      </c>
      <c r="J310" s="1" t="s">
        <v>474</v>
      </c>
      <c r="K310" s="1" t="s">
        <v>300</v>
      </c>
      <c r="L310" s="1" t="s">
        <v>257</v>
      </c>
      <c r="M310" s="1"/>
      <c r="N310" s="1">
        <f t="shared" si="16"/>
        <v>3</v>
      </c>
      <c r="O310" s="65"/>
    </row>
    <row r="311" spans="1:15" ht="15.75" hidden="1" x14ac:dyDescent="0.25">
      <c r="A311" s="1" t="str">
        <f t="shared" si="15"/>
        <v>4387443879137.85MASTER CCGROCERYFFC</v>
      </c>
      <c r="B311" s="2">
        <v>43874</v>
      </c>
      <c r="C311" s="2">
        <v>43879</v>
      </c>
      <c r="D311" s="3" t="s">
        <v>475</v>
      </c>
      <c r="E311" s="3">
        <v>137.85</v>
      </c>
      <c r="F311" s="3">
        <v>1</v>
      </c>
      <c r="G311" s="3">
        <f t="shared" si="17"/>
        <v>137.85</v>
      </c>
      <c r="H311" s="3" t="s">
        <v>291</v>
      </c>
      <c r="I311" s="1" t="s">
        <v>43</v>
      </c>
      <c r="J311" s="1" t="s">
        <v>96</v>
      </c>
      <c r="K311" s="1" t="s">
        <v>298</v>
      </c>
      <c r="L311" s="1" t="s">
        <v>267</v>
      </c>
      <c r="M311" s="1"/>
      <c r="N311" s="1">
        <f t="shared" si="16"/>
        <v>2</v>
      </c>
      <c r="O311" s="65"/>
    </row>
    <row r="312" spans="1:15" ht="15.75" hidden="1" x14ac:dyDescent="0.25">
      <c r="A312" s="1" t="str">
        <f t="shared" si="15"/>
        <v>438784388020MASTER CCTELECOMOOREDOO</v>
      </c>
      <c r="B312" s="2">
        <v>43878</v>
      </c>
      <c r="C312" s="2">
        <v>43880</v>
      </c>
      <c r="D312" s="3" t="s">
        <v>477</v>
      </c>
      <c r="E312" s="3">
        <v>20</v>
      </c>
      <c r="F312" s="3">
        <v>1</v>
      </c>
      <c r="G312" s="3">
        <f t="shared" si="17"/>
        <v>20</v>
      </c>
      <c r="H312" s="3" t="s">
        <v>291</v>
      </c>
      <c r="I312" s="1" t="s">
        <v>58</v>
      </c>
      <c r="J312" s="1" t="s">
        <v>59</v>
      </c>
      <c r="K312" s="1" t="s">
        <v>298</v>
      </c>
      <c r="L312" s="1" t="s">
        <v>267</v>
      </c>
      <c r="M312" s="1"/>
      <c r="N312" s="1">
        <f t="shared" si="16"/>
        <v>2</v>
      </c>
      <c r="O312" s="65"/>
    </row>
    <row r="313" spans="1:15" ht="15.75" hidden="1" x14ac:dyDescent="0.25">
      <c r="A313" s="1" t="str">
        <f t="shared" si="15"/>
        <v>438804388014CURRENTFOODQATAR AIR</v>
      </c>
      <c r="B313" s="2">
        <v>43880</v>
      </c>
      <c r="C313" s="2">
        <v>43880</v>
      </c>
      <c r="D313" s="3" t="s">
        <v>478</v>
      </c>
      <c r="E313" s="3">
        <v>-14</v>
      </c>
      <c r="F313" s="3">
        <v>1</v>
      </c>
      <c r="G313" s="3">
        <f t="shared" si="17"/>
        <v>14</v>
      </c>
      <c r="H313" s="3" t="s">
        <v>293</v>
      </c>
      <c r="I313" s="1" t="s">
        <v>10</v>
      </c>
      <c r="J313" s="1" t="s">
        <v>19</v>
      </c>
      <c r="K313" s="1" t="s">
        <v>298</v>
      </c>
      <c r="L313" s="1" t="s">
        <v>257</v>
      </c>
      <c r="M313" s="1"/>
      <c r="N313" s="1">
        <f t="shared" si="16"/>
        <v>2</v>
      </c>
      <c r="O313" s="65"/>
    </row>
    <row r="314" spans="1:15" ht="15.75" hidden="1" x14ac:dyDescent="0.25">
      <c r="A314" s="1" t="str">
        <f t="shared" si="15"/>
        <v>438804388130DINERSFOODCAFÉ/REST.</v>
      </c>
      <c r="B314" s="2">
        <v>43880</v>
      </c>
      <c r="C314" s="2">
        <v>43881</v>
      </c>
      <c r="D314" s="3" t="s">
        <v>476</v>
      </c>
      <c r="E314" s="3">
        <v>30</v>
      </c>
      <c r="F314" s="3">
        <v>1</v>
      </c>
      <c r="G314" s="3">
        <f t="shared" si="17"/>
        <v>30</v>
      </c>
      <c r="H314" s="3" t="s">
        <v>266</v>
      </c>
      <c r="I314" s="1" t="s">
        <v>10</v>
      </c>
      <c r="J314" s="1" t="s">
        <v>11</v>
      </c>
      <c r="K314" s="1" t="s">
        <v>298</v>
      </c>
      <c r="L314" s="1" t="s">
        <v>267</v>
      </c>
      <c r="M314" s="1"/>
      <c r="N314" s="1">
        <f t="shared" si="16"/>
        <v>2</v>
      </c>
      <c r="O314" s="87"/>
    </row>
    <row r="315" spans="1:15" ht="15.75" hidden="1" x14ac:dyDescent="0.25">
      <c r="A315" s="1" t="str">
        <f t="shared" si="15"/>
        <v>4388243882333.15DINERSSHOPPINGLULU</v>
      </c>
      <c r="B315" s="2">
        <v>43882</v>
      </c>
      <c r="C315" s="2">
        <v>43882</v>
      </c>
      <c r="D315" s="3" t="s">
        <v>53</v>
      </c>
      <c r="E315" s="3">
        <v>333.15</v>
      </c>
      <c r="F315" s="3">
        <v>1</v>
      </c>
      <c r="G315" s="3">
        <f t="shared" si="17"/>
        <v>333.15</v>
      </c>
      <c r="H315" s="3" t="s">
        <v>266</v>
      </c>
      <c r="I315" s="1" t="s">
        <v>194</v>
      </c>
      <c r="J315" s="1" t="s">
        <v>44</v>
      </c>
      <c r="K315" s="1" t="s">
        <v>298</v>
      </c>
      <c r="L315" s="1" t="s">
        <v>267</v>
      </c>
      <c r="M315" s="1">
        <v>1</v>
      </c>
      <c r="N315" s="1">
        <f t="shared" si="16"/>
        <v>2</v>
      </c>
      <c r="O315" s="87"/>
    </row>
    <row r="316" spans="1:15" ht="15.75" hidden="1" x14ac:dyDescent="0.25">
      <c r="A316" s="1" t="str">
        <f t="shared" si="15"/>
        <v>4388443891185CURRENTTRAVELQATAR AIR</v>
      </c>
      <c r="B316" s="2">
        <v>43884</v>
      </c>
      <c r="C316" s="2">
        <v>43891</v>
      </c>
      <c r="D316" s="3" t="s">
        <v>491</v>
      </c>
      <c r="E316" s="3">
        <v>185</v>
      </c>
      <c r="F316" s="3">
        <v>1</v>
      </c>
      <c r="G316" s="3">
        <f t="shared" si="17"/>
        <v>185</v>
      </c>
      <c r="H316" s="3" t="s">
        <v>293</v>
      </c>
      <c r="I316" s="1" t="s">
        <v>393</v>
      </c>
      <c r="J316" s="1" t="s">
        <v>19</v>
      </c>
      <c r="K316" s="1" t="s">
        <v>298</v>
      </c>
      <c r="L316" s="1" t="s">
        <v>257</v>
      </c>
      <c r="M316" s="1"/>
      <c r="N316" s="1">
        <f t="shared" si="16"/>
        <v>3</v>
      </c>
      <c r="O316" s="65"/>
    </row>
    <row r="317" spans="1:15" ht="15.75" hidden="1" x14ac:dyDescent="0.25">
      <c r="A317" s="1" t="str">
        <f t="shared" si="15"/>
        <v>438844388410CURRENTFOODCAFÉ/REST.</v>
      </c>
      <c r="B317" s="2">
        <v>43884</v>
      </c>
      <c r="C317" s="2">
        <v>43884</v>
      </c>
      <c r="D317" s="3" t="s">
        <v>483</v>
      </c>
      <c r="E317" s="3">
        <v>-10</v>
      </c>
      <c r="F317" s="3">
        <v>1</v>
      </c>
      <c r="G317" s="3">
        <f t="shared" si="17"/>
        <v>10</v>
      </c>
      <c r="H317" s="3" t="s">
        <v>293</v>
      </c>
      <c r="I317" s="1" t="s">
        <v>10</v>
      </c>
      <c r="J317" s="1" t="s">
        <v>11</v>
      </c>
      <c r="K317" s="1" t="s">
        <v>298</v>
      </c>
      <c r="L317" s="1" t="s">
        <v>257</v>
      </c>
      <c r="M317" s="1"/>
      <c r="N317" s="1">
        <f t="shared" si="16"/>
        <v>2</v>
      </c>
      <c r="O317" s="65"/>
    </row>
    <row r="318" spans="1:15" ht="15.75" hidden="1" x14ac:dyDescent="0.25">
      <c r="A318" s="1" t="str">
        <f t="shared" si="15"/>
        <v>438864388613730CURRENTSALARYQATAR AIR</v>
      </c>
      <c r="B318" s="2">
        <v>43886</v>
      </c>
      <c r="C318" s="2">
        <v>43886</v>
      </c>
      <c r="D318" s="3" t="s">
        <v>482</v>
      </c>
      <c r="E318" s="3">
        <v>13730</v>
      </c>
      <c r="F318" s="3">
        <v>1</v>
      </c>
      <c r="G318" s="3">
        <f t="shared" si="17"/>
        <v>13730</v>
      </c>
      <c r="H318" s="3" t="s">
        <v>293</v>
      </c>
      <c r="I318" s="1" t="s">
        <v>18</v>
      </c>
      <c r="J318" s="1" t="s">
        <v>19</v>
      </c>
      <c r="K318" s="1" t="s">
        <v>300</v>
      </c>
      <c r="L318" s="1" t="s">
        <v>257</v>
      </c>
      <c r="M318" s="1"/>
      <c r="N318" s="1">
        <f t="shared" si="16"/>
        <v>2</v>
      </c>
      <c r="O318" s="65"/>
    </row>
    <row r="319" spans="1:15" ht="15.75" hidden="1" x14ac:dyDescent="0.25">
      <c r="A319" s="1" t="str">
        <f t="shared" si="15"/>
        <v>43886438863212CURRENTCC BILL PAYMENTBANK</v>
      </c>
      <c r="B319" s="2">
        <v>43886</v>
      </c>
      <c r="C319" s="2">
        <v>43886</v>
      </c>
      <c r="D319" s="3" t="s">
        <v>481</v>
      </c>
      <c r="E319" s="3">
        <v>-3212</v>
      </c>
      <c r="F319" s="3">
        <v>1</v>
      </c>
      <c r="G319" s="3">
        <f t="shared" si="17"/>
        <v>3212</v>
      </c>
      <c r="H319" s="3" t="s">
        <v>293</v>
      </c>
      <c r="I319" s="1" t="s">
        <v>81</v>
      </c>
      <c r="J319" s="1" t="s">
        <v>8</v>
      </c>
      <c r="K319" s="1" t="s">
        <v>298</v>
      </c>
      <c r="L319" s="1" t="s">
        <v>257</v>
      </c>
      <c r="M319" s="1"/>
      <c r="N319" s="1">
        <f t="shared" si="16"/>
        <v>2</v>
      </c>
      <c r="O319" s="65"/>
    </row>
    <row r="320" spans="1:15" ht="15.75" hidden="1" x14ac:dyDescent="0.25">
      <c r="A320" s="1" t="str">
        <f t="shared" si="15"/>
        <v>4388643886350CURRENTCC BILL PAYMENTBANK</v>
      </c>
      <c r="B320" s="2">
        <v>43886</v>
      </c>
      <c r="C320" s="2">
        <v>43886</v>
      </c>
      <c r="D320" s="3" t="s">
        <v>480</v>
      </c>
      <c r="E320" s="3">
        <v>-350</v>
      </c>
      <c r="F320" s="3">
        <v>1</v>
      </c>
      <c r="G320" s="3">
        <f t="shared" si="17"/>
        <v>350</v>
      </c>
      <c r="H320" s="3" t="s">
        <v>293</v>
      </c>
      <c r="I320" s="1" t="s">
        <v>81</v>
      </c>
      <c r="J320" s="1" t="s">
        <v>8</v>
      </c>
      <c r="K320" s="1" t="s">
        <v>298</v>
      </c>
      <c r="L320" s="1" t="s">
        <v>257</v>
      </c>
      <c r="M320" s="1"/>
      <c r="N320" s="1">
        <f t="shared" si="16"/>
        <v>2</v>
      </c>
      <c r="O320" s="65"/>
    </row>
    <row r="321" spans="1:15" ht="15.75" hidden="1" x14ac:dyDescent="0.25">
      <c r="A321" s="1" t="str">
        <f t="shared" si="15"/>
        <v>43886438863212DINERSCC BILL PAYMENTBANK</v>
      </c>
      <c r="B321" s="2">
        <v>43886</v>
      </c>
      <c r="C321" s="2">
        <v>43886</v>
      </c>
      <c r="D321" s="3" t="s">
        <v>80</v>
      </c>
      <c r="E321" s="3">
        <v>-3212</v>
      </c>
      <c r="F321" s="3">
        <v>1</v>
      </c>
      <c r="G321" s="3">
        <f t="shared" si="17"/>
        <v>3212</v>
      </c>
      <c r="H321" s="3" t="s">
        <v>266</v>
      </c>
      <c r="I321" s="1" t="s">
        <v>81</v>
      </c>
      <c r="J321" s="1" t="s">
        <v>8</v>
      </c>
      <c r="K321" s="1" t="s">
        <v>300</v>
      </c>
      <c r="L321" s="1" t="s">
        <v>267</v>
      </c>
      <c r="M321" s="1"/>
      <c r="N321" s="1">
        <f t="shared" si="16"/>
        <v>2</v>
      </c>
      <c r="O321" s="87"/>
    </row>
    <row r="322" spans="1:15" ht="15.75" hidden="1" x14ac:dyDescent="0.25">
      <c r="A322" s="1" t="str">
        <f t="shared" ref="A322:A385" si="18">B322&amp;C322&amp;G322&amp;H322&amp;I322&amp;J322</f>
        <v>4388643886350DINERSCC BILL PAYMENTBANK</v>
      </c>
      <c r="B322" s="2">
        <v>43886</v>
      </c>
      <c r="C322" s="2">
        <v>43886</v>
      </c>
      <c r="D322" s="3" t="s">
        <v>80</v>
      </c>
      <c r="E322" s="3">
        <v>-350</v>
      </c>
      <c r="F322" s="3">
        <v>1</v>
      </c>
      <c r="G322" s="3">
        <f t="shared" si="17"/>
        <v>350</v>
      </c>
      <c r="H322" s="3" t="s">
        <v>266</v>
      </c>
      <c r="I322" s="1" t="s">
        <v>81</v>
      </c>
      <c r="J322" s="1" t="s">
        <v>8</v>
      </c>
      <c r="K322" s="1" t="s">
        <v>300</v>
      </c>
      <c r="L322" s="1" t="s">
        <v>267</v>
      </c>
      <c r="M322" s="1"/>
      <c r="N322" s="1">
        <f t="shared" ref="N322:N385" si="19">MONTH(C322)</f>
        <v>2</v>
      </c>
      <c r="O322" s="87"/>
    </row>
    <row r="323" spans="1:15" ht="15.75" hidden="1" x14ac:dyDescent="0.25">
      <c r="A323" s="1" t="str">
        <f t="shared" si="18"/>
        <v>4388943891290CURRENTTRAVELQATAR AIR</v>
      </c>
      <c r="B323" s="2">
        <v>43889</v>
      </c>
      <c r="C323" s="2">
        <v>43891</v>
      </c>
      <c r="D323" s="3" t="s">
        <v>489</v>
      </c>
      <c r="E323" s="3">
        <v>290</v>
      </c>
      <c r="F323" s="3">
        <v>1</v>
      </c>
      <c r="G323" s="3">
        <f t="shared" si="17"/>
        <v>290</v>
      </c>
      <c r="H323" s="3" t="s">
        <v>293</v>
      </c>
      <c r="I323" s="1" t="s">
        <v>393</v>
      </c>
      <c r="J323" s="1" t="s">
        <v>19</v>
      </c>
      <c r="K323" s="1" t="s">
        <v>298</v>
      </c>
      <c r="L323" s="1" t="s">
        <v>257</v>
      </c>
      <c r="M323" s="1"/>
      <c r="N323" s="1">
        <f t="shared" si="19"/>
        <v>3</v>
      </c>
      <c r="O323" s="65"/>
    </row>
    <row r="324" spans="1:15" ht="15.75" hidden="1" x14ac:dyDescent="0.25">
      <c r="A324" s="1" t="str">
        <f t="shared" si="18"/>
        <v>4388943891290CURRENTTRAVELQATAR AIR</v>
      </c>
      <c r="B324" s="2">
        <v>43889</v>
      </c>
      <c r="C324" s="2">
        <v>43891</v>
      </c>
      <c r="D324" s="3" t="s">
        <v>490</v>
      </c>
      <c r="E324" s="3">
        <v>290</v>
      </c>
      <c r="F324" s="3">
        <v>1</v>
      </c>
      <c r="G324" s="3">
        <f t="shared" si="17"/>
        <v>290</v>
      </c>
      <c r="H324" s="3" t="s">
        <v>293</v>
      </c>
      <c r="I324" s="1" t="s">
        <v>393</v>
      </c>
      <c r="J324" s="1" t="s">
        <v>19</v>
      </c>
      <c r="K324" s="1" t="s">
        <v>298</v>
      </c>
      <c r="L324" s="1" t="s">
        <v>257</v>
      </c>
      <c r="M324" s="1"/>
      <c r="N324" s="1">
        <f t="shared" si="19"/>
        <v>3</v>
      </c>
      <c r="O324" s="65"/>
    </row>
    <row r="325" spans="1:15" ht="15.75" hidden="1" x14ac:dyDescent="0.25">
      <c r="A325" s="1" t="str">
        <f t="shared" si="18"/>
        <v>4389043891270CURRENTTRAVELQATAR AIR</v>
      </c>
      <c r="B325" s="2">
        <v>43890</v>
      </c>
      <c r="C325" s="2">
        <v>43891</v>
      </c>
      <c r="D325" s="3" t="s">
        <v>489</v>
      </c>
      <c r="E325" s="3">
        <v>-270</v>
      </c>
      <c r="F325" s="3">
        <v>1</v>
      </c>
      <c r="G325" s="3">
        <f t="shared" si="17"/>
        <v>270</v>
      </c>
      <c r="H325" s="3" t="s">
        <v>293</v>
      </c>
      <c r="I325" s="1" t="s">
        <v>393</v>
      </c>
      <c r="J325" s="1" t="s">
        <v>19</v>
      </c>
      <c r="K325" s="1" t="s">
        <v>300</v>
      </c>
      <c r="L325" s="1" t="s">
        <v>257</v>
      </c>
      <c r="M325" s="1"/>
      <c r="N325" s="1">
        <f t="shared" si="19"/>
        <v>3</v>
      </c>
      <c r="O325" s="65"/>
    </row>
    <row r="326" spans="1:15" ht="15.75" hidden="1" x14ac:dyDescent="0.25">
      <c r="A326" s="1" t="str">
        <f t="shared" si="18"/>
        <v>4389043891270CURRENTTRAVELQATAR AIR</v>
      </c>
      <c r="B326" s="2">
        <v>43890</v>
      </c>
      <c r="C326" s="2">
        <v>43891</v>
      </c>
      <c r="D326" s="3" t="s">
        <v>490</v>
      </c>
      <c r="E326" s="3">
        <v>-270</v>
      </c>
      <c r="F326" s="3">
        <v>1</v>
      </c>
      <c r="G326" s="3">
        <f t="shared" si="17"/>
        <v>270</v>
      </c>
      <c r="H326" s="3" t="s">
        <v>293</v>
      </c>
      <c r="I326" s="1" t="s">
        <v>393</v>
      </c>
      <c r="J326" s="1" t="s">
        <v>19</v>
      </c>
      <c r="K326" s="1" t="s">
        <v>300</v>
      </c>
      <c r="L326" s="1" t="s">
        <v>257</v>
      </c>
      <c r="M326" s="1"/>
      <c r="N326" s="1">
        <f t="shared" si="19"/>
        <v>3</v>
      </c>
      <c r="O326" s="65"/>
    </row>
    <row r="327" spans="1:15" ht="15.75" hidden="1" x14ac:dyDescent="0.25">
      <c r="A327" s="1" t="str">
        <f t="shared" si="18"/>
        <v>4389043891305CURRENTTRAVELQATAR AIR</v>
      </c>
      <c r="B327" s="2">
        <v>43890</v>
      </c>
      <c r="C327" s="2">
        <v>43891</v>
      </c>
      <c r="D327" s="3" t="s">
        <v>487</v>
      </c>
      <c r="E327" s="3">
        <v>305</v>
      </c>
      <c r="F327" s="3">
        <v>1</v>
      </c>
      <c r="G327" s="3">
        <f t="shared" si="17"/>
        <v>305</v>
      </c>
      <c r="H327" s="3" t="s">
        <v>293</v>
      </c>
      <c r="I327" s="1" t="s">
        <v>393</v>
      </c>
      <c r="J327" s="1" t="s">
        <v>19</v>
      </c>
      <c r="K327" s="1" t="s">
        <v>298</v>
      </c>
      <c r="L327" s="1" t="s">
        <v>257</v>
      </c>
      <c r="M327" s="1"/>
      <c r="N327" s="1">
        <f t="shared" si="19"/>
        <v>3</v>
      </c>
      <c r="O327" s="65"/>
    </row>
    <row r="328" spans="1:15" ht="15.75" hidden="1" x14ac:dyDescent="0.25">
      <c r="A328" s="1" t="str">
        <f t="shared" si="18"/>
        <v>4389043891305CURRENTTRAVELQATAR AIR</v>
      </c>
      <c r="B328" s="2">
        <v>43890</v>
      </c>
      <c r="C328" s="2">
        <v>43891</v>
      </c>
      <c r="D328" s="3" t="s">
        <v>488</v>
      </c>
      <c r="E328" s="3">
        <v>305</v>
      </c>
      <c r="F328" s="3">
        <v>1</v>
      </c>
      <c r="G328" s="3">
        <f t="shared" si="17"/>
        <v>305</v>
      </c>
      <c r="H328" s="3" t="s">
        <v>293</v>
      </c>
      <c r="I328" s="1" t="s">
        <v>393</v>
      </c>
      <c r="J328" s="1" t="s">
        <v>19</v>
      </c>
      <c r="K328" s="1" t="s">
        <v>298</v>
      </c>
      <c r="L328" s="1" t="s">
        <v>257</v>
      </c>
      <c r="M328" s="1"/>
      <c r="N328" s="1">
        <f t="shared" si="19"/>
        <v>3</v>
      </c>
      <c r="O328" s="65"/>
    </row>
    <row r="329" spans="1:15" ht="15.75" hidden="1" x14ac:dyDescent="0.25">
      <c r="A329" s="1" t="str">
        <f t="shared" si="18"/>
        <v>4389143895150MASTER CCTELECOMVODAFONE</v>
      </c>
      <c r="B329" s="2">
        <v>43891</v>
      </c>
      <c r="C329" s="2">
        <v>43895</v>
      </c>
      <c r="D329" s="3" t="s">
        <v>479</v>
      </c>
      <c r="E329" s="3">
        <v>150</v>
      </c>
      <c r="F329" s="3">
        <v>1</v>
      </c>
      <c r="G329" s="3">
        <f t="shared" si="17"/>
        <v>150</v>
      </c>
      <c r="H329" s="3" t="s">
        <v>291</v>
      </c>
      <c r="I329" s="1" t="s">
        <v>58</v>
      </c>
      <c r="J329" s="1" t="s">
        <v>78</v>
      </c>
      <c r="K329" s="1" t="s">
        <v>298</v>
      </c>
      <c r="L329" s="1" t="s">
        <v>267</v>
      </c>
      <c r="M329" s="1"/>
      <c r="N329" s="1">
        <f t="shared" si="19"/>
        <v>3</v>
      </c>
      <c r="O329" s="65"/>
    </row>
    <row r="330" spans="1:15" ht="15.75" hidden="1" x14ac:dyDescent="0.25">
      <c r="A330" s="1" t="str">
        <f t="shared" si="18"/>
        <v>43891438921000CURRENTSAVINGSELF</v>
      </c>
      <c r="B330" s="2">
        <v>43891</v>
      </c>
      <c r="C330" s="2">
        <v>43892</v>
      </c>
      <c r="D330" s="3" t="s">
        <v>486</v>
      </c>
      <c r="E330" s="3">
        <v>-1000</v>
      </c>
      <c r="F330" s="3">
        <v>1</v>
      </c>
      <c r="G330" s="3">
        <f t="shared" si="17"/>
        <v>1000</v>
      </c>
      <c r="H330" s="3" t="s">
        <v>293</v>
      </c>
      <c r="I330" s="1" t="s">
        <v>302</v>
      </c>
      <c r="J330" s="1" t="s">
        <v>14</v>
      </c>
      <c r="K330" s="1" t="s">
        <v>298</v>
      </c>
      <c r="L330" s="1" t="s">
        <v>257</v>
      </c>
      <c r="M330" s="1"/>
      <c r="N330" s="1">
        <f t="shared" si="19"/>
        <v>3</v>
      </c>
      <c r="O330" s="65"/>
    </row>
    <row r="331" spans="1:15" ht="15.75" hidden="1" x14ac:dyDescent="0.25">
      <c r="A331" s="1" t="str">
        <f t="shared" si="18"/>
        <v>43892438924CURRENTSERVICEBANK</v>
      </c>
      <c r="B331" s="2">
        <v>43892</v>
      </c>
      <c r="C331" s="2">
        <v>43892</v>
      </c>
      <c r="D331" s="3" t="s">
        <v>485</v>
      </c>
      <c r="E331" s="3">
        <v>-4</v>
      </c>
      <c r="F331" s="3">
        <v>1</v>
      </c>
      <c r="G331" s="3">
        <f t="shared" si="17"/>
        <v>4</v>
      </c>
      <c r="H331" s="3" t="s">
        <v>293</v>
      </c>
      <c r="I331" s="1" t="s">
        <v>7</v>
      </c>
      <c r="J331" s="1" t="s">
        <v>8</v>
      </c>
      <c r="K331" s="1" t="s">
        <v>298</v>
      </c>
      <c r="L331" s="1" t="s">
        <v>257</v>
      </c>
      <c r="M331" s="1"/>
      <c r="N331" s="1">
        <f t="shared" si="19"/>
        <v>3</v>
      </c>
      <c r="O331" s="65"/>
    </row>
    <row r="332" spans="1:15" ht="15.75" hidden="1" x14ac:dyDescent="0.25">
      <c r="A332" s="1" t="str">
        <f t="shared" si="18"/>
        <v>43892438924850CURRENTRENTCAP ONE</v>
      </c>
      <c r="B332" s="2">
        <v>43892</v>
      </c>
      <c r="C332" s="2">
        <v>43892</v>
      </c>
      <c r="D332" s="3" t="s">
        <v>484</v>
      </c>
      <c r="E332" s="3">
        <v>-4850</v>
      </c>
      <c r="F332" s="3">
        <v>1</v>
      </c>
      <c r="G332" s="3">
        <f t="shared" si="17"/>
        <v>4850</v>
      </c>
      <c r="H332" s="3" t="s">
        <v>293</v>
      </c>
      <c r="I332" s="1" t="s">
        <v>83</v>
      </c>
      <c r="J332" s="1" t="s">
        <v>84</v>
      </c>
      <c r="K332" s="1" t="s">
        <v>298</v>
      </c>
      <c r="L332" s="1" t="s">
        <v>257</v>
      </c>
      <c r="M332" s="1"/>
      <c r="N332" s="1">
        <f t="shared" si="19"/>
        <v>3</v>
      </c>
      <c r="O332" s="65"/>
    </row>
    <row r="333" spans="1:15" ht="15.75" hidden="1" x14ac:dyDescent="0.25">
      <c r="A333" s="1" t="str">
        <f t="shared" si="18"/>
        <v>4389243895106.5MASTER CCGROCERYGRANDMART</v>
      </c>
      <c r="B333" s="2">
        <v>43892</v>
      </c>
      <c r="C333" s="2">
        <v>43895</v>
      </c>
      <c r="D333" s="3" t="s">
        <v>495</v>
      </c>
      <c r="E333" s="3">
        <v>106.5</v>
      </c>
      <c r="F333" s="3">
        <v>1</v>
      </c>
      <c r="G333" s="3">
        <f t="shared" si="17"/>
        <v>106.5</v>
      </c>
      <c r="H333" s="3" t="s">
        <v>291</v>
      </c>
      <c r="I333" s="1" t="s">
        <v>43</v>
      </c>
      <c r="J333" s="1" t="s">
        <v>50</v>
      </c>
      <c r="K333" s="1" t="s">
        <v>298</v>
      </c>
      <c r="L333" s="1" t="s">
        <v>267</v>
      </c>
      <c r="M333" s="1"/>
      <c r="N333" s="1">
        <f t="shared" si="19"/>
        <v>3</v>
      </c>
      <c r="O333" s="65"/>
    </row>
    <row r="334" spans="1:15" ht="15.75" hidden="1" x14ac:dyDescent="0.25">
      <c r="A334" s="1" t="str">
        <f t="shared" si="18"/>
        <v>43893438957MASTER CCTRANSPORTCAREEM</v>
      </c>
      <c r="B334" s="2">
        <v>43893</v>
      </c>
      <c r="C334" s="2">
        <v>43895</v>
      </c>
      <c r="D334" s="3" t="s">
        <v>494</v>
      </c>
      <c r="E334" s="3">
        <v>7</v>
      </c>
      <c r="F334" s="3">
        <v>1</v>
      </c>
      <c r="G334" s="3">
        <f t="shared" ref="G334:G356" si="20">ABS(E334)*F334</f>
        <v>7</v>
      </c>
      <c r="H334" s="3" t="s">
        <v>291</v>
      </c>
      <c r="I334" s="1" t="s">
        <v>296</v>
      </c>
      <c r="J334" s="1" t="s">
        <v>297</v>
      </c>
      <c r="K334" s="1" t="s">
        <v>298</v>
      </c>
      <c r="L334" s="1" t="s">
        <v>267</v>
      </c>
      <c r="M334" s="1"/>
      <c r="N334" s="1">
        <f t="shared" si="19"/>
        <v>3</v>
      </c>
      <c r="O334" s="65"/>
    </row>
    <row r="335" spans="1:15" ht="15.75" hidden="1" x14ac:dyDescent="0.25">
      <c r="A335" s="1" t="str">
        <f t="shared" si="18"/>
        <v>438934389513MASTER CCTRANSPORTCAREEM</v>
      </c>
      <c r="B335" s="2">
        <v>43893</v>
      </c>
      <c r="C335" s="2">
        <v>43895</v>
      </c>
      <c r="D335" s="3" t="s">
        <v>493</v>
      </c>
      <c r="E335" s="3">
        <v>13</v>
      </c>
      <c r="F335" s="3">
        <v>1</v>
      </c>
      <c r="G335" s="3">
        <f t="shared" si="20"/>
        <v>13</v>
      </c>
      <c r="H335" s="3" t="s">
        <v>291</v>
      </c>
      <c r="I335" s="1" t="s">
        <v>296</v>
      </c>
      <c r="J335" s="1" t="s">
        <v>297</v>
      </c>
      <c r="K335" s="1" t="s">
        <v>298</v>
      </c>
      <c r="L335" s="1" t="s">
        <v>267</v>
      </c>
      <c r="M335" s="1"/>
      <c r="N335" s="1">
        <f t="shared" si="19"/>
        <v>3</v>
      </c>
      <c r="O335" s="65"/>
    </row>
    <row r="336" spans="1:15" ht="15.75" hidden="1" x14ac:dyDescent="0.25">
      <c r="A336" s="1" t="str">
        <f t="shared" si="18"/>
        <v>438944389660MASTER CCTELECOMOOREDOO</v>
      </c>
      <c r="B336" s="2">
        <v>43894</v>
      </c>
      <c r="C336" s="2">
        <v>43896</v>
      </c>
      <c r="D336" s="3" t="s">
        <v>492</v>
      </c>
      <c r="E336" s="3">
        <v>60</v>
      </c>
      <c r="F336" s="3">
        <v>1</v>
      </c>
      <c r="G336" s="3">
        <f t="shared" si="20"/>
        <v>60</v>
      </c>
      <c r="H336" s="3" t="s">
        <v>291</v>
      </c>
      <c r="I336" s="1" t="s">
        <v>58</v>
      </c>
      <c r="J336" s="1" t="s">
        <v>59</v>
      </c>
      <c r="K336" s="1" t="s">
        <v>298</v>
      </c>
      <c r="L336" s="1" t="s">
        <v>267</v>
      </c>
      <c r="M336" s="1"/>
      <c r="N336" s="1">
        <f t="shared" si="19"/>
        <v>3</v>
      </c>
      <c r="O336" s="65"/>
    </row>
    <row r="337" spans="1:15" ht="15.75" hidden="1" x14ac:dyDescent="0.25">
      <c r="A337" s="1" t="str">
        <f t="shared" si="18"/>
        <v>43895438951250CURRENTSAVINGSELF</v>
      </c>
      <c r="B337" s="2">
        <v>43895</v>
      </c>
      <c r="C337" s="2">
        <v>43895</v>
      </c>
      <c r="D337" s="3" t="s">
        <v>333</v>
      </c>
      <c r="E337" s="3">
        <v>-1250</v>
      </c>
      <c r="F337" s="3">
        <v>1</v>
      </c>
      <c r="G337" s="3">
        <f t="shared" si="20"/>
        <v>1250</v>
      </c>
      <c r="H337" s="3" t="s">
        <v>293</v>
      </c>
      <c r="I337" s="1" t="s">
        <v>302</v>
      </c>
      <c r="J337" s="1" t="s">
        <v>14</v>
      </c>
      <c r="K337" s="1" t="s">
        <v>298</v>
      </c>
      <c r="L337" s="1" t="s">
        <v>257</v>
      </c>
      <c r="M337" s="1"/>
      <c r="N337" s="1">
        <f t="shared" si="19"/>
        <v>3</v>
      </c>
      <c r="O337" s="65"/>
    </row>
    <row r="338" spans="1:15" ht="15.75" hidden="1" x14ac:dyDescent="0.25">
      <c r="A338" s="1" t="str">
        <f t="shared" si="18"/>
        <v>4389643897162.4DINERSGROCERYLULU</v>
      </c>
      <c r="B338" s="2">
        <v>43896</v>
      </c>
      <c r="C338" s="2">
        <v>43897</v>
      </c>
      <c r="D338" s="3" t="s">
        <v>498</v>
      </c>
      <c r="E338" s="3">
        <v>162.4</v>
      </c>
      <c r="F338" s="3">
        <v>1</v>
      </c>
      <c r="G338" s="3">
        <f t="shared" si="20"/>
        <v>162.4</v>
      </c>
      <c r="H338" s="3" t="s">
        <v>266</v>
      </c>
      <c r="I338" s="1" t="s">
        <v>43</v>
      </c>
      <c r="J338" s="1" t="s">
        <v>44</v>
      </c>
      <c r="K338" s="1" t="s">
        <v>298</v>
      </c>
      <c r="L338" s="1" t="s">
        <v>267</v>
      </c>
      <c r="M338" s="1"/>
      <c r="N338" s="1">
        <f t="shared" si="19"/>
        <v>3</v>
      </c>
      <c r="O338" s="87"/>
    </row>
    <row r="339" spans="1:15" ht="15.75" hidden="1" x14ac:dyDescent="0.25">
      <c r="A339" s="1" t="str">
        <f t="shared" si="18"/>
        <v>43898438983025.2CURRENTTRANSFERINDIA</v>
      </c>
      <c r="B339" s="2">
        <v>43898</v>
      </c>
      <c r="C339" s="2">
        <v>43898</v>
      </c>
      <c r="D339" s="3" t="s">
        <v>496</v>
      </c>
      <c r="E339" s="3">
        <v>-3025.2</v>
      </c>
      <c r="F339" s="3">
        <v>1</v>
      </c>
      <c r="G339" s="3">
        <f t="shared" si="20"/>
        <v>3025.2</v>
      </c>
      <c r="H339" s="3" t="s">
        <v>293</v>
      </c>
      <c r="I339" s="1" t="s">
        <v>22</v>
      </c>
      <c r="J339" s="1" t="s">
        <v>23</v>
      </c>
      <c r="K339" s="1" t="s">
        <v>298</v>
      </c>
      <c r="L339" s="1" t="s">
        <v>257</v>
      </c>
      <c r="M339" s="1"/>
      <c r="N339" s="1">
        <f t="shared" si="19"/>
        <v>3</v>
      </c>
      <c r="O339" s="65"/>
    </row>
    <row r="340" spans="1:15" ht="15.75" hidden="1" x14ac:dyDescent="0.25">
      <c r="A340" s="1" t="str">
        <f t="shared" si="18"/>
        <v>4389843898420DINERSEDUCATIONALKHEBRA</v>
      </c>
      <c r="B340" s="2">
        <v>43898</v>
      </c>
      <c r="C340" s="2">
        <v>43898</v>
      </c>
      <c r="D340" s="3" t="s">
        <v>94</v>
      </c>
      <c r="E340" s="3">
        <v>420</v>
      </c>
      <c r="F340" s="3">
        <v>1</v>
      </c>
      <c r="G340" s="3">
        <f t="shared" si="20"/>
        <v>420</v>
      </c>
      <c r="H340" s="3" t="s">
        <v>266</v>
      </c>
      <c r="I340" s="1" t="s">
        <v>543</v>
      </c>
      <c r="J340" s="1" t="s">
        <v>92</v>
      </c>
      <c r="K340" s="1" t="s">
        <v>298</v>
      </c>
      <c r="L340" s="1" t="s">
        <v>267</v>
      </c>
      <c r="M340" s="1">
        <v>1</v>
      </c>
      <c r="N340" s="1">
        <f t="shared" si="19"/>
        <v>3</v>
      </c>
      <c r="O340" s="87"/>
    </row>
    <row r="341" spans="1:15" ht="15.75" hidden="1" x14ac:dyDescent="0.25">
      <c r="A341" s="1" t="str">
        <f t="shared" si="18"/>
        <v>439014390231.55DINERSGROCERYFFC</v>
      </c>
      <c r="B341" s="2">
        <v>43901</v>
      </c>
      <c r="C341" s="2">
        <v>43902</v>
      </c>
      <c r="D341" s="3" t="s">
        <v>497</v>
      </c>
      <c r="E341" s="3">
        <v>31.55</v>
      </c>
      <c r="F341" s="3">
        <v>1</v>
      </c>
      <c r="G341" s="3">
        <f t="shared" si="20"/>
        <v>31.55</v>
      </c>
      <c r="H341" s="3" t="s">
        <v>266</v>
      </c>
      <c r="I341" s="1" t="s">
        <v>43</v>
      </c>
      <c r="J341" s="1" t="s">
        <v>96</v>
      </c>
      <c r="K341" s="1" t="s">
        <v>298</v>
      </c>
      <c r="L341" s="1" t="s">
        <v>267</v>
      </c>
      <c r="M341" s="1"/>
      <c r="N341" s="1">
        <f t="shared" si="19"/>
        <v>3</v>
      </c>
      <c r="O341" s="87"/>
    </row>
    <row r="342" spans="1:15" ht="15.75" hidden="1" x14ac:dyDescent="0.25">
      <c r="A342" s="1" t="str">
        <f t="shared" si="18"/>
        <v>439024390764MASTER CCFOODQATAR AIR</v>
      </c>
      <c r="B342" s="2">
        <v>43902</v>
      </c>
      <c r="C342" s="2">
        <v>43907</v>
      </c>
      <c r="D342" s="3" t="s">
        <v>499</v>
      </c>
      <c r="E342" s="3">
        <v>64</v>
      </c>
      <c r="F342" s="3">
        <v>1</v>
      </c>
      <c r="G342" s="3">
        <f t="shared" si="20"/>
        <v>64</v>
      </c>
      <c r="H342" s="3" t="s">
        <v>291</v>
      </c>
      <c r="I342" s="1" t="s">
        <v>10</v>
      </c>
      <c r="J342" s="1" t="s">
        <v>19</v>
      </c>
      <c r="K342" s="1" t="s">
        <v>298</v>
      </c>
      <c r="L342" s="1" t="s">
        <v>267</v>
      </c>
      <c r="M342" s="1"/>
      <c r="N342" s="1">
        <f t="shared" si="19"/>
        <v>3</v>
      </c>
      <c r="O342" s="65"/>
    </row>
    <row r="343" spans="1:15" ht="15.75" hidden="1" x14ac:dyDescent="0.25">
      <c r="A343" s="1" t="str">
        <f t="shared" si="18"/>
        <v>4390443905344DINERSGROCERYLULU</v>
      </c>
      <c r="B343" s="2">
        <v>43904</v>
      </c>
      <c r="C343" s="2">
        <v>43905</v>
      </c>
      <c r="D343" s="3" t="s">
        <v>501</v>
      </c>
      <c r="E343" s="3">
        <v>344</v>
      </c>
      <c r="F343" s="3">
        <v>1</v>
      </c>
      <c r="G343" s="3">
        <f t="shared" si="20"/>
        <v>344</v>
      </c>
      <c r="H343" s="3" t="s">
        <v>266</v>
      </c>
      <c r="I343" s="1" t="s">
        <v>43</v>
      </c>
      <c r="J343" s="1" t="s">
        <v>44</v>
      </c>
      <c r="K343" s="1" t="s">
        <v>298</v>
      </c>
      <c r="L343" s="1" t="s">
        <v>267</v>
      </c>
      <c r="M343" s="1"/>
      <c r="N343" s="1">
        <f t="shared" si="19"/>
        <v>3</v>
      </c>
      <c r="O343" s="87"/>
    </row>
    <row r="344" spans="1:15" ht="15.75" hidden="1" x14ac:dyDescent="0.25">
      <c r="A344" s="1" t="str">
        <f t="shared" si="18"/>
        <v>439044390710MASTER CCTRANSPORTCAREEM</v>
      </c>
      <c r="B344" s="2">
        <v>43904</v>
      </c>
      <c r="C344" s="2">
        <v>43907</v>
      </c>
      <c r="D344" s="3" t="s">
        <v>502</v>
      </c>
      <c r="E344" s="3">
        <v>10</v>
      </c>
      <c r="F344" s="3">
        <v>1</v>
      </c>
      <c r="G344" s="3">
        <f t="shared" si="20"/>
        <v>10</v>
      </c>
      <c r="H344" s="3" t="s">
        <v>291</v>
      </c>
      <c r="I344" s="1" t="s">
        <v>296</v>
      </c>
      <c r="J344" s="1" t="s">
        <v>297</v>
      </c>
      <c r="K344" s="1" t="s">
        <v>298</v>
      </c>
      <c r="L344" s="1" t="s">
        <v>267</v>
      </c>
      <c r="M344" s="1"/>
      <c r="N344" s="1">
        <f t="shared" si="19"/>
        <v>3</v>
      </c>
      <c r="O344" s="65"/>
    </row>
    <row r="345" spans="1:15" ht="15.75" hidden="1" x14ac:dyDescent="0.25">
      <c r="A345" s="1" t="str">
        <f t="shared" si="18"/>
        <v>439044390712MASTER CCTRANSPORTCAREEM</v>
      </c>
      <c r="B345" s="2">
        <v>43904</v>
      </c>
      <c r="C345" s="2">
        <v>43907</v>
      </c>
      <c r="D345" s="3" t="s">
        <v>503</v>
      </c>
      <c r="E345" s="3">
        <v>12</v>
      </c>
      <c r="F345" s="3">
        <v>1</v>
      </c>
      <c r="G345" s="3">
        <f t="shared" si="20"/>
        <v>12</v>
      </c>
      <c r="H345" s="3" t="s">
        <v>291</v>
      </c>
      <c r="I345" s="1" t="s">
        <v>296</v>
      </c>
      <c r="J345" s="1" t="s">
        <v>297</v>
      </c>
      <c r="K345" s="1" t="s">
        <v>298</v>
      </c>
      <c r="L345" s="1" t="s">
        <v>267</v>
      </c>
      <c r="M345" s="1"/>
      <c r="N345" s="1">
        <f t="shared" si="19"/>
        <v>3</v>
      </c>
      <c r="O345" s="65"/>
    </row>
    <row r="346" spans="1:15" ht="15.75" hidden="1" x14ac:dyDescent="0.25">
      <c r="A346" s="1" t="str">
        <f t="shared" si="18"/>
        <v>43905439051500CURRENTWITHDRAWSELF</v>
      </c>
      <c r="B346" s="2">
        <v>43905</v>
      </c>
      <c r="C346" s="2">
        <v>43905</v>
      </c>
      <c r="D346" s="3" t="s">
        <v>500</v>
      </c>
      <c r="E346" s="3">
        <v>-1500</v>
      </c>
      <c r="F346" s="3">
        <v>1</v>
      </c>
      <c r="G346" s="3">
        <f t="shared" si="20"/>
        <v>1500</v>
      </c>
      <c r="H346" s="3" t="s">
        <v>293</v>
      </c>
      <c r="I346" s="1" t="s">
        <v>13</v>
      </c>
      <c r="J346" s="1" t="s">
        <v>14</v>
      </c>
      <c r="K346" s="1" t="s">
        <v>298</v>
      </c>
      <c r="L346" s="1" t="s">
        <v>257</v>
      </c>
      <c r="M346" s="1"/>
      <c r="N346" s="1">
        <f t="shared" si="19"/>
        <v>3</v>
      </c>
      <c r="O346" s="65"/>
    </row>
    <row r="347" spans="1:15" ht="15.75" hidden="1" x14ac:dyDescent="0.25">
      <c r="A347" s="1" t="str">
        <f t="shared" si="18"/>
        <v>43906439089MASTER CCTRANSPORTCAREEM</v>
      </c>
      <c r="B347" s="2">
        <v>43906</v>
      </c>
      <c r="C347" s="2">
        <v>43908</v>
      </c>
      <c r="D347" s="3" t="s">
        <v>505</v>
      </c>
      <c r="E347" s="3">
        <v>9</v>
      </c>
      <c r="F347" s="3">
        <v>1</v>
      </c>
      <c r="G347" s="3">
        <f t="shared" si="20"/>
        <v>9</v>
      </c>
      <c r="H347" s="3" t="s">
        <v>291</v>
      </c>
      <c r="I347" s="1" t="s">
        <v>296</v>
      </c>
      <c r="J347" s="1" t="s">
        <v>297</v>
      </c>
      <c r="K347" s="1" t="s">
        <v>298</v>
      </c>
      <c r="L347" s="1" t="s">
        <v>267</v>
      </c>
      <c r="M347" s="1"/>
      <c r="N347" s="1">
        <f t="shared" si="19"/>
        <v>3</v>
      </c>
      <c r="O347" s="65"/>
    </row>
    <row r="348" spans="1:15" ht="15.75" hidden="1" x14ac:dyDescent="0.25">
      <c r="A348" s="1" t="str">
        <f t="shared" si="18"/>
        <v>439084391120MASTER CCTELECOMOOREDOO</v>
      </c>
      <c r="B348" s="2">
        <v>43908</v>
      </c>
      <c r="C348" s="2">
        <v>43911</v>
      </c>
      <c r="D348" s="3" t="s">
        <v>504</v>
      </c>
      <c r="E348" s="3">
        <v>20</v>
      </c>
      <c r="F348" s="3">
        <v>1</v>
      </c>
      <c r="G348" s="3">
        <f t="shared" si="20"/>
        <v>20</v>
      </c>
      <c r="H348" s="3" t="s">
        <v>291</v>
      </c>
      <c r="I348" s="1" t="s">
        <v>58</v>
      </c>
      <c r="J348" s="1" t="s">
        <v>59</v>
      </c>
      <c r="K348" s="1" t="s">
        <v>298</v>
      </c>
      <c r="L348" s="1" t="s">
        <v>267</v>
      </c>
      <c r="M348" s="1"/>
      <c r="N348" s="1">
        <f t="shared" si="19"/>
        <v>3</v>
      </c>
      <c r="O348" s="65"/>
    </row>
    <row r="349" spans="1:15" ht="15.75" hidden="1" x14ac:dyDescent="0.25">
      <c r="A349" s="1" t="str">
        <f t="shared" si="18"/>
        <v>439114391336DINERSGROCERYPICK-N-PACK</v>
      </c>
      <c r="B349" s="2">
        <v>43911</v>
      </c>
      <c r="C349" s="2">
        <v>43913</v>
      </c>
      <c r="D349" s="3" t="s">
        <v>508</v>
      </c>
      <c r="E349" s="3">
        <v>36</v>
      </c>
      <c r="F349" s="3">
        <v>1</v>
      </c>
      <c r="G349" s="3">
        <f t="shared" si="20"/>
        <v>36</v>
      </c>
      <c r="H349" s="3" t="s">
        <v>266</v>
      </c>
      <c r="I349" s="1" t="s">
        <v>43</v>
      </c>
      <c r="J349" s="1" t="s">
        <v>222</v>
      </c>
      <c r="K349" s="1" t="s">
        <v>298</v>
      </c>
      <c r="L349" s="1" t="s">
        <v>267</v>
      </c>
      <c r="M349" s="1"/>
      <c r="N349" s="1">
        <f t="shared" si="19"/>
        <v>3</v>
      </c>
      <c r="O349" s="87"/>
    </row>
    <row r="350" spans="1:15" ht="15.75" hidden="1" x14ac:dyDescent="0.25">
      <c r="A350" s="1" t="str">
        <f t="shared" si="18"/>
        <v>439114391438MASTER CCGROCERYGRANDMART</v>
      </c>
      <c r="B350" s="2">
        <v>43911</v>
      </c>
      <c r="C350" s="2">
        <v>43914</v>
      </c>
      <c r="D350" s="3" t="s">
        <v>509</v>
      </c>
      <c r="E350" s="3">
        <v>38</v>
      </c>
      <c r="F350" s="3">
        <v>1</v>
      </c>
      <c r="G350" s="3">
        <f t="shared" si="20"/>
        <v>38</v>
      </c>
      <c r="H350" s="3" t="s">
        <v>291</v>
      </c>
      <c r="I350" s="1" t="s">
        <v>43</v>
      </c>
      <c r="J350" s="1" t="s">
        <v>50</v>
      </c>
      <c r="K350" s="1" t="s">
        <v>298</v>
      </c>
      <c r="L350" s="1" t="s">
        <v>267</v>
      </c>
      <c r="M350" s="1"/>
      <c r="N350" s="1">
        <f t="shared" si="19"/>
        <v>3</v>
      </c>
      <c r="O350" s="65"/>
    </row>
    <row r="351" spans="1:15" ht="15.75" hidden="1" x14ac:dyDescent="0.25">
      <c r="A351" s="1" t="str">
        <f t="shared" si="18"/>
        <v>43912439122000CURRENTSAVINGSELF</v>
      </c>
      <c r="B351" s="2">
        <v>43912</v>
      </c>
      <c r="C351" s="2">
        <v>43912</v>
      </c>
      <c r="D351" s="3" t="s">
        <v>506</v>
      </c>
      <c r="E351" s="3">
        <v>-2000</v>
      </c>
      <c r="F351" s="3">
        <v>1</v>
      </c>
      <c r="G351" s="3">
        <f t="shared" si="20"/>
        <v>2000</v>
      </c>
      <c r="H351" s="3" t="s">
        <v>293</v>
      </c>
      <c r="I351" s="1" t="s">
        <v>302</v>
      </c>
      <c r="J351" s="1" t="s">
        <v>14</v>
      </c>
      <c r="K351" s="1" t="s">
        <v>298</v>
      </c>
      <c r="L351" s="1" t="s">
        <v>257</v>
      </c>
      <c r="M351" s="1"/>
      <c r="N351" s="1">
        <f t="shared" si="19"/>
        <v>3</v>
      </c>
      <c r="O351" s="65"/>
    </row>
    <row r="352" spans="1:15" ht="15.75" hidden="1" x14ac:dyDescent="0.25">
      <c r="A352" s="1" t="str">
        <f t="shared" si="18"/>
        <v>43912439122000CURRENTSAVINGSELF</v>
      </c>
      <c r="B352" s="2">
        <v>43912</v>
      </c>
      <c r="C352" s="2">
        <v>43912</v>
      </c>
      <c r="D352" s="3" t="s">
        <v>507</v>
      </c>
      <c r="E352" s="3">
        <v>-2000</v>
      </c>
      <c r="F352" s="3">
        <v>1</v>
      </c>
      <c r="G352" s="3">
        <f t="shared" si="20"/>
        <v>2000</v>
      </c>
      <c r="H352" s="3" t="s">
        <v>293</v>
      </c>
      <c r="I352" s="1" t="s">
        <v>302</v>
      </c>
      <c r="J352" s="1" t="s">
        <v>14</v>
      </c>
      <c r="K352" s="1" t="s">
        <v>298</v>
      </c>
      <c r="L352" s="1" t="s">
        <v>257</v>
      </c>
      <c r="M352" s="1"/>
      <c r="N352" s="1">
        <f t="shared" si="19"/>
        <v>3</v>
      </c>
      <c r="O352" s="65"/>
    </row>
    <row r="353" spans="1:15" ht="15.75" hidden="1" x14ac:dyDescent="0.25">
      <c r="A353" s="1" t="str">
        <f t="shared" si="18"/>
        <v>439144391566.5MASTER CCGROCERYPICK-N-PACK</v>
      </c>
      <c r="B353" s="2">
        <v>43914</v>
      </c>
      <c r="C353" s="2">
        <v>43915</v>
      </c>
      <c r="D353" s="3" t="s">
        <v>511</v>
      </c>
      <c r="E353" s="3">
        <v>66.5</v>
      </c>
      <c r="F353" s="3">
        <v>1</v>
      </c>
      <c r="G353" s="3">
        <f t="shared" si="20"/>
        <v>66.5</v>
      </c>
      <c r="H353" s="3" t="s">
        <v>291</v>
      </c>
      <c r="I353" s="1" t="s">
        <v>43</v>
      </c>
      <c r="J353" s="1" t="s">
        <v>222</v>
      </c>
      <c r="K353" s="1" t="s">
        <v>298</v>
      </c>
      <c r="L353" s="1" t="s">
        <v>267</v>
      </c>
      <c r="M353" s="1"/>
      <c r="N353" s="1">
        <f t="shared" si="19"/>
        <v>3</v>
      </c>
      <c r="O353" s="65"/>
    </row>
    <row r="354" spans="1:15" ht="15.75" hidden="1" x14ac:dyDescent="0.25">
      <c r="A354" s="1" t="str">
        <f t="shared" si="18"/>
        <v>439164391722MASTER CCGROCERYPICK-N-PACK</v>
      </c>
      <c r="B354" s="2">
        <v>43916</v>
      </c>
      <c r="C354" s="2">
        <v>43917</v>
      </c>
      <c r="D354" s="3" t="s">
        <v>510</v>
      </c>
      <c r="E354" s="3">
        <v>22</v>
      </c>
      <c r="F354" s="3">
        <v>1</v>
      </c>
      <c r="G354" s="3">
        <f t="shared" si="20"/>
        <v>22</v>
      </c>
      <c r="H354" s="3" t="s">
        <v>291</v>
      </c>
      <c r="I354" s="1" t="s">
        <v>43</v>
      </c>
      <c r="J354" s="1" t="s">
        <v>222</v>
      </c>
      <c r="K354" s="1" t="s">
        <v>298</v>
      </c>
      <c r="L354" s="1" t="s">
        <v>267</v>
      </c>
      <c r="M354" s="1"/>
      <c r="N354" s="1">
        <f t="shared" si="19"/>
        <v>3</v>
      </c>
      <c r="O354" s="65"/>
    </row>
    <row r="355" spans="1:15" ht="15.75" hidden="1" x14ac:dyDescent="0.25">
      <c r="A355" s="1" t="str">
        <f t="shared" si="18"/>
        <v>439174391911MASTER CCTRANSPORTCAREEM</v>
      </c>
      <c r="B355" s="2">
        <v>43917</v>
      </c>
      <c r="C355" s="2">
        <v>43919</v>
      </c>
      <c r="D355" s="3" t="s">
        <v>513</v>
      </c>
      <c r="E355" s="3">
        <v>11</v>
      </c>
      <c r="F355" s="3">
        <v>1</v>
      </c>
      <c r="G355" s="3">
        <f t="shared" si="20"/>
        <v>11</v>
      </c>
      <c r="H355" s="3" t="s">
        <v>291</v>
      </c>
      <c r="I355" s="1" t="s">
        <v>296</v>
      </c>
      <c r="J355" s="1" t="s">
        <v>297</v>
      </c>
      <c r="K355" s="1" t="s">
        <v>298</v>
      </c>
      <c r="L355" s="1" t="s">
        <v>267</v>
      </c>
      <c r="M355" s="1"/>
      <c r="N355" s="1">
        <f t="shared" si="19"/>
        <v>3</v>
      </c>
      <c r="O355" s="65"/>
    </row>
    <row r="356" spans="1:15" ht="15.75" hidden="1" x14ac:dyDescent="0.25">
      <c r="A356" s="1" t="str">
        <f t="shared" si="18"/>
        <v>439174391910MASTER CCTRANSPORTCAREEM</v>
      </c>
      <c r="B356" s="2">
        <v>43917</v>
      </c>
      <c r="C356" s="2">
        <v>43919</v>
      </c>
      <c r="D356" s="3" t="s">
        <v>512</v>
      </c>
      <c r="E356" s="3">
        <v>10</v>
      </c>
      <c r="F356" s="3">
        <v>1</v>
      </c>
      <c r="G356" s="3">
        <f t="shared" si="20"/>
        <v>10</v>
      </c>
      <c r="H356" s="3" t="s">
        <v>291</v>
      </c>
      <c r="I356" s="1" t="s">
        <v>296</v>
      </c>
      <c r="J356" s="1" t="s">
        <v>297</v>
      </c>
      <c r="K356" s="1" t="s">
        <v>298</v>
      </c>
      <c r="L356" s="1" t="s">
        <v>267</v>
      </c>
      <c r="M356" s="1"/>
      <c r="N356" s="1">
        <f t="shared" si="19"/>
        <v>3</v>
      </c>
      <c r="O356" s="65"/>
    </row>
    <row r="357" spans="1:15" ht="15.75" hidden="1" x14ac:dyDescent="0.25">
      <c r="A357" s="1" t="str">
        <f t="shared" si="18"/>
        <v>439194391914353CURRENTSALARYQATAR AIR</v>
      </c>
      <c r="B357" s="2">
        <v>43919</v>
      </c>
      <c r="C357" s="2">
        <v>43919</v>
      </c>
      <c r="D357" s="3" t="s">
        <v>514</v>
      </c>
      <c r="E357" s="3">
        <v>14353</v>
      </c>
      <c r="F357" s="3">
        <v>1</v>
      </c>
      <c r="G357" s="3">
        <v>14353</v>
      </c>
      <c r="H357" s="3" t="s">
        <v>293</v>
      </c>
      <c r="I357" s="1" t="s">
        <v>18</v>
      </c>
      <c r="J357" s="1" t="s">
        <v>19</v>
      </c>
      <c r="K357" s="1" t="s">
        <v>300</v>
      </c>
      <c r="L357" s="1" t="s">
        <v>257</v>
      </c>
      <c r="M357" s="1"/>
      <c r="N357" s="1">
        <f t="shared" si="19"/>
        <v>3</v>
      </c>
      <c r="O357" s="66" t="s">
        <v>519</v>
      </c>
    </row>
    <row r="358" spans="1:15" ht="15.75" hidden="1" x14ac:dyDescent="0.25">
      <c r="A358" s="1" t="str">
        <f t="shared" si="18"/>
        <v>439194391915CURRENTGROCERYLULU</v>
      </c>
      <c r="B358" s="2">
        <v>43919</v>
      </c>
      <c r="C358" s="2">
        <v>43919</v>
      </c>
      <c r="D358" s="3" t="s">
        <v>517</v>
      </c>
      <c r="E358" s="3">
        <v>-15</v>
      </c>
      <c r="F358" s="3">
        <v>1</v>
      </c>
      <c r="G358" s="3">
        <f t="shared" ref="G358:G378" si="21">ABS(E358)*F358</f>
        <v>15</v>
      </c>
      <c r="H358" s="3" t="s">
        <v>293</v>
      </c>
      <c r="I358" s="1" t="s">
        <v>43</v>
      </c>
      <c r="J358" s="1" t="s">
        <v>44</v>
      </c>
      <c r="K358" s="1" t="s">
        <v>298</v>
      </c>
      <c r="L358" s="1" t="s">
        <v>257</v>
      </c>
      <c r="M358" s="1"/>
      <c r="N358" s="1">
        <f t="shared" si="19"/>
        <v>3</v>
      </c>
      <c r="O358" s="65"/>
    </row>
    <row r="359" spans="1:15" ht="15.75" hidden="1" x14ac:dyDescent="0.25">
      <c r="A359" s="1" t="str">
        <f t="shared" si="18"/>
        <v>4391943919212.55CURRENTGROCERYLULU</v>
      </c>
      <c r="B359" s="2">
        <v>43919</v>
      </c>
      <c r="C359" s="2">
        <v>43919</v>
      </c>
      <c r="D359" s="3" t="s">
        <v>515</v>
      </c>
      <c r="E359" s="3">
        <v>-212.55</v>
      </c>
      <c r="F359" s="3">
        <v>1</v>
      </c>
      <c r="G359" s="3">
        <f t="shared" si="21"/>
        <v>212.55</v>
      </c>
      <c r="H359" s="3" t="s">
        <v>293</v>
      </c>
      <c r="I359" s="1" t="s">
        <v>43</v>
      </c>
      <c r="J359" s="1" t="s">
        <v>44</v>
      </c>
      <c r="K359" s="1" t="s">
        <v>298</v>
      </c>
      <c r="L359" s="1" t="s">
        <v>257</v>
      </c>
      <c r="M359" s="1"/>
      <c r="N359" s="1">
        <f t="shared" si="19"/>
        <v>3</v>
      </c>
      <c r="O359" s="65"/>
    </row>
    <row r="360" spans="1:15" ht="15.75" hidden="1" x14ac:dyDescent="0.25">
      <c r="A360" s="1" t="str">
        <f t="shared" si="18"/>
        <v>4391943919215.6CURRENTGROCERYLULU</v>
      </c>
      <c r="B360" s="2">
        <v>43919</v>
      </c>
      <c r="C360" s="2">
        <v>43919</v>
      </c>
      <c r="D360" s="3" t="s">
        <v>516</v>
      </c>
      <c r="E360" s="3">
        <v>-215.6</v>
      </c>
      <c r="F360" s="3">
        <v>1</v>
      </c>
      <c r="G360" s="3">
        <f t="shared" si="21"/>
        <v>215.6</v>
      </c>
      <c r="H360" s="3" t="s">
        <v>293</v>
      </c>
      <c r="I360" s="1" t="s">
        <v>43</v>
      </c>
      <c r="J360" s="1" t="s">
        <v>44</v>
      </c>
      <c r="K360" s="1" t="s">
        <v>298</v>
      </c>
      <c r="L360" s="1" t="s">
        <v>257</v>
      </c>
      <c r="M360" s="1"/>
      <c r="N360" s="1">
        <f t="shared" si="19"/>
        <v>3</v>
      </c>
      <c r="O360" s="65"/>
    </row>
    <row r="361" spans="1:15" ht="15.75" hidden="1" x14ac:dyDescent="0.25">
      <c r="A361" s="1" t="str">
        <f t="shared" si="18"/>
        <v>43920439201576CURRENTCC BILL PAYMENTBANK</v>
      </c>
      <c r="B361" s="2">
        <v>43920</v>
      </c>
      <c r="C361" s="2">
        <v>43920</v>
      </c>
      <c r="D361" s="3" t="s">
        <v>520</v>
      </c>
      <c r="E361" s="3">
        <v>-1576</v>
      </c>
      <c r="F361" s="3">
        <v>1</v>
      </c>
      <c r="G361" s="3">
        <f t="shared" si="21"/>
        <v>1576</v>
      </c>
      <c r="H361" s="3" t="s">
        <v>293</v>
      </c>
      <c r="I361" s="1" t="s">
        <v>81</v>
      </c>
      <c r="J361" s="1" t="s">
        <v>8</v>
      </c>
      <c r="K361" s="1" t="s">
        <v>298</v>
      </c>
      <c r="L361" s="1" t="s">
        <v>257</v>
      </c>
      <c r="M361" s="1"/>
      <c r="N361" s="1">
        <f t="shared" si="19"/>
        <v>3</v>
      </c>
      <c r="O361" s="65"/>
    </row>
    <row r="362" spans="1:15" ht="15.75" hidden="1" x14ac:dyDescent="0.25">
      <c r="A362" s="1" t="str">
        <f t="shared" si="18"/>
        <v>43920439201576DINERSCC BILL PAYMENTBANK</v>
      </c>
      <c r="B362" s="2">
        <v>43920</v>
      </c>
      <c r="C362" s="2">
        <v>43920</v>
      </c>
      <c r="D362" s="3" t="s">
        <v>80</v>
      </c>
      <c r="E362" s="3">
        <v>-1576</v>
      </c>
      <c r="F362" s="3">
        <v>1</v>
      </c>
      <c r="G362" s="3">
        <f t="shared" si="21"/>
        <v>1576</v>
      </c>
      <c r="H362" s="3" t="s">
        <v>266</v>
      </c>
      <c r="I362" s="1" t="s">
        <v>81</v>
      </c>
      <c r="J362" s="1" t="s">
        <v>8</v>
      </c>
      <c r="K362" s="1" t="s">
        <v>300</v>
      </c>
      <c r="L362" s="1" t="s">
        <v>267</v>
      </c>
      <c r="M362" s="1"/>
      <c r="N362" s="1">
        <f t="shared" si="19"/>
        <v>3</v>
      </c>
      <c r="O362" s="87"/>
    </row>
    <row r="363" spans="1:15" ht="15.75" hidden="1" x14ac:dyDescent="0.25">
      <c r="A363" s="1" t="str">
        <f t="shared" si="18"/>
        <v>43921439360.64CURRENTCC BILL PAYMENTBANK</v>
      </c>
      <c r="B363" s="2">
        <v>43921</v>
      </c>
      <c r="C363" s="2">
        <v>43936</v>
      </c>
      <c r="D363" s="3" t="s">
        <v>549</v>
      </c>
      <c r="E363" s="3">
        <v>-0.64</v>
      </c>
      <c r="F363" s="3">
        <v>1</v>
      </c>
      <c r="G363" s="3">
        <f t="shared" si="21"/>
        <v>0.64</v>
      </c>
      <c r="H363" s="3" t="s">
        <v>293</v>
      </c>
      <c r="I363" s="1" t="s">
        <v>81</v>
      </c>
      <c r="J363" s="1" t="s">
        <v>8</v>
      </c>
      <c r="K363" s="1" t="s">
        <v>298</v>
      </c>
      <c r="L363" s="1" t="s">
        <v>257</v>
      </c>
      <c r="M363" s="1"/>
      <c r="N363" s="1">
        <f t="shared" si="19"/>
        <v>4</v>
      </c>
      <c r="O363" s="65"/>
    </row>
    <row r="364" spans="1:15" ht="15.75" hidden="1" x14ac:dyDescent="0.25">
      <c r="A364" s="1" t="str">
        <f t="shared" si="18"/>
        <v>43921439360.64DINERSCC BILL PAYMENTBANK</v>
      </c>
      <c r="B364" s="2">
        <v>43921</v>
      </c>
      <c r="C364" s="2">
        <v>43936</v>
      </c>
      <c r="D364" s="3" t="s">
        <v>549</v>
      </c>
      <c r="E364" s="3">
        <v>0.64</v>
      </c>
      <c r="F364" s="3">
        <v>1</v>
      </c>
      <c r="G364" s="3">
        <f t="shared" si="21"/>
        <v>0.64</v>
      </c>
      <c r="H364" s="3" t="s">
        <v>266</v>
      </c>
      <c r="I364" s="1" t="s">
        <v>81</v>
      </c>
      <c r="J364" s="1" t="s">
        <v>8</v>
      </c>
      <c r="K364" s="1" t="s">
        <v>300</v>
      </c>
      <c r="L364" s="1" t="s">
        <v>267</v>
      </c>
      <c r="M364" s="1"/>
      <c r="N364" s="1">
        <f t="shared" si="19"/>
        <v>4</v>
      </c>
      <c r="O364" s="87"/>
    </row>
    <row r="365" spans="1:15" ht="15.75" hidden="1" x14ac:dyDescent="0.25">
      <c r="A365" s="1" t="str">
        <f t="shared" si="18"/>
        <v>4392243924150MASTER CCTELECOMVODAFONE</v>
      </c>
      <c r="B365" s="2">
        <v>43922</v>
      </c>
      <c r="C365" s="2">
        <v>43924</v>
      </c>
      <c r="D365" s="3" t="s">
        <v>525</v>
      </c>
      <c r="E365" s="3">
        <v>150</v>
      </c>
      <c r="F365" s="3">
        <v>1</v>
      </c>
      <c r="G365" s="3">
        <f t="shared" si="21"/>
        <v>150</v>
      </c>
      <c r="H365" s="3" t="s">
        <v>291</v>
      </c>
      <c r="I365" s="1" t="s">
        <v>58</v>
      </c>
      <c r="J365" s="1" t="s">
        <v>78</v>
      </c>
      <c r="K365" s="1" t="s">
        <v>298</v>
      </c>
      <c r="L365" s="1" t="s">
        <v>267</v>
      </c>
      <c r="M365" s="1"/>
      <c r="N365" s="1">
        <f t="shared" si="19"/>
        <v>4</v>
      </c>
      <c r="O365" s="65"/>
    </row>
    <row r="366" spans="1:15" ht="15.75" hidden="1" x14ac:dyDescent="0.25">
      <c r="A366" s="1" t="str">
        <f t="shared" si="18"/>
        <v>439224392215CURRENTSERVICEBANK</v>
      </c>
      <c r="B366" s="2">
        <v>43922</v>
      </c>
      <c r="C366" s="2">
        <v>43922</v>
      </c>
      <c r="D366" s="3" t="s">
        <v>523</v>
      </c>
      <c r="E366" s="3">
        <v>15</v>
      </c>
      <c r="F366" s="3">
        <v>1</v>
      </c>
      <c r="G366" s="3">
        <f t="shared" si="21"/>
        <v>15</v>
      </c>
      <c r="H366" s="3" t="s">
        <v>293</v>
      </c>
      <c r="I366" s="1" t="s">
        <v>7</v>
      </c>
      <c r="J366" s="1" t="s">
        <v>8</v>
      </c>
      <c r="K366" s="1" t="s">
        <v>300</v>
      </c>
      <c r="L366" s="1" t="s">
        <v>257</v>
      </c>
      <c r="M366" s="1"/>
      <c r="N366" s="1">
        <f t="shared" si="19"/>
        <v>4</v>
      </c>
      <c r="O366" s="65"/>
    </row>
    <row r="367" spans="1:15" ht="15.75" hidden="1" x14ac:dyDescent="0.25">
      <c r="A367" s="1" t="str">
        <f t="shared" si="18"/>
        <v>43922439224CURRENTSERVICEBANK</v>
      </c>
      <c r="B367" s="2">
        <v>43922</v>
      </c>
      <c r="C367" s="2">
        <v>43922</v>
      </c>
      <c r="D367" s="3" t="s">
        <v>522</v>
      </c>
      <c r="E367" s="3">
        <v>-4</v>
      </c>
      <c r="F367" s="3">
        <v>1</v>
      </c>
      <c r="G367" s="3">
        <f t="shared" si="21"/>
        <v>4</v>
      </c>
      <c r="H367" s="3" t="s">
        <v>293</v>
      </c>
      <c r="I367" s="1" t="s">
        <v>7</v>
      </c>
      <c r="J367" s="1" t="s">
        <v>8</v>
      </c>
      <c r="K367" s="1" t="s">
        <v>298</v>
      </c>
      <c r="L367" s="1" t="s">
        <v>257</v>
      </c>
      <c r="M367" s="1"/>
      <c r="N367" s="1">
        <f t="shared" si="19"/>
        <v>4</v>
      </c>
      <c r="O367" s="65"/>
    </row>
    <row r="368" spans="1:15" ht="15.75" hidden="1" x14ac:dyDescent="0.25">
      <c r="A368" s="1" t="str">
        <f t="shared" si="18"/>
        <v>43922439221000CURRENTSAVINGSELF</v>
      </c>
      <c r="B368" s="2">
        <v>43922</v>
      </c>
      <c r="C368" s="2">
        <v>43922</v>
      </c>
      <c r="D368" s="3" t="s">
        <v>316</v>
      </c>
      <c r="E368" s="3">
        <v>-1000</v>
      </c>
      <c r="F368" s="3">
        <v>1</v>
      </c>
      <c r="G368" s="3">
        <f t="shared" si="21"/>
        <v>1000</v>
      </c>
      <c r="H368" s="3" t="s">
        <v>293</v>
      </c>
      <c r="I368" s="1" t="s">
        <v>302</v>
      </c>
      <c r="J368" s="1" t="s">
        <v>14</v>
      </c>
      <c r="K368" s="1" t="s">
        <v>298</v>
      </c>
      <c r="L368" s="1" t="s">
        <v>257</v>
      </c>
      <c r="M368" s="1"/>
      <c r="N368" s="1">
        <f t="shared" si="19"/>
        <v>4</v>
      </c>
      <c r="O368" s="65"/>
    </row>
    <row r="369" spans="1:15" ht="15.75" hidden="1" x14ac:dyDescent="0.25">
      <c r="A369" s="1" t="str">
        <f t="shared" si="18"/>
        <v>43922439220SAVINGSAVINGBANK</v>
      </c>
      <c r="B369" s="2">
        <v>43922</v>
      </c>
      <c r="C369" s="2">
        <v>43922</v>
      </c>
      <c r="D369" s="3" t="s">
        <v>526</v>
      </c>
      <c r="E369" s="3">
        <v>8.5399999999999991</v>
      </c>
      <c r="F369" s="3">
        <v>0</v>
      </c>
      <c r="G369" s="3">
        <f t="shared" si="21"/>
        <v>0</v>
      </c>
      <c r="H369" s="3" t="s">
        <v>302</v>
      </c>
      <c r="I369" s="1" t="s">
        <v>302</v>
      </c>
      <c r="J369" s="1" t="s">
        <v>8</v>
      </c>
      <c r="K369" s="1" t="s">
        <v>300</v>
      </c>
      <c r="L369" s="1" t="s">
        <v>257</v>
      </c>
      <c r="M369" s="1"/>
      <c r="N369" s="1">
        <f t="shared" si="19"/>
        <v>4</v>
      </c>
      <c r="O369" s="65"/>
    </row>
    <row r="370" spans="1:15" ht="15.75" hidden="1" x14ac:dyDescent="0.25">
      <c r="A370" s="1" t="str">
        <f t="shared" si="18"/>
        <v>43922439225100CURRENTRENTCAP ONE</v>
      </c>
      <c r="B370" s="2">
        <v>43922</v>
      </c>
      <c r="C370" s="2">
        <v>43922</v>
      </c>
      <c r="D370" s="3" t="s">
        <v>521</v>
      </c>
      <c r="E370" s="3">
        <v>-5100</v>
      </c>
      <c r="F370" s="3">
        <v>1</v>
      </c>
      <c r="G370" s="3">
        <f t="shared" si="21"/>
        <v>5100</v>
      </c>
      <c r="H370" s="3" t="s">
        <v>293</v>
      </c>
      <c r="I370" s="1" t="s">
        <v>83</v>
      </c>
      <c r="J370" s="1" t="s">
        <v>84</v>
      </c>
      <c r="K370" s="1" t="s">
        <v>298</v>
      </c>
      <c r="L370" s="1" t="s">
        <v>257</v>
      </c>
      <c r="M370" s="1"/>
      <c r="N370" s="1">
        <f t="shared" si="19"/>
        <v>4</v>
      </c>
      <c r="O370" s="65"/>
    </row>
    <row r="371" spans="1:15" ht="15.75" hidden="1" x14ac:dyDescent="0.25">
      <c r="A371" s="1" t="str">
        <f t="shared" si="18"/>
        <v>439224392332.5MASTER CCGROCERYPICK-N-PACK</v>
      </c>
      <c r="B371" s="2">
        <v>43922</v>
      </c>
      <c r="C371" s="2">
        <v>43923</v>
      </c>
      <c r="D371" s="3" t="s">
        <v>527</v>
      </c>
      <c r="E371" s="3">
        <v>32.5</v>
      </c>
      <c r="F371" s="3">
        <v>1</v>
      </c>
      <c r="G371" s="3">
        <f t="shared" si="21"/>
        <v>32.5</v>
      </c>
      <c r="H371" s="3" t="s">
        <v>291</v>
      </c>
      <c r="I371" s="1" t="s">
        <v>43</v>
      </c>
      <c r="J371" s="1" t="s">
        <v>222</v>
      </c>
      <c r="K371" s="1" t="s">
        <v>298</v>
      </c>
      <c r="L371" s="1" t="s">
        <v>267</v>
      </c>
      <c r="M371" s="1"/>
      <c r="N371" s="1">
        <f t="shared" si="19"/>
        <v>4</v>
      </c>
      <c r="O371" s="65"/>
    </row>
    <row r="372" spans="1:15" ht="15.75" hidden="1" x14ac:dyDescent="0.25">
      <c r="A372" s="1" t="str">
        <f t="shared" si="18"/>
        <v>439224392460MASTER CCTELECOMOOREDOO</v>
      </c>
      <c r="B372" s="2">
        <v>43922</v>
      </c>
      <c r="C372" s="2">
        <v>43924</v>
      </c>
      <c r="D372" s="3" t="s">
        <v>524</v>
      </c>
      <c r="E372" s="3">
        <v>60</v>
      </c>
      <c r="F372" s="3">
        <v>1</v>
      </c>
      <c r="G372" s="3">
        <f t="shared" si="21"/>
        <v>60</v>
      </c>
      <c r="H372" s="3" t="s">
        <v>291</v>
      </c>
      <c r="I372" s="1" t="s">
        <v>58</v>
      </c>
      <c r="J372" s="1" t="s">
        <v>59</v>
      </c>
      <c r="K372" s="1" t="s">
        <v>298</v>
      </c>
      <c r="L372" s="1" t="s">
        <v>267</v>
      </c>
      <c r="M372" s="1"/>
      <c r="N372" s="1">
        <f t="shared" si="19"/>
        <v>4</v>
      </c>
      <c r="O372" s="65"/>
    </row>
    <row r="373" spans="1:15" ht="15.75" hidden="1" x14ac:dyDescent="0.25">
      <c r="A373" s="1" t="str">
        <f t="shared" si="18"/>
        <v>4392543926108.25DINERSGROCERYPICK-N-PACK</v>
      </c>
      <c r="B373" s="2">
        <v>43925</v>
      </c>
      <c r="C373" s="2">
        <v>43926</v>
      </c>
      <c r="D373" s="3" t="s">
        <v>541</v>
      </c>
      <c r="E373" s="3">
        <v>108.25</v>
      </c>
      <c r="F373" s="3">
        <v>1</v>
      </c>
      <c r="G373" s="3">
        <f t="shared" si="21"/>
        <v>108.25</v>
      </c>
      <c r="H373" s="3" t="s">
        <v>266</v>
      </c>
      <c r="I373" s="1" t="s">
        <v>43</v>
      </c>
      <c r="J373" s="1" t="s">
        <v>222</v>
      </c>
      <c r="K373" s="1" t="s">
        <v>298</v>
      </c>
      <c r="L373" s="1" t="s">
        <v>267</v>
      </c>
      <c r="M373" s="1"/>
      <c r="N373" s="1">
        <f t="shared" si="19"/>
        <v>4</v>
      </c>
      <c r="O373" s="87"/>
    </row>
    <row r="374" spans="1:15" ht="15.75" hidden="1" x14ac:dyDescent="0.25">
      <c r="A374" s="1" t="str">
        <f t="shared" si="18"/>
        <v>43926439261250CURRENTSAVINGSELF</v>
      </c>
      <c r="B374" s="2">
        <v>43926</v>
      </c>
      <c r="C374" s="2">
        <v>43926</v>
      </c>
      <c r="D374" s="3" t="s">
        <v>333</v>
      </c>
      <c r="E374" s="3">
        <v>-1250</v>
      </c>
      <c r="F374" s="3">
        <v>1</v>
      </c>
      <c r="G374" s="3">
        <f t="shared" si="21"/>
        <v>1250</v>
      </c>
      <c r="H374" s="3" t="s">
        <v>293</v>
      </c>
      <c r="I374" s="1" t="s">
        <v>302</v>
      </c>
      <c r="J374" s="1" t="s">
        <v>14</v>
      </c>
      <c r="K374" s="1" t="s">
        <v>298</v>
      </c>
      <c r="L374" s="1" t="s">
        <v>257</v>
      </c>
      <c r="M374" s="1"/>
      <c r="N374" s="1">
        <f t="shared" si="19"/>
        <v>4</v>
      </c>
      <c r="O374" s="65"/>
    </row>
    <row r="375" spans="1:15" ht="15.75" hidden="1" x14ac:dyDescent="0.25">
      <c r="A375" s="1" t="str">
        <f t="shared" si="18"/>
        <v>439264392886.79MASTER CCGROCERYGRANDMART</v>
      </c>
      <c r="B375" s="2">
        <v>43926</v>
      </c>
      <c r="C375" s="2">
        <v>43928</v>
      </c>
      <c r="D375" s="3" t="s">
        <v>542</v>
      </c>
      <c r="E375" s="3">
        <v>86.79</v>
      </c>
      <c r="F375" s="3">
        <v>1</v>
      </c>
      <c r="G375" s="3">
        <f t="shared" si="21"/>
        <v>86.79</v>
      </c>
      <c r="H375" s="3" t="s">
        <v>291</v>
      </c>
      <c r="I375" s="1" t="s">
        <v>43</v>
      </c>
      <c r="J375" s="1" t="s">
        <v>50</v>
      </c>
      <c r="K375" s="1" t="s">
        <v>298</v>
      </c>
      <c r="L375" s="1" t="s">
        <v>267</v>
      </c>
      <c r="M375" s="1"/>
      <c r="N375" s="1">
        <f t="shared" si="19"/>
        <v>4</v>
      </c>
      <c r="O375" s="65"/>
    </row>
    <row r="376" spans="1:15" ht="15.75" hidden="1" x14ac:dyDescent="0.25">
      <c r="A376" s="1" t="str">
        <f t="shared" si="18"/>
        <v>439294393062DINERSGROCERYPICK-N-PACK</v>
      </c>
      <c r="B376" s="2">
        <v>43929</v>
      </c>
      <c r="C376" s="2">
        <v>43930</v>
      </c>
      <c r="D376" s="3" t="s">
        <v>540</v>
      </c>
      <c r="E376" s="3">
        <v>62</v>
      </c>
      <c r="F376" s="3">
        <v>1</v>
      </c>
      <c r="G376" s="3">
        <f t="shared" si="21"/>
        <v>62</v>
      </c>
      <c r="H376" s="3" t="s">
        <v>266</v>
      </c>
      <c r="I376" s="1" t="s">
        <v>43</v>
      </c>
      <c r="J376" s="1" t="s">
        <v>222</v>
      </c>
      <c r="K376" s="1" t="s">
        <v>298</v>
      </c>
      <c r="L376" s="1" t="s">
        <v>267</v>
      </c>
      <c r="M376" s="1"/>
      <c r="N376" s="1">
        <f t="shared" si="19"/>
        <v>4</v>
      </c>
      <c r="O376" s="1"/>
    </row>
    <row r="377" spans="1:15" ht="15.75" hidden="1" x14ac:dyDescent="0.25">
      <c r="A377" s="1" t="str">
        <f t="shared" si="18"/>
        <v>4393043931330.55DINERSGROCERYLULU</v>
      </c>
      <c r="B377" s="2">
        <v>43930</v>
      </c>
      <c r="C377" s="2">
        <v>43931</v>
      </c>
      <c r="D377" s="3" t="s">
        <v>545</v>
      </c>
      <c r="E377" s="3">
        <v>330.55</v>
      </c>
      <c r="F377" s="3">
        <v>1</v>
      </c>
      <c r="G377" s="3">
        <f t="shared" si="21"/>
        <v>330.55</v>
      </c>
      <c r="H377" s="3" t="s">
        <v>266</v>
      </c>
      <c r="I377" s="1" t="s">
        <v>43</v>
      </c>
      <c r="J377" s="1" t="s">
        <v>44</v>
      </c>
      <c r="K377" s="1" t="s">
        <v>298</v>
      </c>
      <c r="L377" s="1" t="s">
        <v>267</v>
      </c>
      <c r="M377" s="1"/>
      <c r="N377" s="1">
        <f t="shared" si="19"/>
        <v>4</v>
      </c>
      <c r="O377" s="1"/>
    </row>
    <row r="378" spans="1:15" ht="15.75" hidden="1" x14ac:dyDescent="0.25">
      <c r="A378" s="1" t="str">
        <f t="shared" si="18"/>
        <v>43930439328MASTER CCTRANSPORTCAREEM</v>
      </c>
      <c r="B378" s="2">
        <v>43930</v>
      </c>
      <c r="C378" s="2">
        <v>43932</v>
      </c>
      <c r="D378" s="3" t="s">
        <v>546</v>
      </c>
      <c r="E378" s="3">
        <v>8</v>
      </c>
      <c r="F378" s="3">
        <v>1</v>
      </c>
      <c r="G378" s="3">
        <f t="shared" si="21"/>
        <v>8</v>
      </c>
      <c r="H378" s="3" t="s">
        <v>291</v>
      </c>
      <c r="I378" s="1" t="s">
        <v>296</v>
      </c>
      <c r="J378" s="1" t="s">
        <v>297</v>
      </c>
      <c r="K378" s="1" t="s">
        <v>298</v>
      </c>
      <c r="L378" s="1" t="s">
        <v>267</v>
      </c>
      <c r="M378" s="1"/>
      <c r="N378" s="1">
        <f t="shared" si="19"/>
        <v>4</v>
      </c>
      <c r="O378" s="1"/>
    </row>
    <row r="379" spans="1:15" ht="15.75" hidden="1" x14ac:dyDescent="0.25">
      <c r="A379" s="1" t="str">
        <f t="shared" si="18"/>
        <v>4393143935557.15DINERSEDUCATIONPMI</v>
      </c>
      <c r="B379" s="2">
        <v>43931</v>
      </c>
      <c r="C379" s="2">
        <v>43935</v>
      </c>
      <c r="D379" s="3" t="s">
        <v>544</v>
      </c>
      <c r="E379" s="3">
        <v>547.5</v>
      </c>
      <c r="F379" s="3">
        <v>1</v>
      </c>
      <c r="G379" s="3">
        <v>557.15</v>
      </c>
      <c r="H379" s="3" t="s">
        <v>266</v>
      </c>
      <c r="I379" s="1" t="s">
        <v>543</v>
      </c>
      <c r="J379" s="1" t="s">
        <v>547</v>
      </c>
      <c r="K379" s="1" t="s">
        <v>298</v>
      </c>
      <c r="L379" s="1" t="s">
        <v>267</v>
      </c>
      <c r="M379" s="1"/>
      <c r="N379" s="1">
        <f t="shared" si="19"/>
        <v>4</v>
      </c>
      <c r="O379" s="1"/>
    </row>
    <row r="380" spans="1:15" ht="15.75" hidden="1" x14ac:dyDescent="0.25">
      <c r="A380" s="1" t="str">
        <f t="shared" si="18"/>
        <v>439334393412.75DINERSGROCERYPICK-N-PACK</v>
      </c>
      <c r="B380" s="2">
        <v>43933</v>
      </c>
      <c r="C380" s="2">
        <v>43934</v>
      </c>
      <c r="D380" s="3" t="s">
        <v>548</v>
      </c>
      <c r="E380" s="3">
        <v>12.75</v>
      </c>
      <c r="F380" s="3">
        <v>1</v>
      </c>
      <c r="G380" s="3">
        <f t="shared" ref="G380:G443" si="22">ABS(E380)*F380</f>
        <v>12.75</v>
      </c>
      <c r="H380" s="3" t="s">
        <v>266</v>
      </c>
      <c r="I380" s="1" t="s">
        <v>43</v>
      </c>
      <c r="J380" s="1" t="s">
        <v>222</v>
      </c>
      <c r="K380" s="1" t="s">
        <v>298</v>
      </c>
      <c r="L380" s="1" t="s">
        <v>267</v>
      </c>
      <c r="M380" s="1"/>
      <c r="N380" s="1">
        <f t="shared" si="19"/>
        <v>4</v>
      </c>
      <c r="O380" s="87"/>
    </row>
    <row r="381" spans="1:15" ht="15.75" hidden="1" x14ac:dyDescent="0.25">
      <c r="A381" s="1" t="str">
        <f t="shared" si="18"/>
        <v>439354393628.84DINERSGROCERYPICK-N-PACK</v>
      </c>
      <c r="B381" s="2">
        <v>43935</v>
      </c>
      <c r="C381" s="2">
        <v>43936</v>
      </c>
      <c r="D381" s="3" t="s">
        <v>562</v>
      </c>
      <c r="E381" s="3">
        <v>28.84</v>
      </c>
      <c r="F381" s="3">
        <v>1</v>
      </c>
      <c r="G381" s="3">
        <f t="shared" si="22"/>
        <v>28.84</v>
      </c>
      <c r="H381" s="3" t="s">
        <v>266</v>
      </c>
      <c r="I381" s="1" t="s">
        <v>43</v>
      </c>
      <c r="J381" s="1" t="s">
        <v>222</v>
      </c>
      <c r="K381" s="1" t="s">
        <v>298</v>
      </c>
      <c r="L381" s="1" t="s">
        <v>267</v>
      </c>
      <c r="M381" s="1"/>
      <c r="N381" s="1">
        <f t="shared" si="19"/>
        <v>4</v>
      </c>
      <c r="O381" s="87"/>
    </row>
    <row r="382" spans="1:15" ht="15.75" hidden="1" x14ac:dyDescent="0.25">
      <c r="A382" s="1" t="str">
        <f t="shared" si="18"/>
        <v>439384393937DINERSGROCERYPICK-N-PACK</v>
      </c>
      <c r="B382" s="2">
        <v>43938</v>
      </c>
      <c r="C382" s="2">
        <v>43939</v>
      </c>
      <c r="D382" s="3" t="s">
        <v>561</v>
      </c>
      <c r="E382" s="3">
        <v>37</v>
      </c>
      <c r="F382" s="3">
        <v>1</v>
      </c>
      <c r="G382" s="3">
        <f t="shared" si="22"/>
        <v>37</v>
      </c>
      <c r="H382" s="3" t="s">
        <v>266</v>
      </c>
      <c r="I382" s="1" t="s">
        <v>43</v>
      </c>
      <c r="J382" s="1" t="s">
        <v>222</v>
      </c>
      <c r="K382" s="1" t="s">
        <v>298</v>
      </c>
      <c r="L382" s="1" t="s">
        <v>267</v>
      </c>
      <c r="M382" s="1"/>
      <c r="N382" s="1">
        <f t="shared" si="19"/>
        <v>4</v>
      </c>
      <c r="O382" s="1"/>
    </row>
    <row r="383" spans="1:15" ht="15.75" hidden="1" x14ac:dyDescent="0.25">
      <c r="A383" s="1" t="str">
        <f t="shared" si="18"/>
        <v>439394394051.5DINERSGROCERYPICK-N-PACK</v>
      </c>
      <c r="B383" s="2">
        <v>43939</v>
      </c>
      <c r="C383" s="2">
        <v>43940</v>
      </c>
      <c r="D383" s="3" t="s">
        <v>560</v>
      </c>
      <c r="E383" s="3">
        <v>51.5</v>
      </c>
      <c r="F383" s="3">
        <v>1</v>
      </c>
      <c r="G383" s="3">
        <f t="shared" si="22"/>
        <v>51.5</v>
      </c>
      <c r="H383" s="3" t="s">
        <v>266</v>
      </c>
      <c r="I383" s="1" t="s">
        <v>43</v>
      </c>
      <c r="J383" s="1" t="s">
        <v>222</v>
      </c>
      <c r="K383" s="1" t="s">
        <v>298</v>
      </c>
      <c r="L383" s="1" t="s">
        <v>267</v>
      </c>
      <c r="M383" s="1"/>
      <c r="N383" s="1">
        <f t="shared" si="19"/>
        <v>4</v>
      </c>
      <c r="O383" s="1"/>
    </row>
    <row r="384" spans="1:15" ht="13.9" hidden="1" customHeight="1" x14ac:dyDescent="0.25">
      <c r="A384" s="1" t="str">
        <f t="shared" si="18"/>
        <v>439404394020CURRENTMEDICALPHARMACY</v>
      </c>
      <c r="B384" s="2">
        <v>43940</v>
      </c>
      <c r="C384" s="2">
        <v>43940</v>
      </c>
      <c r="D384" s="3" t="s">
        <v>558</v>
      </c>
      <c r="E384" s="3">
        <v>-20</v>
      </c>
      <c r="F384" s="3">
        <v>1</v>
      </c>
      <c r="G384" s="3">
        <f t="shared" si="22"/>
        <v>20</v>
      </c>
      <c r="H384" s="3" t="s">
        <v>293</v>
      </c>
      <c r="I384" s="1" t="s">
        <v>301</v>
      </c>
      <c r="J384" s="1" t="s">
        <v>304</v>
      </c>
      <c r="K384" s="1" t="s">
        <v>298</v>
      </c>
      <c r="L384" s="1" t="s">
        <v>257</v>
      </c>
      <c r="M384" s="1"/>
      <c r="N384" s="1">
        <f t="shared" si="19"/>
        <v>4</v>
      </c>
      <c r="O384" s="1"/>
    </row>
    <row r="385" spans="1:15" ht="15.75" hidden="1" x14ac:dyDescent="0.25">
      <c r="A385" s="1" t="str">
        <f t="shared" si="18"/>
        <v>4394043941172.5DINERSGROCERYLULU</v>
      </c>
      <c r="B385" s="2">
        <v>43940</v>
      </c>
      <c r="C385" s="2">
        <v>43941</v>
      </c>
      <c r="D385" s="3" t="s">
        <v>559</v>
      </c>
      <c r="E385" s="3">
        <v>172.5</v>
      </c>
      <c r="F385" s="3">
        <v>1</v>
      </c>
      <c r="G385" s="3">
        <f t="shared" si="22"/>
        <v>172.5</v>
      </c>
      <c r="H385" s="3" t="s">
        <v>266</v>
      </c>
      <c r="I385" s="1" t="s">
        <v>43</v>
      </c>
      <c r="J385" s="1" t="s">
        <v>44</v>
      </c>
      <c r="K385" s="1" t="s">
        <v>298</v>
      </c>
      <c r="L385" s="1" t="s">
        <v>267</v>
      </c>
      <c r="M385" s="1"/>
      <c r="N385" s="1">
        <f t="shared" si="19"/>
        <v>4</v>
      </c>
      <c r="O385" s="1"/>
    </row>
    <row r="386" spans="1:15" ht="15.75" hidden="1" x14ac:dyDescent="0.25">
      <c r="A386" s="1" t="str">
        <f t="shared" ref="A386:A449" si="23">B386&amp;C386&amp;G386&amp;H386&amp;I386&amp;J386</f>
        <v>439434394475.75DINERSGROCERYPICK-N-PACK</v>
      </c>
      <c r="B386" s="2">
        <v>43943</v>
      </c>
      <c r="C386" s="2">
        <v>43944</v>
      </c>
      <c r="D386" s="3" t="s">
        <v>563</v>
      </c>
      <c r="E386" s="3">
        <v>75.75</v>
      </c>
      <c r="F386" s="3">
        <v>1</v>
      </c>
      <c r="G386" s="3">
        <f t="shared" si="22"/>
        <v>75.75</v>
      </c>
      <c r="H386" s="3" t="s">
        <v>266</v>
      </c>
      <c r="I386" s="1" t="s">
        <v>43</v>
      </c>
      <c r="J386" s="1" t="s">
        <v>222</v>
      </c>
      <c r="K386" s="1" t="s">
        <v>298</v>
      </c>
      <c r="L386" s="1" t="s">
        <v>267</v>
      </c>
      <c r="M386" s="1"/>
      <c r="N386" s="1">
        <f t="shared" ref="N386:N449" si="24">MONTH(C386)</f>
        <v>4</v>
      </c>
      <c r="O386" s="1"/>
    </row>
    <row r="387" spans="1:15" ht="15.75" hidden="1" x14ac:dyDescent="0.25">
      <c r="A387" s="1" t="str">
        <f t="shared" si="23"/>
        <v>43944439440.8DINERSCC BILL PAYMENTBANK</v>
      </c>
      <c r="B387" s="2">
        <v>43944</v>
      </c>
      <c r="C387" s="2">
        <v>43944</v>
      </c>
      <c r="D387" s="3" t="s">
        <v>676</v>
      </c>
      <c r="E387" s="3">
        <v>0.8</v>
      </c>
      <c r="F387" s="3">
        <v>1</v>
      </c>
      <c r="G387" s="3">
        <f t="shared" si="22"/>
        <v>0.8</v>
      </c>
      <c r="H387" s="3" t="s">
        <v>266</v>
      </c>
      <c r="I387" s="1" t="s">
        <v>81</v>
      </c>
      <c r="J387" s="1" t="s">
        <v>8</v>
      </c>
      <c r="K387" s="1" t="s">
        <v>298</v>
      </c>
      <c r="L387" s="1" t="s">
        <v>267</v>
      </c>
      <c r="M387" s="1"/>
      <c r="N387" s="1">
        <f t="shared" si="24"/>
        <v>4</v>
      </c>
      <c r="O387" s="87"/>
    </row>
    <row r="388" spans="1:15" ht="15.75" hidden="1" x14ac:dyDescent="0.25">
      <c r="A388" s="1" t="str">
        <f t="shared" si="23"/>
        <v>439454394671.5DINERSGROCERYPICK-N-PACK</v>
      </c>
      <c r="B388" s="2">
        <v>43945</v>
      </c>
      <c r="C388" s="2">
        <v>43946</v>
      </c>
      <c r="D388" s="3" t="s">
        <v>565</v>
      </c>
      <c r="E388" s="3">
        <v>71.5</v>
      </c>
      <c r="F388" s="3">
        <v>1</v>
      </c>
      <c r="G388" s="3">
        <f t="shared" si="22"/>
        <v>71.5</v>
      </c>
      <c r="H388" s="3" t="s">
        <v>266</v>
      </c>
      <c r="I388" s="1" t="s">
        <v>43</v>
      </c>
      <c r="J388" s="1" t="s">
        <v>222</v>
      </c>
      <c r="K388" s="1" t="s">
        <v>298</v>
      </c>
      <c r="L388" s="1" t="s">
        <v>267</v>
      </c>
      <c r="M388" s="1"/>
      <c r="N388" s="1">
        <f t="shared" si="24"/>
        <v>4</v>
      </c>
      <c r="O388" s="1"/>
    </row>
    <row r="389" spans="1:15" ht="15.75" hidden="1" x14ac:dyDescent="0.25">
      <c r="A389" s="1" t="str">
        <f t="shared" si="23"/>
        <v>439474394882.75DINERSGROCERYPICK-N-PACK</v>
      </c>
      <c r="B389" s="2">
        <v>43947</v>
      </c>
      <c r="C389" s="2">
        <v>43948</v>
      </c>
      <c r="D389" s="3" t="s">
        <v>564</v>
      </c>
      <c r="E389" s="3">
        <v>82.75</v>
      </c>
      <c r="F389" s="3">
        <v>1</v>
      </c>
      <c r="G389" s="3">
        <f t="shared" si="22"/>
        <v>82.75</v>
      </c>
      <c r="H389" s="3" t="s">
        <v>266</v>
      </c>
      <c r="I389" s="1" t="s">
        <v>43</v>
      </c>
      <c r="J389" s="1" t="s">
        <v>222</v>
      </c>
      <c r="K389" s="1" t="s">
        <v>298</v>
      </c>
      <c r="L389" s="1" t="s">
        <v>267</v>
      </c>
      <c r="M389" s="1"/>
      <c r="N389" s="1">
        <f t="shared" si="24"/>
        <v>4</v>
      </c>
      <c r="O389" s="1"/>
    </row>
    <row r="390" spans="1:15" ht="15.75" hidden="1" x14ac:dyDescent="0.25">
      <c r="A390" s="1" t="str">
        <f t="shared" si="23"/>
        <v>439494394912303CURRENTSALARYQATAR AIR</v>
      </c>
      <c r="B390" s="2">
        <v>43949</v>
      </c>
      <c r="C390" s="2">
        <v>43949</v>
      </c>
      <c r="D390" s="3" t="s">
        <v>566</v>
      </c>
      <c r="E390" s="3">
        <v>12303</v>
      </c>
      <c r="F390" s="3">
        <v>1</v>
      </c>
      <c r="G390" s="3">
        <f t="shared" si="22"/>
        <v>12303</v>
      </c>
      <c r="H390" s="3" t="s">
        <v>293</v>
      </c>
      <c r="I390" s="1" t="s">
        <v>18</v>
      </c>
      <c r="J390" s="1" t="s">
        <v>19</v>
      </c>
      <c r="K390" s="1" t="s">
        <v>300</v>
      </c>
      <c r="L390" s="1" t="s">
        <v>257</v>
      </c>
      <c r="M390" s="1"/>
      <c r="N390" s="1">
        <f t="shared" si="24"/>
        <v>4</v>
      </c>
      <c r="O390" s="1"/>
    </row>
    <row r="391" spans="1:15" ht="15.75" hidden="1" x14ac:dyDescent="0.25">
      <c r="A391" s="1" t="str">
        <f t="shared" si="23"/>
        <v>43949439491927.83CURRENTCC BILL PAYMENTBANK</v>
      </c>
      <c r="B391" s="2">
        <v>43949</v>
      </c>
      <c r="C391" s="2">
        <v>43949</v>
      </c>
      <c r="D391" s="3" t="s">
        <v>567</v>
      </c>
      <c r="E391" s="3">
        <v>-1927.83</v>
      </c>
      <c r="F391" s="3">
        <v>1</v>
      </c>
      <c r="G391" s="3">
        <f t="shared" si="22"/>
        <v>1927.83</v>
      </c>
      <c r="H391" s="3" t="s">
        <v>293</v>
      </c>
      <c r="I391" s="1" t="s">
        <v>81</v>
      </c>
      <c r="J391" s="1" t="s">
        <v>8</v>
      </c>
      <c r="K391" s="1" t="s">
        <v>298</v>
      </c>
      <c r="L391" s="1" t="s">
        <v>257</v>
      </c>
      <c r="M391" s="1"/>
      <c r="N391" s="1">
        <f t="shared" si="24"/>
        <v>4</v>
      </c>
      <c r="O391" s="1"/>
    </row>
    <row r="392" spans="1:15" ht="15.75" hidden="1" x14ac:dyDescent="0.25">
      <c r="A392" s="1" t="str">
        <f t="shared" si="23"/>
        <v>43949439491927.83DINERSCC BILL PAYMENTBANK</v>
      </c>
      <c r="B392" s="2">
        <v>43949</v>
      </c>
      <c r="C392" s="2">
        <v>43949</v>
      </c>
      <c r="D392" s="3" t="s">
        <v>80</v>
      </c>
      <c r="E392" s="3">
        <v>-1927.83</v>
      </c>
      <c r="F392" s="3">
        <v>1</v>
      </c>
      <c r="G392" s="3">
        <f t="shared" si="22"/>
        <v>1927.83</v>
      </c>
      <c r="H392" s="3" t="s">
        <v>266</v>
      </c>
      <c r="I392" s="1" t="s">
        <v>81</v>
      </c>
      <c r="J392" s="1" t="s">
        <v>8</v>
      </c>
      <c r="K392" s="1" t="s">
        <v>300</v>
      </c>
      <c r="L392" s="1" t="s">
        <v>267</v>
      </c>
      <c r="M392" s="1"/>
      <c r="N392" s="1">
        <f t="shared" si="24"/>
        <v>4</v>
      </c>
      <c r="O392" s="87"/>
    </row>
    <row r="393" spans="1:15" ht="15.75" hidden="1" x14ac:dyDescent="0.25">
      <c r="A393" s="1" t="str">
        <f t="shared" si="23"/>
        <v>4395243956150MASTER CCTELECOMVODAFONE</v>
      </c>
      <c r="B393" s="2">
        <v>43952</v>
      </c>
      <c r="C393" s="2">
        <v>43956</v>
      </c>
      <c r="D393" s="3" t="s">
        <v>577</v>
      </c>
      <c r="E393" s="3">
        <v>150</v>
      </c>
      <c r="F393" s="3">
        <v>1</v>
      </c>
      <c r="G393" s="3">
        <f t="shared" si="22"/>
        <v>150</v>
      </c>
      <c r="H393" s="3" t="s">
        <v>291</v>
      </c>
      <c r="I393" s="1" t="s">
        <v>58</v>
      </c>
      <c r="J393" s="1" t="s">
        <v>78</v>
      </c>
      <c r="K393" s="1" t="s">
        <v>298</v>
      </c>
      <c r="L393" s="1" t="s">
        <v>267</v>
      </c>
      <c r="M393" s="1"/>
      <c r="N393" s="1">
        <f t="shared" si="24"/>
        <v>5</v>
      </c>
      <c r="O393" s="65"/>
    </row>
    <row r="394" spans="1:15" ht="15.75" hidden="1" x14ac:dyDescent="0.25">
      <c r="A394" s="1" t="str">
        <f t="shared" si="23"/>
        <v>43954439544CURRENTSERVICEBANK</v>
      </c>
      <c r="B394" s="2">
        <v>43954</v>
      </c>
      <c r="C394" s="2">
        <v>43954</v>
      </c>
      <c r="D394" s="3" t="s">
        <v>575</v>
      </c>
      <c r="E394" s="3">
        <v>-4</v>
      </c>
      <c r="F394" s="3">
        <v>1</v>
      </c>
      <c r="G394" s="3">
        <f t="shared" si="22"/>
        <v>4</v>
      </c>
      <c r="H394" s="3" t="s">
        <v>293</v>
      </c>
      <c r="I394" s="1" t="s">
        <v>7</v>
      </c>
      <c r="J394" s="1" t="s">
        <v>8</v>
      </c>
      <c r="K394" s="1" t="s">
        <v>298</v>
      </c>
      <c r="L394" s="1" t="s">
        <v>257</v>
      </c>
      <c r="M394" s="1"/>
      <c r="N394" s="1">
        <f t="shared" si="24"/>
        <v>5</v>
      </c>
      <c r="O394" s="65"/>
    </row>
    <row r="395" spans="1:15" ht="15.75" hidden="1" x14ac:dyDescent="0.25">
      <c r="A395" s="1" t="str">
        <f t="shared" si="23"/>
        <v>43954439541000CURRENTSAVINGSELF</v>
      </c>
      <c r="B395" s="2">
        <v>43954</v>
      </c>
      <c r="C395" s="2">
        <v>43954</v>
      </c>
      <c r="D395" s="3" t="s">
        <v>316</v>
      </c>
      <c r="E395" s="3">
        <v>-1000</v>
      </c>
      <c r="F395" s="3">
        <v>1</v>
      </c>
      <c r="G395" s="3">
        <f t="shared" si="22"/>
        <v>1000</v>
      </c>
      <c r="H395" s="3" t="s">
        <v>293</v>
      </c>
      <c r="I395" s="1" t="s">
        <v>302</v>
      </c>
      <c r="J395" s="1" t="s">
        <v>14</v>
      </c>
      <c r="K395" s="1" t="s">
        <v>298</v>
      </c>
      <c r="L395" s="1" t="s">
        <v>257</v>
      </c>
      <c r="M395" s="1"/>
      <c r="N395" s="1">
        <f t="shared" si="24"/>
        <v>5</v>
      </c>
      <c r="O395" s="65"/>
    </row>
    <row r="396" spans="1:15" ht="15.75" hidden="1" x14ac:dyDescent="0.25">
      <c r="A396" s="1" t="str">
        <f t="shared" si="23"/>
        <v>43954439545100CURRENTRENTCAP ONE</v>
      </c>
      <c r="B396" s="2">
        <v>43954</v>
      </c>
      <c r="C396" s="2">
        <v>43954</v>
      </c>
      <c r="D396" s="3" t="s">
        <v>574</v>
      </c>
      <c r="E396" s="3">
        <v>-5100</v>
      </c>
      <c r="F396" s="3">
        <v>1</v>
      </c>
      <c r="G396" s="3">
        <f t="shared" si="22"/>
        <v>5100</v>
      </c>
      <c r="H396" s="3" t="s">
        <v>293</v>
      </c>
      <c r="I396" s="1" t="s">
        <v>83</v>
      </c>
      <c r="J396" s="1" t="s">
        <v>84</v>
      </c>
      <c r="K396" s="1" t="s">
        <v>298</v>
      </c>
      <c r="L396" s="1" t="s">
        <v>257</v>
      </c>
      <c r="M396" s="1"/>
      <c r="N396" s="1">
        <f t="shared" si="24"/>
        <v>5</v>
      </c>
      <c r="O396" s="65"/>
    </row>
    <row r="397" spans="1:15" ht="15.75" hidden="1" x14ac:dyDescent="0.25">
      <c r="A397" s="1" t="str">
        <f t="shared" si="23"/>
        <v>439544395657.75DINERSGROCERYPICK-N-PACK</v>
      </c>
      <c r="B397" s="2">
        <v>43954</v>
      </c>
      <c r="C397" s="2">
        <v>43956</v>
      </c>
      <c r="D397" s="3" t="s">
        <v>576</v>
      </c>
      <c r="E397" s="3">
        <v>57.75</v>
      </c>
      <c r="F397" s="3">
        <v>1</v>
      </c>
      <c r="G397" s="3">
        <f t="shared" si="22"/>
        <v>57.75</v>
      </c>
      <c r="H397" s="3" t="s">
        <v>266</v>
      </c>
      <c r="I397" s="1" t="s">
        <v>43</v>
      </c>
      <c r="J397" s="1" t="s">
        <v>222</v>
      </c>
      <c r="K397" s="1" t="s">
        <v>298</v>
      </c>
      <c r="L397" s="1" t="s">
        <v>267</v>
      </c>
      <c r="M397" s="1"/>
      <c r="N397" s="1">
        <f t="shared" si="24"/>
        <v>5</v>
      </c>
      <c r="O397" s="87"/>
    </row>
    <row r="398" spans="1:15" ht="15.75" hidden="1" x14ac:dyDescent="0.25">
      <c r="A398" s="1" t="str">
        <f t="shared" si="23"/>
        <v>4395543956174.3DINERSGROCERYLULU</v>
      </c>
      <c r="B398" s="2">
        <v>43955</v>
      </c>
      <c r="C398" s="2">
        <v>43956</v>
      </c>
      <c r="D398" s="3" t="s">
        <v>578</v>
      </c>
      <c r="E398" s="3">
        <v>174.3</v>
      </c>
      <c r="F398" s="3">
        <v>1</v>
      </c>
      <c r="G398" s="3">
        <f t="shared" si="22"/>
        <v>174.3</v>
      </c>
      <c r="H398" s="3" t="s">
        <v>266</v>
      </c>
      <c r="I398" s="1" t="s">
        <v>43</v>
      </c>
      <c r="J398" s="1" t="s">
        <v>44</v>
      </c>
      <c r="K398" s="1" t="s">
        <v>298</v>
      </c>
      <c r="L398" s="1" t="s">
        <v>267</v>
      </c>
      <c r="M398" s="1"/>
      <c r="N398" s="1">
        <f t="shared" si="24"/>
        <v>5</v>
      </c>
      <c r="O398" s="87"/>
    </row>
    <row r="399" spans="1:15" ht="15.75" hidden="1" x14ac:dyDescent="0.25">
      <c r="A399" s="1" t="str">
        <f t="shared" si="23"/>
        <v>43955439578MASTER CCTRANSPORTCAREEM</v>
      </c>
      <c r="B399" s="2">
        <v>43955</v>
      </c>
      <c r="C399" s="2">
        <v>43957</v>
      </c>
      <c r="D399" s="3" t="s">
        <v>579</v>
      </c>
      <c r="E399" s="3">
        <v>8</v>
      </c>
      <c r="F399" s="3">
        <v>1</v>
      </c>
      <c r="G399" s="3">
        <f t="shared" si="22"/>
        <v>8</v>
      </c>
      <c r="H399" s="3" t="s">
        <v>291</v>
      </c>
      <c r="I399" s="1" t="s">
        <v>296</v>
      </c>
      <c r="J399" s="1" t="s">
        <v>297</v>
      </c>
      <c r="K399" s="1" t="s">
        <v>298</v>
      </c>
      <c r="L399" s="1" t="s">
        <v>267</v>
      </c>
      <c r="M399" s="1"/>
      <c r="N399" s="1">
        <f t="shared" si="24"/>
        <v>5</v>
      </c>
      <c r="O399" s="65"/>
    </row>
    <row r="400" spans="1:15" ht="15.75" hidden="1" x14ac:dyDescent="0.25">
      <c r="A400" s="1" t="str">
        <f t="shared" si="23"/>
        <v>43956439561250CURRENTSAVINGSELF</v>
      </c>
      <c r="B400" s="2">
        <v>43956</v>
      </c>
      <c r="C400" s="2">
        <v>43956</v>
      </c>
      <c r="D400" s="3" t="s">
        <v>333</v>
      </c>
      <c r="E400" s="3">
        <v>-1250</v>
      </c>
      <c r="F400" s="3">
        <v>1</v>
      </c>
      <c r="G400" s="3">
        <f t="shared" si="22"/>
        <v>1250</v>
      </c>
      <c r="H400" s="3" t="s">
        <v>293</v>
      </c>
      <c r="I400" s="1" t="s">
        <v>302</v>
      </c>
      <c r="J400" s="1" t="s">
        <v>14</v>
      </c>
      <c r="K400" s="1" t="s">
        <v>298</v>
      </c>
      <c r="L400" s="1" t="s">
        <v>257</v>
      </c>
      <c r="M400" s="1"/>
      <c r="N400" s="1">
        <f t="shared" si="24"/>
        <v>5</v>
      </c>
      <c r="O400" s="65"/>
    </row>
    <row r="401" spans="1:15" ht="15.75" hidden="1" x14ac:dyDescent="0.25">
      <c r="A401" s="1" t="str">
        <f t="shared" si="23"/>
        <v>439574395838.5DINERSGROCERYPICK-N-PACK</v>
      </c>
      <c r="B401" s="2">
        <v>43957</v>
      </c>
      <c r="C401" s="2">
        <v>43958</v>
      </c>
      <c r="D401" s="3" t="s">
        <v>584</v>
      </c>
      <c r="E401" s="3">
        <v>38.5</v>
      </c>
      <c r="F401" s="3">
        <v>1</v>
      </c>
      <c r="G401" s="3">
        <f t="shared" si="22"/>
        <v>38.5</v>
      </c>
      <c r="H401" s="3" t="s">
        <v>266</v>
      </c>
      <c r="I401" s="1" t="s">
        <v>43</v>
      </c>
      <c r="J401" s="1" t="s">
        <v>222</v>
      </c>
      <c r="K401" s="1" t="s">
        <v>298</v>
      </c>
      <c r="L401" s="1" t="s">
        <v>267</v>
      </c>
      <c r="M401" s="1"/>
      <c r="N401" s="1">
        <f t="shared" si="24"/>
        <v>5</v>
      </c>
      <c r="O401" s="87"/>
    </row>
    <row r="402" spans="1:15" ht="15.75" hidden="1" x14ac:dyDescent="0.25">
      <c r="A402" s="1" t="str">
        <f t="shared" si="23"/>
        <v>439584396041.75DINERSGROCERYPICK-N-PACK</v>
      </c>
      <c r="B402" s="2">
        <v>43958</v>
      </c>
      <c r="C402" s="2">
        <v>43960</v>
      </c>
      <c r="D402" s="3" t="s">
        <v>583</v>
      </c>
      <c r="E402" s="3">
        <v>41.75</v>
      </c>
      <c r="F402" s="3">
        <v>1</v>
      </c>
      <c r="G402" s="3">
        <f t="shared" si="22"/>
        <v>41.75</v>
      </c>
      <c r="H402" s="3" t="s">
        <v>266</v>
      </c>
      <c r="I402" s="1" t="s">
        <v>43</v>
      </c>
      <c r="J402" s="1" t="s">
        <v>222</v>
      </c>
      <c r="K402" s="1" t="s">
        <v>298</v>
      </c>
      <c r="L402" s="1" t="s">
        <v>267</v>
      </c>
      <c r="M402" s="1"/>
      <c r="N402" s="1">
        <f t="shared" si="24"/>
        <v>5</v>
      </c>
      <c r="O402" s="87"/>
    </row>
    <row r="403" spans="1:15" ht="15.75" hidden="1" x14ac:dyDescent="0.25">
      <c r="A403" s="1" t="str">
        <f t="shared" si="23"/>
        <v>439594396043.5DINERSGROCERYPICK-N-PACK</v>
      </c>
      <c r="B403" s="2">
        <v>43959</v>
      </c>
      <c r="C403" s="2">
        <v>43960</v>
      </c>
      <c r="D403" s="3" t="s">
        <v>582</v>
      </c>
      <c r="E403" s="3">
        <v>43.5</v>
      </c>
      <c r="F403" s="3">
        <v>1</v>
      </c>
      <c r="G403" s="3">
        <f t="shared" si="22"/>
        <v>43.5</v>
      </c>
      <c r="H403" s="3" t="s">
        <v>266</v>
      </c>
      <c r="I403" s="1" t="s">
        <v>43</v>
      </c>
      <c r="J403" s="1" t="s">
        <v>222</v>
      </c>
      <c r="K403" s="1" t="s">
        <v>298</v>
      </c>
      <c r="L403" s="1" t="s">
        <v>267</v>
      </c>
      <c r="M403" s="1"/>
      <c r="N403" s="1">
        <f t="shared" si="24"/>
        <v>5</v>
      </c>
      <c r="O403" s="87"/>
    </row>
    <row r="404" spans="1:15" ht="15.75" hidden="1" x14ac:dyDescent="0.25">
      <c r="A404" s="1" t="str">
        <f t="shared" si="23"/>
        <v>439594396360MASTER CCTELECOMOOREDOO</v>
      </c>
      <c r="B404" s="2">
        <v>43959</v>
      </c>
      <c r="C404" s="2">
        <v>43963</v>
      </c>
      <c r="D404" s="3" t="s">
        <v>586</v>
      </c>
      <c r="E404" s="3">
        <v>60</v>
      </c>
      <c r="F404" s="3">
        <v>1</v>
      </c>
      <c r="G404" s="3">
        <f t="shared" si="22"/>
        <v>60</v>
      </c>
      <c r="H404" s="3" t="s">
        <v>291</v>
      </c>
      <c r="I404" s="1" t="s">
        <v>58</v>
      </c>
      <c r="J404" s="1" t="s">
        <v>59</v>
      </c>
      <c r="K404" s="1" t="s">
        <v>298</v>
      </c>
      <c r="L404" s="1" t="s">
        <v>267</v>
      </c>
      <c r="M404" s="1"/>
      <c r="N404" s="1">
        <f t="shared" si="24"/>
        <v>5</v>
      </c>
      <c r="O404" s="65"/>
    </row>
    <row r="405" spans="1:15" ht="15.75" hidden="1" x14ac:dyDescent="0.25">
      <c r="A405" s="1" t="str">
        <f t="shared" si="23"/>
        <v>439594396142.12MASTER CCEDUCATIONGODADDY</v>
      </c>
      <c r="B405" s="2">
        <v>43959</v>
      </c>
      <c r="C405" s="2">
        <v>43961</v>
      </c>
      <c r="D405" s="3" t="s">
        <v>587</v>
      </c>
      <c r="E405" s="3">
        <v>42.12</v>
      </c>
      <c r="F405" s="3">
        <v>1</v>
      </c>
      <c r="G405" s="3">
        <f t="shared" si="22"/>
        <v>42.12</v>
      </c>
      <c r="H405" s="3" t="s">
        <v>291</v>
      </c>
      <c r="I405" s="1" t="s">
        <v>543</v>
      </c>
      <c r="J405" s="1" t="s">
        <v>589</v>
      </c>
      <c r="K405" s="1" t="s">
        <v>298</v>
      </c>
      <c r="L405" s="1" t="s">
        <v>267</v>
      </c>
      <c r="M405" s="1"/>
      <c r="N405" s="1">
        <f t="shared" si="24"/>
        <v>5</v>
      </c>
      <c r="O405" s="65" t="s">
        <v>590</v>
      </c>
    </row>
    <row r="406" spans="1:15" ht="15.75" hidden="1" x14ac:dyDescent="0.25">
      <c r="A406" s="1" t="str">
        <f t="shared" si="23"/>
        <v>439604396460MASTER CCFOODCAFÉ/REST.</v>
      </c>
      <c r="B406" s="2">
        <v>43960</v>
      </c>
      <c r="C406" s="2">
        <v>43964</v>
      </c>
      <c r="D406" s="3" t="s">
        <v>585</v>
      </c>
      <c r="E406" s="3">
        <v>60</v>
      </c>
      <c r="F406" s="3">
        <v>1</v>
      </c>
      <c r="G406" s="3">
        <f t="shared" si="22"/>
        <v>60</v>
      </c>
      <c r="H406" s="3" t="s">
        <v>291</v>
      </c>
      <c r="I406" s="1" t="s">
        <v>10</v>
      </c>
      <c r="J406" s="1" t="s">
        <v>11</v>
      </c>
      <c r="K406" s="1" t="s">
        <v>298</v>
      </c>
      <c r="L406" s="1" t="s">
        <v>267</v>
      </c>
      <c r="M406" s="1"/>
      <c r="N406" s="1">
        <f t="shared" si="24"/>
        <v>5</v>
      </c>
      <c r="O406" s="65" t="s">
        <v>588</v>
      </c>
    </row>
    <row r="407" spans="1:15" ht="15.75" hidden="1" x14ac:dyDescent="0.25">
      <c r="A407" s="1" t="str">
        <f t="shared" si="23"/>
        <v>439604396128DINERSGROCERYPICK-N-PACK</v>
      </c>
      <c r="B407" s="2">
        <v>43960</v>
      </c>
      <c r="C407" s="2">
        <v>43961</v>
      </c>
      <c r="D407" s="3" t="s">
        <v>581</v>
      </c>
      <c r="E407" s="3">
        <v>28</v>
      </c>
      <c r="F407" s="3">
        <v>1</v>
      </c>
      <c r="G407" s="3">
        <f t="shared" si="22"/>
        <v>28</v>
      </c>
      <c r="H407" s="3" t="s">
        <v>266</v>
      </c>
      <c r="I407" s="1" t="s">
        <v>43</v>
      </c>
      <c r="J407" s="1" t="s">
        <v>222</v>
      </c>
      <c r="K407" s="1" t="s">
        <v>298</v>
      </c>
      <c r="L407" s="1" t="s">
        <v>267</v>
      </c>
      <c r="M407" s="1"/>
      <c r="N407" s="1">
        <f t="shared" si="24"/>
        <v>5</v>
      </c>
      <c r="O407" s="87"/>
    </row>
    <row r="408" spans="1:15" ht="15.75" hidden="1" x14ac:dyDescent="0.25">
      <c r="A408" s="1" t="str">
        <f t="shared" si="23"/>
        <v>439614396255.25DINERSGROCERYPICK-N-PACK</v>
      </c>
      <c r="B408" s="2">
        <v>43961</v>
      </c>
      <c r="C408" s="2">
        <v>43962</v>
      </c>
      <c r="D408" s="3" t="s">
        <v>580</v>
      </c>
      <c r="E408" s="3">
        <v>55.25</v>
      </c>
      <c r="F408" s="3">
        <v>1</v>
      </c>
      <c r="G408" s="3">
        <f t="shared" si="22"/>
        <v>55.25</v>
      </c>
      <c r="H408" s="3" t="s">
        <v>266</v>
      </c>
      <c r="I408" s="1" t="s">
        <v>43</v>
      </c>
      <c r="J408" s="1" t="s">
        <v>222</v>
      </c>
      <c r="K408" s="1" t="s">
        <v>298</v>
      </c>
      <c r="L408" s="1" t="s">
        <v>267</v>
      </c>
      <c r="M408" s="1"/>
      <c r="N408" s="1">
        <f t="shared" si="24"/>
        <v>5</v>
      </c>
      <c r="O408" s="87"/>
    </row>
    <row r="409" spans="1:15" ht="15.75" hidden="1" x14ac:dyDescent="0.25">
      <c r="A409" s="1" t="str">
        <f t="shared" si="23"/>
        <v>439624396429.5DINERSGROCERYPICK-N-PACK</v>
      </c>
      <c r="B409" s="2">
        <v>43962</v>
      </c>
      <c r="C409" s="2">
        <v>43964</v>
      </c>
      <c r="D409" s="3" t="s">
        <v>593</v>
      </c>
      <c r="E409" s="3">
        <v>29.5</v>
      </c>
      <c r="F409" s="3">
        <v>1</v>
      </c>
      <c r="G409" s="3">
        <f t="shared" si="22"/>
        <v>29.5</v>
      </c>
      <c r="H409" s="3" t="s">
        <v>266</v>
      </c>
      <c r="I409" s="1" t="s">
        <v>43</v>
      </c>
      <c r="J409" s="1" t="s">
        <v>222</v>
      </c>
      <c r="K409" s="1" t="s">
        <v>298</v>
      </c>
      <c r="L409" s="1" t="s">
        <v>267</v>
      </c>
      <c r="M409" s="1"/>
      <c r="N409" s="1">
        <f t="shared" si="24"/>
        <v>5</v>
      </c>
      <c r="O409" s="87"/>
    </row>
    <row r="410" spans="1:15" ht="15.75" hidden="1" x14ac:dyDescent="0.25">
      <c r="A410" s="1" t="str">
        <f t="shared" si="23"/>
        <v>439644396659.5DINERSGROCERYPICK-N-PACK</v>
      </c>
      <c r="B410" s="2">
        <v>43964</v>
      </c>
      <c r="C410" s="2">
        <v>43966</v>
      </c>
      <c r="D410" s="3" t="s">
        <v>592</v>
      </c>
      <c r="E410" s="3">
        <v>59.5</v>
      </c>
      <c r="F410" s="3">
        <v>1</v>
      </c>
      <c r="G410" s="3">
        <f t="shared" si="22"/>
        <v>59.5</v>
      </c>
      <c r="H410" s="3" t="s">
        <v>266</v>
      </c>
      <c r="I410" s="1" t="s">
        <v>43</v>
      </c>
      <c r="J410" s="1" t="s">
        <v>222</v>
      </c>
      <c r="K410" s="1" t="s">
        <v>298</v>
      </c>
      <c r="L410" s="1" t="s">
        <v>267</v>
      </c>
      <c r="M410" s="1"/>
      <c r="N410" s="1">
        <f t="shared" si="24"/>
        <v>5</v>
      </c>
      <c r="O410" s="87"/>
    </row>
    <row r="411" spans="1:15" ht="15.75" hidden="1" x14ac:dyDescent="0.25">
      <c r="A411" s="1" t="str">
        <f t="shared" si="23"/>
        <v>439654396640DINERSGROCERYPICK-N-PACK</v>
      </c>
      <c r="B411" s="2">
        <v>43965</v>
      </c>
      <c r="C411" s="2">
        <v>43966</v>
      </c>
      <c r="D411" s="3" t="s">
        <v>591</v>
      </c>
      <c r="E411" s="3">
        <v>40</v>
      </c>
      <c r="F411" s="3">
        <v>1</v>
      </c>
      <c r="G411" s="3">
        <f t="shared" si="22"/>
        <v>40</v>
      </c>
      <c r="H411" s="3" t="s">
        <v>266</v>
      </c>
      <c r="I411" s="1" t="s">
        <v>43</v>
      </c>
      <c r="J411" s="1" t="s">
        <v>222</v>
      </c>
      <c r="K411" s="1" t="s">
        <v>298</v>
      </c>
      <c r="L411" s="1" t="s">
        <v>267</v>
      </c>
      <c r="M411" s="1"/>
      <c r="N411" s="1">
        <f t="shared" si="24"/>
        <v>5</v>
      </c>
      <c r="O411" s="87"/>
    </row>
    <row r="412" spans="1:15" ht="15.75" hidden="1" x14ac:dyDescent="0.25">
      <c r="A412" s="1" t="str">
        <f t="shared" si="23"/>
        <v>4396643967245.3DINERSGROCERYLULU</v>
      </c>
      <c r="B412" s="2">
        <v>43966</v>
      </c>
      <c r="C412" s="2">
        <v>43967</v>
      </c>
      <c r="D412" s="3" t="s">
        <v>594</v>
      </c>
      <c r="E412" s="3">
        <v>245.3</v>
      </c>
      <c r="F412" s="3">
        <v>1</v>
      </c>
      <c r="G412" s="3">
        <f t="shared" si="22"/>
        <v>245.3</v>
      </c>
      <c r="H412" s="3" t="s">
        <v>266</v>
      </c>
      <c r="I412" s="1" t="s">
        <v>43</v>
      </c>
      <c r="J412" s="1" t="s">
        <v>44</v>
      </c>
      <c r="K412" s="1" t="s">
        <v>298</v>
      </c>
      <c r="L412" s="1" t="s">
        <v>267</v>
      </c>
      <c r="M412" s="1"/>
      <c r="N412" s="1">
        <f t="shared" si="24"/>
        <v>5</v>
      </c>
      <c r="O412" s="87"/>
    </row>
    <row r="413" spans="1:15" ht="15.75" hidden="1" x14ac:dyDescent="0.25">
      <c r="A413" s="1" t="str">
        <f t="shared" si="23"/>
        <v>439694397042.5DINERSGROCERYPICK-N-PACK</v>
      </c>
      <c r="B413" s="2">
        <v>43969</v>
      </c>
      <c r="C413" s="2">
        <v>43970</v>
      </c>
      <c r="D413" s="3" t="s">
        <v>597</v>
      </c>
      <c r="E413" s="3">
        <v>42.5</v>
      </c>
      <c r="F413" s="3">
        <v>1</v>
      </c>
      <c r="G413" s="3">
        <f t="shared" si="22"/>
        <v>42.5</v>
      </c>
      <c r="H413" s="3" t="s">
        <v>266</v>
      </c>
      <c r="I413" s="1" t="s">
        <v>43</v>
      </c>
      <c r="J413" s="1" t="s">
        <v>222</v>
      </c>
      <c r="K413" s="1" t="s">
        <v>298</v>
      </c>
      <c r="L413" s="1" t="s">
        <v>267</v>
      </c>
      <c r="M413" s="1"/>
      <c r="N413" s="1">
        <f t="shared" si="24"/>
        <v>5</v>
      </c>
      <c r="O413" s="87"/>
    </row>
    <row r="414" spans="1:15" ht="15.75" hidden="1" x14ac:dyDescent="0.25">
      <c r="A414" s="1" t="str">
        <f t="shared" si="23"/>
        <v>439714397347.5DINERSGROCERYPICK-N-PACK</v>
      </c>
      <c r="B414" s="2">
        <v>43971</v>
      </c>
      <c r="C414" s="2">
        <v>43973</v>
      </c>
      <c r="D414" s="3" t="s">
        <v>596</v>
      </c>
      <c r="E414" s="3">
        <v>47.5</v>
      </c>
      <c r="F414" s="3">
        <v>1</v>
      </c>
      <c r="G414" s="3">
        <f t="shared" si="22"/>
        <v>47.5</v>
      </c>
      <c r="H414" s="3" t="s">
        <v>266</v>
      </c>
      <c r="I414" s="1" t="s">
        <v>43</v>
      </c>
      <c r="J414" s="1" t="s">
        <v>222</v>
      </c>
      <c r="K414" s="1" t="s">
        <v>298</v>
      </c>
      <c r="L414" s="1" t="s">
        <v>267</v>
      </c>
      <c r="M414" s="1"/>
      <c r="N414" s="1">
        <f t="shared" si="24"/>
        <v>5</v>
      </c>
      <c r="O414" s="87"/>
    </row>
    <row r="415" spans="1:15" ht="15.75" hidden="1" x14ac:dyDescent="0.25">
      <c r="A415" s="1" t="str">
        <f t="shared" si="23"/>
        <v>439734397488.5DINERSGROCERYPICK-N-PACK</v>
      </c>
      <c r="B415" s="2">
        <v>43973</v>
      </c>
      <c r="C415" s="2">
        <v>43974</v>
      </c>
      <c r="D415" s="3" t="s">
        <v>595</v>
      </c>
      <c r="E415" s="3">
        <v>88.5</v>
      </c>
      <c r="F415" s="3">
        <v>1</v>
      </c>
      <c r="G415" s="3">
        <f t="shared" si="22"/>
        <v>88.5</v>
      </c>
      <c r="H415" s="3" t="s">
        <v>266</v>
      </c>
      <c r="I415" s="1" t="s">
        <v>43</v>
      </c>
      <c r="J415" s="1" t="s">
        <v>222</v>
      </c>
      <c r="K415" s="1" t="s">
        <v>298</v>
      </c>
      <c r="L415" s="1" t="s">
        <v>267</v>
      </c>
      <c r="M415" s="1"/>
      <c r="N415" s="1">
        <f t="shared" si="24"/>
        <v>5</v>
      </c>
      <c r="O415" s="87"/>
    </row>
    <row r="416" spans="1:15" ht="15.75" hidden="1" x14ac:dyDescent="0.25">
      <c r="A416" s="1" t="str">
        <f t="shared" si="23"/>
        <v>439744397555.75DINERSGROCERYPICK-N-PACK</v>
      </c>
      <c r="B416" s="2">
        <v>43974</v>
      </c>
      <c r="C416" s="2">
        <v>43975</v>
      </c>
      <c r="D416" s="3" t="s">
        <v>600</v>
      </c>
      <c r="E416" s="3">
        <v>55.75</v>
      </c>
      <c r="F416" s="3">
        <v>1</v>
      </c>
      <c r="G416" s="3">
        <f t="shared" si="22"/>
        <v>55.75</v>
      </c>
      <c r="H416" s="3" t="s">
        <v>266</v>
      </c>
      <c r="I416" s="1" t="s">
        <v>43</v>
      </c>
      <c r="J416" s="1" t="s">
        <v>222</v>
      </c>
      <c r="K416" s="1" t="s">
        <v>298</v>
      </c>
      <c r="L416" s="1" t="s">
        <v>267</v>
      </c>
      <c r="M416" s="1"/>
      <c r="N416" s="1">
        <f t="shared" si="24"/>
        <v>5</v>
      </c>
      <c r="O416" s="87"/>
    </row>
    <row r="417" spans="1:15" ht="15.75" hidden="1" x14ac:dyDescent="0.25">
      <c r="A417" s="1" t="str">
        <f t="shared" si="23"/>
        <v>4397643977131.5DINERSGROCERYLULU</v>
      </c>
      <c r="B417" s="2">
        <v>43976</v>
      </c>
      <c r="C417" s="2">
        <v>43977</v>
      </c>
      <c r="D417" s="3" t="s">
        <v>599</v>
      </c>
      <c r="E417" s="3">
        <v>131.5</v>
      </c>
      <c r="F417" s="3">
        <v>1</v>
      </c>
      <c r="G417" s="3">
        <f t="shared" si="22"/>
        <v>131.5</v>
      </c>
      <c r="H417" s="3" t="s">
        <v>266</v>
      </c>
      <c r="I417" s="1" t="s">
        <v>43</v>
      </c>
      <c r="J417" s="1" t="s">
        <v>44</v>
      </c>
      <c r="K417" s="1" t="s">
        <v>298</v>
      </c>
      <c r="L417" s="1" t="s">
        <v>267</v>
      </c>
      <c r="M417" s="1"/>
      <c r="N417" s="1">
        <f t="shared" si="24"/>
        <v>5</v>
      </c>
      <c r="O417" s="87"/>
    </row>
    <row r="418" spans="1:15" ht="15.75" hidden="1" x14ac:dyDescent="0.25">
      <c r="A418" s="1" t="str">
        <f t="shared" si="23"/>
        <v>439764397736DINERSGROCERYPICK-N-PACK</v>
      </c>
      <c r="B418" s="2">
        <v>43976</v>
      </c>
      <c r="C418" s="2">
        <v>43977</v>
      </c>
      <c r="D418" s="3" t="s">
        <v>598</v>
      </c>
      <c r="E418" s="3">
        <v>36</v>
      </c>
      <c r="F418" s="3">
        <v>1</v>
      </c>
      <c r="G418" s="3">
        <f t="shared" si="22"/>
        <v>36</v>
      </c>
      <c r="H418" s="3" t="s">
        <v>266</v>
      </c>
      <c r="I418" s="1" t="s">
        <v>43</v>
      </c>
      <c r="J418" s="1" t="s">
        <v>222</v>
      </c>
      <c r="K418" s="1" t="s">
        <v>298</v>
      </c>
      <c r="L418" s="1" t="s">
        <v>267</v>
      </c>
      <c r="M418" s="1"/>
      <c r="N418" s="1">
        <f t="shared" si="24"/>
        <v>5</v>
      </c>
      <c r="O418" s="87"/>
    </row>
    <row r="419" spans="1:15" ht="15.75" hidden="1" x14ac:dyDescent="0.25">
      <c r="A419" s="1" t="str">
        <f t="shared" si="23"/>
        <v>439774397826.75DINERSGROCERYPICK-N-PACK</v>
      </c>
      <c r="B419" s="2">
        <v>43977</v>
      </c>
      <c r="C419" s="2">
        <v>43978</v>
      </c>
      <c r="D419" s="3" t="s">
        <v>601</v>
      </c>
      <c r="E419" s="3">
        <v>26.75</v>
      </c>
      <c r="F419" s="3">
        <v>1</v>
      </c>
      <c r="G419" s="3">
        <f t="shared" si="22"/>
        <v>26.75</v>
      </c>
      <c r="H419" s="3" t="s">
        <v>266</v>
      </c>
      <c r="I419" s="1" t="s">
        <v>43</v>
      </c>
      <c r="J419" s="1" t="s">
        <v>222</v>
      </c>
      <c r="K419" s="1" t="s">
        <v>298</v>
      </c>
      <c r="L419" s="1" t="s">
        <v>267</v>
      </c>
      <c r="M419" s="1"/>
      <c r="N419" s="1">
        <f t="shared" si="24"/>
        <v>5</v>
      </c>
      <c r="O419" s="87"/>
    </row>
    <row r="420" spans="1:15" ht="15.75" hidden="1" x14ac:dyDescent="0.25">
      <c r="A420" s="1" t="str">
        <f t="shared" si="23"/>
        <v>439824398249CURRENTGROCERYPICK-N-PACK</v>
      </c>
      <c r="B420" s="2">
        <v>43982</v>
      </c>
      <c r="C420" s="2">
        <v>43982</v>
      </c>
      <c r="D420" s="3" t="s">
        <v>607</v>
      </c>
      <c r="E420" s="3">
        <v>-49</v>
      </c>
      <c r="F420" s="3">
        <v>1</v>
      </c>
      <c r="G420" s="3">
        <f t="shared" si="22"/>
        <v>49</v>
      </c>
      <c r="H420" s="3" t="s">
        <v>293</v>
      </c>
      <c r="I420" s="1" t="s">
        <v>43</v>
      </c>
      <c r="J420" s="1" t="s">
        <v>222</v>
      </c>
      <c r="K420" s="1" t="s">
        <v>298</v>
      </c>
      <c r="L420" s="1" t="s">
        <v>257</v>
      </c>
      <c r="M420" s="1"/>
      <c r="N420" s="1">
        <f t="shared" si="24"/>
        <v>5</v>
      </c>
      <c r="O420" s="65"/>
    </row>
    <row r="421" spans="1:15" ht="15.75" hidden="1" x14ac:dyDescent="0.25">
      <c r="A421" s="1" t="str">
        <f t="shared" si="23"/>
        <v>439824398255CURRENTGROCERYPICK-N-PACK</v>
      </c>
      <c r="B421" s="2">
        <v>43982</v>
      </c>
      <c r="C421" s="2">
        <v>43982</v>
      </c>
      <c r="D421" s="3" t="s">
        <v>604</v>
      </c>
      <c r="E421" s="3">
        <v>-55</v>
      </c>
      <c r="F421" s="3">
        <v>1</v>
      </c>
      <c r="G421" s="3">
        <f t="shared" si="22"/>
        <v>55</v>
      </c>
      <c r="H421" s="3" t="s">
        <v>293</v>
      </c>
      <c r="I421" s="1" t="s">
        <v>43</v>
      </c>
      <c r="J421" s="1" t="s">
        <v>222</v>
      </c>
      <c r="K421" s="1" t="s">
        <v>298</v>
      </c>
      <c r="L421" s="1" t="s">
        <v>257</v>
      </c>
      <c r="M421" s="1"/>
      <c r="N421" s="1">
        <f t="shared" si="24"/>
        <v>5</v>
      </c>
      <c r="O421" s="65"/>
    </row>
    <row r="422" spans="1:15" ht="15.75" hidden="1" x14ac:dyDescent="0.25">
      <c r="A422" s="1" t="str">
        <f t="shared" si="23"/>
        <v>439824398275.5CURRENTGROCERYPICK-N-PACK</v>
      </c>
      <c r="B422" s="2">
        <v>43982</v>
      </c>
      <c r="C422" s="2">
        <v>43982</v>
      </c>
      <c r="D422" s="3" t="s">
        <v>606</v>
      </c>
      <c r="E422" s="3">
        <v>-75.5</v>
      </c>
      <c r="F422" s="3">
        <v>1</v>
      </c>
      <c r="G422" s="3">
        <f t="shared" si="22"/>
        <v>75.5</v>
      </c>
      <c r="H422" s="3" t="s">
        <v>293</v>
      </c>
      <c r="I422" s="1" t="s">
        <v>43</v>
      </c>
      <c r="J422" s="1" t="s">
        <v>222</v>
      </c>
      <c r="K422" s="1" t="s">
        <v>298</v>
      </c>
      <c r="L422" s="1" t="s">
        <v>257</v>
      </c>
      <c r="M422" s="1"/>
      <c r="N422" s="1">
        <f t="shared" si="24"/>
        <v>5</v>
      </c>
      <c r="O422" s="65"/>
    </row>
    <row r="423" spans="1:15" ht="15.75" hidden="1" x14ac:dyDescent="0.25">
      <c r="A423" s="1" t="str">
        <f t="shared" si="23"/>
        <v>43982439821561.97CURRENTCC BILL PAYMENTBANK</v>
      </c>
      <c r="B423" s="2">
        <v>43982</v>
      </c>
      <c r="C423" s="2">
        <v>43982</v>
      </c>
      <c r="D423" s="3" t="s">
        <v>605</v>
      </c>
      <c r="E423" s="3">
        <v>-1561.97</v>
      </c>
      <c r="F423" s="3">
        <v>1</v>
      </c>
      <c r="G423" s="3">
        <f t="shared" si="22"/>
        <v>1561.97</v>
      </c>
      <c r="H423" s="3" t="s">
        <v>293</v>
      </c>
      <c r="I423" s="1" t="s">
        <v>81</v>
      </c>
      <c r="J423" s="1" t="s">
        <v>8</v>
      </c>
      <c r="K423" s="1" t="s">
        <v>298</v>
      </c>
      <c r="L423" s="1" t="s">
        <v>257</v>
      </c>
      <c r="M423" s="1"/>
      <c r="N423" s="1">
        <f t="shared" si="24"/>
        <v>5</v>
      </c>
      <c r="O423" s="1"/>
    </row>
    <row r="424" spans="1:15" ht="15.75" hidden="1" x14ac:dyDescent="0.25">
      <c r="A424" s="1" t="str">
        <f t="shared" si="23"/>
        <v>43982439821561.97DINERSCC BILL PAYMENTBANK</v>
      </c>
      <c r="B424" s="2">
        <v>43982</v>
      </c>
      <c r="C424" s="2">
        <v>43982</v>
      </c>
      <c r="D424" s="3" t="s">
        <v>80</v>
      </c>
      <c r="E424" s="3">
        <v>-1561.97</v>
      </c>
      <c r="F424" s="3">
        <v>1</v>
      </c>
      <c r="G424" s="3">
        <f t="shared" si="22"/>
        <v>1561.97</v>
      </c>
      <c r="H424" s="3" t="s">
        <v>266</v>
      </c>
      <c r="I424" s="1" t="s">
        <v>81</v>
      </c>
      <c r="J424" s="1" t="s">
        <v>8</v>
      </c>
      <c r="K424" s="1" t="s">
        <v>300</v>
      </c>
      <c r="L424" s="1" t="s">
        <v>267</v>
      </c>
      <c r="M424" s="1"/>
      <c r="N424" s="1">
        <f t="shared" si="24"/>
        <v>5</v>
      </c>
      <c r="O424" s="87"/>
    </row>
    <row r="425" spans="1:15" ht="15.75" hidden="1" x14ac:dyDescent="0.25">
      <c r="A425" s="1" t="str">
        <f t="shared" si="23"/>
        <v>4398343985150MASTER CCTELECOMVODAFONE</v>
      </c>
      <c r="B425" s="2">
        <v>43983</v>
      </c>
      <c r="C425" s="2">
        <v>43985</v>
      </c>
      <c r="D425" s="3" t="s">
        <v>602</v>
      </c>
      <c r="E425" s="3">
        <v>150</v>
      </c>
      <c r="F425" s="3">
        <v>1</v>
      </c>
      <c r="G425" s="3">
        <f t="shared" si="22"/>
        <v>150</v>
      </c>
      <c r="H425" s="3" t="s">
        <v>291</v>
      </c>
      <c r="I425" s="1" t="s">
        <v>58</v>
      </c>
      <c r="J425" s="1" t="s">
        <v>78</v>
      </c>
      <c r="K425" s="1" t="s">
        <v>298</v>
      </c>
      <c r="L425" s="1" t="s">
        <v>267</v>
      </c>
      <c r="M425" s="1"/>
      <c r="N425" s="1">
        <f t="shared" si="24"/>
        <v>6</v>
      </c>
      <c r="O425" s="65"/>
    </row>
    <row r="426" spans="1:15" ht="15.75" hidden="1" x14ac:dyDescent="0.25">
      <c r="A426" s="1" t="str">
        <f t="shared" si="23"/>
        <v>43983439831000CURRENTSAVINGSELF</v>
      </c>
      <c r="B426" s="2">
        <v>43983</v>
      </c>
      <c r="C426" s="2">
        <v>43983</v>
      </c>
      <c r="D426" s="3" t="s">
        <v>316</v>
      </c>
      <c r="E426" s="3">
        <v>-1000</v>
      </c>
      <c r="F426" s="3">
        <v>1</v>
      </c>
      <c r="G426" s="3">
        <f t="shared" si="22"/>
        <v>1000</v>
      </c>
      <c r="H426" s="3" t="s">
        <v>293</v>
      </c>
      <c r="I426" s="1" t="s">
        <v>302</v>
      </c>
      <c r="J426" s="1" t="s">
        <v>14</v>
      </c>
      <c r="K426" s="1" t="s">
        <v>298</v>
      </c>
      <c r="L426" s="1" t="s">
        <v>257</v>
      </c>
      <c r="M426" s="1"/>
      <c r="N426" s="1">
        <f t="shared" si="24"/>
        <v>6</v>
      </c>
      <c r="O426" s="65"/>
    </row>
    <row r="427" spans="1:15" ht="15.75" hidden="1" x14ac:dyDescent="0.25">
      <c r="A427" s="1" t="str">
        <f t="shared" si="23"/>
        <v>439834398211665CURRENTSALARYQATAR AIR</v>
      </c>
      <c r="B427" s="2">
        <v>43983</v>
      </c>
      <c r="C427" s="2">
        <v>43982</v>
      </c>
      <c r="D427" s="3" t="s">
        <v>603</v>
      </c>
      <c r="E427" s="3">
        <v>11665</v>
      </c>
      <c r="F427" s="3">
        <v>1</v>
      </c>
      <c r="G427" s="3">
        <f t="shared" si="22"/>
        <v>11665</v>
      </c>
      <c r="H427" s="3" t="s">
        <v>293</v>
      </c>
      <c r="I427" s="1" t="s">
        <v>18</v>
      </c>
      <c r="J427" s="1" t="s">
        <v>19</v>
      </c>
      <c r="K427" s="1" t="s">
        <v>300</v>
      </c>
      <c r="L427" s="1" t="s">
        <v>257</v>
      </c>
      <c r="M427" s="1"/>
      <c r="N427" s="1">
        <f t="shared" si="24"/>
        <v>5</v>
      </c>
      <c r="O427" s="1"/>
    </row>
    <row r="428" spans="1:15" ht="15.75" hidden="1" x14ac:dyDescent="0.25">
      <c r="A428" s="1" t="str">
        <f t="shared" si="23"/>
        <v>43984439844CURRENTSERVICEBANK</v>
      </c>
      <c r="B428" s="2">
        <v>43984</v>
      </c>
      <c r="C428" s="2">
        <v>43984</v>
      </c>
      <c r="D428" s="3" t="s">
        <v>609</v>
      </c>
      <c r="E428" s="3">
        <v>-4</v>
      </c>
      <c r="F428" s="3">
        <v>1</v>
      </c>
      <c r="G428" s="3">
        <f t="shared" si="22"/>
        <v>4</v>
      </c>
      <c r="H428" s="3" t="s">
        <v>293</v>
      </c>
      <c r="I428" s="1" t="s">
        <v>7</v>
      </c>
      <c r="J428" s="1" t="s">
        <v>8</v>
      </c>
      <c r="K428" s="1" t="s">
        <v>298</v>
      </c>
      <c r="L428" s="1" t="s">
        <v>257</v>
      </c>
      <c r="M428" s="1"/>
      <c r="N428" s="1">
        <f t="shared" si="24"/>
        <v>6</v>
      </c>
      <c r="O428" s="65"/>
    </row>
    <row r="429" spans="1:15" ht="15.75" hidden="1" x14ac:dyDescent="0.25">
      <c r="A429" s="1" t="str">
        <f t="shared" si="23"/>
        <v>43984439841250CURRENTSAVINGSELF</v>
      </c>
      <c r="B429" s="2">
        <v>43984</v>
      </c>
      <c r="C429" s="2">
        <v>43984</v>
      </c>
      <c r="D429" s="3" t="s">
        <v>610</v>
      </c>
      <c r="E429" s="3">
        <v>-1250</v>
      </c>
      <c r="F429" s="3">
        <v>1</v>
      </c>
      <c r="G429" s="3">
        <f t="shared" si="22"/>
        <v>1250</v>
      </c>
      <c r="H429" s="3" t="s">
        <v>293</v>
      </c>
      <c r="I429" s="1" t="s">
        <v>302</v>
      </c>
      <c r="J429" s="1" t="s">
        <v>14</v>
      </c>
      <c r="K429" s="1" t="s">
        <v>298</v>
      </c>
      <c r="L429" s="1" t="s">
        <v>257</v>
      </c>
      <c r="M429" s="1"/>
      <c r="N429" s="1">
        <f t="shared" si="24"/>
        <v>6</v>
      </c>
      <c r="O429" s="65"/>
    </row>
    <row r="430" spans="1:15" ht="15.75" hidden="1" x14ac:dyDescent="0.25">
      <c r="A430" s="1" t="str">
        <f t="shared" si="23"/>
        <v>43984439844100CURRENTRENTCAP ONE</v>
      </c>
      <c r="B430" s="2">
        <v>43984</v>
      </c>
      <c r="C430" s="2">
        <v>43984</v>
      </c>
      <c r="D430" s="3" t="s">
        <v>608</v>
      </c>
      <c r="E430" s="3">
        <v>-4100</v>
      </c>
      <c r="F430" s="3">
        <v>1</v>
      </c>
      <c r="G430" s="3">
        <f t="shared" si="22"/>
        <v>4100</v>
      </c>
      <c r="H430" s="3" t="s">
        <v>293</v>
      </c>
      <c r="I430" s="1" t="s">
        <v>83</v>
      </c>
      <c r="J430" s="1" t="s">
        <v>84</v>
      </c>
      <c r="K430" s="1" t="s">
        <v>298</v>
      </c>
      <c r="L430" s="1" t="s">
        <v>257</v>
      </c>
      <c r="M430" s="1"/>
      <c r="N430" s="1">
        <f t="shared" si="24"/>
        <v>6</v>
      </c>
      <c r="O430" s="65"/>
    </row>
    <row r="431" spans="1:15" ht="15.75" hidden="1" x14ac:dyDescent="0.25">
      <c r="A431" s="1" t="str">
        <f t="shared" si="23"/>
        <v>43986439861500CURRENTWITHDRAWSELF</v>
      </c>
      <c r="B431" s="2">
        <v>43986</v>
      </c>
      <c r="C431" s="2">
        <v>43986</v>
      </c>
      <c r="D431" s="3" t="s">
        <v>611</v>
      </c>
      <c r="E431" s="3">
        <v>-1500</v>
      </c>
      <c r="F431" s="3">
        <v>1</v>
      </c>
      <c r="G431" s="3">
        <f t="shared" si="22"/>
        <v>1500</v>
      </c>
      <c r="H431" s="3" t="s">
        <v>293</v>
      </c>
      <c r="I431" s="1" t="s">
        <v>13</v>
      </c>
      <c r="J431" s="1" t="s">
        <v>14</v>
      </c>
      <c r="K431" s="1" t="s">
        <v>298</v>
      </c>
      <c r="L431" s="1" t="s">
        <v>257</v>
      </c>
      <c r="M431" s="1"/>
      <c r="N431" s="1">
        <f t="shared" si="24"/>
        <v>6</v>
      </c>
      <c r="O431" s="65"/>
    </row>
    <row r="432" spans="1:15" ht="15.75" hidden="1" x14ac:dyDescent="0.25">
      <c r="A432" s="1" t="str">
        <f t="shared" si="23"/>
        <v>4398643986350.25DINERSGROCERYLULU</v>
      </c>
      <c r="B432" s="2">
        <v>43986</v>
      </c>
      <c r="C432" s="2">
        <v>43986</v>
      </c>
      <c r="D432" s="3" t="s">
        <v>613</v>
      </c>
      <c r="E432" s="3">
        <v>350.25</v>
      </c>
      <c r="F432" s="3">
        <v>1</v>
      </c>
      <c r="G432" s="3">
        <f t="shared" si="22"/>
        <v>350.25</v>
      </c>
      <c r="H432" s="3" t="s">
        <v>266</v>
      </c>
      <c r="I432" s="1" t="s">
        <v>43</v>
      </c>
      <c r="J432" s="1" t="s">
        <v>44</v>
      </c>
      <c r="K432" s="1" t="s">
        <v>298</v>
      </c>
      <c r="L432" s="1" t="s">
        <v>267</v>
      </c>
      <c r="M432" s="1"/>
      <c r="N432" s="1">
        <f t="shared" si="24"/>
        <v>6</v>
      </c>
      <c r="O432" s="87"/>
    </row>
    <row r="433" spans="1:15" ht="15.75" hidden="1" x14ac:dyDescent="0.25">
      <c r="A433" s="1" t="str">
        <f t="shared" si="23"/>
        <v>439864398640DINERSGROCERYPICK-N-PACK</v>
      </c>
      <c r="B433" s="2">
        <v>43986</v>
      </c>
      <c r="C433" s="2">
        <v>43986</v>
      </c>
      <c r="D433" s="3" t="s">
        <v>612</v>
      </c>
      <c r="E433" s="3">
        <v>40</v>
      </c>
      <c r="F433" s="3">
        <v>1</v>
      </c>
      <c r="G433" s="3">
        <f t="shared" si="22"/>
        <v>40</v>
      </c>
      <c r="H433" s="3" t="s">
        <v>266</v>
      </c>
      <c r="I433" s="1" t="s">
        <v>43</v>
      </c>
      <c r="J433" s="1" t="s">
        <v>222</v>
      </c>
      <c r="K433" s="1" t="s">
        <v>298</v>
      </c>
      <c r="L433" s="1" t="s">
        <v>267</v>
      </c>
      <c r="M433" s="1"/>
      <c r="N433" s="1">
        <f t="shared" si="24"/>
        <v>6</v>
      </c>
      <c r="O433" s="87"/>
    </row>
    <row r="434" spans="1:15" ht="15.75" hidden="1" x14ac:dyDescent="0.25">
      <c r="A434" s="1" t="str">
        <f t="shared" si="23"/>
        <v>43987439871250CURRENTSAVINGSELF</v>
      </c>
      <c r="B434" s="2">
        <v>43987</v>
      </c>
      <c r="C434" s="2">
        <v>43987</v>
      </c>
      <c r="D434" s="3" t="s">
        <v>333</v>
      </c>
      <c r="E434" s="3">
        <v>-1250</v>
      </c>
      <c r="F434" s="3">
        <v>1</v>
      </c>
      <c r="G434" s="3">
        <f t="shared" si="22"/>
        <v>1250</v>
      </c>
      <c r="H434" s="3" t="s">
        <v>293</v>
      </c>
      <c r="I434" s="1" t="s">
        <v>302</v>
      </c>
      <c r="J434" s="1" t="s">
        <v>14</v>
      </c>
      <c r="K434" s="1" t="s">
        <v>298</v>
      </c>
      <c r="L434" s="1" t="s">
        <v>257</v>
      </c>
      <c r="M434" s="1"/>
      <c r="N434" s="1">
        <f t="shared" si="24"/>
        <v>6</v>
      </c>
      <c r="O434" s="65"/>
    </row>
    <row r="435" spans="1:15" ht="15.75" hidden="1" x14ac:dyDescent="0.25">
      <c r="A435" s="1" t="str">
        <f t="shared" si="23"/>
        <v>439884398943.5DINERSGROCERYPICK-N-PACK</v>
      </c>
      <c r="B435" s="2">
        <v>43988</v>
      </c>
      <c r="C435" s="2">
        <v>43989</v>
      </c>
      <c r="D435" s="3" t="s">
        <v>616</v>
      </c>
      <c r="E435" s="3">
        <v>43.5</v>
      </c>
      <c r="F435" s="3">
        <v>1</v>
      </c>
      <c r="G435" s="3">
        <f t="shared" si="22"/>
        <v>43.5</v>
      </c>
      <c r="H435" s="3" t="s">
        <v>266</v>
      </c>
      <c r="I435" s="1" t="s">
        <v>43</v>
      </c>
      <c r="J435" s="1" t="s">
        <v>222</v>
      </c>
      <c r="K435" s="1" t="s">
        <v>298</v>
      </c>
      <c r="L435" s="1" t="s">
        <v>267</v>
      </c>
      <c r="M435" s="1"/>
      <c r="N435" s="1">
        <f t="shared" si="24"/>
        <v>6</v>
      </c>
      <c r="O435" s="87"/>
    </row>
    <row r="436" spans="1:15" ht="15.75" hidden="1" x14ac:dyDescent="0.25">
      <c r="A436" s="1" t="str">
        <f t="shared" si="23"/>
        <v>439894399129DINERSGROCERYPICK-N-PACK</v>
      </c>
      <c r="B436" s="2">
        <v>43989</v>
      </c>
      <c r="C436" s="2">
        <v>43991</v>
      </c>
      <c r="D436" s="3" t="s">
        <v>615</v>
      </c>
      <c r="E436" s="3">
        <v>29</v>
      </c>
      <c r="F436" s="3">
        <v>1</v>
      </c>
      <c r="G436" s="3">
        <f t="shared" si="22"/>
        <v>29</v>
      </c>
      <c r="H436" s="3" t="s">
        <v>266</v>
      </c>
      <c r="I436" s="1" t="s">
        <v>43</v>
      </c>
      <c r="J436" s="1" t="s">
        <v>222</v>
      </c>
      <c r="K436" s="1" t="s">
        <v>298</v>
      </c>
      <c r="L436" s="1" t="s">
        <v>267</v>
      </c>
      <c r="M436" s="1"/>
      <c r="N436" s="1">
        <f t="shared" si="24"/>
        <v>6</v>
      </c>
      <c r="O436" s="87"/>
    </row>
    <row r="437" spans="1:15" ht="15.75" hidden="1" x14ac:dyDescent="0.25">
      <c r="A437" s="1" t="str">
        <f t="shared" si="23"/>
        <v>439914399348.75DINERSGROCERYPICK-N-PACK</v>
      </c>
      <c r="B437" s="2">
        <v>43991</v>
      </c>
      <c r="C437" s="2">
        <v>43993</v>
      </c>
      <c r="D437" s="3" t="s">
        <v>614</v>
      </c>
      <c r="E437" s="3">
        <v>48.75</v>
      </c>
      <c r="F437" s="3">
        <v>1</v>
      </c>
      <c r="G437" s="3">
        <f t="shared" si="22"/>
        <v>48.75</v>
      </c>
      <c r="H437" s="3" t="s">
        <v>266</v>
      </c>
      <c r="I437" s="1" t="s">
        <v>43</v>
      </c>
      <c r="J437" s="1" t="s">
        <v>222</v>
      </c>
      <c r="K437" s="1" t="s">
        <v>298</v>
      </c>
      <c r="L437" s="1" t="s">
        <v>267</v>
      </c>
      <c r="M437" s="1"/>
      <c r="N437" s="1">
        <f t="shared" si="24"/>
        <v>6</v>
      </c>
      <c r="O437" s="87"/>
    </row>
    <row r="438" spans="1:15" ht="15.75" hidden="1" x14ac:dyDescent="0.25">
      <c r="A438" s="1" t="str">
        <f t="shared" si="23"/>
        <v>439924399413.25MASTER CCMEDICALPHARMACY</v>
      </c>
      <c r="B438" s="2">
        <v>43992</v>
      </c>
      <c r="C438" s="2">
        <v>43994</v>
      </c>
      <c r="D438" s="3" t="s">
        <v>618</v>
      </c>
      <c r="E438" s="3">
        <v>13.25</v>
      </c>
      <c r="F438" s="3">
        <v>1</v>
      </c>
      <c r="G438" s="3">
        <f t="shared" si="22"/>
        <v>13.25</v>
      </c>
      <c r="H438" s="3" t="s">
        <v>291</v>
      </c>
      <c r="I438" s="1" t="s">
        <v>301</v>
      </c>
      <c r="J438" s="1" t="s">
        <v>304</v>
      </c>
      <c r="K438" s="1" t="s">
        <v>298</v>
      </c>
      <c r="L438" s="1" t="s">
        <v>267</v>
      </c>
      <c r="M438" s="1"/>
      <c r="N438" s="1">
        <f t="shared" si="24"/>
        <v>6</v>
      </c>
      <c r="O438" s="65"/>
    </row>
    <row r="439" spans="1:15" ht="15.75" hidden="1" x14ac:dyDescent="0.25">
      <c r="A439" s="1" t="str">
        <f t="shared" si="23"/>
        <v>4399343994171.4DINERSGROCERYLULU</v>
      </c>
      <c r="B439" s="2">
        <v>43993</v>
      </c>
      <c r="C439" s="2">
        <v>43994</v>
      </c>
      <c r="D439" s="3" t="s">
        <v>617</v>
      </c>
      <c r="E439" s="3">
        <v>171.4</v>
      </c>
      <c r="F439" s="3">
        <v>1</v>
      </c>
      <c r="G439" s="3">
        <f t="shared" si="22"/>
        <v>171.4</v>
      </c>
      <c r="H439" s="3" t="s">
        <v>266</v>
      </c>
      <c r="I439" s="1" t="s">
        <v>43</v>
      </c>
      <c r="J439" s="1" t="s">
        <v>44</v>
      </c>
      <c r="K439" s="1" t="s">
        <v>298</v>
      </c>
      <c r="L439" s="1" t="s">
        <v>267</v>
      </c>
      <c r="M439" s="1"/>
      <c r="N439" s="1">
        <f t="shared" si="24"/>
        <v>6</v>
      </c>
      <c r="O439" s="87"/>
    </row>
    <row r="440" spans="1:15" ht="15.75" hidden="1" x14ac:dyDescent="0.25">
      <c r="A440" s="1" t="str">
        <f t="shared" si="23"/>
        <v>439954399636.75DINERSGROCERYPICK-N-PACK</v>
      </c>
      <c r="B440" s="2">
        <v>43995</v>
      </c>
      <c r="C440" s="2">
        <v>43996</v>
      </c>
      <c r="D440" s="3" t="s">
        <v>624</v>
      </c>
      <c r="E440" s="3">
        <v>36.75</v>
      </c>
      <c r="F440" s="3">
        <v>1</v>
      </c>
      <c r="G440" s="3">
        <f t="shared" si="22"/>
        <v>36.75</v>
      </c>
      <c r="H440" s="3" t="s">
        <v>266</v>
      </c>
      <c r="I440" s="1" t="s">
        <v>43</v>
      </c>
      <c r="J440" s="1" t="s">
        <v>222</v>
      </c>
      <c r="K440" s="1" t="s">
        <v>298</v>
      </c>
      <c r="L440" s="1" t="s">
        <v>267</v>
      </c>
      <c r="M440" s="1"/>
      <c r="N440" s="1">
        <f t="shared" si="24"/>
        <v>6</v>
      </c>
      <c r="O440" s="87"/>
    </row>
    <row r="441" spans="1:15" ht="15.75" hidden="1" x14ac:dyDescent="0.25">
      <c r="A441" s="1" t="str">
        <f t="shared" si="23"/>
        <v>439974399929DINERSGROCERYPICK-N-PACK</v>
      </c>
      <c r="B441" s="2">
        <v>43997</v>
      </c>
      <c r="C441" s="2">
        <v>43999</v>
      </c>
      <c r="D441" s="3" t="s">
        <v>623</v>
      </c>
      <c r="E441" s="3">
        <v>29</v>
      </c>
      <c r="F441" s="3">
        <v>1</v>
      </c>
      <c r="G441" s="3">
        <f t="shared" si="22"/>
        <v>29</v>
      </c>
      <c r="H441" s="3" t="s">
        <v>266</v>
      </c>
      <c r="I441" s="1" t="s">
        <v>43</v>
      </c>
      <c r="J441" s="1" t="s">
        <v>222</v>
      </c>
      <c r="K441" s="1" t="s">
        <v>298</v>
      </c>
      <c r="L441" s="1" t="s">
        <v>267</v>
      </c>
      <c r="M441" s="1"/>
      <c r="N441" s="1">
        <f t="shared" si="24"/>
        <v>6</v>
      </c>
      <c r="O441" s="87"/>
    </row>
    <row r="442" spans="1:15" ht="15.75" hidden="1" x14ac:dyDescent="0.25">
      <c r="A442" s="1" t="str">
        <f t="shared" si="23"/>
        <v>439984399938.25DINERSGROCERYPICK-N-PACK</v>
      </c>
      <c r="B442" s="2">
        <v>43998</v>
      </c>
      <c r="C442" s="2">
        <v>43999</v>
      </c>
      <c r="D442" s="3" t="s">
        <v>622</v>
      </c>
      <c r="E442" s="3">
        <v>38.25</v>
      </c>
      <c r="F442" s="3">
        <v>1</v>
      </c>
      <c r="G442" s="3">
        <f t="shared" si="22"/>
        <v>38.25</v>
      </c>
      <c r="H442" s="3" t="s">
        <v>266</v>
      </c>
      <c r="I442" s="1" t="s">
        <v>43</v>
      </c>
      <c r="J442" s="1" t="s">
        <v>222</v>
      </c>
      <c r="K442" s="1" t="s">
        <v>298</v>
      </c>
      <c r="L442" s="1" t="s">
        <v>267</v>
      </c>
      <c r="M442" s="1"/>
      <c r="N442" s="1">
        <f t="shared" si="24"/>
        <v>6</v>
      </c>
      <c r="O442" s="87"/>
    </row>
    <row r="443" spans="1:15" ht="15.75" hidden="1" x14ac:dyDescent="0.25">
      <c r="A443" s="1" t="str">
        <f t="shared" si="23"/>
        <v>439994400310.59DINERSTRANSPORTUBER</v>
      </c>
      <c r="B443" s="2">
        <v>43999</v>
      </c>
      <c r="C443" s="2">
        <v>44003</v>
      </c>
      <c r="D443" s="3" t="s">
        <v>620</v>
      </c>
      <c r="E443" s="3">
        <v>10.59</v>
      </c>
      <c r="F443" s="3">
        <v>1</v>
      </c>
      <c r="G443" s="3">
        <f t="shared" si="22"/>
        <v>10.59</v>
      </c>
      <c r="H443" s="3" t="s">
        <v>266</v>
      </c>
      <c r="I443" s="1" t="s">
        <v>296</v>
      </c>
      <c r="J443" s="1" t="s">
        <v>299</v>
      </c>
      <c r="K443" s="1" t="s">
        <v>298</v>
      </c>
      <c r="L443" s="1" t="s">
        <v>267</v>
      </c>
      <c r="M443" s="1"/>
      <c r="N443" s="1">
        <f t="shared" si="24"/>
        <v>6</v>
      </c>
      <c r="O443" s="87"/>
    </row>
    <row r="444" spans="1:15" ht="15.75" hidden="1" x14ac:dyDescent="0.25">
      <c r="A444" s="1" t="str">
        <f t="shared" si="23"/>
        <v>439994400311.62DINERSTRANSPORTUBER</v>
      </c>
      <c r="B444" s="2">
        <v>43999</v>
      </c>
      <c r="C444" s="2">
        <v>44003</v>
      </c>
      <c r="D444" s="3" t="s">
        <v>621</v>
      </c>
      <c r="E444" s="3">
        <v>11.62</v>
      </c>
      <c r="F444" s="3">
        <v>1</v>
      </c>
      <c r="G444" s="3">
        <f t="shared" ref="G444:G507" si="25">ABS(E444)*F444</f>
        <v>11.62</v>
      </c>
      <c r="H444" s="3" t="s">
        <v>266</v>
      </c>
      <c r="I444" s="1" t="s">
        <v>296</v>
      </c>
      <c r="J444" s="1" t="s">
        <v>299</v>
      </c>
      <c r="K444" s="1" t="s">
        <v>298</v>
      </c>
      <c r="L444" s="1" t="s">
        <v>267</v>
      </c>
      <c r="M444" s="1"/>
      <c r="N444" s="1">
        <f t="shared" si="24"/>
        <v>6</v>
      </c>
      <c r="O444" s="87"/>
    </row>
    <row r="445" spans="1:15" ht="15.75" hidden="1" x14ac:dyDescent="0.25">
      <c r="A445" s="1" t="str">
        <f t="shared" si="23"/>
        <v>4400044001215.4DINERSGROCERYLULU</v>
      </c>
      <c r="B445" s="2">
        <v>44000</v>
      </c>
      <c r="C445" s="2">
        <v>44001</v>
      </c>
      <c r="D445" s="3" t="s">
        <v>619</v>
      </c>
      <c r="E445" s="3">
        <v>215.4</v>
      </c>
      <c r="F445" s="3">
        <v>1</v>
      </c>
      <c r="G445" s="3">
        <f t="shared" si="25"/>
        <v>215.4</v>
      </c>
      <c r="H445" s="3" t="s">
        <v>266</v>
      </c>
      <c r="I445" s="1" t="s">
        <v>43</v>
      </c>
      <c r="J445" s="1" t="s">
        <v>44</v>
      </c>
      <c r="K445" s="1" t="s">
        <v>298</v>
      </c>
      <c r="L445" s="1" t="s">
        <v>267</v>
      </c>
      <c r="M445" s="1"/>
      <c r="N445" s="1">
        <f t="shared" si="24"/>
        <v>6</v>
      </c>
      <c r="O445" s="87"/>
    </row>
    <row r="446" spans="1:15" ht="15.75" hidden="1" x14ac:dyDescent="0.25">
      <c r="A446" s="1" t="str">
        <f t="shared" si="23"/>
        <v>440024400440DINERSGROCERYPICK-N-PACK</v>
      </c>
      <c r="B446" s="2">
        <v>44002</v>
      </c>
      <c r="C446" s="2">
        <v>44004</v>
      </c>
      <c r="D446" s="3" t="s">
        <v>631</v>
      </c>
      <c r="E446" s="3">
        <v>40</v>
      </c>
      <c r="F446" s="3">
        <v>1</v>
      </c>
      <c r="G446" s="3">
        <f t="shared" si="25"/>
        <v>40</v>
      </c>
      <c r="H446" s="3" t="s">
        <v>266</v>
      </c>
      <c r="I446" s="1" t="s">
        <v>43</v>
      </c>
      <c r="J446" s="1" t="s">
        <v>222</v>
      </c>
      <c r="K446" s="1" t="s">
        <v>298</v>
      </c>
      <c r="L446" s="1" t="s">
        <v>267</v>
      </c>
      <c r="M446" s="1"/>
      <c r="N446" s="1">
        <f t="shared" si="24"/>
        <v>6</v>
      </c>
      <c r="O446" s="87"/>
    </row>
    <row r="447" spans="1:15" ht="15.75" hidden="1" x14ac:dyDescent="0.25">
      <c r="A447" s="1" t="str">
        <f t="shared" si="23"/>
        <v>440034400511.52MASTER CCMEDICALHEALTH CENTER</v>
      </c>
      <c r="B447" s="2">
        <v>44003</v>
      </c>
      <c r="C447" s="2">
        <v>44005</v>
      </c>
      <c r="D447" s="3" t="s">
        <v>632</v>
      </c>
      <c r="E447" s="3">
        <v>11.52</v>
      </c>
      <c r="F447" s="3">
        <v>1</v>
      </c>
      <c r="G447" s="3">
        <f t="shared" si="25"/>
        <v>11.52</v>
      </c>
      <c r="H447" s="3" t="s">
        <v>291</v>
      </c>
      <c r="I447" s="1" t="s">
        <v>301</v>
      </c>
      <c r="J447" s="1" t="s">
        <v>159</v>
      </c>
      <c r="K447" s="1" t="s">
        <v>298</v>
      </c>
      <c r="L447" s="1" t="s">
        <v>267</v>
      </c>
      <c r="M447" s="1"/>
      <c r="N447" s="1">
        <f t="shared" si="24"/>
        <v>6</v>
      </c>
      <c r="O447" s="65"/>
    </row>
    <row r="448" spans="1:15" s="142" customFormat="1" ht="15.75" hidden="1" x14ac:dyDescent="0.25">
      <c r="A448" s="1" t="str">
        <f t="shared" si="23"/>
        <v>440044400562.5DINERSGROCERYPICK-N-PACK</v>
      </c>
      <c r="B448" s="2">
        <v>44004</v>
      </c>
      <c r="C448" s="2">
        <v>44005</v>
      </c>
      <c r="D448" s="3" t="s">
        <v>630</v>
      </c>
      <c r="E448" s="3">
        <v>62.5</v>
      </c>
      <c r="F448" s="3">
        <v>1</v>
      </c>
      <c r="G448" s="3">
        <f t="shared" si="25"/>
        <v>62.5</v>
      </c>
      <c r="H448" s="3" t="s">
        <v>266</v>
      </c>
      <c r="I448" s="1" t="s">
        <v>43</v>
      </c>
      <c r="J448" s="1" t="s">
        <v>222</v>
      </c>
      <c r="K448" s="1" t="s">
        <v>298</v>
      </c>
      <c r="L448" s="1" t="s">
        <v>267</v>
      </c>
      <c r="M448" s="1"/>
      <c r="N448" s="1">
        <f t="shared" si="24"/>
        <v>6</v>
      </c>
      <c r="O448" s="87"/>
    </row>
    <row r="449" spans="1:15" ht="15.75" hidden="1" x14ac:dyDescent="0.25">
      <c r="A449" s="1" t="str">
        <f t="shared" si="23"/>
        <v>44005440050DINERSTRANSPORTUBER</v>
      </c>
      <c r="B449" s="90">
        <v>44005</v>
      </c>
      <c r="C449" s="90">
        <f>B449</f>
        <v>44005</v>
      </c>
      <c r="D449" s="89" t="s">
        <v>627</v>
      </c>
      <c r="E449" s="89">
        <v>14.64</v>
      </c>
      <c r="F449" s="89">
        <v>0</v>
      </c>
      <c r="G449" s="89">
        <f t="shared" si="25"/>
        <v>0</v>
      </c>
      <c r="H449" s="89" t="s">
        <v>266</v>
      </c>
      <c r="I449" s="89" t="s">
        <v>296</v>
      </c>
      <c r="J449" s="89" t="s">
        <v>299</v>
      </c>
      <c r="K449" s="89" t="s">
        <v>298</v>
      </c>
      <c r="L449" s="89" t="s">
        <v>267</v>
      </c>
      <c r="M449" s="89"/>
      <c r="N449" s="1">
        <f t="shared" si="24"/>
        <v>6</v>
      </c>
      <c r="O449" s="99" t="s">
        <v>633</v>
      </c>
    </row>
    <row r="450" spans="1:15" ht="15.75" hidden="1" x14ac:dyDescent="0.25">
      <c r="A450" s="1" t="str">
        <f t="shared" ref="A450:A513" si="26">B450&amp;C450&amp;G450&amp;H450&amp;I450&amp;J450</f>
        <v>440054400714.25DINERSTRANSPORTUBER</v>
      </c>
      <c r="B450" s="2">
        <v>44005</v>
      </c>
      <c r="C450" s="2">
        <v>44007</v>
      </c>
      <c r="D450" s="3" t="s">
        <v>629</v>
      </c>
      <c r="E450" s="3">
        <v>14.25</v>
      </c>
      <c r="F450" s="3">
        <v>1</v>
      </c>
      <c r="G450" s="3">
        <f t="shared" si="25"/>
        <v>14.25</v>
      </c>
      <c r="H450" s="3" t="s">
        <v>266</v>
      </c>
      <c r="I450" s="1" t="s">
        <v>296</v>
      </c>
      <c r="J450" s="1" t="s">
        <v>299</v>
      </c>
      <c r="K450" s="1" t="s">
        <v>298</v>
      </c>
      <c r="L450" s="1" t="s">
        <v>267</v>
      </c>
      <c r="M450" s="1"/>
      <c r="N450" s="1">
        <f t="shared" ref="N450:N513" si="27">MONTH(C450)</f>
        <v>6</v>
      </c>
      <c r="O450" s="87"/>
    </row>
    <row r="451" spans="1:15" ht="15.75" hidden="1" x14ac:dyDescent="0.25">
      <c r="A451" s="1" t="str">
        <f t="shared" si="26"/>
        <v>440054400715.19DINERSTRANSPORTUBER</v>
      </c>
      <c r="B451" s="2">
        <v>44005</v>
      </c>
      <c r="C451" s="2">
        <v>44007</v>
      </c>
      <c r="D451" s="3" t="s">
        <v>628</v>
      </c>
      <c r="E451" s="3">
        <v>15.19</v>
      </c>
      <c r="F451" s="3">
        <v>1</v>
      </c>
      <c r="G451" s="3">
        <f t="shared" si="25"/>
        <v>15.19</v>
      </c>
      <c r="H451" s="3" t="s">
        <v>266</v>
      </c>
      <c r="I451" s="1" t="s">
        <v>296</v>
      </c>
      <c r="J451" s="1" t="s">
        <v>299</v>
      </c>
      <c r="K451" s="1" t="s">
        <v>298</v>
      </c>
      <c r="L451" s="1" t="s">
        <v>267</v>
      </c>
      <c r="M451" s="1"/>
      <c r="N451" s="1">
        <f t="shared" si="27"/>
        <v>6</v>
      </c>
      <c r="O451" s="87"/>
    </row>
    <row r="452" spans="1:15" ht="15.75" hidden="1" x14ac:dyDescent="0.25">
      <c r="A452" s="1" t="str">
        <f t="shared" si="26"/>
        <v>440064400836DINERSGROCERYPICK-N-PACK</v>
      </c>
      <c r="B452" s="2">
        <v>44006</v>
      </c>
      <c r="C452" s="2">
        <v>44008</v>
      </c>
      <c r="D452" s="3" t="s">
        <v>626</v>
      </c>
      <c r="E452" s="3">
        <v>36</v>
      </c>
      <c r="F452" s="3">
        <v>1</v>
      </c>
      <c r="G452" s="3">
        <f t="shared" si="25"/>
        <v>36</v>
      </c>
      <c r="H452" s="3" t="s">
        <v>266</v>
      </c>
      <c r="I452" s="1" t="s">
        <v>43</v>
      </c>
      <c r="J452" s="1" t="s">
        <v>222</v>
      </c>
      <c r="K452" s="1" t="s">
        <v>298</v>
      </c>
      <c r="L452" s="1" t="s">
        <v>267</v>
      </c>
      <c r="M452" s="1"/>
      <c r="N452" s="1">
        <f t="shared" si="27"/>
        <v>6</v>
      </c>
      <c r="O452" s="87"/>
    </row>
    <row r="453" spans="1:15" ht="15.75" hidden="1" x14ac:dyDescent="0.25">
      <c r="A453" s="1" t="str">
        <f t="shared" si="26"/>
        <v>4400744008399.2DINERSGROCERYLULU</v>
      </c>
      <c r="B453" s="2">
        <v>44007</v>
      </c>
      <c r="C453" s="2">
        <v>44008</v>
      </c>
      <c r="D453" s="3" t="s">
        <v>625</v>
      </c>
      <c r="E453" s="3">
        <v>399.2</v>
      </c>
      <c r="F453" s="3">
        <v>1</v>
      </c>
      <c r="G453" s="3">
        <f t="shared" si="25"/>
        <v>399.2</v>
      </c>
      <c r="H453" s="3" t="s">
        <v>266</v>
      </c>
      <c r="I453" s="1" t="s">
        <v>43</v>
      </c>
      <c r="J453" s="1" t="s">
        <v>44</v>
      </c>
      <c r="K453" s="1" t="s">
        <v>298</v>
      </c>
      <c r="L453" s="1" t="s">
        <v>267</v>
      </c>
      <c r="M453" s="1"/>
      <c r="N453" s="1">
        <f t="shared" si="27"/>
        <v>6</v>
      </c>
      <c r="O453" s="87"/>
    </row>
    <row r="454" spans="1:15" ht="15.75" hidden="1" x14ac:dyDescent="0.25">
      <c r="A454" s="1" t="str">
        <f t="shared" si="26"/>
        <v>440104401037.5CURRENTGROCERYPICK-N-PACK</v>
      </c>
      <c r="B454" s="2">
        <v>44010</v>
      </c>
      <c r="C454" s="2">
        <v>44010</v>
      </c>
      <c r="D454" s="3" t="s">
        <v>639</v>
      </c>
      <c r="E454" s="3">
        <v>-37.5</v>
      </c>
      <c r="F454" s="3">
        <v>1</v>
      </c>
      <c r="G454" s="3">
        <f t="shared" si="25"/>
        <v>37.5</v>
      </c>
      <c r="H454" s="3" t="s">
        <v>293</v>
      </c>
      <c r="I454" s="1" t="s">
        <v>43</v>
      </c>
      <c r="J454" s="1" t="s">
        <v>222</v>
      </c>
      <c r="K454" s="1" t="s">
        <v>298</v>
      </c>
      <c r="L454" s="1" t="s">
        <v>257</v>
      </c>
      <c r="M454" s="1"/>
      <c r="N454" s="1">
        <f t="shared" si="27"/>
        <v>6</v>
      </c>
      <c r="O454" s="65"/>
    </row>
    <row r="455" spans="1:15" ht="15.75" hidden="1" x14ac:dyDescent="0.25">
      <c r="A455" s="1" t="str">
        <f t="shared" si="26"/>
        <v>440114401114425CURRENTSALARYQATAR AIR</v>
      </c>
      <c r="B455" s="2">
        <v>44011</v>
      </c>
      <c r="C455" s="2">
        <v>44011</v>
      </c>
      <c r="D455" s="3" t="s">
        <v>638</v>
      </c>
      <c r="E455" s="3">
        <v>14425</v>
      </c>
      <c r="F455" s="3">
        <v>1</v>
      </c>
      <c r="G455" s="3">
        <f t="shared" si="25"/>
        <v>14425</v>
      </c>
      <c r="H455" s="3" t="s">
        <v>293</v>
      </c>
      <c r="I455" s="1" t="s">
        <v>18</v>
      </c>
      <c r="J455" s="1" t="s">
        <v>19</v>
      </c>
      <c r="K455" s="1" t="s">
        <v>300</v>
      </c>
      <c r="L455" s="1" t="s">
        <v>257</v>
      </c>
      <c r="M455" s="1"/>
      <c r="N455" s="1">
        <f t="shared" si="27"/>
        <v>6</v>
      </c>
      <c r="O455" s="65"/>
    </row>
    <row r="456" spans="1:15" ht="15.75" hidden="1" x14ac:dyDescent="0.25">
      <c r="A456" s="1" t="str">
        <f t="shared" si="26"/>
        <v>44011440111781.06CURRENTCC BILL PAYMENTBANK</v>
      </c>
      <c r="B456" s="2">
        <v>44011</v>
      </c>
      <c r="C456" s="2">
        <v>44011</v>
      </c>
      <c r="D456" s="3" t="s">
        <v>637</v>
      </c>
      <c r="E456" s="3">
        <v>-1781.06</v>
      </c>
      <c r="F456" s="3">
        <v>1</v>
      </c>
      <c r="G456" s="3">
        <f t="shared" si="25"/>
        <v>1781.06</v>
      </c>
      <c r="H456" s="3" t="s">
        <v>293</v>
      </c>
      <c r="I456" s="1" t="s">
        <v>81</v>
      </c>
      <c r="J456" s="1" t="s">
        <v>8</v>
      </c>
      <c r="K456" s="1" t="s">
        <v>298</v>
      </c>
      <c r="L456" s="1" t="s">
        <v>257</v>
      </c>
      <c r="M456" s="1"/>
      <c r="N456" s="1">
        <f t="shared" si="27"/>
        <v>6</v>
      </c>
      <c r="O456" s="65"/>
    </row>
    <row r="457" spans="1:15" ht="15.75" hidden="1" x14ac:dyDescent="0.25">
      <c r="A457" s="1" t="str">
        <f t="shared" si="26"/>
        <v>44011440111781.06DINERSCC BILL PAYMENTBANK</v>
      </c>
      <c r="B457" s="2">
        <v>44011</v>
      </c>
      <c r="C457" s="2">
        <v>44011</v>
      </c>
      <c r="D457" s="3" t="s">
        <v>80</v>
      </c>
      <c r="E457" s="3">
        <v>-1781.06</v>
      </c>
      <c r="F457" s="3">
        <v>1</v>
      </c>
      <c r="G457" s="3">
        <f t="shared" si="25"/>
        <v>1781.06</v>
      </c>
      <c r="H457" s="3" t="s">
        <v>266</v>
      </c>
      <c r="I457" s="1" t="s">
        <v>81</v>
      </c>
      <c r="J457" s="1" t="s">
        <v>8</v>
      </c>
      <c r="K457" s="1" t="s">
        <v>300</v>
      </c>
      <c r="L457" s="1" t="s">
        <v>267</v>
      </c>
      <c r="M457" s="1"/>
      <c r="N457" s="1">
        <f t="shared" si="27"/>
        <v>6</v>
      </c>
      <c r="O457" s="87"/>
    </row>
    <row r="458" spans="1:15" ht="15.75" hidden="1" x14ac:dyDescent="0.25">
      <c r="A458" s="1" t="str">
        <f t="shared" si="26"/>
        <v>4401344015150MASTER CCTELECOMVODAFONE</v>
      </c>
      <c r="B458" s="2">
        <v>44013</v>
      </c>
      <c r="C458" s="2">
        <v>44015</v>
      </c>
      <c r="D458" s="3" t="s">
        <v>640</v>
      </c>
      <c r="E458" s="3">
        <v>150</v>
      </c>
      <c r="F458" s="3">
        <v>1</v>
      </c>
      <c r="G458" s="3">
        <f t="shared" si="25"/>
        <v>150</v>
      </c>
      <c r="H458" s="3" t="s">
        <v>291</v>
      </c>
      <c r="I458" s="1" t="s">
        <v>58</v>
      </c>
      <c r="J458" s="1" t="s">
        <v>78</v>
      </c>
      <c r="K458" s="1" t="s">
        <v>298</v>
      </c>
      <c r="L458" s="1" t="s">
        <v>267</v>
      </c>
      <c r="M458" s="1"/>
      <c r="N458" s="1">
        <f t="shared" si="27"/>
        <v>7</v>
      </c>
      <c r="O458" s="65"/>
    </row>
    <row r="459" spans="1:15" ht="15.75" hidden="1" x14ac:dyDescent="0.25">
      <c r="A459" s="1" t="str">
        <f t="shared" si="26"/>
        <v>44013440131000CURRENTSAVINGSELF</v>
      </c>
      <c r="B459" s="2">
        <v>44013</v>
      </c>
      <c r="C459" s="2">
        <v>44013</v>
      </c>
      <c r="D459" s="3" t="s">
        <v>316</v>
      </c>
      <c r="E459" s="3">
        <v>-1000</v>
      </c>
      <c r="F459" s="3">
        <v>1</v>
      </c>
      <c r="G459" s="3">
        <f t="shared" si="25"/>
        <v>1000</v>
      </c>
      <c r="H459" s="3" t="s">
        <v>293</v>
      </c>
      <c r="I459" s="1" t="s">
        <v>302</v>
      </c>
      <c r="J459" s="1" t="s">
        <v>14</v>
      </c>
      <c r="K459" s="1" t="s">
        <v>298</v>
      </c>
      <c r="L459" s="1" t="s">
        <v>257</v>
      </c>
      <c r="M459" s="1"/>
      <c r="N459" s="1">
        <f t="shared" si="27"/>
        <v>7</v>
      </c>
      <c r="O459" s="65"/>
    </row>
    <row r="460" spans="1:15" ht="15.75" hidden="1" x14ac:dyDescent="0.25">
      <c r="A460" s="1" t="str">
        <f t="shared" si="26"/>
        <v>44014440144CURRENTSERVICEBANK</v>
      </c>
      <c r="B460" s="2">
        <v>44014</v>
      </c>
      <c r="C460" s="2">
        <v>44014</v>
      </c>
      <c r="D460" s="3" t="s">
        <v>659</v>
      </c>
      <c r="E460" s="3">
        <v>-4</v>
      </c>
      <c r="F460" s="3">
        <v>1</v>
      </c>
      <c r="G460" s="3">
        <f t="shared" si="25"/>
        <v>4</v>
      </c>
      <c r="H460" s="3" t="s">
        <v>293</v>
      </c>
      <c r="I460" s="1" t="s">
        <v>7</v>
      </c>
      <c r="J460" s="1" t="s">
        <v>8</v>
      </c>
      <c r="K460" s="1" t="s">
        <v>298</v>
      </c>
      <c r="L460" s="1" t="s">
        <v>257</v>
      </c>
      <c r="M460" s="1"/>
      <c r="N460" s="1">
        <f t="shared" si="27"/>
        <v>7</v>
      </c>
      <c r="O460" s="65"/>
    </row>
    <row r="461" spans="1:15" ht="15.75" hidden="1" x14ac:dyDescent="0.25">
      <c r="A461" s="1" t="str">
        <f t="shared" si="26"/>
        <v>44014440141250CURRENTSAVINGSELF</v>
      </c>
      <c r="B461" s="2">
        <v>44014</v>
      </c>
      <c r="C461" s="2">
        <v>44014</v>
      </c>
      <c r="D461" s="3" t="s">
        <v>610</v>
      </c>
      <c r="E461" s="3">
        <v>-1250</v>
      </c>
      <c r="F461" s="3">
        <v>1</v>
      </c>
      <c r="G461" s="3">
        <f t="shared" si="25"/>
        <v>1250</v>
      </c>
      <c r="H461" s="3" t="s">
        <v>293</v>
      </c>
      <c r="I461" s="1" t="s">
        <v>302</v>
      </c>
      <c r="J461" s="1" t="s">
        <v>14</v>
      </c>
      <c r="K461" s="1" t="s">
        <v>298</v>
      </c>
      <c r="L461" s="1" t="s">
        <v>257</v>
      </c>
      <c r="M461" s="1"/>
      <c r="N461" s="1">
        <f t="shared" si="27"/>
        <v>7</v>
      </c>
      <c r="O461" s="65"/>
    </row>
    <row r="462" spans="1:15" ht="15.75" hidden="1" x14ac:dyDescent="0.25">
      <c r="A462" s="1" t="str">
        <f t="shared" si="26"/>
        <v>44014440144100CURRENTRENTCAP ONE</v>
      </c>
      <c r="B462" s="2">
        <v>44014</v>
      </c>
      <c r="C462" s="2">
        <v>44014</v>
      </c>
      <c r="D462" s="3" t="s">
        <v>641</v>
      </c>
      <c r="E462" s="3">
        <v>-4100</v>
      </c>
      <c r="F462" s="3">
        <v>1</v>
      </c>
      <c r="G462" s="3">
        <f t="shared" si="25"/>
        <v>4100</v>
      </c>
      <c r="H462" s="3" t="s">
        <v>293</v>
      </c>
      <c r="I462" s="1" t="s">
        <v>83</v>
      </c>
      <c r="J462" s="1" t="s">
        <v>84</v>
      </c>
      <c r="K462" s="1" t="s">
        <v>298</v>
      </c>
      <c r="L462" s="1" t="s">
        <v>257</v>
      </c>
      <c r="M462" s="1"/>
      <c r="N462" s="1">
        <f t="shared" si="27"/>
        <v>7</v>
      </c>
      <c r="O462" s="65"/>
    </row>
    <row r="463" spans="1:15" ht="15.75" hidden="1" x14ac:dyDescent="0.25">
      <c r="A463" s="1" t="str">
        <f t="shared" si="26"/>
        <v>440154401910.33DINERSTRANSPORTUBER</v>
      </c>
      <c r="B463" s="2">
        <v>44015</v>
      </c>
      <c r="C463" s="2">
        <v>44019</v>
      </c>
      <c r="D463" s="3" t="s">
        <v>651</v>
      </c>
      <c r="E463" s="3">
        <v>10.33</v>
      </c>
      <c r="F463" s="3">
        <v>1</v>
      </c>
      <c r="G463" s="3">
        <f t="shared" si="25"/>
        <v>10.33</v>
      </c>
      <c r="H463" s="3" t="s">
        <v>266</v>
      </c>
      <c r="I463" s="1" t="s">
        <v>296</v>
      </c>
      <c r="J463" s="1" t="s">
        <v>299</v>
      </c>
      <c r="K463" s="1" t="s">
        <v>298</v>
      </c>
      <c r="L463" s="1" t="s">
        <v>267</v>
      </c>
      <c r="M463" s="1"/>
      <c r="N463" s="1">
        <f t="shared" si="27"/>
        <v>7</v>
      </c>
      <c r="O463" s="87"/>
    </row>
    <row r="464" spans="1:15" ht="15.75" hidden="1" x14ac:dyDescent="0.25">
      <c r="A464" s="1" t="str">
        <f t="shared" si="26"/>
        <v>44015440198.59DINERSTRANSPORTUBER</v>
      </c>
      <c r="B464" s="2">
        <v>44015</v>
      </c>
      <c r="C464" s="2">
        <v>44019</v>
      </c>
      <c r="D464" s="3" t="s">
        <v>652</v>
      </c>
      <c r="E464" s="3">
        <v>8.59</v>
      </c>
      <c r="F464" s="3">
        <v>1</v>
      </c>
      <c r="G464" s="3">
        <f t="shared" si="25"/>
        <v>8.59</v>
      </c>
      <c r="H464" s="3" t="s">
        <v>266</v>
      </c>
      <c r="I464" s="1" t="s">
        <v>296</v>
      </c>
      <c r="J464" s="1" t="s">
        <v>299</v>
      </c>
      <c r="K464" s="1" t="s">
        <v>298</v>
      </c>
      <c r="L464" s="1" t="s">
        <v>267</v>
      </c>
      <c r="M464" s="1"/>
      <c r="N464" s="1">
        <f t="shared" si="27"/>
        <v>7</v>
      </c>
      <c r="O464" s="87"/>
    </row>
    <row r="465" spans="1:15" ht="15.75" hidden="1" x14ac:dyDescent="0.25">
      <c r="A465" s="1" t="str">
        <f t="shared" si="26"/>
        <v>44015440197.32MASTER CCMEDICALHEALTH CENTER</v>
      </c>
      <c r="B465" s="2">
        <v>44015</v>
      </c>
      <c r="C465" s="2">
        <v>44019</v>
      </c>
      <c r="D465" s="3" t="s">
        <v>654</v>
      </c>
      <c r="E465" s="3">
        <v>7.32</v>
      </c>
      <c r="F465" s="3">
        <v>1</v>
      </c>
      <c r="G465" s="3">
        <f t="shared" si="25"/>
        <v>7.32</v>
      </c>
      <c r="H465" s="3" t="s">
        <v>291</v>
      </c>
      <c r="I465" s="1" t="s">
        <v>301</v>
      </c>
      <c r="J465" s="1" t="s">
        <v>159</v>
      </c>
      <c r="K465" s="1" t="s">
        <v>298</v>
      </c>
      <c r="L465" s="1" t="s">
        <v>267</v>
      </c>
      <c r="M465" s="1"/>
      <c r="N465" s="1">
        <f t="shared" si="27"/>
        <v>7</v>
      </c>
      <c r="O465" s="65"/>
    </row>
    <row r="466" spans="1:15" ht="15.75" hidden="1" x14ac:dyDescent="0.25">
      <c r="A466" s="1" t="str">
        <f t="shared" si="26"/>
        <v>440154401910MASTER CCTELECOMOOREDOO</v>
      </c>
      <c r="B466" s="2">
        <v>44015</v>
      </c>
      <c r="C466" s="2">
        <v>44019</v>
      </c>
      <c r="D466" s="3" t="s">
        <v>655</v>
      </c>
      <c r="E466" s="3">
        <v>10</v>
      </c>
      <c r="F466" s="3">
        <v>1</v>
      </c>
      <c r="G466" s="3">
        <f t="shared" si="25"/>
        <v>10</v>
      </c>
      <c r="H466" s="3" t="s">
        <v>291</v>
      </c>
      <c r="I466" s="1" t="s">
        <v>58</v>
      </c>
      <c r="J466" s="1" t="s">
        <v>59</v>
      </c>
      <c r="K466" s="1" t="s">
        <v>298</v>
      </c>
      <c r="L466" s="1" t="s">
        <v>267</v>
      </c>
      <c r="M466" s="1"/>
      <c r="N466" s="1">
        <f t="shared" si="27"/>
        <v>7</v>
      </c>
      <c r="O466" s="65"/>
    </row>
    <row r="467" spans="1:15" ht="15.75" hidden="1" x14ac:dyDescent="0.25">
      <c r="A467" s="1" t="str">
        <f t="shared" si="26"/>
        <v>440164401917.61DINERSTRANSPORTUBER</v>
      </c>
      <c r="B467" s="2">
        <v>44016</v>
      </c>
      <c r="C467" s="2">
        <v>44019</v>
      </c>
      <c r="D467" s="3" t="s">
        <v>648</v>
      </c>
      <c r="E467" s="3">
        <v>17.61</v>
      </c>
      <c r="F467" s="3">
        <v>1</v>
      </c>
      <c r="G467" s="3">
        <f t="shared" si="25"/>
        <v>17.61</v>
      </c>
      <c r="H467" s="3" t="s">
        <v>266</v>
      </c>
      <c r="I467" s="1" t="s">
        <v>296</v>
      </c>
      <c r="J467" s="1" t="s">
        <v>299</v>
      </c>
      <c r="K467" s="1" t="s">
        <v>298</v>
      </c>
      <c r="L467" s="1" t="s">
        <v>267</v>
      </c>
      <c r="M467" s="1"/>
      <c r="N467" s="1">
        <f t="shared" si="27"/>
        <v>7</v>
      </c>
      <c r="O467" s="87"/>
    </row>
    <row r="468" spans="1:15" ht="15.75" hidden="1" x14ac:dyDescent="0.25">
      <c r="A468" s="1" t="str">
        <f t="shared" si="26"/>
        <v>440164401917.61DINERSTRANSPORTUBER</v>
      </c>
      <c r="B468" s="2">
        <v>44016</v>
      </c>
      <c r="C468" s="2">
        <v>44019</v>
      </c>
      <c r="D468" s="3" t="s">
        <v>649</v>
      </c>
      <c r="E468" s="3">
        <v>17.61</v>
      </c>
      <c r="F468" s="3">
        <v>1</v>
      </c>
      <c r="G468" s="3">
        <f t="shared" si="25"/>
        <v>17.61</v>
      </c>
      <c r="H468" s="3" t="s">
        <v>266</v>
      </c>
      <c r="I468" s="1" t="s">
        <v>296</v>
      </c>
      <c r="J468" s="1" t="s">
        <v>299</v>
      </c>
      <c r="K468" s="1" t="s">
        <v>298</v>
      </c>
      <c r="L468" s="1" t="s">
        <v>267</v>
      </c>
      <c r="M468" s="1"/>
      <c r="N468" s="1">
        <f t="shared" si="27"/>
        <v>7</v>
      </c>
      <c r="O468" s="87"/>
    </row>
    <row r="469" spans="1:15" ht="15.75" hidden="1" x14ac:dyDescent="0.25">
      <c r="A469" s="1" t="str">
        <f t="shared" si="26"/>
        <v>4401644017226.3DINERSGROCERYLULU</v>
      </c>
      <c r="B469" s="2">
        <v>44016</v>
      </c>
      <c r="C469" s="2">
        <v>44017</v>
      </c>
      <c r="D469" s="3" t="s">
        <v>650</v>
      </c>
      <c r="E469" s="3">
        <v>226.3</v>
      </c>
      <c r="F469" s="3">
        <v>1</v>
      </c>
      <c r="G469" s="3">
        <f t="shared" si="25"/>
        <v>226.3</v>
      </c>
      <c r="H469" s="3" t="s">
        <v>266</v>
      </c>
      <c r="I469" s="1" t="s">
        <v>43</v>
      </c>
      <c r="J469" s="1" t="s">
        <v>44</v>
      </c>
      <c r="K469" s="1" t="s">
        <v>298</v>
      </c>
      <c r="L469" s="1" t="s">
        <v>267</v>
      </c>
      <c r="M469" s="1"/>
      <c r="N469" s="1">
        <f t="shared" si="27"/>
        <v>7</v>
      </c>
      <c r="O469" s="87"/>
    </row>
    <row r="470" spans="1:15" ht="15.75" hidden="1" x14ac:dyDescent="0.25">
      <c r="A470" s="1" t="str">
        <f t="shared" si="26"/>
        <v>440174401798.76CURRENTTRANSFERINDIA</v>
      </c>
      <c r="B470" s="2">
        <v>44017</v>
      </c>
      <c r="C470" s="2">
        <v>44017</v>
      </c>
      <c r="D470" s="3" t="s">
        <v>656</v>
      </c>
      <c r="E470" s="3">
        <v>-98.76</v>
      </c>
      <c r="F470" s="3">
        <v>1</v>
      </c>
      <c r="G470" s="3">
        <f t="shared" si="25"/>
        <v>98.76</v>
      </c>
      <c r="H470" s="3" t="s">
        <v>293</v>
      </c>
      <c r="I470" s="1" t="s">
        <v>22</v>
      </c>
      <c r="J470" s="1" t="s">
        <v>23</v>
      </c>
      <c r="K470" s="1" t="s">
        <v>298</v>
      </c>
      <c r="L470" s="1" t="s">
        <v>257</v>
      </c>
      <c r="M470" s="1"/>
      <c r="N470" s="1">
        <f t="shared" si="27"/>
        <v>7</v>
      </c>
      <c r="O470" s="65"/>
    </row>
    <row r="471" spans="1:15" ht="15.75" hidden="1" x14ac:dyDescent="0.25">
      <c r="A471" s="1" t="str">
        <f t="shared" si="26"/>
        <v>44017440170.99CURRENTSERVICEBANK</v>
      </c>
      <c r="B471" s="2">
        <v>44017</v>
      </c>
      <c r="C471" s="2">
        <v>44017</v>
      </c>
      <c r="D471" s="3" t="s">
        <v>657</v>
      </c>
      <c r="E471" s="3">
        <v>-0.99</v>
      </c>
      <c r="F471" s="3">
        <v>1</v>
      </c>
      <c r="G471" s="3">
        <f t="shared" si="25"/>
        <v>0.99</v>
      </c>
      <c r="H471" s="3" t="s">
        <v>293</v>
      </c>
      <c r="I471" s="1" t="s">
        <v>7</v>
      </c>
      <c r="J471" s="1" t="s">
        <v>8</v>
      </c>
      <c r="K471" s="1" t="s">
        <v>298</v>
      </c>
      <c r="L471" s="1" t="s">
        <v>257</v>
      </c>
      <c r="M471" s="1"/>
      <c r="N471" s="1">
        <f t="shared" si="27"/>
        <v>7</v>
      </c>
      <c r="O471" s="65"/>
    </row>
    <row r="472" spans="1:15" ht="15.75" hidden="1" x14ac:dyDescent="0.25">
      <c r="A472" s="1" t="str">
        <f t="shared" si="26"/>
        <v>44017440171250CURRENTSAVINGSELF</v>
      </c>
      <c r="B472" s="2">
        <v>44017</v>
      </c>
      <c r="C472" s="2">
        <v>44017</v>
      </c>
      <c r="D472" s="3" t="s">
        <v>333</v>
      </c>
      <c r="E472" s="3">
        <v>-1250</v>
      </c>
      <c r="F472" s="3">
        <v>1</v>
      </c>
      <c r="G472" s="3">
        <f t="shared" si="25"/>
        <v>1250</v>
      </c>
      <c r="H472" s="3" t="s">
        <v>293</v>
      </c>
      <c r="I472" s="1" t="s">
        <v>302</v>
      </c>
      <c r="J472" s="1" t="s">
        <v>14</v>
      </c>
      <c r="K472" s="1" t="s">
        <v>298</v>
      </c>
      <c r="L472" s="1" t="s">
        <v>257</v>
      </c>
      <c r="M472" s="1"/>
      <c r="N472" s="1">
        <f t="shared" si="27"/>
        <v>7</v>
      </c>
      <c r="O472" s="65"/>
    </row>
    <row r="473" spans="1:15" ht="15.75" hidden="1" x14ac:dyDescent="0.25">
      <c r="A473" s="1" t="str">
        <f t="shared" si="26"/>
        <v>44017440174000CURRENTSAVINGSELF</v>
      </c>
      <c r="B473" s="2">
        <v>44017</v>
      </c>
      <c r="C473" s="2">
        <v>44017</v>
      </c>
      <c r="D473" s="3" t="s">
        <v>658</v>
      </c>
      <c r="E473" s="3">
        <v>-4000</v>
      </c>
      <c r="F473" s="3">
        <v>1</v>
      </c>
      <c r="G473" s="3">
        <f t="shared" si="25"/>
        <v>4000</v>
      </c>
      <c r="H473" s="3" t="s">
        <v>293</v>
      </c>
      <c r="I473" s="1" t="s">
        <v>302</v>
      </c>
      <c r="J473" s="1" t="s">
        <v>14</v>
      </c>
      <c r="K473" s="1" t="s">
        <v>298</v>
      </c>
      <c r="L473" s="1" t="s">
        <v>257</v>
      </c>
      <c r="M473" s="1"/>
      <c r="N473" s="1">
        <f t="shared" si="27"/>
        <v>7</v>
      </c>
      <c r="O473" s="65"/>
    </row>
    <row r="474" spans="1:15" ht="15.75" hidden="1" x14ac:dyDescent="0.25">
      <c r="A474" s="1" t="str">
        <f t="shared" si="26"/>
        <v>440174401848.5DINERSGROCERYPICK-N-PACK</v>
      </c>
      <c r="B474" s="2">
        <v>44017</v>
      </c>
      <c r="C474" s="2">
        <v>44018</v>
      </c>
      <c r="D474" s="3" t="s">
        <v>647</v>
      </c>
      <c r="E474" s="3">
        <v>48.5</v>
      </c>
      <c r="F474" s="3">
        <v>1</v>
      </c>
      <c r="G474" s="3">
        <f t="shared" si="25"/>
        <v>48.5</v>
      </c>
      <c r="H474" s="3" t="s">
        <v>266</v>
      </c>
      <c r="I474" s="1" t="s">
        <v>43</v>
      </c>
      <c r="J474" s="1" t="s">
        <v>222</v>
      </c>
      <c r="K474" s="1" t="s">
        <v>298</v>
      </c>
      <c r="L474" s="1" t="s">
        <v>267</v>
      </c>
      <c r="M474" s="1"/>
      <c r="N474" s="1">
        <f t="shared" si="27"/>
        <v>7</v>
      </c>
      <c r="O474" s="87"/>
    </row>
    <row r="475" spans="1:15" ht="15.75" hidden="1" x14ac:dyDescent="0.25">
      <c r="A475" s="1" t="str">
        <f t="shared" si="26"/>
        <v>440184401911.41DINERSTRANSPORTUBER</v>
      </c>
      <c r="B475" s="2">
        <v>44018</v>
      </c>
      <c r="C475" s="2">
        <v>44019</v>
      </c>
      <c r="D475" s="3" t="s">
        <v>644</v>
      </c>
      <c r="E475" s="3">
        <v>11.41</v>
      </c>
      <c r="F475" s="3">
        <v>1</v>
      </c>
      <c r="G475" s="3">
        <f t="shared" si="25"/>
        <v>11.41</v>
      </c>
      <c r="H475" s="3" t="s">
        <v>266</v>
      </c>
      <c r="I475" s="1" t="s">
        <v>296</v>
      </c>
      <c r="J475" s="1" t="s">
        <v>299</v>
      </c>
      <c r="K475" s="1" t="s">
        <v>298</v>
      </c>
      <c r="L475" s="1" t="s">
        <v>267</v>
      </c>
      <c r="M475" s="1"/>
      <c r="N475" s="1">
        <f t="shared" si="27"/>
        <v>7</v>
      </c>
      <c r="O475" s="87"/>
    </row>
    <row r="476" spans="1:15" ht="15.75" hidden="1" x14ac:dyDescent="0.25">
      <c r="A476" s="1" t="str">
        <f t="shared" si="26"/>
        <v>440184402010.22DINERSTRANSPORTUBER</v>
      </c>
      <c r="B476" s="2">
        <v>44018</v>
      </c>
      <c r="C476" s="2">
        <v>44020</v>
      </c>
      <c r="D476" s="3" t="s">
        <v>646</v>
      </c>
      <c r="E476" s="3">
        <v>10.220000000000001</v>
      </c>
      <c r="F476" s="3">
        <v>1</v>
      </c>
      <c r="G476" s="3">
        <f t="shared" si="25"/>
        <v>10.220000000000001</v>
      </c>
      <c r="H476" s="3" t="s">
        <v>266</v>
      </c>
      <c r="I476" s="1" t="s">
        <v>296</v>
      </c>
      <c r="J476" s="1" t="s">
        <v>299</v>
      </c>
      <c r="K476" s="1" t="s">
        <v>298</v>
      </c>
      <c r="L476" s="1" t="s">
        <v>267</v>
      </c>
      <c r="M476" s="1"/>
      <c r="N476" s="1">
        <f t="shared" si="27"/>
        <v>7</v>
      </c>
      <c r="O476" s="87"/>
    </row>
    <row r="477" spans="1:15" ht="15.75" hidden="1" x14ac:dyDescent="0.25">
      <c r="A477" s="1" t="str">
        <f t="shared" si="26"/>
        <v>440184402014.35DINERSTRANSPORTUBER</v>
      </c>
      <c r="B477" s="2">
        <v>44018</v>
      </c>
      <c r="C477" s="2">
        <v>44020</v>
      </c>
      <c r="D477" s="3" t="s">
        <v>645</v>
      </c>
      <c r="E477" s="3">
        <v>14.35</v>
      </c>
      <c r="F477" s="3">
        <v>1</v>
      </c>
      <c r="G477" s="3">
        <f t="shared" si="25"/>
        <v>14.35</v>
      </c>
      <c r="H477" s="3" t="s">
        <v>266</v>
      </c>
      <c r="I477" s="1" t="s">
        <v>296</v>
      </c>
      <c r="J477" s="1" t="s">
        <v>299</v>
      </c>
      <c r="K477" s="1" t="s">
        <v>298</v>
      </c>
      <c r="L477" s="1" t="s">
        <v>267</v>
      </c>
      <c r="M477" s="1"/>
      <c r="N477" s="1">
        <f t="shared" si="27"/>
        <v>7</v>
      </c>
      <c r="O477" s="87"/>
    </row>
    <row r="478" spans="1:15" ht="15.75" hidden="1" x14ac:dyDescent="0.25">
      <c r="A478" s="1" t="str">
        <f t="shared" si="26"/>
        <v>4401844019108DINERSSHOPPINGLULU</v>
      </c>
      <c r="B478" s="2">
        <v>44018</v>
      </c>
      <c r="C478" s="2">
        <v>44019</v>
      </c>
      <c r="D478" s="3" t="s">
        <v>642</v>
      </c>
      <c r="E478" s="3">
        <v>108</v>
      </c>
      <c r="F478" s="3">
        <v>1</v>
      </c>
      <c r="G478" s="3">
        <f t="shared" si="25"/>
        <v>108</v>
      </c>
      <c r="H478" s="3" t="s">
        <v>266</v>
      </c>
      <c r="I478" s="1" t="s">
        <v>194</v>
      </c>
      <c r="J478" s="1" t="s">
        <v>44</v>
      </c>
      <c r="K478" s="1" t="s">
        <v>298</v>
      </c>
      <c r="L478" s="1" t="s">
        <v>267</v>
      </c>
      <c r="M478" s="1"/>
      <c r="N478" s="1">
        <f t="shared" si="27"/>
        <v>7</v>
      </c>
      <c r="O478" s="87"/>
    </row>
    <row r="479" spans="1:15" ht="15.75" hidden="1" x14ac:dyDescent="0.25">
      <c r="A479" s="1" t="str">
        <f t="shared" si="26"/>
        <v>4401844019103.75DINERSGROCERYLULU</v>
      </c>
      <c r="B479" s="2">
        <v>44018</v>
      </c>
      <c r="C479" s="2">
        <v>44019</v>
      </c>
      <c r="D479" s="3" t="s">
        <v>643</v>
      </c>
      <c r="E479" s="3">
        <v>103.75</v>
      </c>
      <c r="F479" s="3">
        <v>1</v>
      </c>
      <c r="G479" s="3">
        <f t="shared" si="25"/>
        <v>103.75</v>
      </c>
      <c r="H479" s="3" t="s">
        <v>266</v>
      </c>
      <c r="I479" s="1" t="s">
        <v>43</v>
      </c>
      <c r="J479" s="1" t="s">
        <v>44</v>
      </c>
      <c r="K479" s="1" t="s">
        <v>298</v>
      </c>
      <c r="L479" s="1" t="s">
        <v>267</v>
      </c>
      <c r="M479" s="1"/>
      <c r="N479" s="1">
        <f t="shared" si="27"/>
        <v>7</v>
      </c>
      <c r="O479" s="87"/>
    </row>
    <row r="480" spans="1:15" ht="15.75" hidden="1" x14ac:dyDescent="0.25">
      <c r="A480" s="1" t="str">
        <f t="shared" si="26"/>
        <v>4401844019100MASTER CCMEDICALHEALTH CENTER</v>
      </c>
      <c r="B480" s="2">
        <v>44018</v>
      </c>
      <c r="C480" s="2">
        <v>44019</v>
      </c>
      <c r="D480" s="3" t="s">
        <v>653</v>
      </c>
      <c r="E480" s="3">
        <v>100</v>
      </c>
      <c r="F480" s="3">
        <v>1</v>
      </c>
      <c r="G480" s="3">
        <f t="shared" si="25"/>
        <v>100</v>
      </c>
      <c r="H480" s="3" t="s">
        <v>291</v>
      </c>
      <c r="I480" s="1" t="s">
        <v>301</v>
      </c>
      <c r="J480" s="1" t="s">
        <v>159</v>
      </c>
      <c r="K480" s="1" t="s">
        <v>298</v>
      </c>
      <c r="L480" s="1" t="s">
        <v>267</v>
      </c>
      <c r="M480" s="1"/>
      <c r="N480" s="1">
        <f t="shared" si="27"/>
        <v>7</v>
      </c>
      <c r="O480" s="65"/>
    </row>
    <row r="481" spans="1:15" ht="15.75" hidden="1" x14ac:dyDescent="0.25">
      <c r="A481" s="1" t="str">
        <f t="shared" si="26"/>
        <v>4402144021983.4CURRENTTRANSFERINDIA</v>
      </c>
      <c r="B481" s="2">
        <v>44021</v>
      </c>
      <c r="C481" s="2">
        <v>44021</v>
      </c>
      <c r="D481" s="3" t="s">
        <v>662</v>
      </c>
      <c r="E481" s="3">
        <v>-983.4</v>
      </c>
      <c r="F481" s="3">
        <v>1</v>
      </c>
      <c r="G481" s="3">
        <f t="shared" si="25"/>
        <v>983.4</v>
      </c>
      <c r="H481" s="3" t="s">
        <v>293</v>
      </c>
      <c r="I481" s="1" t="s">
        <v>22</v>
      </c>
      <c r="J481" s="1" t="s">
        <v>23</v>
      </c>
      <c r="K481" s="1" t="s">
        <v>298</v>
      </c>
      <c r="L481" s="1" t="s">
        <v>257</v>
      </c>
      <c r="M481" s="1"/>
      <c r="N481" s="1">
        <f t="shared" si="27"/>
        <v>7</v>
      </c>
      <c r="O481" s="65"/>
    </row>
    <row r="482" spans="1:15" ht="15.75" hidden="1" x14ac:dyDescent="0.25">
      <c r="A482" s="1" t="str">
        <f t="shared" si="26"/>
        <v>44021440210.98CURRENTSERVICEBANK</v>
      </c>
      <c r="B482" s="2">
        <v>44021</v>
      </c>
      <c r="C482" s="2">
        <v>44021</v>
      </c>
      <c r="D482" s="3" t="s">
        <v>663</v>
      </c>
      <c r="E482" s="3">
        <v>-0.98</v>
      </c>
      <c r="F482" s="3">
        <v>1</v>
      </c>
      <c r="G482" s="3">
        <f t="shared" si="25"/>
        <v>0.98</v>
      </c>
      <c r="H482" s="3" t="s">
        <v>293</v>
      </c>
      <c r="I482" s="1" t="s">
        <v>7</v>
      </c>
      <c r="J482" s="1" t="s">
        <v>8</v>
      </c>
      <c r="K482" s="1" t="s">
        <v>298</v>
      </c>
      <c r="L482" s="1" t="s">
        <v>257</v>
      </c>
      <c r="M482" s="1"/>
      <c r="N482" s="1">
        <f t="shared" si="27"/>
        <v>7</v>
      </c>
      <c r="O482" s="65"/>
    </row>
    <row r="483" spans="1:15" ht="15.75" hidden="1" x14ac:dyDescent="0.25">
      <c r="A483" s="1" t="str">
        <f t="shared" si="26"/>
        <v>440224402362.53DINERSGROCERYPICK-N-PACK</v>
      </c>
      <c r="B483" s="2">
        <v>44022</v>
      </c>
      <c r="C483" s="2">
        <v>44023</v>
      </c>
      <c r="D483" s="3" t="s">
        <v>667</v>
      </c>
      <c r="E483" s="3">
        <v>62.53</v>
      </c>
      <c r="F483" s="3">
        <v>1</v>
      </c>
      <c r="G483" s="3">
        <f t="shared" si="25"/>
        <v>62.53</v>
      </c>
      <c r="H483" s="3" t="s">
        <v>266</v>
      </c>
      <c r="I483" s="1" t="s">
        <v>43</v>
      </c>
      <c r="J483" s="1" t="s">
        <v>222</v>
      </c>
      <c r="K483" s="1" t="s">
        <v>298</v>
      </c>
      <c r="L483" s="1" t="s">
        <v>267</v>
      </c>
      <c r="M483" s="1"/>
      <c r="N483" s="1">
        <f t="shared" si="27"/>
        <v>7</v>
      </c>
      <c r="O483" s="87"/>
    </row>
    <row r="484" spans="1:15" ht="15.75" hidden="1" x14ac:dyDescent="0.25">
      <c r="A484" s="1" t="str">
        <f t="shared" si="26"/>
        <v>440224402650MASTER CCTELECOMOOREDOO</v>
      </c>
      <c r="B484" s="2">
        <v>44022</v>
      </c>
      <c r="C484" s="2">
        <v>44026</v>
      </c>
      <c r="D484" s="3" t="s">
        <v>668</v>
      </c>
      <c r="E484" s="3">
        <v>50</v>
      </c>
      <c r="F484" s="3">
        <v>1</v>
      </c>
      <c r="G484" s="3">
        <f t="shared" si="25"/>
        <v>50</v>
      </c>
      <c r="H484" s="3" t="s">
        <v>291</v>
      </c>
      <c r="I484" s="1" t="s">
        <v>58</v>
      </c>
      <c r="J484" s="1" t="s">
        <v>59</v>
      </c>
      <c r="K484" s="1" t="s">
        <v>298</v>
      </c>
      <c r="L484" s="1" t="s">
        <v>267</v>
      </c>
      <c r="M484" s="1"/>
      <c r="N484" s="1">
        <f t="shared" si="27"/>
        <v>7</v>
      </c>
      <c r="O484" s="65"/>
    </row>
    <row r="485" spans="1:15" ht="15.75" hidden="1" x14ac:dyDescent="0.25">
      <c r="A485" s="1" t="str">
        <f t="shared" si="26"/>
        <v>4402444025289.25DINERSGROCERYLULU</v>
      </c>
      <c r="B485" s="2">
        <v>44024</v>
      </c>
      <c r="C485" s="2">
        <v>44025</v>
      </c>
      <c r="D485" s="3" t="s">
        <v>666</v>
      </c>
      <c r="E485" s="3">
        <v>289.25</v>
      </c>
      <c r="F485" s="3">
        <v>1</v>
      </c>
      <c r="G485" s="3">
        <f t="shared" si="25"/>
        <v>289.25</v>
      </c>
      <c r="H485" s="3" t="s">
        <v>266</v>
      </c>
      <c r="I485" s="1" t="s">
        <v>43</v>
      </c>
      <c r="J485" s="1" t="s">
        <v>44</v>
      </c>
      <c r="K485" s="1" t="s">
        <v>298</v>
      </c>
      <c r="L485" s="1" t="s">
        <v>267</v>
      </c>
      <c r="M485" s="1"/>
      <c r="N485" s="1">
        <f t="shared" si="27"/>
        <v>7</v>
      </c>
      <c r="O485" s="87"/>
    </row>
    <row r="486" spans="1:15" ht="15.75" hidden="1" x14ac:dyDescent="0.25">
      <c r="A486" s="1" t="str">
        <f t="shared" si="26"/>
        <v>440254402724.5DINERSGROCERYPICK-N-PACK</v>
      </c>
      <c r="B486" s="2">
        <v>44025</v>
      </c>
      <c r="C486" s="2">
        <v>44027</v>
      </c>
      <c r="D486" s="3" t="s">
        <v>665</v>
      </c>
      <c r="E486" s="3">
        <v>24.5</v>
      </c>
      <c r="F486" s="3">
        <v>1</v>
      </c>
      <c r="G486" s="3">
        <f t="shared" si="25"/>
        <v>24.5</v>
      </c>
      <c r="H486" s="3" t="s">
        <v>266</v>
      </c>
      <c r="I486" s="1" t="s">
        <v>43</v>
      </c>
      <c r="J486" s="1" t="s">
        <v>222</v>
      </c>
      <c r="K486" s="1" t="s">
        <v>298</v>
      </c>
      <c r="L486" s="1" t="s">
        <v>267</v>
      </c>
      <c r="M486" s="1"/>
      <c r="N486" s="1">
        <f t="shared" si="27"/>
        <v>7</v>
      </c>
      <c r="O486" s="87"/>
    </row>
    <row r="487" spans="1:15" ht="15.75" hidden="1" x14ac:dyDescent="0.25">
      <c r="A487" s="1" t="str">
        <f t="shared" si="26"/>
        <v>440274402852.42DINERSGROCERYPICK-N-PACK</v>
      </c>
      <c r="B487" s="2">
        <v>44027</v>
      </c>
      <c r="C487" s="2">
        <v>44028</v>
      </c>
      <c r="D487" s="3" t="s">
        <v>664</v>
      </c>
      <c r="E487" s="3">
        <v>52.42</v>
      </c>
      <c r="F487" s="3">
        <v>1</v>
      </c>
      <c r="G487" s="3">
        <f t="shared" si="25"/>
        <v>52.42</v>
      </c>
      <c r="H487" s="3" t="s">
        <v>266</v>
      </c>
      <c r="I487" s="1" t="s">
        <v>43</v>
      </c>
      <c r="J487" s="1" t="s">
        <v>222</v>
      </c>
      <c r="K487" s="1" t="s">
        <v>298</v>
      </c>
      <c r="L487" s="1" t="s">
        <v>267</v>
      </c>
      <c r="M487" s="1"/>
      <c r="N487" s="1">
        <f t="shared" si="27"/>
        <v>7</v>
      </c>
      <c r="O487" s="87"/>
    </row>
    <row r="488" spans="1:15" ht="15.75" hidden="1" x14ac:dyDescent="0.25">
      <c r="A488" s="1" t="str">
        <f t="shared" si="26"/>
        <v>440294403328MASTER CCMEDICALPHARMACY</v>
      </c>
      <c r="B488" s="2">
        <v>44029</v>
      </c>
      <c r="C488" s="2">
        <v>44033</v>
      </c>
      <c r="D488" s="3" t="s">
        <v>673</v>
      </c>
      <c r="E488" s="3">
        <v>28</v>
      </c>
      <c r="F488" s="3">
        <v>1</v>
      </c>
      <c r="G488" s="3">
        <f t="shared" si="25"/>
        <v>28</v>
      </c>
      <c r="H488" s="3" t="s">
        <v>291</v>
      </c>
      <c r="I488" s="1" t="s">
        <v>301</v>
      </c>
      <c r="J488" s="1" t="s">
        <v>304</v>
      </c>
      <c r="K488" s="1" t="s">
        <v>298</v>
      </c>
      <c r="L488" s="1" t="s">
        <v>267</v>
      </c>
      <c r="M488" s="1"/>
      <c r="N488" s="1">
        <f t="shared" si="27"/>
        <v>7</v>
      </c>
      <c r="O488" s="65"/>
    </row>
    <row r="489" spans="1:15" ht="15.75" hidden="1" x14ac:dyDescent="0.25">
      <c r="A489" s="1" t="str">
        <f t="shared" si="26"/>
        <v>440304403253.5DINERSGROCERYPICK-N-PACK</v>
      </c>
      <c r="B489" s="2">
        <v>44030</v>
      </c>
      <c r="C489" s="2">
        <v>44032</v>
      </c>
      <c r="D489" s="3" t="s">
        <v>672</v>
      </c>
      <c r="E489" s="3">
        <v>53.5</v>
      </c>
      <c r="F489" s="3">
        <v>1</v>
      </c>
      <c r="G489" s="3">
        <f t="shared" si="25"/>
        <v>53.5</v>
      </c>
      <c r="H489" s="3" t="s">
        <v>266</v>
      </c>
      <c r="I489" s="1" t="s">
        <v>43</v>
      </c>
      <c r="J489" s="1" t="s">
        <v>222</v>
      </c>
      <c r="K489" s="1" t="s">
        <v>298</v>
      </c>
      <c r="L489" s="1" t="s">
        <v>267</v>
      </c>
      <c r="M489" s="1"/>
      <c r="N489" s="1">
        <f t="shared" si="27"/>
        <v>7</v>
      </c>
      <c r="O489" s="87"/>
    </row>
    <row r="490" spans="1:15" ht="15.75" hidden="1" x14ac:dyDescent="0.25">
      <c r="A490" s="1" t="str">
        <f t="shared" si="26"/>
        <v>4403144032293.15DINERSGROCERYLULU</v>
      </c>
      <c r="B490" s="2">
        <v>44031</v>
      </c>
      <c r="C490" s="2">
        <v>44032</v>
      </c>
      <c r="D490" s="3" t="s">
        <v>674</v>
      </c>
      <c r="E490" s="3">
        <v>293.14999999999998</v>
      </c>
      <c r="F490" s="3">
        <v>1</v>
      </c>
      <c r="G490" s="3">
        <f t="shared" si="25"/>
        <v>293.14999999999998</v>
      </c>
      <c r="H490" s="3" t="s">
        <v>266</v>
      </c>
      <c r="I490" s="1" t="s">
        <v>43</v>
      </c>
      <c r="J490" s="1" t="s">
        <v>44</v>
      </c>
      <c r="K490" s="1" t="s">
        <v>298</v>
      </c>
      <c r="L490" s="1" t="s">
        <v>267</v>
      </c>
      <c r="M490" s="1"/>
      <c r="N490" s="1">
        <f t="shared" si="27"/>
        <v>7</v>
      </c>
      <c r="O490" s="87"/>
    </row>
    <row r="491" spans="1:15" ht="15.75" hidden="1" x14ac:dyDescent="0.25">
      <c r="A491" s="1" t="str">
        <f t="shared" si="26"/>
        <v>440354403550CURRENTSERVICEBANK</v>
      </c>
      <c r="B491" s="2">
        <v>44035</v>
      </c>
      <c r="C491" s="2">
        <v>44035</v>
      </c>
      <c r="D491" s="3" t="s">
        <v>678</v>
      </c>
      <c r="E491" s="3">
        <v>-50</v>
      </c>
      <c r="F491" s="3">
        <v>1</v>
      </c>
      <c r="G491" s="3">
        <f t="shared" si="25"/>
        <v>50</v>
      </c>
      <c r="H491" s="3" t="s">
        <v>293</v>
      </c>
      <c r="I491" s="1" t="s">
        <v>7</v>
      </c>
      <c r="J491" s="1" t="s">
        <v>8</v>
      </c>
      <c r="K491" s="1" t="s">
        <v>298</v>
      </c>
      <c r="L491" s="1" t="s">
        <v>257</v>
      </c>
      <c r="M491" s="1"/>
      <c r="N491" s="1">
        <f t="shared" si="27"/>
        <v>7</v>
      </c>
      <c r="O491" s="65"/>
    </row>
    <row r="492" spans="1:15" ht="15.75" hidden="1" x14ac:dyDescent="0.25">
      <c r="A492" s="1" t="str">
        <f t="shared" si="26"/>
        <v>440354403652.62DINERSGROCERYPICK-N-PACK</v>
      </c>
      <c r="B492" s="2">
        <v>44035</v>
      </c>
      <c r="C492" s="2">
        <v>44036</v>
      </c>
      <c r="D492" s="3" t="s">
        <v>675</v>
      </c>
      <c r="E492" s="3">
        <v>52.62</v>
      </c>
      <c r="F492" s="3">
        <v>1</v>
      </c>
      <c r="G492" s="3">
        <f t="shared" si="25"/>
        <v>52.62</v>
      </c>
      <c r="H492" s="3" t="s">
        <v>266</v>
      </c>
      <c r="I492" s="1" t="s">
        <v>43</v>
      </c>
      <c r="J492" s="1" t="s">
        <v>222</v>
      </c>
      <c r="K492" s="1" t="s">
        <v>298</v>
      </c>
      <c r="L492" s="1" t="s">
        <v>267</v>
      </c>
      <c r="M492" s="1"/>
      <c r="N492" s="1">
        <f t="shared" si="27"/>
        <v>7</v>
      </c>
      <c r="O492" s="87"/>
    </row>
    <row r="493" spans="1:15" ht="15.75" hidden="1" x14ac:dyDescent="0.25">
      <c r="A493" s="1" t="str">
        <f t="shared" si="26"/>
        <v>440374403860.95DINERSGROCERYPICK-N-PACK</v>
      </c>
      <c r="B493" s="2">
        <v>44037</v>
      </c>
      <c r="C493" s="2">
        <v>44038</v>
      </c>
      <c r="D493" s="3" t="s">
        <v>679</v>
      </c>
      <c r="E493" s="3">
        <v>60.95</v>
      </c>
      <c r="F493" s="3">
        <v>1</v>
      </c>
      <c r="G493" s="3">
        <f t="shared" si="25"/>
        <v>60.95</v>
      </c>
      <c r="H493" s="3" t="s">
        <v>266</v>
      </c>
      <c r="I493" s="1" t="s">
        <v>43</v>
      </c>
      <c r="J493" s="1" t="s">
        <v>222</v>
      </c>
      <c r="K493" s="1" t="s">
        <v>298</v>
      </c>
      <c r="L493" s="1" t="s">
        <v>267</v>
      </c>
      <c r="M493" s="1"/>
      <c r="N493" s="1">
        <f t="shared" si="27"/>
        <v>7</v>
      </c>
      <c r="O493" s="87"/>
    </row>
    <row r="494" spans="1:15" ht="15.75" hidden="1" x14ac:dyDescent="0.25">
      <c r="A494" s="1" t="str">
        <f t="shared" si="26"/>
        <v>44040440401000CURRENTWITHDRAWSELF</v>
      </c>
      <c r="B494" s="2">
        <v>44040</v>
      </c>
      <c r="C494" s="2">
        <v>44040</v>
      </c>
      <c r="D494" s="3" t="s">
        <v>681</v>
      </c>
      <c r="E494" s="3">
        <v>-1000</v>
      </c>
      <c r="F494" s="3">
        <v>1</v>
      </c>
      <c r="G494" s="3">
        <f t="shared" si="25"/>
        <v>1000</v>
      </c>
      <c r="H494" s="3" t="s">
        <v>293</v>
      </c>
      <c r="I494" s="1" t="s">
        <v>13</v>
      </c>
      <c r="J494" s="1" t="s">
        <v>14</v>
      </c>
      <c r="K494" s="1" t="s">
        <v>298</v>
      </c>
      <c r="L494" s="1" t="s">
        <v>257</v>
      </c>
      <c r="M494" s="1"/>
      <c r="N494" s="1">
        <f t="shared" si="27"/>
        <v>7</v>
      </c>
      <c r="O494" s="65"/>
    </row>
    <row r="495" spans="1:15" ht="15.75" hidden="1" x14ac:dyDescent="0.25">
      <c r="A495" s="1" t="str">
        <f t="shared" si="26"/>
        <v>440404404014525CURRENTSALARYQATAR AIR</v>
      </c>
      <c r="B495" s="2">
        <v>44040</v>
      </c>
      <c r="C495" s="2">
        <v>44040</v>
      </c>
      <c r="D495" s="3" t="s">
        <v>677</v>
      </c>
      <c r="E495" s="3">
        <v>14525</v>
      </c>
      <c r="F495" s="3">
        <v>1</v>
      </c>
      <c r="G495" s="3">
        <f t="shared" si="25"/>
        <v>14525</v>
      </c>
      <c r="H495" s="3" t="s">
        <v>293</v>
      </c>
      <c r="I495" s="1" t="s">
        <v>18</v>
      </c>
      <c r="J495" s="1" t="s">
        <v>19</v>
      </c>
      <c r="K495" s="1" t="s">
        <v>300</v>
      </c>
      <c r="L495" s="1" t="s">
        <v>257</v>
      </c>
      <c r="M495" s="1"/>
      <c r="N495" s="1">
        <f t="shared" si="27"/>
        <v>7</v>
      </c>
      <c r="O495" s="65"/>
    </row>
    <row r="496" spans="1:15" ht="15.75" hidden="1" x14ac:dyDescent="0.25">
      <c r="A496" s="1" t="str">
        <f t="shared" si="26"/>
        <v>4404044040185.7CURRENTGROCERYLULU</v>
      </c>
      <c r="B496" s="2">
        <v>44040</v>
      </c>
      <c r="C496" s="2">
        <v>44040</v>
      </c>
      <c r="D496" s="3" t="s">
        <v>680</v>
      </c>
      <c r="E496" s="3">
        <v>-185.7</v>
      </c>
      <c r="F496" s="3">
        <v>1</v>
      </c>
      <c r="G496" s="3">
        <f t="shared" si="25"/>
        <v>185.7</v>
      </c>
      <c r="H496" s="3" t="s">
        <v>293</v>
      </c>
      <c r="I496" s="1" t="s">
        <v>43</v>
      </c>
      <c r="J496" s="1" t="s">
        <v>44</v>
      </c>
      <c r="K496" s="1" t="s">
        <v>298</v>
      </c>
      <c r="L496" s="1" t="s">
        <v>257</v>
      </c>
      <c r="M496" s="1"/>
      <c r="N496" s="1">
        <f t="shared" si="27"/>
        <v>7</v>
      </c>
      <c r="O496" s="65"/>
    </row>
    <row r="497" spans="1:15" ht="15.75" hidden="1" x14ac:dyDescent="0.25">
      <c r="A497" s="1" t="str">
        <f t="shared" si="26"/>
        <v>44042440431796.23CURRENTCC BILL PAYMENTBANK</v>
      </c>
      <c r="B497" s="2">
        <v>44042</v>
      </c>
      <c r="C497" s="2">
        <v>44043</v>
      </c>
      <c r="D497" s="3" t="s">
        <v>682</v>
      </c>
      <c r="E497" s="3">
        <v>-1796.23</v>
      </c>
      <c r="F497" s="3">
        <v>1</v>
      </c>
      <c r="G497" s="3">
        <f t="shared" si="25"/>
        <v>1796.23</v>
      </c>
      <c r="H497" s="3" t="s">
        <v>293</v>
      </c>
      <c r="I497" s="1" t="s">
        <v>81</v>
      </c>
      <c r="J497" s="1" t="s">
        <v>8</v>
      </c>
      <c r="K497" s="1" t="s">
        <v>298</v>
      </c>
      <c r="L497" s="1" t="s">
        <v>257</v>
      </c>
      <c r="M497" s="1"/>
      <c r="N497" s="1">
        <f t="shared" si="27"/>
        <v>7</v>
      </c>
      <c r="O497" s="65"/>
    </row>
    <row r="498" spans="1:15" ht="15.75" hidden="1" x14ac:dyDescent="0.25">
      <c r="A498" s="1" t="str">
        <f t="shared" si="26"/>
        <v>44042440421796.23DINERSCC BILL PAYMENTBANK</v>
      </c>
      <c r="B498" s="2">
        <v>44042</v>
      </c>
      <c r="C498" s="2">
        <v>44042</v>
      </c>
      <c r="D498" s="3" t="s">
        <v>80</v>
      </c>
      <c r="E498" s="3">
        <v>-1796.23</v>
      </c>
      <c r="F498" s="3">
        <v>1</v>
      </c>
      <c r="G498" s="3">
        <f t="shared" si="25"/>
        <v>1796.23</v>
      </c>
      <c r="H498" s="3" t="s">
        <v>266</v>
      </c>
      <c r="I498" s="1" t="s">
        <v>81</v>
      </c>
      <c r="J498" s="1" t="s">
        <v>8</v>
      </c>
      <c r="K498" s="1" t="s">
        <v>300</v>
      </c>
      <c r="L498" s="1" t="s">
        <v>267</v>
      </c>
      <c r="M498" s="1"/>
      <c r="N498" s="1">
        <f t="shared" si="27"/>
        <v>7</v>
      </c>
      <c r="O498" s="87"/>
    </row>
    <row r="499" spans="1:15" ht="15.75" hidden="1" x14ac:dyDescent="0.25">
      <c r="A499" s="1" t="str">
        <f t="shared" si="26"/>
        <v>4404444047150MASTER CCTELECOMVODAFONE</v>
      </c>
      <c r="B499" s="2">
        <v>44044</v>
      </c>
      <c r="C499" s="2">
        <v>44047</v>
      </c>
      <c r="D499" s="3" t="s">
        <v>683</v>
      </c>
      <c r="E499" s="3">
        <v>150</v>
      </c>
      <c r="F499" s="3">
        <v>1</v>
      </c>
      <c r="G499" s="3">
        <f t="shared" si="25"/>
        <v>150</v>
      </c>
      <c r="H499" s="3" t="s">
        <v>291</v>
      </c>
      <c r="I499" s="1" t="s">
        <v>58</v>
      </c>
      <c r="J499" s="1" t="s">
        <v>78</v>
      </c>
      <c r="K499" s="1" t="s">
        <v>298</v>
      </c>
      <c r="L499" s="1" t="s">
        <v>267</v>
      </c>
      <c r="M499" s="1"/>
      <c r="N499" s="1">
        <f t="shared" si="27"/>
        <v>8</v>
      </c>
      <c r="O499" s="65"/>
    </row>
    <row r="500" spans="1:15" ht="15.75" hidden="1" x14ac:dyDescent="0.25">
      <c r="A500" s="1" t="str">
        <f t="shared" si="26"/>
        <v>440444404662.96DINERSGROCERYPICK-N-PACK</v>
      </c>
      <c r="B500" s="2">
        <v>44044</v>
      </c>
      <c r="C500" s="2">
        <v>44046</v>
      </c>
      <c r="D500" s="3" t="s">
        <v>690</v>
      </c>
      <c r="E500" s="3">
        <v>62.96</v>
      </c>
      <c r="F500" s="3">
        <v>1</v>
      </c>
      <c r="G500" s="3">
        <f t="shared" si="25"/>
        <v>62.96</v>
      </c>
      <c r="H500" s="3" t="s">
        <v>266</v>
      </c>
      <c r="I500" s="1" t="s">
        <v>43</v>
      </c>
      <c r="J500" s="1" t="s">
        <v>222</v>
      </c>
      <c r="K500" s="1" t="s">
        <v>298</v>
      </c>
      <c r="L500" s="1" t="s">
        <v>267</v>
      </c>
      <c r="M500" s="1"/>
      <c r="N500" s="1">
        <f t="shared" si="27"/>
        <v>8</v>
      </c>
      <c r="O500" s="87"/>
    </row>
    <row r="501" spans="1:15" ht="15.75" hidden="1" x14ac:dyDescent="0.25">
      <c r="A501" s="1" t="str">
        <f t="shared" si="26"/>
        <v>440454404664DINERSSHOPPINGLULU</v>
      </c>
      <c r="B501" s="2">
        <v>44045</v>
      </c>
      <c r="C501" s="2">
        <v>44046</v>
      </c>
      <c r="D501" s="3" t="s">
        <v>685</v>
      </c>
      <c r="E501" s="3">
        <v>64</v>
      </c>
      <c r="F501" s="3">
        <v>1</v>
      </c>
      <c r="G501" s="3">
        <f t="shared" si="25"/>
        <v>64</v>
      </c>
      <c r="H501" s="3" t="s">
        <v>266</v>
      </c>
      <c r="I501" s="1" t="s">
        <v>194</v>
      </c>
      <c r="J501" s="1" t="s">
        <v>44</v>
      </c>
      <c r="K501" s="1" t="s">
        <v>298</v>
      </c>
      <c r="L501" s="1" t="s">
        <v>267</v>
      </c>
      <c r="M501" s="1"/>
      <c r="N501" s="1">
        <f t="shared" si="27"/>
        <v>8</v>
      </c>
      <c r="O501" s="87"/>
    </row>
    <row r="502" spans="1:15" ht="15.75" hidden="1" x14ac:dyDescent="0.25">
      <c r="A502" s="1" t="str">
        <f t="shared" si="26"/>
        <v>4404544046204.44DINERSGROCERYLULU</v>
      </c>
      <c r="B502" s="2">
        <v>44045</v>
      </c>
      <c r="C502" s="2">
        <v>44046</v>
      </c>
      <c r="D502" s="3" t="s">
        <v>684</v>
      </c>
      <c r="E502" s="3">
        <v>204.44</v>
      </c>
      <c r="F502" s="3">
        <v>1</v>
      </c>
      <c r="G502" s="3">
        <f t="shared" si="25"/>
        <v>204.44</v>
      </c>
      <c r="H502" s="3" t="s">
        <v>266</v>
      </c>
      <c r="I502" s="1" t="s">
        <v>43</v>
      </c>
      <c r="J502" s="1" t="s">
        <v>44</v>
      </c>
      <c r="K502" s="1" t="s">
        <v>298</v>
      </c>
      <c r="L502" s="1" t="s">
        <v>267</v>
      </c>
      <c r="M502" s="1"/>
      <c r="N502" s="1">
        <f t="shared" si="27"/>
        <v>8</v>
      </c>
      <c r="O502" s="87"/>
    </row>
    <row r="503" spans="1:15" ht="15.75" hidden="1" x14ac:dyDescent="0.25">
      <c r="A503" s="1" t="str">
        <f t="shared" si="26"/>
        <v>440454404817MASTER CCGROCERYGRANDMART</v>
      </c>
      <c r="B503" s="2">
        <v>44045</v>
      </c>
      <c r="C503" s="2">
        <v>44048</v>
      </c>
      <c r="D503" s="3" t="s">
        <v>692</v>
      </c>
      <c r="E503" s="3">
        <v>17</v>
      </c>
      <c r="F503" s="3">
        <v>1</v>
      </c>
      <c r="G503" s="3">
        <f t="shared" si="25"/>
        <v>17</v>
      </c>
      <c r="H503" s="3" t="s">
        <v>291</v>
      </c>
      <c r="I503" s="1" t="s">
        <v>43</v>
      </c>
      <c r="J503" s="1" t="s">
        <v>50</v>
      </c>
      <c r="K503" s="1" t="s">
        <v>298</v>
      </c>
      <c r="L503" s="1" t="s">
        <v>267</v>
      </c>
      <c r="M503" s="1"/>
      <c r="N503" s="1">
        <f t="shared" si="27"/>
        <v>8</v>
      </c>
      <c r="O503" s="65"/>
    </row>
    <row r="504" spans="1:15" ht="15.75" hidden="1" x14ac:dyDescent="0.25">
      <c r="A504" s="1" t="str">
        <f t="shared" si="26"/>
        <v>440454404710MASTER CCTRANSPORTCAREEM</v>
      </c>
      <c r="B504" s="2">
        <v>44045</v>
      </c>
      <c r="C504" s="2">
        <v>44047</v>
      </c>
      <c r="D504" s="3" t="s">
        <v>686</v>
      </c>
      <c r="E504" s="3">
        <v>10</v>
      </c>
      <c r="F504" s="3">
        <v>1</v>
      </c>
      <c r="G504" s="3">
        <f t="shared" si="25"/>
        <v>10</v>
      </c>
      <c r="H504" s="3" t="s">
        <v>291</v>
      </c>
      <c r="I504" s="1" t="s">
        <v>296</v>
      </c>
      <c r="J504" s="1" t="s">
        <v>297</v>
      </c>
      <c r="K504" s="1" t="s">
        <v>298</v>
      </c>
      <c r="L504" s="1" t="s">
        <v>267</v>
      </c>
      <c r="M504" s="1"/>
      <c r="N504" s="1">
        <f t="shared" si="27"/>
        <v>8</v>
      </c>
      <c r="O504" s="65"/>
    </row>
    <row r="505" spans="1:15" ht="15.75" hidden="1" x14ac:dyDescent="0.25">
      <c r="A505" s="1" t="str">
        <f t="shared" si="26"/>
        <v>44045440479MASTER CCTRANSPORTCAREEM</v>
      </c>
      <c r="B505" s="2">
        <v>44045</v>
      </c>
      <c r="C505" s="2">
        <v>44047</v>
      </c>
      <c r="D505" s="3" t="s">
        <v>687</v>
      </c>
      <c r="E505" s="3">
        <v>9</v>
      </c>
      <c r="F505" s="3">
        <v>1</v>
      </c>
      <c r="G505" s="3">
        <f t="shared" si="25"/>
        <v>9</v>
      </c>
      <c r="H505" s="3" t="s">
        <v>291</v>
      </c>
      <c r="I505" s="1" t="s">
        <v>296</v>
      </c>
      <c r="J505" s="1" t="s">
        <v>297</v>
      </c>
      <c r="K505" s="1" t="s">
        <v>298</v>
      </c>
      <c r="L505" s="1" t="s">
        <v>267</v>
      </c>
      <c r="M505" s="1"/>
      <c r="N505" s="1">
        <f t="shared" si="27"/>
        <v>8</v>
      </c>
      <c r="O505" s="65"/>
    </row>
    <row r="506" spans="1:15" ht="15.75" hidden="1" x14ac:dyDescent="0.25">
      <c r="A506" s="1" t="str">
        <f t="shared" si="26"/>
        <v>44048440484CURRENTSERVICEBANK</v>
      </c>
      <c r="B506" s="2">
        <v>44048</v>
      </c>
      <c r="C506" s="2">
        <v>44048</v>
      </c>
      <c r="D506" s="3" t="s">
        <v>689</v>
      </c>
      <c r="E506" s="3">
        <v>-4</v>
      </c>
      <c r="F506" s="3">
        <v>1</v>
      </c>
      <c r="G506" s="3">
        <f t="shared" si="25"/>
        <v>4</v>
      </c>
      <c r="H506" s="3" t="s">
        <v>293</v>
      </c>
      <c r="I506" s="1" t="s">
        <v>7</v>
      </c>
      <c r="J506" s="1" t="s">
        <v>8</v>
      </c>
      <c r="K506" s="1" t="s">
        <v>298</v>
      </c>
      <c r="L506" s="1" t="s">
        <v>257</v>
      </c>
      <c r="M506" s="1"/>
      <c r="N506" s="1">
        <f t="shared" si="27"/>
        <v>8</v>
      </c>
      <c r="O506" s="65"/>
    </row>
    <row r="507" spans="1:15" ht="15.75" hidden="1" x14ac:dyDescent="0.25">
      <c r="A507" s="1" t="str">
        <f t="shared" si="26"/>
        <v>44048440481000CURRENTSAVINGSELF</v>
      </c>
      <c r="B507" s="2">
        <v>44048</v>
      </c>
      <c r="C507" s="2">
        <v>44048</v>
      </c>
      <c r="D507" s="3" t="s">
        <v>316</v>
      </c>
      <c r="E507" s="3">
        <v>-1000</v>
      </c>
      <c r="F507" s="3">
        <v>1</v>
      </c>
      <c r="G507" s="3">
        <f t="shared" si="25"/>
        <v>1000</v>
      </c>
      <c r="H507" s="3" t="s">
        <v>293</v>
      </c>
      <c r="I507" s="1" t="s">
        <v>302</v>
      </c>
      <c r="J507" s="1" t="s">
        <v>14</v>
      </c>
      <c r="K507" s="1" t="s">
        <v>298</v>
      </c>
      <c r="L507" s="1" t="s">
        <v>257</v>
      </c>
      <c r="M507" s="1"/>
      <c r="N507" s="1">
        <f t="shared" si="27"/>
        <v>8</v>
      </c>
      <c r="O507" s="65"/>
    </row>
    <row r="508" spans="1:15" ht="15.75" hidden="1" x14ac:dyDescent="0.25">
      <c r="A508" s="1" t="str">
        <f t="shared" si="26"/>
        <v>44048440481250CURRENTSAVINGSELF</v>
      </c>
      <c r="B508" s="2">
        <v>44048</v>
      </c>
      <c r="C508" s="2">
        <v>44048</v>
      </c>
      <c r="D508" s="3" t="s">
        <v>333</v>
      </c>
      <c r="E508" s="3">
        <v>-1250</v>
      </c>
      <c r="F508" s="3">
        <v>1</v>
      </c>
      <c r="G508" s="3">
        <f t="shared" ref="G508:G571" si="28">ABS(E508)*F508</f>
        <v>1250</v>
      </c>
      <c r="H508" s="3" t="s">
        <v>293</v>
      </c>
      <c r="I508" s="1" t="s">
        <v>302</v>
      </c>
      <c r="J508" s="1" t="s">
        <v>14</v>
      </c>
      <c r="K508" s="1" t="s">
        <v>298</v>
      </c>
      <c r="L508" s="1" t="s">
        <v>257</v>
      </c>
      <c r="M508" s="1"/>
      <c r="N508" s="1">
        <f t="shared" si="27"/>
        <v>8</v>
      </c>
      <c r="O508" s="65"/>
    </row>
    <row r="509" spans="1:15" ht="15.75" hidden="1" x14ac:dyDescent="0.25">
      <c r="A509" s="1" t="str">
        <f t="shared" si="26"/>
        <v>44048440481250CURRENTSAVINGSELF</v>
      </c>
      <c r="B509" s="2">
        <v>44048</v>
      </c>
      <c r="C509" s="2">
        <v>44048</v>
      </c>
      <c r="D509" s="3" t="s">
        <v>610</v>
      </c>
      <c r="E509" s="3">
        <v>-1250</v>
      </c>
      <c r="F509" s="3">
        <v>1</v>
      </c>
      <c r="G509" s="3">
        <f t="shared" si="28"/>
        <v>1250</v>
      </c>
      <c r="H509" s="3" t="s">
        <v>293</v>
      </c>
      <c r="I509" s="1" t="s">
        <v>302</v>
      </c>
      <c r="J509" s="1" t="s">
        <v>14</v>
      </c>
      <c r="K509" s="1" t="s">
        <v>298</v>
      </c>
      <c r="L509" s="1" t="s">
        <v>257</v>
      </c>
      <c r="M509" s="1"/>
      <c r="N509" s="1">
        <f t="shared" si="27"/>
        <v>8</v>
      </c>
      <c r="O509" s="65"/>
    </row>
    <row r="510" spans="1:15" ht="15.75" hidden="1" x14ac:dyDescent="0.25">
      <c r="A510" s="1" t="str">
        <f t="shared" si="26"/>
        <v>44048440484000CURRENTSAVINGSELF</v>
      </c>
      <c r="B510" s="2">
        <v>44048</v>
      </c>
      <c r="C510" s="2">
        <v>44048</v>
      </c>
      <c r="D510" s="3" t="s">
        <v>693</v>
      </c>
      <c r="E510" s="3">
        <v>-4000</v>
      </c>
      <c r="F510" s="3">
        <v>1</v>
      </c>
      <c r="G510" s="3">
        <f t="shared" si="28"/>
        <v>4000</v>
      </c>
      <c r="H510" s="3" t="s">
        <v>293</v>
      </c>
      <c r="I510" s="1" t="s">
        <v>302</v>
      </c>
      <c r="J510" s="1" t="s">
        <v>14</v>
      </c>
      <c r="K510" s="1" t="s">
        <v>298</v>
      </c>
      <c r="L510" s="1" t="s">
        <v>257</v>
      </c>
      <c r="M510" s="1"/>
      <c r="N510" s="1">
        <f t="shared" si="27"/>
        <v>8</v>
      </c>
      <c r="O510" s="65"/>
    </row>
    <row r="511" spans="1:15" ht="15.75" hidden="1" x14ac:dyDescent="0.25">
      <c r="A511" s="1" t="str">
        <f t="shared" si="26"/>
        <v>44048440484100CURRENTRENTCAP ONE</v>
      </c>
      <c r="B511" s="2">
        <v>44048</v>
      </c>
      <c r="C511" s="2">
        <v>44048</v>
      </c>
      <c r="D511" s="3" t="s">
        <v>688</v>
      </c>
      <c r="E511" s="3">
        <v>-4100</v>
      </c>
      <c r="F511" s="3">
        <v>1</v>
      </c>
      <c r="G511" s="3">
        <f t="shared" si="28"/>
        <v>4100</v>
      </c>
      <c r="H511" s="3" t="s">
        <v>293</v>
      </c>
      <c r="I511" s="1" t="s">
        <v>83</v>
      </c>
      <c r="J511" s="1" t="s">
        <v>84</v>
      </c>
      <c r="K511" s="1" t="s">
        <v>298</v>
      </c>
      <c r="L511" s="1" t="s">
        <v>257</v>
      </c>
      <c r="M511" s="1"/>
      <c r="N511" s="1">
        <f t="shared" si="27"/>
        <v>8</v>
      </c>
      <c r="O511" s="65"/>
    </row>
    <row r="512" spans="1:15" ht="15.75" hidden="1" x14ac:dyDescent="0.25">
      <c r="A512" s="1" t="str">
        <f t="shared" si="26"/>
        <v>440484405060MASTER CCTELECOMOOREDOO</v>
      </c>
      <c r="B512" s="2">
        <v>44048</v>
      </c>
      <c r="C512" s="2">
        <v>44050</v>
      </c>
      <c r="D512" s="3" t="s">
        <v>691</v>
      </c>
      <c r="E512" s="3">
        <v>60</v>
      </c>
      <c r="F512" s="3">
        <v>1</v>
      </c>
      <c r="G512" s="3">
        <f t="shared" si="28"/>
        <v>60</v>
      </c>
      <c r="H512" s="3" t="s">
        <v>291</v>
      </c>
      <c r="I512" s="1" t="s">
        <v>58</v>
      </c>
      <c r="J512" s="1" t="s">
        <v>59</v>
      </c>
      <c r="K512" s="1" t="s">
        <v>298</v>
      </c>
      <c r="L512" s="1" t="s">
        <v>267</v>
      </c>
      <c r="M512" s="1"/>
      <c r="N512" s="1">
        <f t="shared" si="27"/>
        <v>8</v>
      </c>
      <c r="O512" s="65"/>
    </row>
    <row r="513" spans="1:15" ht="15.75" hidden="1" x14ac:dyDescent="0.25">
      <c r="A513" s="1" t="str">
        <f t="shared" si="26"/>
        <v>440524405370.75DINERSGROCERYPICK-N-PACK</v>
      </c>
      <c r="B513" s="2">
        <v>44052</v>
      </c>
      <c r="C513" s="2">
        <v>44053</v>
      </c>
      <c r="D513" s="3" t="s">
        <v>695</v>
      </c>
      <c r="E513" s="3">
        <v>70.75</v>
      </c>
      <c r="F513" s="3">
        <v>1</v>
      </c>
      <c r="G513" s="3">
        <f t="shared" si="28"/>
        <v>70.75</v>
      </c>
      <c r="H513" s="3" t="s">
        <v>266</v>
      </c>
      <c r="I513" s="1" t="s">
        <v>43</v>
      </c>
      <c r="J513" s="1" t="s">
        <v>222</v>
      </c>
      <c r="K513" s="1" t="s">
        <v>298</v>
      </c>
      <c r="L513" s="1" t="s">
        <v>267</v>
      </c>
      <c r="M513" s="1"/>
      <c r="N513" s="1">
        <f t="shared" si="27"/>
        <v>8</v>
      </c>
      <c r="O513" s="87"/>
    </row>
    <row r="514" spans="1:15" ht="15.75" hidden="1" x14ac:dyDescent="0.25">
      <c r="A514" s="1" t="str">
        <f t="shared" ref="A514:A577" si="29">B514&amp;C514&amp;G514&amp;H514&amp;I514&amp;J514</f>
        <v>440534405511.28DINERSTRANSPORTUBER</v>
      </c>
      <c r="B514" s="2">
        <v>44053</v>
      </c>
      <c r="C514" s="2">
        <v>44055</v>
      </c>
      <c r="D514" s="3" t="s">
        <v>698</v>
      </c>
      <c r="E514" s="3">
        <v>11.28</v>
      </c>
      <c r="F514" s="3">
        <v>1</v>
      </c>
      <c r="G514" s="3">
        <f t="shared" si="28"/>
        <v>11.28</v>
      </c>
      <c r="H514" s="3" t="s">
        <v>266</v>
      </c>
      <c r="I514" s="1" t="s">
        <v>296</v>
      </c>
      <c r="J514" s="1" t="s">
        <v>299</v>
      </c>
      <c r="K514" s="1" t="s">
        <v>298</v>
      </c>
      <c r="L514" s="1" t="s">
        <v>267</v>
      </c>
      <c r="M514" s="1"/>
      <c r="N514" s="1">
        <f t="shared" ref="N514:N577" si="30">MONTH(C514)</f>
        <v>8</v>
      </c>
      <c r="O514" s="87"/>
    </row>
    <row r="515" spans="1:15" ht="15.75" hidden="1" x14ac:dyDescent="0.25">
      <c r="A515" s="1" t="str">
        <f t="shared" si="29"/>
        <v>440534405512.27DINERSTRANSPORTUBER</v>
      </c>
      <c r="B515" s="2">
        <v>44053</v>
      </c>
      <c r="C515" s="2">
        <v>44055</v>
      </c>
      <c r="D515" s="3" t="s">
        <v>699</v>
      </c>
      <c r="E515" s="3">
        <v>12.27</v>
      </c>
      <c r="F515" s="3">
        <v>1</v>
      </c>
      <c r="G515" s="3">
        <f t="shared" si="28"/>
        <v>12.27</v>
      </c>
      <c r="H515" s="3" t="s">
        <v>266</v>
      </c>
      <c r="I515" s="1" t="s">
        <v>296</v>
      </c>
      <c r="J515" s="1" t="s">
        <v>299</v>
      </c>
      <c r="K515" s="1" t="s">
        <v>298</v>
      </c>
      <c r="L515" s="1" t="s">
        <v>267</v>
      </c>
      <c r="M515" s="1"/>
      <c r="N515" s="1">
        <f t="shared" si="30"/>
        <v>8</v>
      </c>
      <c r="O515" s="87"/>
    </row>
    <row r="516" spans="1:15" ht="15.75" hidden="1" x14ac:dyDescent="0.25">
      <c r="A516" s="1" t="str">
        <f t="shared" si="29"/>
        <v>44053440531231.75CURRENTTRANSFERINDIA</v>
      </c>
      <c r="B516" s="2">
        <v>44053</v>
      </c>
      <c r="C516" s="2">
        <v>44053</v>
      </c>
      <c r="D516" s="3" t="s">
        <v>694</v>
      </c>
      <c r="E516" s="3">
        <v>-1231.75</v>
      </c>
      <c r="F516" s="3">
        <v>1</v>
      </c>
      <c r="G516" s="3">
        <f t="shared" si="28"/>
        <v>1231.75</v>
      </c>
      <c r="H516" s="3" t="s">
        <v>293</v>
      </c>
      <c r="I516" s="1" t="s">
        <v>22</v>
      </c>
      <c r="J516" s="1" t="s">
        <v>23</v>
      </c>
      <c r="K516" s="1" t="s">
        <v>298</v>
      </c>
      <c r="L516" s="1" t="s">
        <v>257</v>
      </c>
      <c r="M516" s="1"/>
      <c r="N516" s="1">
        <f t="shared" si="30"/>
        <v>8</v>
      </c>
      <c r="O516" s="65"/>
    </row>
    <row r="517" spans="1:15" ht="15.75" hidden="1" x14ac:dyDescent="0.25">
      <c r="A517" s="1" t="str">
        <f t="shared" si="29"/>
        <v>440554405748.75DINERSGROCERYPICK-N-PACK</v>
      </c>
      <c r="B517" s="2">
        <v>44055</v>
      </c>
      <c r="C517" s="2">
        <v>44057</v>
      </c>
      <c r="D517" s="3" t="s">
        <v>708</v>
      </c>
      <c r="E517" s="3">
        <v>48.75</v>
      </c>
      <c r="F517" s="3">
        <v>1</v>
      </c>
      <c r="G517" s="3">
        <f t="shared" si="28"/>
        <v>48.75</v>
      </c>
      <c r="H517" s="3" t="s">
        <v>266</v>
      </c>
      <c r="I517" s="1" t="s">
        <v>43</v>
      </c>
      <c r="J517" s="1" t="s">
        <v>222</v>
      </c>
      <c r="K517" s="1" t="s">
        <v>298</v>
      </c>
      <c r="L517" s="1" t="s">
        <v>267</v>
      </c>
      <c r="M517" s="1"/>
      <c r="N517" s="1">
        <f t="shared" si="30"/>
        <v>8</v>
      </c>
      <c r="O517" s="87"/>
    </row>
    <row r="518" spans="1:15" ht="15.75" hidden="1" x14ac:dyDescent="0.25">
      <c r="A518" s="1" t="str">
        <f t="shared" si="29"/>
        <v>440574405845.5DINERSGROCERYPICK-N-PACK</v>
      </c>
      <c r="B518" s="2">
        <v>44057</v>
      </c>
      <c r="C518" s="2">
        <v>44058</v>
      </c>
      <c r="D518" s="3" t="s">
        <v>707</v>
      </c>
      <c r="E518" s="3">
        <v>45.5</v>
      </c>
      <c r="F518" s="3">
        <v>1</v>
      </c>
      <c r="G518" s="3">
        <f t="shared" si="28"/>
        <v>45.5</v>
      </c>
      <c r="H518" s="3" t="s">
        <v>266</v>
      </c>
      <c r="I518" s="1" t="s">
        <v>43</v>
      </c>
      <c r="J518" s="1" t="s">
        <v>222</v>
      </c>
      <c r="K518" s="1" t="s">
        <v>298</v>
      </c>
      <c r="L518" s="1" t="s">
        <v>267</v>
      </c>
      <c r="M518" s="1"/>
      <c r="N518" s="1">
        <f t="shared" si="30"/>
        <v>8</v>
      </c>
      <c r="O518" s="87"/>
    </row>
    <row r="519" spans="1:15" ht="15.75" hidden="1" x14ac:dyDescent="0.25">
      <c r="A519" s="1" t="str">
        <f t="shared" si="29"/>
        <v>44059440590.01CURRENTCC BILL PAYMENTBANK</v>
      </c>
      <c r="B519" s="2">
        <v>44059</v>
      </c>
      <c r="C519" s="2">
        <v>44059</v>
      </c>
      <c r="D519" s="3" t="s">
        <v>705</v>
      </c>
      <c r="E519" s="3">
        <v>-0.01</v>
      </c>
      <c r="F519" s="3">
        <v>1</v>
      </c>
      <c r="G519" s="3">
        <f t="shared" si="28"/>
        <v>0.01</v>
      </c>
      <c r="H519" s="3" t="s">
        <v>293</v>
      </c>
      <c r="I519" s="1" t="s">
        <v>81</v>
      </c>
      <c r="J519" s="1" t="s">
        <v>8</v>
      </c>
      <c r="K519" s="1" t="s">
        <v>298</v>
      </c>
      <c r="L519" s="1" t="s">
        <v>257</v>
      </c>
      <c r="M519" s="1"/>
      <c r="N519" s="1">
        <f t="shared" si="30"/>
        <v>8</v>
      </c>
      <c r="O519" s="65"/>
    </row>
    <row r="520" spans="1:15" ht="15.75" hidden="1" x14ac:dyDescent="0.25">
      <c r="A520" s="1" t="str">
        <f t="shared" si="29"/>
        <v>44059440590.01DINERSCC BILL PAYMENTBANK</v>
      </c>
      <c r="B520" s="2">
        <v>44059</v>
      </c>
      <c r="C520" s="2">
        <v>44059</v>
      </c>
      <c r="D520" s="3" t="s">
        <v>80</v>
      </c>
      <c r="E520" s="3">
        <v>-0.01</v>
      </c>
      <c r="F520" s="3">
        <v>1</v>
      </c>
      <c r="G520" s="3">
        <f t="shared" si="28"/>
        <v>0.01</v>
      </c>
      <c r="H520" s="3" t="s">
        <v>266</v>
      </c>
      <c r="I520" s="1" t="s">
        <v>81</v>
      </c>
      <c r="J520" s="1" t="s">
        <v>8</v>
      </c>
      <c r="K520" s="1" t="s">
        <v>300</v>
      </c>
      <c r="L520" s="1" t="s">
        <v>267</v>
      </c>
      <c r="M520" s="1"/>
      <c r="N520" s="1">
        <f t="shared" si="30"/>
        <v>8</v>
      </c>
      <c r="O520" s="87"/>
    </row>
    <row r="521" spans="1:15" ht="15.75" hidden="1" x14ac:dyDescent="0.25">
      <c r="A521" s="1" t="str">
        <f t="shared" si="29"/>
        <v>4406044061338.85DINERSGROCERYLULU</v>
      </c>
      <c r="B521" s="2">
        <v>44060</v>
      </c>
      <c r="C521" s="2">
        <v>44061</v>
      </c>
      <c r="D521" s="3" t="s">
        <v>706</v>
      </c>
      <c r="E521" s="3">
        <v>338.85</v>
      </c>
      <c r="F521" s="3">
        <v>1</v>
      </c>
      <c r="G521" s="3">
        <f t="shared" si="28"/>
        <v>338.85</v>
      </c>
      <c r="H521" s="3" t="s">
        <v>266</v>
      </c>
      <c r="I521" s="1" t="s">
        <v>43</v>
      </c>
      <c r="J521" s="1" t="s">
        <v>44</v>
      </c>
      <c r="K521" s="1" t="s">
        <v>298</v>
      </c>
      <c r="L521" s="1" t="s">
        <v>267</v>
      </c>
      <c r="M521" s="1"/>
      <c r="N521" s="1">
        <f t="shared" si="30"/>
        <v>8</v>
      </c>
      <c r="O521" s="87"/>
    </row>
    <row r="522" spans="1:15" ht="15.75" x14ac:dyDescent="0.25">
      <c r="A522" s="1" t="str">
        <f t="shared" si="29"/>
        <v>4406144063369MASTER CCGOLDMALABAR</v>
      </c>
      <c r="B522" s="2">
        <v>44061</v>
      </c>
      <c r="C522" s="2">
        <v>44063</v>
      </c>
      <c r="D522" s="3" t="s">
        <v>718</v>
      </c>
      <c r="E522" s="3">
        <v>369</v>
      </c>
      <c r="F522" s="3">
        <v>1</v>
      </c>
      <c r="G522" s="3">
        <f t="shared" si="28"/>
        <v>369</v>
      </c>
      <c r="H522" s="3" t="s">
        <v>291</v>
      </c>
      <c r="I522" s="1" t="s">
        <v>106</v>
      </c>
      <c r="J522" s="1" t="s">
        <v>107</v>
      </c>
      <c r="K522" s="1" t="s">
        <v>298</v>
      </c>
      <c r="L522" s="1" t="s">
        <v>267</v>
      </c>
      <c r="M522" s="1"/>
      <c r="N522" s="1">
        <f t="shared" si="30"/>
        <v>8</v>
      </c>
      <c r="O522" s="65"/>
    </row>
    <row r="523" spans="1:15" ht="15.75" hidden="1" x14ac:dyDescent="0.25">
      <c r="A523" s="1" t="str">
        <f t="shared" si="29"/>
        <v>440644406812.62DINERSTRANSPORTUBER</v>
      </c>
      <c r="B523" s="2">
        <v>44064</v>
      </c>
      <c r="C523" s="2">
        <v>44068</v>
      </c>
      <c r="D523" s="3" t="s">
        <v>712</v>
      </c>
      <c r="E523" s="3">
        <v>12.62</v>
      </c>
      <c r="F523" s="3">
        <v>1</v>
      </c>
      <c r="G523" s="3">
        <f t="shared" si="28"/>
        <v>12.62</v>
      </c>
      <c r="H523" s="3" t="s">
        <v>266</v>
      </c>
      <c r="I523" s="1" t="s">
        <v>296</v>
      </c>
      <c r="J523" s="1" t="s">
        <v>299</v>
      </c>
      <c r="K523" s="1" t="s">
        <v>298</v>
      </c>
      <c r="L523" s="1" t="s">
        <v>267</v>
      </c>
      <c r="M523" s="1"/>
      <c r="N523" s="1">
        <f t="shared" si="30"/>
        <v>8</v>
      </c>
      <c r="O523" s="87"/>
    </row>
    <row r="524" spans="1:15" ht="15.75" hidden="1" x14ac:dyDescent="0.25">
      <c r="A524" s="1" t="str">
        <f t="shared" si="29"/>
        <v>44064440689.09DINERSTRANSPORTUBER</v>
      </c>
      <c r="B524" s="2">
        <v>44064</v>
      </c>
      <c r="C524" s="2">
        <v>44068</v>
      </c>
      <c r="D524" s="3" t="s">
        <v>711</v>
      </c>
      <c r="E524" s="3">
        <v>9.09</v>
      </c>
      <c r="F524" s="3">
        <v>1</v>
      </c>
      <c r="G524" s="3">
        <f t="shared" si="28"/>
        <v>9.09</v>
      </c>
      <c r="H524" s="3" t="s">
        <v>266</v>
      </c>
      <c r="I524" s="1" t="s">
        <v>296</v>
      </c>
      <c r="J524" s="1" t="s">
        <v>299</v>
      </c>
      <c r="K524" s="1" t="s">
        <v>298</v>
      </c>
      <c r="L524" s="1" t="s">
        <v>267</v>
      </c>
      <c r="M524" s="1"/>
      <c r="N524" s="1">
        <f t="shared" si="30"/>
        <v>8</v>
      </c>
      <c r="O524" s="87"/>
    </row>
    <row r="525" spans="1:15" ht="15.75" hidden="1" x14ac:dyDescent="0.25">
      <c r="A525" s="1" t="str">
        <f t="shared" si="29"/>
        <v>440644407612.23DINERSTRANSPORTUBER</v>
      </c>
      <c r="B525" s="2">
        <v>44064</v>
      </c>
      <c r="C525" s="2">
        <v>44076</v>
      </c>
      <c r="D525" s="3" t="s">
        <v>710</v>
      </c>
      <c r="E525" s="3">
        <v>12.23</v>
      </c>
      <c r="F525" s="3">
        <v>1</v>
      </c>
      <c r="G525" s="3">
        <f t="shared" si="28"/>
        <v>12.23</v>
      </c>
      <c r="H525" s="3" t="s">
        <v>266</v>
      </c>
      <c r="I525" s="1" t="s">
        <v>296</v>
      </c>
      <c r="J525" s="1" t="s">
        <v>299</v>
      </c>
      <c r="K525" s="1" t="s">
        <v>300</v>
      </c>
      <c r="L525" s="1" t="s">
        <v>267</v>
      </c>
      <c r="M525" s="1"/>
      <c r="N525" s="1">
        <f t="shared" si="30"/>
        <v>9</v>
      </c>
      <c r="O525" s="87"/>
    </row>
    <row r="526" spans="1:15" ht="15.75" hidden="1" x14ac:dyDescent="0.25">
      <c r="A526" s="1" t="str">
        <f t="shared" si="29"/>
        <v>440644406551.75DINERSGROCERYPICK-N-PACK</v>
      </c>
      <c r="B526" s="2">
        <v>44064</v>
      </c>
      <c r="C526" s="2">
        <v>44065</v>
      </c>
      <c r="D526" s="3" t="s">
        <v>713</v>
      </c>
      <c r="E526" s="3">
        <v>51.75</v>
      </c>
      <c r="F526" s="3">
        <v>1</v>
      </c>
      <c r="G526" s="3">
        <f t="shared" si="28"/>
        <v>51.75</v>
      </c>
      <c r="H526" s="3" t="s">
        <v>266</v>
      </c>
      <c r="I526" s="1" t="s">
        <v>43</v>
      </c>
      <c r="J526" s="1" t="s">
        <v>222</v>
      </c>
      <c r="K526" s="1" t="s">
        <v>298</v>
      </c>
      <c r="L526" s="1" t="s">
        <v>267</v>
      </c>
      <c r="M526" s="1"/>
      <c r="N526" s="1">
        <f t="shared" si="30"/>
        <v>8</v>
      </c>
      <c r="O526" s="87"/>
    </row>
    <row r="527" spans="1:15" ht="15.75" hidden="1" x14ac:dyDescent="0.25">
      <c r="A527" s="1" t="str">
        <f t="shared" si="29"/>
        <v>44065440686.68MASTER CCMEDICALHEALTH CENTER</v>
      </c>
      <c r="B527" s="2">
        <v>44065</v>
      </c>
      <c r="C527" s="2">
        <v>44068</v>
      </c>
      <c r="D527" s="3" t="s">
        <v>716</v>
      </c>
      <c r="E527" s="3">
        <v>6.68</v>
      </c>
      <c r="F527" s="3">
        <v>1</v>
      </c>
      <c r="G527" s="3">
        <f t="shared" si="28"/>
        <v>6.68</v>
      </c>
      <c r="H527" s="3" t="s">
        <v>291</v>
      </c>
      <c r="I527" s="1" t="s">
        <v>301</v>
      </c>
      <c r="J527" s="1" t="s">
        <v>159</v>
      </c>
      <c r="K527" s="1" t="s">
        <v>298</v>
      </c>
      <c r="L527" s="1" t="s">
        <v>267</v>
      </c>
      <c r="M527" s="1"/>
      <c r="N527" s="1">
        <f t="shared" si="30"/>
        <v>8</v>
      </c>
      <c r="O527" s="65"/>
    </row>
    <row r="528" spans="1:15" ht="15.75" hidden="1" x14ac:dyDescent="0.25">
      <c r="A528" s="1" t="str">
        <f t="shared" si="29"/>
        <v>44065440686MASTER CCTRANSPORTCAREEM</v>
      </c>
      <c r="B528" s="2">
        <v>44065</v>
      </c>
      <c r="C528" s="2">
        <v>44068</v>
      </c>
      <c r="D528" s="3" t="s">
        <v>717</v>
      </c>
      <c r="E528" s="3">
        <v>6</v>
      </c>
      <c r="F528" s="3">
        <v>1</v>
      </c>
      <c r="G528" s="3">
        <f t="shared" si="28"/>
        <v>6</v>
      </c>
      <c r="H528" s="3" t="s">
        <v>291</v>
      </c>
      <c r="I528" s="1" t="s">
        <v>296</v>
      </c>
      <c r="J528" s="1" t="s">
        <v>297</v>
      </c>
      <c r="K528" s="1" t="s">
        <v>298</v>
      </c>
      <c r="L528" s="1" t="s">
        <v>267</v>
      </c>
      <c r="M528" s="1"/>
      <c r="N528" s="1">
        <f t="shared" si="30"/>
        <v>8</v>
      </c>
      <c r="O528" s="65"/>
    </row>
    <row r="529" spans="1:15" ht="15.75" hidden="1" x14ac:dyDescent="0.25">
      <c r="A529" s="1" t="str">
        <f t="shared" si="29"/>
        <v>44066440687MASTER CCTRANSPORTCAREEM</v>
      </c>
      <c r="B529" s="2">
        <v>44066</v>
      </c>
      <c r="C529" s="2">
        <v>44068</v>
      </c>
      <c r="D529" s="3" t="s">
        <v>714</v>
      </c>
      <c r="E529" s="3">
        <v>7</v>
      </c>
      <c r="F529" s="3">
        <v>1</v>
      </c>
      <c r="G529" s="3">
        <f t="shared" si="28"/>
        <v>7</v>
      </c>
      <c r="H529" s="3" t="s">
        <v>291</v>
      </c>
      <c r="I529" s="1" t="s">
        <v>296</v>
      </c>
      <c r="J529" s="1" t="s">
        <v>297</v>
      </c>
      <c r="K529" s="1" t="s">
        <v>298</v>
      </c>
      <c r="L529" s="1" t="s">
        <v>267</v>
      </c>
      <c r="M529" s="1"/>
      <c r="N529" s="1">
        <f t="shared" si="30"/>
        <v>8</v>
      </c>
      <c r="O529" s="65"/>
    </row>
    <row r="530" spans="1:15" ht="15.75" hidden="1" x14ac:dyDescent="0.25">
      <c r="A530" s="1" t="str">
        <f t="shared" si="29"/>
        <v>440664406810MASTER CCTRANSPORTCAREEM</v>
      </c>
      <c r="B530" s="2">
        <v>44066</v>
      </c>
      <c r="C530" s="2">
        <v>44068</v>
      </c>
      <c r="D530" s="3" t="s">
        <v>715</v>
      </c>
      <c r="E530" s="3">
        <v>10</v>
      </c>
      <c r="F530" s="3">
        <v>1</v>
      </c>
      <c r="G530" s="3">
        <f t="shared" si="28"/>
        <v>10</v>
      </c>
      <c r="H530" s="3" t="s">
        <v>291</v>
      </c>
      <c r="I530" s="1" t="s">
        <v>296</v>
      </c>
      <c r="J530" s="1" t="s">
        <v>297</v>
      </c>
      <c r="K530" s="1" t="s">
        <v>298</v>
      </c>
      <c r="L530" s="1" t="s">
        <v>267</v>
      </c>
      <c r="M530" s="1"/>
      <c r="N530" s="1">
        <f t="shared" si="30"/>
        <v>8</v>
      </c>
      <c r="O530" s="65"/>
    </row>
    <row r="531" spans="1:15" ht="15.75" hidden="1" x14ac:dyDescent="0.25">
      <c r="A531" s="1" t="str">
        <f t="shared" si="29"/>
        <v>440684406934.75DINERSGROCERYPICK-N-PACK</v>
      </c>
      <c r="B531" s="2">
        <v>44068</v>
      </c>
      <c r="C531" s="2">
        <v>44069</v>
      </c>
      <c r="D531" s="3" t="s">
        <v>709</v>
      </c>
      <c r="E531" s="3">
        <v>34.75</v>
      </c>
      <c r="F531" s="3">
        <v>1</v>
      </c>
      <c r="G531" s="3">
        <f t="shared" si="28"/>
        <v>34.75</v>
      </c>
      <c r="H531" s="3" t="s">
        <v>266</v>
      </c>
      <c r="I531" s="1" t="s">
        <v>43</v>
      </c>
      <c r="J531" s="1" t="s">
        <v>222</v>
      </c>
      <c r="K531" s="1" t="s">
        <v>298</v>
      </c>
      <c r="L531" s="1" t="s">
        <v>267</v>
      </c>
      <c r="M531" s="1"/>
      <c r="N531" s="1">
        <f t="shared" si="30"/>
        <v>8</v>
      </c>
      <c r="O531" s="87"/>
    </row>
    <row r="532" spans="1:15" ht="15.75" hidden="1" x14ac:dyDescent="0.25">
      <c r="A532" s="1" t="str">
        <f t="shared" si="29"/>
        <v>440704407012360CURRENTSALARYQATAR AIR</v>
      </c>
      <c r="B532" s="2">
        <v>44070</v>
      </c>
      <c r="C532" s="2">
        <v>44070</v>
      </c>
      <c r="D532" s="3" t="s">
        <v>719</v>
      </c>
      <c r="E532" s="3">
        <v>12360</v>
      </c>
      <c r="F532" s="3">
        <v>1</v>
      </c>
      <c r="G532" s="3">
        <f t="shared" si="28"/>
        <v>12360</v>
      </c>
      <c r="H532" s="3" t="s">
        <v>293</v>
      </c>
      <c r="I532" s="1" t="s">
        <v>18</v>
      </c>
      <c r="J532" s="1" t="s">
        <v>19</v>
      </c>
      <c r="K532" s="1" t="s">
        <v>300</v>
      </c>
      <c r="L532" s="1" t="s">
        <v>257</v>
      </c>
      <c r="M532" s="1"/>
      <c r="N532" s="1">
        <f t="shared" si="30"/>
        <v>8</v>
      </c>
      <c r="O532" s="65"/>
    </row>
    <row r="533" spans="1:15" ht="15.75" hidden="1" x14ac:dyDescent="0.25">
      <c r="A533" s="1" t="str">
        <f t="shared" si="29"/>
        <v>4407044071343.1DINERSGROCERYLULU</v>
      </c>
      <c r="B533" s="2">
        <v>44070</v>
      </c>
      <c r="C533" s="2">
        <v>44071</v>
      </c>
      <c r="D533" s="3" t="s">
        <v>720</v>
      </c>
      <c r="E533" s="3">
        <v>343.1</v>
      </c>
      <c r="F533" s="3">
        <v>1</v>
      </c>
      <c r="G533" s="3">
        <f t="shared" si="28"/>
        <v>343.1</v>
      </c>
      <c r="H533" s="3" t="s">
        <v>266</v>
      </c>
      <c r="I533" s="1" t="s">
        <v>43</v>
      </c>
      <c r="J533" s="1" t="s">
        <v>44</v>
      </c>
      <c r="K533" s="1" t="s">
        <v>298</v>
      </c>
      <c r="L533" s="1" t="s">
        <v>267</v>
      </c>
      <c r="M533" s="1"/>
      <c r="N533" s="1">
        <f t="shared" si="30"/>
        <v>8</v>
      </c>
      <c r="O533" s="87"/>
    </row>
    <row r="534" spans="1:15" ht="15.75" hidden="1" x14ac:dyDescent="0.25">
      <c r="A534" s="1" t="str">
        <f t="shared" si="29"/>
        <v>440704407136MASTER CCGROCERYPICK-N-PACK</v>
      </c>
      <c r="B534" s="2">
        <v>44070</v>
      </c>
      <c r="C534" s="2">
        <v>44071</v>
      </c>
      <c r="D534" s="3" t="s">
        <v>721</v>
      </c>
      <c r="E534" s="3">
        <v>36</v>
      </c>
      <c r="F534" s="3">
        <v>1</v>
      </c>
      <c r="G534" s="3">
        <f t="shared" si="28"/>
        <v>36</v>
      </c>
      <c r="H534" s="3" t="s">
        <v>291</v>
      </c>
      <c r="I534" s="1" t="s">
        <v>43</v>
      </c>
      <c r="J534" s="1" t="s">
        <v>222</v>
      </c>
      <c r="K534" s="1" t="s">
        <v>298</v>
      </c>
      <c r="L534" s="1" t="s">
        <v>267</v>
      </c>
      <c r="M534" s="1"/>
      <c r="N534" s="1">
        <f t="shared" si="30"/>
        <v>8</v>
      </c>
      <c r="O534" s="65"/>
    </row>
    <row r="535" spans="1:15" ht="15.75" hidden="1" x14ac:dyDescent="0.25">
      <c r="A535" s="1" t="str">
        <f t="shared" si="29"/>
        <v>44070440726MASTER CCTRANSPORTCAREEM</v>
      </c>
      <c r="B535" s="2">
        <v>44070</v>
      </c>
      <c r="C535" s="2">
        <v>44072</v>
      </c>
      <c r="D535" s="3" t="s">
        <v>722</v>
      </c>
      <c r="E535" s="3">
        <v>6</v>
      </c>
      <c r="F535" s="3">
        <v>1</v>
      </c>
      <c r="G535" s="3">
        <f t="shared" si="28"/>
        <v>6</v>
      </c>
      <c r="H535" s="3" t="s">
        <v>291</v>
      </c>
      <c r="I535" s="1" t="s">
        <v>296</v>
      </c>
      <c r="J535" s="1" t="s">
        <v>297</v>
      </c>
      <c r="K535" s="1" t="s">
        <v>298</v>
      </c>
      <c r="L535" s="1" t="s">
        <v>267</v>
      </c>
      <c r="M535" s="1"/>
      <c r="N535" s="1">
        <f t="shared" si="30"/>
        <v>8</v>
      </c>
      <c r="O535" s="65"/>
    </row>
    <row r="536" spans="1:15" ht="15.75" hidden="1" x14ac:dyDescent="0.25">
      <c r="A536" s="1" t="str">
        <f t="shared" si="29"/>
        <v>440734407335CURRENTGROCERYPICK-N-PACK</v>
      </c>
      <c r="B536" s="2">
        <v>44073</v>
      </c>
      <c r="C536" s="2">
        <v>44073</v>
      </c>
      <c r="D536" s="3" t="s">
        <v>723</v>
      </c>
      <c r="E536" s="3">
        <v>-35</v>
      </c>
      <c r="F536" s="3">
        <v>1</v>
      </c>
      <c r="G536" s="3">
        <f t="shared" si="28"/>
        <v>35</v>
      </c>
      <c r="H536" s="3" t="s">
        <v>293</v>
      </c>
      <c r="I536" s="1" t="s">
        <v>43</v>
      </c>
      <c r="J536" s="1" t="s">
        <v>222</v>
      </c>
      <c r="K536" s="1" t="s">
        <v>298</v>
      </c>
      <c r="L536" s="1" t="s">
        <v>257</v>
      </c>
      <c r="M536" s="1"/>
      <c r="N536" s="1">
        <f t="shared" si="30"/>
        <v>8</v>
      </c>
      <c r="O536" s="65"/>
    </row>
    <row r="537" spans="1:15" ht="15.75" hidden="1" x14ac:dyDescent="0.25">
      <c r="A537" s="1" t="str">
        <f t="shared" si="29"/>
        <v>44073440732009.02CURRENTCC BILL PAYMENTBANK</v>
      </c>
      <c r="B537" s="2">
        <v>44073</v>
      </c>
      <c r="C537" s="2">
        <v>44073</v>
      </c>
      <c r="D537" s="3" t="s">
        <v>724</v>
      </c>
      <c r="E537" s="3">
        <v>-2009.02</v>
      </c>
      <c r="F537" s="3">
        <v>1</v>
      </c>
      <c r="G537" s="3">
        <f t="shared" si="28"/>
        <v>2009.02</v>
      </c>
      <c r="H537" s="3" t="s">
        <v>293</v>
      </c>
      <c r="I537" s="1" t="s">
        <v>81</v>
      </c>
      <c r="J537" s="1" t="s">
        <v>8</v>
      </c>
      <c r="K537" s="1" t="s">
        <v>298</v>
      </c>
      <c r="L537" s="1" t="s">
        <v>257</v>
      </c>
      <c r="M537" s="1"/>
      <c r="N537" s="1">
        <f t="shared" si="30"/>
        <v>8</v>
      </c>
      <c r="O537" s="65"/>
    </row>
    <row r="538" spans="1:15" ht="15.75" hidden="1" x14ac:dyDescent="0.25">
      <c r="A538" s="1" t="str">
        <f t="shared" si="29"/>
        <v>44073440732009.02DINERSCC BILL PAYMENTBANK</v>
      </c>
      <c r="B538" s="2">
        <v>44073</v>
      </c>
      <c r="C538" s="2">
        <v>44073</v>
      </c>
      <c r="D538" s="3" t="s">
        <v>80</v>
      </c>
      <c r="E538" s="3">
        <v>-2009.02</v>
      </c>
      <c r="F538" s="3">
        <v>1</v>
      </c>
      <c r="G538" s="3">
        <f t="shared" si="28"/>
        <v>2009.02</v>
      </c>
      <c r="H538" s="3" t="s">
        <v>266</v>
      </c>
      <c r="I538" s="1" t="s">
        <v>81</v>
      </c>
      <c r="J538" s="1" t="s">
        <v>8</v>
      </c>
      <c r="K538" s="1" t="s">
        <v>300</v>
      </c>
      <c r="L538" s="1" t="s">
        <v>267</v>
      </c>
      <c r="M538" s="1"/>
      <c r="N538" s="1">
        <f t="shared" si="30"/>
        <v>8</v>
      </c>
      <c r="O538" s="87"/>
    </row>
    <row r="539" spans="1:15" ht="15.75" hidden="1" x14ac:dyDescent="0.25">
      <c r="A539" s="1" t="str">
        <f t="shared" si="29"/>
        <v>4407544077150MASTER CCTELECOMVODAFONE</v>
      </c>
      <c r="B539" s="2">
        <v>44075</v>
      </c>
      <c r="C539" s="2">
        <v>44077</v>
      </c>
      <c r="D539" s="3" t="s">
        <v>733</v>
      </c>
      <c r="E539" s="3">
        <v>150</v>
      </c>
      <c r="F539" s="3">
        <v>1</v>
      </c>
      <c r="G539" s="3">
        <f t="shared" si="28"/>
        <v>150</v>
      </c>
      <c r="H539" s="3" t="s">
        <v>291</v>
      </c>
      <c r="I539" s="1" t="s">
        <v>58</v>
      </c>
      <c r="J539" s="1" t="s">
        <v>78</v>
      </c>
      <c r="K539" s="1" t="s">
        <v>298</v>
      </c>
      <c r="L539" s="1" t="s">
        <v>267</v>
      </c>
      <c r="M539" s="1"/>
      <c r="N539" s="1">
        <f t="shared" si="30"/>
        <v>9</v>
      </c>
      <c r="O539" s="65"/>
    </row>
    <row r="540" spans="1:15" ht="15.75" hidden="1" x14ac:dyDescent="0.25">
      <c r="A540" s="1" t="str">
        <f t="shared" si="29"/>
        <v>44075440751000CURRENTWITHDRAWSELF</v>
      </c>
      <c r="B540" s="2">
        <v>44075</v>
      </c>
      <c r="C540" s="2">
        <v>44075</v>
      </c>
      <c r="D540" s="3" t="s">
        <v>727</v>
      </c>
      <c r="E540" s="3">
        <v>-1000</v>
      </c>
      <c r="F540" s="3">
        <v>1</v>
      </c>
      <c r="G540" s="3">
        <f t="shared" si="28"/>
        <v>1000</v>
      </c>
      <c r="H540" s="3" t="s">
        <v>293</v>
      </c>
      <c r="I540" s="1" t="s">
        <v>13</v>
      </c>
      <c r="J540" s="1" t="s">
        <v>14</v>
      </c>
      <c r="K540" s="1" t="s">
        <v>298</v>
      </c>
      <c r="L540" s="1" t="s">
        <v>257</v>
      </c>
      <c r="M540" s="1"/>
      <c r="N540" s="1">
        <f t="shared" si="30"/>
        <v>9</v>
      </c>
      <c r="O540" s="65"/>
    </row>
    <row r="541" spans="1:15" ht="15.75" hidden="1" x14ac:dyDescent="0.25">
      <c r="A541" s="1" t="str">
        <f t="shared" si="29"/>
        <v>440754407711.42DINERSTRANSPORTUBER</v>
      </c>
      <c r="B541" s="2">
        <v>44075</v>
      </c>
      <c r="C541" s="2">
        <v>44077</v>
      </c>
      <c r="D541" s="3" t="s">
        <v>731</v>
      </c>
      <c r="E541" s="3">
        <v>11.42</v>
      </c>
      <c r="F541" s="3">
        <v>1</v>
      </c>
      <c r="G541" s="3">
        <f t="shared" si="28"/>
        <v>11.42</v>
      </c>
      <c r="H541" s="3" t="s">
        <v>266</v>
      </c>
      <c r="I541" s="1" t="s">
        <v>296</v>
      </c>
      <c r="J541" s="1" t="s">
        <v>299</v>
      </c>
      <c r="K541" s="1" t="s">
        <v>298</v>
      </c>
      <c r="L541" s="1" t="s">
        <v>267</v>
      </c>
      <c r="M541" s="1"/>
      <c r="N541" s="1">
        <f t="shared" si="30"/>
        <v>9</v>
      </c>
      <c r="O541" s="87"/>
    </row>
    <row r="542" spans="1:15" ht="15.75" hidden="1" x14ac:dyDescent="0.25">
      <c r="A542" s="1" t="str">
        <f t="shared" si="29"/>
        <v>4407544076108DINERSSHOPPINGLULU</v>
      </c>
      <c r="B542" s="2">
        <v>44075</v>
      </c>
      <c r="C542" s="2">
        <v>44076</v>
      </c>
      <c r="D542" s="3" t="s">
        <v>729</v>
      </c>
      <c r="E542" s="3">
        <v>108</v>
      </c>
      <c r="F542" s="3">
        <v>1</v>
      </c>
      <c r="G542" s="3">
        <f t="shared" si="28"/>
        <v>108</v>
      </c>
      <c r="H542" s="3" t="s">
        <v>266</v>
      </c>
      <c r="I542" s="1" t="s">
        <v>194</v>
      </c>
      <c r="J542" s="1" t="s">
        <v>44</v>
      </c>
      <c r="K542" s="1" t="s">
        <v>298</v>
      </c>
      <c r="L542" s="1" t="s">
        <v>267</v>
      </c>
      <c r="M542" s="1"/>
      <c r="N542" s="1">
        <f t="shared" si="30"/>
        <v>9</v>
      </c>
      <c r="O542" s="87"/>
    </row>
    <row r="543" spans="1:15" ht="15.75" hidden="1" x14ac:dyDescent="0.25">
      <c r="A543" s="1" t="str">
        <f t="shared" si="29"/>
        <v>44075440751000CURRENTSAVINGSELF</v>
      </c>
      <c r="B543" s="2">
        <v>44075</v>
      </c>
      <c r="C543" s="2">
        <v>44075</v>
      </c>
      <c r="D543" s="3" t="s">
        <v>316</v>
      </c>
      <c r="E543" s="3">
        <v>-1000</v>
      </c>
      <c r="F543" s="3">
        <v>1</v>
      </c>
      <c r="G543" s="3">
        <f t="shared" si="28"/>
        <v>1000</v>
      </c>
      <c r="H543" s="3" t="s">
        <v>293</v>
      </c>
      <c r="I543" s="1" t="s">
        <v>302</v>
      </c>
      <c r="J543" s="1" t="s">
        <v>14</v>
      </c>
      <c r="K543" s="1" t="s">
        <v>298</v>
      </c>
      <c r="L543" s="1" t="s">
        <v>257</v>
      </c>
      <c r="M543" s="1"/>
      <c r="N543" s="1">
        <f t="shared" si="30"/>
        <v>9</v>
      </c>
      <c r="O543" s="65"/>
    </row>
    <row r="544" spans="1:15" ht="15.75" hidden="1" x14ac:dyDescent="0.25">
      <c r="A544" s="1" t="str">
        <f t="shared" si="29"/>
        <v>440754407616.75DINERSGROCERYPICK-N-PACK</v>
      </c>
      <c r="B544" s="2">
        <v>44075</v>
      </c>
      <c r="C544" s="2">
        <v>44076</v>
      </c>
      <c r="D544" s="3" t="s">
        <v>728</v>
      </c>
      <c r="E544" s="3">
        <v>16.75</v>
      </c>
      <c r="F544" s="3">
        <v>1</v>
      </c>
      <c r="G544" s="3">
        <f t="shared" si="28"/>
        <v>16.75</v>
      </c>
      <c r="H544" s="3" t="s">
        <v>266</v>
      </c>
      <c r="I544" s="1" t="s">
        <v>43</v>
      </c>
      <c r="J544" s="1" t="s">
        <v>222</v>
      </c>
      <c r="K544" s="1" t="s">
        <v>298</v>
      </c>
      <c r="L544" s="1" t="s">
        <v>267</v>
      </c>
      <c r="M544" s="1"/>
      <c r="N544" s="1">
        <f t="shared" si="30"/>
        <v>9</v>
      </c>
      <c r="O544" s="87"/>
    </row>
    <row r="545" spans="1:15" ht="15.75" hidden="1" x14ac:dyDescent="0.25">
      <c r="A545" s="1" t="str">
        <f t="shared" si="29"/>
        <v>4407544076191.53DINERSGROCERYLULU</v>
      </c>
      <c r="B545" s="2">
        <v>44075</v>
      </c>
      <c r="C545" s="2">
        <v>44076</v>
      </c>
      <c r="D545" s="3" t="s">
        <v>730</v>
      </c>
      <c r="E545" s="3">
        <v>191.53</v>
      </c>
      <c r="F545" s="3">
        <v>1</v>
      </c>
      <c r="G545" s="3">
        <f t="shared" si="28"/>
        <v>191.53</v>
      </c>
      <c r="H545" s="3" t="s">
        <v>266</v>
      </c>
      <c r="I545" s="1" t="s">
        <v>43</v>
      </c>
      <c r="J545" s="1" t="s">
        <v>44</v>
      </c>
      <c r="K545" s="1" t="s">
        <v>298</v>
      </c>
      <c r="L545" s="1" t="s">
        <v>267</v>
      </c>
      <c r="M545" s="1"/>
      <c r="N545" s="1">
        <f t="shared" si="30"/>
        <v>9</v>
      </c>
      <c r="O545" s="87"/>
    </row>
    <row r="546" spans="1:15" ht="15.75" hidden="1" x14ac:dyDescent="0.25">
      <c r="A546" s="1" t="str">
        <f t="shared" si="29"/>
        <v>440754407714MASTER CCTRANSPORTCAREEM</v>
      </c>
      <c r="B546" s="2">
        <v>44075</v>
      </c>
      <c r="C546" s="2">
        <v>44077</v>
      </c>
      <c r="D546" s="3" t="s">
        <v>732</v>
      </c>
      <c r="E546" s="3">
        <v>14</v>
      </c>
      <c r="F546" s="3">
        <v>1</v>
      </c>
      <c r="G546" s="3">
        <f t="shared" si="28"/>
        <v>14</v>
      </c>
      <c r="H546" s="3" t="s">
        <v>291</v>
      </c>
      <c r="I546" s="1" t="s">
        <v>296</v>
      </c>
      <c r="J546" s="1" t="s">
        <v>297</v>
      </c>
      <c r="K546" s="1" t="s">
        <v>298</v>
      </c>
      <c r="L546" s="1" t="s">
        <v>267</v>
      </c>
      <c r="M546" s="1"/>
      <c r="N546" s="1">
        <f t="shared" si="30"/>
        <v>9</v>
      </c>
      <c r="O546" s="65"/>
    </row>
    <row r="547" spans="1:15" ht="15.75" hidden="1" x14ac:dyDescent="0.25">
      <c r="A547" s="1" t="str">
        <f t="shared" si="29"/>
        <v>44076440764CURRENTSERVICEBANK</v>
      </c>
      <c r="B547" s="2">
        <v>44076</v>
      </c>
      <c r="C547" s="2">
        <v>44076</v>
      </c>
      <c r="D547" s="3" t="s">
        <v>726</v>
      </c>
      <c r="E547" s="3">
        <v>-4</v>
      </c>
      <c r="F547" s="3">
        <v>1</v>
      </c>
      <c r="G547" s="3">
        <f t="shared" si="28"/>
        <v>4</v>
      </c>
      <c r="H547" s="3" t="s">
        <v>293</v>
      </c>
      <c r="I547" s="1" t="s">
        <v>7</v>
      </c>
      <c r="J547" s="1" t="s">
        <v>8</v>
      </c>
      <c r="K547" s="1" t="s">
        <v>298</v>
      </c>
      <c r="L547" s="1" t="s">
        <v>257</v>
      </c>
      <c r="M547" s="1"/>
      <c r="N547" s="1">
        <f t="shared" si="30"/>
        <v>9</v>
      </c>
      <c r="O547" s="65"/>
    </row>
    <row r="548" spans="1:15" ht="15.75" hidden="1" x14ac:dyDescent="0.25">
      <c r="A548" s="1" t="str">
        <f t="shared" si="29"/>
        <v>44076440761250CURRENTSAVINGSELF</v>
      </c>
      <c r="B548" s="2">
        <v>44076</v>
      </c>
      <c r="C548" s="2">
        <v>44076</v>
      </c>
      <c r="D548" s="3" t="s">
        <v>610</v>
      </c>
      <c r="E548" s="3">
        <v>-1250</v>
      </c>
      <c r="F548" s="3">
        <v>1</v>
      </c>
      <c r="G548" s="3">
        <f t="shared" si="28"/>
        <v>1250</v>
      </c>
      <c r="H548" s="3" t="s">
        <v>293</v>
      </c>
      <c r="I548" s="1" t="s">
        <v>302</v>
      </c>
      <c r="J548" s="1" t="s">
        <v>14</v>
      </c>
      <c r="K548" s="1" t="s">
        <v>298</v>
      </c>
      <c r="L548" s="1" t="s">
        <v>257</v>
      </c>
      <c r="M548" s="1"/>
      <c r="N548" s="1">
        <f t="shared" si="30"/>
        <v>9</v>
      </c>
      <c r="O548" s="65"/>
    </row>
    <row r="549" spans="1:15" ht="15.75" hidden="1" x14ac:dyDescent="0.25">
      <c r="A549" s="1" t="str">
        <f t="shared" si="29"/>
        <v>44076440764395CURRENTRENTCAP ONE</v>
      </c>
      <c r="B549" s="2">
        <v>44076</v>
      </c>
      <c r="C549" s="2">
        <v>44076</v>
      </c>
      <c r="D549" s="3" t="s">
        <v>725</v>
      </c>
      <c r="E549" s="3">
        <v>-4395</v>
      </c>
      <c r="F549" s="3">
        <v>1</v>
      </c>
      <c r="G549" s="3">
        <f t="shared" si="28"/>
        <v>4395</v>
      </c>
      <c r="H549" s="3" t="s">
        <v>293</v>
      </c>
      <c r="I549" s="1" t="s">
        <v>83</v>
      </c>
      <c r="J549" s="1" t="s">
        <v>84</v>
      </c>
      <c r="K549" s="1" t="s">
        <v>298</v>
      </c>
      <c r="L549" s="1" t="s">
        <v>257</v>
      </c>
      <c r="M549" s="1"/>
      <c r="N549" s="1">
        <f t="shared" si="30"/>
        <v>9</v>
      </c>
      <c r="O549" s="65"/>
    </row>
    <row r="550" spans="1:15" ht="15.75" hidden="1" x14ac:dyDescent="0.25">
      <c r="A550" s="1" t="str">
        <f t="shared" si="29"/>
        <v>440774407842.2DINERSSHOPPINGRED TAG</v>
      </c>
      <c r="B550" s="2">
        <v>44077</v>
      </c>
      <c r="C550" s="2">
        <v>44078</v>
      </c>
      <c r="D550" s="3" t="s">
        <v>744</v>
      </c>
      <c r="E550" s="3">
        <v>42.2</v>
      </c>
      <c r="F550" s="3">
        <v>1</v>
      </c>
      <c r="G550" s="3">
        <f t="shared" si="28"/>
        <v>42.2</v>
      </c>
      <c r="H550" s="3" t="s">
        <v>266</v>
      </c>
      <c r="I550" s="1" t="s">
        <v>194</v>
      </c>
      <c r="J550" s="1" t="s">
        <v>746</v>
      </c>
      <c r="K550" s="1" t="s">
        <v>298</v>
      </c>
      <c r="L550" s="1" t="s">
        <v>267</v>
      </c>
      <c r="M550" s="1"/>
      <c r="N550" s="1">
        <f t="shared" si="30"/>
        <v>9</v>
      </c>
      <c r="O550" s="87"/>
    </row>
    <row r="551" spans="1:15" ht="15.75" hidden="1" x14ac:dyDescent="0.25">
      <c r="A551" s="1" t="str">
        <f t="shared" si="29"/>
        <v>440774407817DINERSFOODCAFÉ/REST.</v>
      </c>
      <c r="B551" s="2">
        <v>44077</v>
      </c>
      <c r="C551" s="2">
        <v>44078</v>
      </c>
      <c r="D551" s="3" t="s">
        <v>745</v>
      </c>
      <c r="E551" s="3">
        <v>17</v>
      </c>
      <c r="F551" s="3">
        <v>1</v>
      </c>
      <c r="G551" s="3">
        <f t="shared" si="28"/>
        <v>17</v>
      </c>
      <c r="H551" s="3" t="s">
        <v>266</v>
      </c>
      <c r="I551" s="1" t="s">
        <v>10</v>
      </c>
      <c r="J551" s="1" t="s">
        <v>11</v>
      </c>
      <c r="K551" s="1" t="s">
        <v>298</v>
      </c>
      <c r="L551" s="1" t="s">
        <v>267</v>
      </c>
      <c r="M551" s="1"/>
      <c r="N551" s="1">
        <f t="shared" si="30"/>
        <v>9</v>
      </c>
      <c r="O551" s="87"/>
    </row>
    <row r="552" spans="1:15" ht="15.75" hidden="1" x14ac:dyDescent="0.25">
      <c r="A552" s="1" t="str">
        <f t="shared" si="29"/>
        <v>44077440798MASTER CCTRANSPORTCAREEM</v>
      </c>
      <c r="B552" s="2">
        <v>44077</v>
      </c>
      <c r="C552" s="2">
        <v>44079</v>
      </c>
      <c r="D552" s="3" t="s">
        <v>757</v>
      </c>
      <c r="E552" s="3">
        <v>8</v>
      </c>
      <c r="F552" s="3">
        <v>1</v>
      </c>
      <c r="G552" s="3">
        <f t="shared" si="28"/>
        <v>8</v>
      </c>
      <c r="H552" s="3" t="s">
        <v>291</v>
      </c>
      <c r="I552" s="1" t="s">
        <v>296</v>
      </c>
      <c r="J552" s="1" t="s">
        <v>297</v>
      </c>
      <c r="K552" s="1" t="s">
        <v>298</v>
      </c>
      <c r="L552" s="1" t="s">
        <v>267</v>
      </c>
      <c r="M552" s="1"/>
      <c r="N552" s="1">
        <f t="shared" si="30"/>
        <v>9</v>
      </c>
      <c r="O552" s="65"/>
    </row>
    <row r="553" spans="1:15" ht="15.75" hidden="1" x14ac:dyDescent="0.25">
      <c r="A553" s="1" t="str">
        <f t="shared" si="29"/>
        <v>440774407913MASTER CCTRANSPORTCAREEM</v>
      </c>
      <c r="B553" s="2">
        <v>44077</v>
      </c>
      <c r="C553" s="2">
        <v>44079</v>
      </c>
      <c r="D553" s="3" t="s">
        <v>758</v>
      </c>
      <c r="E553" s="3">
        <v>13</v>
      </c>
      <c r="F553" s="3">
        <v>1</v>
      </c>
      <c r="G553" s="3">
        <f t="shared" si="28"/>
        <v>13</v>
      </c>
      <c r="H553" s="3" t="s">
        <v>291</v>
      </c>
      <c r="I553" s="1" t="s">
        <v>296</v>
      </c>
      <c r="J553" s="1" t="s">
        <v>297</v>
      </c>
      <c r="K553" s="1" t="s">
        <v>298</v>
      </c>
      <c r="L553" s="1" t="s">
        <v>267</v>
      </c>
      <c r="M553" s="1"/>
      <c r="N553" s="1">
        <f t="shared" si="30"/>
        <v>9</v>
      </c>
      <c r="O553" s="65"/>
    </row>
    <row r="554" spans="1:15" ht="15.75" hidden="1" x14ac:dyDescent="0.25">
      <c r="A554" s="1" t="str">
        <f t="shared" si="29"/>
        <v>440784408222.33DINERSTRANSPORTUBER</v>
      </c>
      <c r="B554" s="2">
        <v>44078</v>
      </c>
      <c r="C554" s="2">
        <v>44082</v>
      </c>
      <c r="D554" s="3" t="s">
        <v>742</v>
      </c>
      <c r="E554" s="3">
        <v>22.33</v>
      </c>
      <c r="F554" s="3">
        <v>1</v>
      </c>
      <c r="G554" s="3">
        <f t="shared" si="28"/>
        <v>22.33</v>
      </c>
      <c r="H554" s="3" t="s">
        <v>266</v>
      </c>
      <c r="I554" s="1" t="s">
        <v>296</v>
      </c>
      <c r="J554" s="1" t="s">
        <v>299</v>
      </c>
      <c r="K554" s="1" t="s">
        <v>298</v>
      </c>
      <c r="L554" s="1" t="s">
        <v>267</v>
      </c>
      <c r="M554" s="1"/>
      <c r="N554" s="1">
        <f t="shared" si="30"/>
        <v>9</v>
      </c>
      <c r="O554" s="87"/>
    </row>
    <row r="555" spans="1:15" ht="15.75" hidden="1" x14ac:dyDescent="0.25">
      <c r="A555" s="1" t="str">
        <f t="shared" si="29"/>
        <v>440784408223.25DINERSTRANSPORTUBER</v>
      </c>
      <c r="B555" s="2">
        <v>44078</v>
      </c>
      <c r="C555" s="2">
        <v>44082</v>
      </c>
      <c r="D555" s="3" t="s">
        <v>741</v>
      </c>
      <c r="E555" s="3">
        <v>23.25</v>
      </c>
      <c r="F555" s="3">
        <v>1</v>
      </c>
      <c r="G555" s="3">
        <f t="shared" si="28"/>
        <v>23.25</v>
      </c>
      <c r="H555" s="3" t="s">
        <v>266</v>
      </c>
      <c r="I555" s="1" t="s">
        <v>296</v>
      </c>
      <c r="J555" s="1" t="s">
        <v>299</v>
      </c>
      <c r="K555" s="1" t="s">
        <v>298</v>
      </c>
      <c r="L555" s="1" t="s">
        <v>267</v>
      </c>
      <c r="M555" s="1"/>
      <c r="N555" s="1">
        <f t="shared" si="30"/>
        <v>9</v>
      </c>
      <c r="O555" s="87"/>
    </row>
    <row r="556" spans="1:15" ht="15.75" hidden="1" x14ac:dyDescent="0.25">
      <c r="A556" s="1" t="str">
        <f t="shared" si="29"/>
        <v>440784407922.5DINERSGROCERYPICK-N-PACK</v>
      </c>
      <c r="B556" s="2">
        <v>44078</v>
      </c>
      <c r="C556" s="2">
        <v>44079</v>
      </c>
      <c r="D556" s="3" t="s">
        <v>743</v>
      </c>
      <c r="E556" s="3">
        <v>22.5</v>
      </c>
      <c r="F556" s="3">
        <v>1</v>
      </c>
      <c r="G556" s="3">
        <f t="shared" si="28"/>
        <v>22.5</v>
      </c>
      <c r="H556" s="3" t="s">
        <v>266</v>
      </c>
      <c r="I556" s="1" t="s">
        <v>43</v>
      </c>
      <c r="J556" s="1" t="s">
        <v>222</v>
      </c>
      <c r="K556" s="1" t="s">
        <v>298</v>
      </c>
      <c r="L556" s="1" t="s">
        <v>267</v>
      </c>
      <c r="M556" s="1"/>
      <c r="N556" s="1">
        <f t="shared" si="30"/>
        <v>9</v>
      </c>
      <c r="O556" s="87"/>
    </row>
    <row r="557" spans="1:15" ht="15.75" hidden="1" x14ac:dyDescent="0.25">
      <c r="A557" s="1" t="str">
        <f t="shared" si="29"/>
        <v>440794408022.5DINERSGROCERYPICK-N-PACK</v>
      </c>
      <c r="B557" s="2">
        <v>44079</v>
      </c>
      <c r="C557" s="2">
        <v>44080</v>
      </c>
      <c r="D557" s="3" t="s">
        <v>740</v>
      </c>
      <c r="E557" s="3">
        <v>22.5</v>
      </c>
      <c r="F557" s="3">
        <v>1</v>
      </c>
      <c r="G557" s="3">
        <f t="shared" si="28"/>
        <v>22.5</v>
      </c>
      <c r="H557" s="3" t="s">
        <v>266</v>
      </c>
      <c r="I557" s="1" t="s">
        <v>43</v>
      </c>
      <c r="J557" s="1" t="s">
        <v>222</v>
      </c>
      <c r="K557" s="1" t="s">
        <v>298</v>
      </c>
      <c r="L557" s="1" t="s">
        <v>267</v>
      </c>
      <c r="M557" s="1"/>
      <c r="N557" s="1">
        <f t="shared" si="30"/>
        <v>9</v>
      </c>
      <c r="O557" s="87"/>
    </row>
    <row r="558" spans="1:15" ht="15.75" hidden="1" x14ac:dyDescent="0.25">
      <c r="A558" s="1" t="str">
        <f t="shared" si="29"/>
        <v>44080440801250CURRENTSAVINGSELF</v>
      </c>
      <c r="B558" s="2">
        <v>44080</v>
      </c>
      <c r="C558" s="2">
        <v>44080</v>
      </c>
      <c r="D558" s="3" t="s">
        <v>333</v>
      </c>
      <c r="E558" s="3">
        <v>-1250</v>
      </c>
      <c r="F558" s="3">
        <v>1</v>
      </c>
      <c r="G558" s="3">
        <f t="shared" si="28"/>
        <v>1250</v>
      </c>
      <c r="H558" s="3" t="s">
        <v>293</v>
      </c>
      <c r="I558" s="1" t="s">
        <v>302</v>
      </c>
      <c r="J558" s="1" t="s">
        <v>14</v>
      </c>
      <c r="K558" s="1" t="s">
        <v>298</v>
      </c>
      <c r="L558" s="1" t="s">
        <v>257</v>
      </c>
      <c r="M558" s="1"/>
      <c r="N558" s="1">
        <f t="shared" si="30"/>
        <v>9</v>
      </c>
      <c r="O558" s="65"/>
    </row>
    <row r="559" spans="1:15" ht="15.75" hidden="1" x14ac:dyDescent="0.25">
      <c r="A559" s="1" t="str">
        <f t="shared" si="29"/>
        <v>440824408356DINERSGROCERYPICK-N-PACK</v>
      </c>
      <c r="B559" s="2">
        <v>44082</v>
      </c>
      <c r="C559" s="2">
        <v>44083</v>
      </c>
      <c r="D559" s="3" t="s">
        <v>739</v>
      </c>
      <c r="E559" s="3">
        <v>56</v>
      </c>
      <c r="F559" s="3">
        <v>1</v>
      </c>
      <c r="G559" s="3">
        <f t="shared" si="28"/>
        <v>56</v>
      </c>
      <c r="H559" s="3" t="s">
        <v>266</v>
      </c>
      <c r="I559" s="1" t="s">
        <v>43</v>
      </c>
      <c r="J559" s="1" t="s">
        <v>222</v>
      </c>
      <c r="K559" s="1" t="s">
        <v>298</v>
      </c>
      <c r="L559" s="1" t="s">
        <v>267</v>
      </c>
      <c r="M559" s="1"/>
      <c r="N559" s="1">
        <f t="shared" si="30"/>
        <v>9</v>
      </c>
      <c r="O559" s="87"/>
    </row>
    <row r="560" spans="1:15" ht="15.75" hidden="1" x14ac:dyDescent="0.25">
      <c r="A560" s="1" t="str">
        <f t="shared" si="29"/>
        <v>440824408460MASTER CCTELECOMOOREDOO</v>
      </c>
      <c r="B560" s="2">
        <v>44082</v>
      </c>
      <c r="C560" s="2">
        <v>44084</v>
      </c>
      <c r="D560" s="3" t="s">
        <v>756</v>
      </c>
      <c r="E560" s="3">
        <v>60</v>
      </c>
      <c r="F560" s="3">
        <v>1</v>
      </c>
      <c r="G560" s="3">
        <f t="shared" si="28"/>
        <v>60</v>
      </c>
      <c r="H560" s="3" t="s">
        <v>291</v>
      </c>
      <c r="I560" s="1" t="s">
        <v>58</v>
      </c>
      <c r="J560" s="1" t="s">
        <v>59</v>
      </c>
      <c r="K560" s="1" t="s">
        <v>298</v>
      </c>
      <c r="L560" s="1" t="s">
        <v>267</v>
      </c>
      <c r="M560" s="1"/>
      <c r="N560" s="1">
        <f t="shared" si="30"/>
        <v>9</v>
      </c>
      <c r="O560" s="65"/>
    </row>
    <row r="561" spans="1:15" ht="15.75" hidden="1" x14ac:dyDescent="0.25">
      <c r="A561" s="1" t="str">
        <f t="shared" si="29"/>
        <v>440834408414DINERSGROCERYPICK-N-PACK</v>
      </c>
      <c r="B561" s="2">
        <v>44083</v>
      </c>
      <c r="C561" s="2">
        <v>44084</v>
      </c>
      <c r="D561" s="3" t="s">
        <v>738</v>
      </c>
      <c r="E561" s="3">
        <v>14</v>
      </c>
      <c r="F561" s="3">
        <v>1</v>
      </c>
      <c r="G561" s="3">
        <f t="shared" si="28"/>
        <v>14</v>
      </c>
      <c r="H561" s="3" t="s">
        <v>266</v>
      </c>
      <c r="I561" s="1" t="s">
        <v>43</v>
      </c>
      <c r="J561" s="1" t="s">
        <v>222</v>
      </c>
      <c r="K561" s="1" t="s">
        <v>298</v>
      </c>
      <c r="L561" s="1" t="s">
        <v>267</v>
      </c>
      <c r="M561" s="1"/>
      <c r="N561" s="1">
        <f t="shared" si="30"/>
        <v>9</v>
      </c>
      <c r="O561" s="87"/>
    </row>
    <row r="562" spans="1:15" ht="15.75" hidden="1" x14ac:dyDescent="0.25">
      <c r="A562" s="1" t="str">
        <f t="shared" si="29"/>
        <v>44083440858MASTER CCTRANSPORTCAREEM</v>
      </c>
      <c r="B562" s="2">
        <v>44083</v>
      </c>
      <c r="C562" s="2">
        <v>44085</v>
      </c>
      <c r="D562" s="3" t="s">
        <v>755</v>
      </c>
      <c r="E562" s="3">
        <v>8</v>
      </c>
      <c r="F562" s="3">
        <v>1</v>
      </c>
      <c r="G562" s="3">
        <f t="shared" si="28"/>
        <v>8</v>
      </c>
      <c r="H562" s="3" t="s">
        <v>291</v>
      </c>
      <c r="I562" s="1" t="s">
        <v>296</v>
      </c>
      <c r="J562" s="1" t="s">
        <v>297</v>
      </c>
      <c r="K562" s="1" t="s">
        <v>298</v>
      </c>
      <c r="L562" s="1" t="s">
        <v>267</v>
      </c>
      <c r="M562" s="1"/>
      <c r="N562" s="1">
        <f t="shared" si="30"/>
        <v>9</v>
      </c>
      <c r="O562" s="65"/>
    </row>
    <row r="563" spans="1:15" ht="15.75" hidden="1" x14ac:dyDescent="0.25">
      <c r="A563" s="1" t="str">
        <f t="shared" si="29"/>
        <v>440844408950MASTER CCTRANSPORTMETRO</v>
      </c>
      <c r="B563" s="2">
        <v>44084</v>
      </c>
      <c r="C563" s="2">
        <v>44089</v>
      </c>
      <c r="D563" s="3" t="s">
        <v>754</v>
      </c>
      <c r="E563" s="3">
        <v>50</v>
      </c>
      <c r="F563" s="3">
        <v>1</v>
      </c>
      <c r="G563" s="3">
        <f t="shared" si="28"/>
        <v>50</v>
      </c>
      <c r="H563" s="3" t="s">
        <v>291</v>
      </c>
      <c r="I563" s="1" t="s">
        <v>296</v>
      </c>
      <c r="J563" s="1" t="s">
        <v>759</v>
      </c>
      <c r="K563" s="1" t="s">
        <v>298</v>
      </c>
      <c r="L563" s="1" t="s">
        <v>267</v>
      </c>
      <c r="M563" s="1"/>
      <c r="N563" s="1">
        <f t="shared" si="30"/>
        <v>9</v>
      </c>
      <c r="O563" s="65"/>
    </row>
    <row r="564" spans="1:15" ht="15.75" hidden="1" x14ac:dyDescent="0.25">
      <c r="A564" s="1" t="str">
        <f t="shared" si="29"/>
        <v>44084440841259.25CURRENTTRANSFERINDIA</v>
      </c>
      <c r="B564" s="2">
        <v>44084</v>
      </c>
      <c r="C564" s="2">
        <v>44084</v>
      </c>
      <c r="D564" s="3" t="s">
        <v>694</v>
      </c>
      <c r="E564" s="3">
        <v>-1259.25</v>
      </c>
      <c r="F564" s="3">
        <v>1</v>
      </c>
      <c r="G564" s="3">
        <f t="shared" si="28"/>
        <v>1259.25</v>
      </c>
      <c r="H564" s="3" t="s">
        <v>293</v>
      </c>
      <c r="I564" s="1" t="s">
        <v>22</v>
      </c>
      <c r="J564" s="1" t="s">
        <v>23</v>
      </c>
      <c r="K564" s="1" t="s">
        <v>298</v>
      </c>
      <c r="L564" s="1" t="s">
        <v>257</v>
      </c>
      <c r="M564" s="1"/>
      <c r="N564" s="1">
        <f t="shared" si="30"/>
        <v>9</v>
      </c>
      <c r="O564" s="65"/>
    </row>
    <row r="565" spans="1:15" ht="15.75" hidden="1" x14ac:dyDescent="0.25">
      <c r="A565" s="1" t="str">
        <f t="shared" si="29"/>
        <v>440854408990MASTER CCSHOPPINGR&amp;B</v>
      </c>
      <c r="B565" s="2">
        <v>44085</v>
      </c>
      <c r="C565" s="2">
        <v>44089</v>
      </c>
      <c r="D565" s="3" t="s">
        <v>750</v>
      </c>
      <c r="E565" s="3">
        <v>90</v>
      </c>
      <c r="F565" s="3">
        <v>1</v>
      </c>
      <c r="G565" s="3">
        <f t="shared" si="28"/>
        <v>90</v>
      </c>
      <c r="H565" s="3" t="s">
        <v>291</v>
      </c>
      <c r="I565" s="1" t="s">
        <v>194</v>
      </c>
      <c r="J565" s="1" t="s">
        <v>195</v>
      </c>
      <c r="K565" s="1" t="s">
        <v>298</v>
      </c>
      <c r="L565" s="1" t="s">
        <v>267</v>
      </c>
      <c r="M565" s="1"/>
      <c r="N565" s="1">
        <f t="shared" si="30"/>
        <v>9</v>
      </c>
      <c r="O565" s="65"/>
    </row>
    <row r="566" spans="1:15" ht="15.75" hidden="1" x14ac:dyDescent="0.25">
      <c r="A566" s="1" t="str">
        <f t="shared" si="29"/>
        <v>440854408615DINERSFOODCAFÉ/REST.</v>
      </c>
      <c r="B566" s="2">
        <v>44085</v>
      </c>
      <c r="C566" s="2">
        <v>44086</v>
      </c>
      <c r="D566" s="3" t="s">
        <v>737</v>
      </c>
      <c r="E566" s="3">
        <v>15</v>
      </c>
      <c r="F566" s="3">
        <v>1</v>
      </c>
      <c r="G566" s="3">
        <f t="shared" si="28"/>
        <v>15</v>
      </c>
      <c r="H566" s="3" t="s">
        <v>266</v>
      </c>
      <c r="I566" s="1" t="s">
        <v>10</v>
      </c>
      <c r="J566" s="1" t="s">
        <v>11</v>
      </c>
      <c r="K566" s="1" t="s">
        <v>298</v>
      </c>
      <c r="L566" s="1" t="s">
        <v>267</v>
      </c>
      <c r="M566" s="1"/>
      <c r="N566" s="1">
        <f t="shared" si="30"/>
        <v>9</v>
      </c>
      <c r="O566" s="87"/>
    </row>
    <row r="567" spans="1:15" ht="15.75" hidden="1" x14ac:dyDescent="0.25">
      <c r="A567" s="1" t="str">
        <f t="shared" si="29"/>
        <v>440854408913.46MASTER CCMEDICALHEALTH CENTER</v>
      </c>
      <c r="B567" s="2">
        <v>44085</v>
      </c>
      <c r="C567" s="2">
        <v>44089</v>
      </c>
      <c r="D567" s="3" t="s">
        <v>749</v>
      </c>
      <c r="E567" s="3">
        <v>13.46</v>
      </c>
      <c r="F567" s="3">
        <v>1</v>
      </c>
      <c r="G567" s="3">
        <f t="shared" si="28"/>
        <v>13.46</v>
      </c>
      <c r="H567" s="3" t="s">
        <v>291</v>
      </c>
      <c r="I567" s="1" t="s">
        <v>301</v>
      </c>
      <c r="J567" s="1" t="s">
        <v>159</v>
      </c>
      <c r="K567" s="1" t="s">
        <v>298</v>
      </c>
      <c r="L567" s="1" t="s">
        <v>267</v>
      </c>
      <c r="M567" s="1"/>
      <c r="N567" s="1">
        <f t="shared" si="30"/>
        <v>9</v>
      </c>
      <c r="O567" s="65"/>
    </row>
    <row r="568" spans="1:15" ht="15.75" hidden="1" x14ac:dyDescent="0.25">
      <c r="A568" s="1" t="str">
        <f t="shared" si="29"/>
        <v>44085440892.65MASTER CCMEDICALHEALTH CENTER</v>
      </c>
      <c r="B568" s="2">
        <v>44085</v>
      </c>
      <c r="C568" s="2">
        <v>44089</v>
      </c>
      <c r="D568" s="3" t="s">
        <v>748</v>
      </c>
      <c r="E568" s="3">
        <v>2.65</v>
      </c>
      <c r="F568" s="3">
        <v>1</v>
      </c>
      <c r="G568" s="3">
        <f t="shared" si="28"/>
        <v>2.65</v>
      </c>
      <c r="H568" s="3" t="s">
        <v>291</v>
      </c>
      <c r="I568" s="1" t="s">
        <v>301</v>
      </c>
      <c r="J568" s="1" t="s">
        <v>159</v>
      </c>
      <c r="K568" s="1" t="s">
        <v>298</v>
      </c>
      <c r="L568" s="1" t="s">
        <v>267</v>
      </c>
      <c r="M568" s="1"/>
      <c r="N568" s="1">
        <f t="shared" si="30"/>
        <v>9</v>
      </c>
      <c r="O568" s="65"/>
    </row>
    <row r="569" spans="1:15" ht="15.75" hidden="1" x14ac:dyDescent="0.25">
      <c r="A569" s="1" t="str">
        <f t="shared" si="29"/>
        <v>440854408925MASTER CCGROCERYCARREFOUR</v>
      </c>
      <c r="B569" s="2">
        <v>44085</v>
      </c>
      <c r="C569" s="2">
        <v>44089</v>
      </c>
      <c r="D569" s="3" t="s">
        <v>752</v>
      </c>
      <c r="E569" s="3">
        <v>25</v>
      </c>
      <c r="F569" s="3">
        <v>1</v>
      </c>
      <c r="G569" s="3">
        <f t="shared" si="28"/>
        <v>25</v>
      </c>
      <c r="H569" s="3" t="s">
        <v>291</v>
      </c>
      <c r="I569" s="1" t="s">
        <v>43</v>
      </c>
      <c r="J569" s="1" t="s">
        <v>67</v>
      </c>
      <c r="K569" s="1" t="s">
        <v>298</v>
      </c>
      <c r="L569" s="1" t="s">
        <v>267</v>
      </c>
      <c r="M569" s="1"/>
      <c r="N569" s="1">
        <f t="shared" si="30"/>
        <v>9</v>
      </c>
      <c r="O569" s="65"/>
    </row>
    <row r="570" spans="1:15" ht="15.75" hidden="1" x14ac:dyDescent="0.25">
      <c r="A570" s="1" t="str">
        <f t="shared" si="29"/>
        <v>440854408712MASTER CCTRANSPORTCAREEM</v>
      </c>
      <c r="B570" s="2">
        <v>44085</v>
      </c>
      <c r="C570" s="2">
        <v>44087</v>
      </c>
      <c r="D570" s="3" t="s">
        <v>751</v>
      </c>
      <c r="E570" s="3">
        <v>12</v>
      </c>
      <c r="F570" s="3">
        <v>1</v>
      </c>
      <c r="G570" s="3">
        <f t="shared" si="28"/>
        <v>12</v>
      </c>
      <c r="H570" s="3" t="s">
        <v>291</v>
      </c>
      <c r="I570" s="1" t="s">
        <v>296</v>
      </c>
      <c r="J570" s="1" t="s">
        <v>297</v>
      </c>
      <c r="K570" s="1" t="s">
        <v>298</v>
      </c>
      <c r="L570" s="1" t="s">
        <v>267</v>
      </c>
      <c r="M570" s="1"/>
      <c r="N570" s="1">
        <f t="shared" si="30"/>
        <v>9</v>
      </c>
      <c r="O570" s="65"/>
    </row>
    <row r="571" spans="1:15" ht="15.75" hidden="1" x14ac:dyDescent="0.25">
      <c r="A571" s="1" t="str">
        <f t="shared" si="29"/>
        <v>440854408711MASTER CCTRANSPORTCAREEM</v>
      </c>
      <c r="B571" s="2">
        <v>44085</v>
      </c>
      <c r="C571" s="2">
        <v>44087</v>
      </c>
      <c r="D571" s="3" t="s">
        <v>753</v>
      </c>
      <c r="E571" s="3">
        <v>11</v>
      </c>
      <c r="F571" s="3">
        <v>1</v>
      </c>
      <c r="G571" s="3">
        <f t="shared" si="28"/>
        <v>11</v>
      </c>
      <c r="H571" s="3" t="s">
        <v>291</v>
      </c>
      <c r="I571" s="1" t="s">
        <v>296</v>
      </c>
      <c r="J571" s="1" t="s">
        <v>297</v>
      </c>
      <c r="K571" s="1" t="s">
        <v>298</v>
      </c>
      <c r="L571" s="1" t="s">
        <v>267</v>
      </c>
      <c r="M571" s="1"/>
      <c r="N571" s="1">
        <f t="shared" si="30"/>
        <v>9</v>
      </c>
      <c r="O571" s="65"/>
    </row>
    <row r="572" spans="1:15" ht="15.75" hidden="1" x14ac:dyDescent="0.25">
      <c r="A572" s="1" t="str">
        <f t="shared" si="29"/>
        <v>440874408855.5DINERSGROCERYPICK-N-PACK</v>
      </c>
      <c r="B572" s="2">
        <v>44087</v>
      </c>
      <c r="C572" s="2">
        <v>44088</v>
      </c>
      <c r="D572" s="3" t="s">
        <v>736</v>
      </c>
      <c r="E572" s="3">
        <v>55.5</v>
      </c>
      <c r="F572" s="3">
        <v>1</v>
      </c>
      <c r="G572" s="3">
        <f t="shared" ref="G572:G635" si="31">ABS(E572)*F572</f>
        <v>55.5</v>
      </c>
      <c r="H572" s="3" t="s">
        <v>266</v>
      </c>
      <c r="I572" s="1" t="s">
        <v>43</v>
      </c>
      <c r="J572" s="1" t="s">
        <v>222</v>
      </c>
      <c r="K572" s="1" t="s">
        <v>298</v>
      </c>
      <c r="L572" s="1" t="s">
        <v>267</v>
      </c>
      <c r="M572" s="1"/>
      <c r="N572" s="1">
        <f t="shared" si="30"/>
        <v>9</v>
      </c>
      <c r="O572" s="87"/>
    </row>
    <row r="573" spans="1:15" ht="15.75" hidden="1" x14ac:dyDescent="0.25">
      <c r="A573" s="1" t="str">
        <f t="shared" si="29"/>
        <v>4408844091100MASTER CCFOODQATAR AIR</v>
      </c>
      <c r="B573" s="2">
        <v>44088</v>
      </c>
      <c r="C573" s="2">
        <v>44091</v>
      </c>
      <c r="D573" s="3" t="s">
        <v>747</v>
      </c>
      <c r="E573" s="3">
        <v>100</v>
      </c>
      <c r="F573" s="3">
        <v>1</v>
      </c>
      <c r="G573" s="3">
        <f t="shared" si="31"/>
        <v>100</v>
      </c>
      <c r="H573" s="3" t="s">
        <v>291</v>
      </c>
      <c r="I573" s="1" t="s">
        <v>10</v>
      </c>
      <c r="J573" s="1" t="s">
        <v>19</v>
      </c>
      <c r="K573" s="1" t="s">
        <v>298</v>
      </c>
      <c r="L573" s="1" t="s">
        <v>267</v>
      </c>
      <c r="M573" s="1"/>
      <c r="N573" s="1">
        <f t="shared" si="30"/>
        <v>9</v>
      </c>
      <c r="O573" s="65"/>
    </row>
    <row r="574" spans="1:15" ht="15.75" hidden="1" x14ac:dyDescent="0.25">
      <c r="A574" s="1" t="str">
        <f t="shared" si="29"/>
        <v>440884408931.25DINERSGROCERYPICK-N-PACK</v>
      </c>
      <c r="B574" s="2">
        <v>44088</v>
      </c>
      <c r="C574" s="2">
        <v>44089</v>
      </c>
      <c r="D574" s="3" t="s">
        <v>735</v>
      </c>
      <c r="E574" s="3">
        <v>31.25</v>
      </c>
      <c r="F574" s="3">
        <v>1</v>
      </c>
      <c r="G574" s="3">
        <f t="shared" si="31"/>
        <v>31.25</v>
      </c>
      <c r="H574" s="3" t="s">
        <v>266</v>
      </c>
      <c r="I574" s="1" t="s">
        <v>43</v>
      </c>
      <c r="J574" s="1" t="s">
        <v>222</v>
      </c>
      <c r="K574" s="1" t="s">
        <v>298</v>
      </c>
      <c r="L574" s="1" t="s">
        <v>267</v>
      </c>
      <c r="M574" s="1"/>
      <c r="N574" s="1">
        <f t="shared" si="30"/>
        <v>9</v>
      </c>
      <c r="O574" s="87"/>
    </row>
    <row r="575" spans="1:15" ht="15.75" hidden="1" x14ac:dyDescent="0.25">
      <c r="A575" s="1" t="str">
        <f t="shared" si="29"/>
        <v>440894409038DINERSGROCERYPICK-N-PACK</v>
      </c>
      <c r="B575" s="2">
        <v>44089</v>
      </c>
      <c r="C575" s="2">
        <v>44090</v>
      </c>
      <c r="D575" s="3" t="s">
        <v>734</v>
      </c>
      <c r="E575" s="3">
        <v>38</v>
      </c>
      <c r="F575" s="3">
        <v>1</v>
      </c>
      <c r="G575" s="3">
        <f t="shared" si="31"/>
        <v>38</v>
      </c>
      <c r="H575" s="3" t="s">
        <v>266</v>
      </c>
      <c r="I575" s="1" t="s">
        <v>43</v>
      </c>
      <c r="J575" s="1" t="s">
        <v>222</v>
      </c>
      <c r="K575" s="1" t="s">
        <v>298</v>
      </c>
      <c r="L575" s="1" t="s">
        <v>267</v>
      </c>
      <c r="M575" s="1"/>
      <c r="N575" s="1">
        <f t="shared" si="30"/>
        <v>9</v>
      </c>
      <c r="O575" s="87"/>
    </row>
    <row r="576" spans="1:15" ht="15.75" hidden="1" x14ac:dyDescent="0.25">
      <c r="A576" s="1" t="str">
        <f t="shared" si="29"/>
        <v>440914409623MASTER CCFOODCAFÉ/REST.</v>
      </c>
      <c r="B576" s="2">
        <v>44091</v>
      </c>
      <c r="C576" s="2">
        <v>44096</v>
      </c>
      <c r="D576" s="3" t="s">
        <v>766</v>
      </c>
      <c r="E576" s="3">
        <v>23</v>
      </c>
      <c r="F576" s="3">
        <v>1</v>
      </c>
      <c r="G576" s="3">
        <f t="shared" si="31"/>
        <v>23</v>
      </c>
      <c r="H576" s="3" t="s">
        <v>291</v>
      </c>
      <c r="I576" s="1" t="s">
        <v>10</v>
      </c>
      <c r="J576" s="1" t="s">
        <v>11</v>
      </c>
      <c r="K576" s="1" t="s">
        <v>298</v>
      </c>
      <c r="L576" s="1" t="s">
        <v>267</v>
      </c>
      <c r="M576" s="1"/>
      <c r="N576" s="1">
        <f t="shared" si="30"/>
        <v>9</v>
      </c>
      <c r="O576" s="65"/>
    </row>
    <row r="577" spans="1:15" ht="15.75" hidden="1" x14ac:dyDescent="0.25">
      <c r="A577" s="1" t="str">
        <f t="shared" si="29"/>
        <v>440914409227DINERSGROCERYPICK-N-PACK</v>
      </c>
      <c r="B577" s="2">
        <v>44091</v>
      </c>
      <c r="C577" s="2">
        <v>44092</v>
      </c>
      <c r="D577" s="3" t="s">
        <v>763</v>
      </c>
      <c r="E577" s="3">
        <v>27</v>
      </c>
      <c r="F577" s="3">
        <v>1</v>
      </c>
      <c r="G577" s="3">
        <f t="shared" si="31"/>
        <v>27</v>
      </c>
      <c r="H577" s="3" t="s">
        <v>266</v>
      </c>
      <c r="I577" s="1" t="s">
        <v>43</v>
      </c>
      <c r="J577" s="1" t="s">
        <v>222</v>
      </c>
      <c r="K577" s="1" t="s">
        <v>298</v>
      </c>
      <c r="L577" s="1" t="s">
        <v>267</v>
      </c>
      <c r="M577" s="1"/>
      <c r="N577" s="1">
        <f t="shared" si="30"/>
        <v>9</v>
      </c>
      <c r="O577" s="87"/>
    </row>
    <row r="578" spans="1:15" ht="15.75" hidden="1" x14ac:dyDescent="0.25">
      <c r="A578" s="1" t="str">
        <f t="shared" ref="A578:A641" si="32">B578&amp;C578&amp;G578&amp;H578&amp;I578&amp;J578</f>
        <v>4409244093153DINERSSHOPPINGLULU</v>
      </c>
      <c r="B578" s="2">
        <v>44092</v>
      </c>
      <c r="C578" s="2">
        <v>44093</v>
      </c>
      <c r="D578" s="3" t="s">
        <v>760</v>
      </c>
      <c r="E578" s="3">
        <v>153</v>
      </c>
      <c r="F578" s="3">
        <v>1</v>
      </c>
      <c r="G578" s="3">
        <f t="shared" si="31"/>
        <v>153</v>
      </c>
      <c r="H578" s="3" t="s">
        <v>266</v>
      </c>
      <c r="I578" s="1" t="s">
        <v>194</v>
      </c>
      <c r="J578" s="1" t="s">
        <v>44</v>
      </c>
      <c r="K578" s="1" t="s">
        <v>298</v>
      </c>
      <c r="L578" s="1" t="s">
        <v>267</v>
      </c>
      <c r="M578" s="1"/>
      <c r="N578" s="1">
        <f t="shared" ref="N578:N641" si="33">MONTH(C578)</f>
        <v>9</v>
      </c>
      <c r="O578" s="87"/>
    </row>
    <row r="579" spans="1:15" ht="15.75" hidden="1" x14ac:dyDescent="0.25">
      <c r="A579" s="1" t="str">
        <f t="shared" si="32"/>
        <v>440924409338DINERSSHOPPINGLULU</v>
      </c>
      <c r="B579" s="2">
        <v>44092</v>
      </c>
      <c r="C579" s="2">
        <v>44093</v>
      </c>
      <c r="D579" s="3" t="s">
        <v>762</v>
      </c>
      <c r="E579" s="3">
        <v>38</v>
      </c>
      <c r="F579" s="3">
        <v>1</v>
      </c>
      <c r="G579" s="3">
        <f t="shared" si="31"/>
        <v>38</v>
      </c>
      <c r="H579" s="3" t="s">
        <v>266</v>
      </c>
      <c r="I579" s="1" t="s">
        <v>194</v>
      </c>
      <c r="J579" s="1" t="s">
        <v>44</v>
      </c>
      <c r="K579" s="1" t="s">
        <v>298</v>
      </c>
      <c r="L579" s="1" t="s">
        <v>267</v>
      </c>
      <c r="M579" s="1"/>
      <c r="N579" s="1">
        <f t="shared" si="33"/>
        <v>9</v>
      </c>
      <c r="O579" s="87"/>
    </row>
    <row r="580" spans="1:15" ht="15.75" hidden="1" x14ac:dyDescent="0.25">
      <c r="A580" s="1" t="str">
        <f t="shared" si="32"/>
        <v>4409244093485.31DINERSGROCERYLULU</v>
      </c>
      <c r="B580" s="2">
        <v>44092</v>
      </c>
      <c r="C580" s="2">
        <v>44093</v>
      </c>
      <c r="D580" s="3" t="s">
        <v>761</v>
      </c>
      <c r="E580" s="3">
        <v>485.31</v>
      </c>
      <c r="F580" s="3">
        <v>1</v>
      </c>
      <c r="G580" s="3">
        <f t="shared" si="31"/>
        <v>485.31</v>
      </c>
      <c r="H580" s="3" t="s">
        <v>266</v>
      </c>
      <c r="I580" s="1" t="s">
        <v>43</v>
      </c>
      <c r="J580" s="1" t="s">
        <v>44</v>
      </c>
      <c r="K580" s="1" t="s">
        <v>298</v>
      </c>
      <c r="L580" s="1" t="s">
        <v>267</v>
      </c>
      <c r="M580" s="1"/>
      <c r="N580" s="1">
        <f t="shared" si="33"/>
        <v>9</v>
      </c>
      <c r="O580" s="87"/>
    </row>
    <row r="581" spans="1:15" ht="15.75" hidden="1" x14ac:dyDescent="0.25">
      <c r="A581" s="1" t="str">
        <f t="shared" si="32"/>
        <v>440924409611MASTER CCTRANSPORTCAREEM</v>
      </c>
      <c r="B581" s="2">
        <v>44092</v>
      </c>
      <c r="C581" s="2">
        <v>44096</v>
      </c>
      <c r="D581" s="3" t="s">
        <v>764</v>
      </c>
      <c r="E581" s="3">
        <v>11</v>
      </c>
      <c r="F581" s="3">
        <v>1</v>
      </c>
      <c r="G581" s="3">
        <f t="shared" si="31"/>
        <v>11</v>
      </c>
      <c r="H581" s="3" t="s">
        <v>291</v>
      </c>
      <c r="I581" s="1" t="s">
        <v>296</v>
      </c>
      <c r="J581" s="1" t="s">
        <v>297</v>
      </c>
      <c r="K581" s="1" t="s">
        <v>298</v>
      </c>
      <c r="L581" s="1" t="s">
        <v>267</v>
      </c>
      <c r="M581" s="1"/>
      <c r="N581" s="1">
        <f t="shared" si="33"/>
        <v>9</v>
      </c>
      <c r="O581" s="65"/>
    </row>
    <row r="582" spans="1:15" ht="15.75" hidden="1" x14ac:dyDescent="0.25">
      <c r="A582" s="1" t="str">
        <f t="shared" si="32"/>
        <v>440924409612MASTER CCTRANSPORTCAREEM</v>
      </c>
      <c r="B582" s="2">
        <v>44092</v>
      </c>
      <c r="C582" s="2">
        <v>44096</v>
      </c>
      <c r="D582" s="3" t="s">
        <v>765</v>
      </c>
      <c r="E582" s="3">
        <v>12</v>
      </c>
      <c r="F582" s="3">
        <v>1</v>
      </c>
      <c r="G582" s="3">
        <f t="shared" si="31"/>
        <v>12</v>
      </c>
      <c r="H582" s="3" t="s">
        <v>291</v>
      </c>
      <c r="I582" s="1" t="s">
        <v>296</v>
      </c>
      <c r="J582" s="1" t="s">
        <v>297</v>
      </c>
      <c r="K582" s="1" t="s">
        <v>298</v>
      </c>
      <c r="L582" s="1" t="s">
        <v>267</v>
      </c>
      <c r="M582" s="1"/>
      <c r="N582" s="1">
        <f t="shared" si="33"/>
        <v>9</v>
      </c>
      <c r="O582" s="65"/>
    </row>
    <row r="583" spans="1:15" ht="15.75" hidden="1" x14ac:dyDescent="0.25">
      <c r="A583" s="1" t="str">
        <f t="shared" si="32"/>
        <v>440954409645.5DINERSGROCERYPICK-N-PACK</v>
      </c>
      <c r="B583" s="2">
        <v>44095</v>
      </c>
      <c r="C583" s="2">
        <v>44096</v>
      </c>
      <c r="D583" s="3" t="s">
        <v>775</v>
      </c>
      <c r="E583" s="3">
        <v>45.5</v>
      </c>
      <c r="F583" s="3">
        <v>1</v>
      </c>
      <c r="G583" s="3">
        <f t="shared" si="31"/>
        <v>45.5</v>
      </c>
      <c r="H583" s="3" t="s">
        <v>266</v>
      </c>
      <c r="I583" s="1" t="s">
        <v>43</v>
      </c>
      <c r="J583" s="1" t="s">
        <v>222</v>
      </c>
      <c r="K583" s="1" t="s">
        <v>298</v>
      </c>
      <c r="L583" s="1" t="s">
        <v>267</v>
      </c>
      <c r="M583" s="1"/>
      <c r="N583" s="1">
        <f t="shared" si="33"/>
        <v>9</v>
      </c>
      <c r="O583" s="87"/>
    </row>
    <row r="584" spans="1:15" ht="15.75" hidden="1" x14ac:dyDescent="0.25">
      <c r="A584" s="1" t="str">
        <f t="shared" si="32"/>
        <v>440964409810MASTER CCTRANSPORTCAREEM</v>
      </c>
      <c r="B584" s="2">
        <v>44096</v>
      </c>
      <c r="C584" s="2">
        <v>44098</v>
      </c>
      <c r="D584" s="3" t="s">
        <v>781</v>
      </c>
      <c r="E584" s="3">
        <v>10</v>
      </c>
      <c r="F584" s="3">
        <v>1</v>
      </c>
      <c r="G584" s="3">
        <f t="shared" si="31"/>
        <v>10</v>
      </c>
      <c r="H584" s="3" t="s">
        <v>291</v>
      </c>
      <c r="I584" s="1" t="s">
        <v>296</v>
      </c>
      <c r="J584" s="1" t="s">
        <v>297</v>
      </c>
      <c r="K584" s="1" t="s">
        <v>298</v>
      </c>
      <c r="L584" s="1" t="s">
        <v>267</v>
      </c>
      <c r="M584" s="1"/>
      <c r="N584" s="1">
        <f t="shared" si="33"/>
        <v>9</v>
      </c>
      <c r="O584" s="65"/>
    </row>
    <row r="585" spans="1:15" ht="15.75" hidden="1" x14ac:dyDescent="0.25">
      <c r="A585" s="1" t="str">
        <f t="shared" si="32"/>
        <v>440974410128MASTER CCFOODCAFÉ/REST.</v>
      </c>
      <c r="B585" s="2">
        <v>44097</v>
      </c>
      <c r="C585" s="2">
        <v>44101</v>
      </c>
      <c r="D585" s="3" t="s">
        <v>780</v>
      </c>
      <c r="E585" s="3">
        <v>28</v>
      </c>
      <c r="F585" s="3">
        <v>1</v>
      </c>
      <c r="G585" s="3">
        <f t="shared" si="31"/>
        <v>28</v>
      </c>
      <c r="H585" s="3" t="s">
        <v>291</v>
      </c>
      <c r="I585" s="1" t="s">
        <v>10</v>
      </c>
      <c r="J585" s="1" t="s">
        <v>11</v>
      </c>
      <c r="K585" s="1" t="s">
        <v>298</v>
      </c>
      <c r="L585" s="1" t="s">
        <v>267</v>
      </c>
      <c r="M585" s="1"/>
      <c r="N585" s="1">
        <f t="shared" si="33"/>
        <v>9</v>
      </c>
      <c r="O585" s="65"/>
    </row>
    <row r="586" spans="1:15" ht="15.75" hidden="1" x14ac:dyDescent="0.25">
      <c r="A586" s="1" t="str">
        <f t="shared" si="32"/>
        <v>440984409951DINERSGROCERYPICK-N-PACK</v>
      </c>
      <c r="B586" s="2">
        <v>44098</v>
      </c>
      <c r="C586" s="2">
        <v>44099</v>
      </c>
      <c r="D586" s="3" t="s">
        <v>774</v>
      </c>
      <c r="E586" s="3">
        <v>51</v>
      </c>
      <c r="F586" s="3">
        <v>1</v>
      </c>
      <c r="G586" s="3">
        <f t="shared" si="31"/>
        <v>51</v>
      </c>
      <c r="H586" s="3" t="s">
        <v>266</v>
      </c>
      <c r="I586" s="1" t="s">
        <v>43</v>
      </c>
      <c r="J586" s="1" t="s">
        <v>222</v>
      </c>
      <c r="K586" s="1" t="s">
        <v>298</v>
      </c>
      <c r="L586" s="1" t="s">
        <v>267</v>
      </c>
      <c r="M586" s="1"/>
      <c r="N586" s="1">
        <f t="shared" si="33"/>
        <v>9</v>
      </c>
      <c r="O586" s="87"/>
    </row>
    <row r="587" spans="1:15" ht="15.75" hidden="1" x14ac:dyDescent="0.25">
      <c r="A587" s="1" t="str">
        <f t="shared" si="32"/>
        <v>440994410046DINERSSHOPPINGIKEA</v>
      </c>
      <c r="B587" s="2">
        <v>44099</v>
      </c>
      <c r="C587" s="2">
        <v>44100</v>
      </c>
      <c r="D587" s="3" t="s">
        <v>772</v>
      </c>
      <c r="E587" s="3">
        <v>46</v>
      </c>
      <c r="F587" s="3">
        <v>1</v>
      </c>
      <c r="G587" s="3">
        <f t="shared" si="31"/>
        <v>46</v>
      </c>
      <c r="H587" s="3" t="s">
        <v>266</v>
      </c>
      <c r="I587" s="1" t="s">
        <v>194</v>
      </c>
      <c r="J587" s="1" t="s">
        <v>192</v>
      </c>
      <c r="K587" s="1" t="s">
        <v>298</v>
      </c>
      <c r="L587" s="1" t="s">
        <v>267</v>
      </c>
      <c r="M587" s="1"/>
      <c r="N587" s="1">
        <f t="shared" si="33"/>
        <v>9</v>
      </c>
      <c r="O587" s="87"/>
    </row>
    <row r="588" spans="1:15" ht="15.75" hidden="1" x14ac:dyDescent="0.25">
      <c r="A588" s="1" t="str">
        <f t="shared" si="32"/>
        <v>440994410061DINERSSHOPPINGMAX</v>
      </c>
      <c r="B588" s="2">
        <v>44099</v>
      </c>
      <c r="C588" s="2">
        <v>44100</v>
      </c>
      <c r="D588" s="3" t="s">
        <v>773</v>
      </c>
      <c r="E588" s="3">
        <v>61</v>
      </c>
      <c r="F588" s="3">
        <v>1</v>
      </c>
      <c r="G588" s="3">
        <f t="shared" si="31"/>
        <v>61</v>
      </c>
      <c r="H588" s="3" t="s">
        <v>266</v>
      </c>
      <c r="I588" s="1" t="s">
        <v>194</v>
      </c>
      <c r="J588" s="1" t="s">
        <v>776</v>
      </c>
      <c r="K588" s="1" t="s">
        <v>298</v>
      </c>
      <c r="L588" s="1" t="s">
        <v>267</v>
      </c>
      <c r="M588" s="1"/>
      <c r="N588" s="1">
        <f t="shared" si="33"/>
        <v>9</v>
      </c>
      <c r="O588" s="87"/>
    </row>
    <row r="589" spans="1:15" ht="15.75" hidden="1" x14ac:dyDescent="0.25">
      <c r="A589" s="1" t="str">
        <f t="shared" si="32"/>
        <v>440994410127MASTER CCTRANSPORTCAREEM</v>
      </c>
      <c r="B589" s="2">
        <v>44099</v>
      </c>
      <c r="C589" s="2">
        <v>44101</v>
      </c>
      <c r="D589" s="3" t="s">
        <v>779</v>
      </c>
      <c r="E589" s="3">
        <v>27</v>
      </c>
      <c r="F589" s="3">
        <v>1</v>
      </c>
      <c r="G589" s="3">
        <f t="shared" si="31"/>
        <v>27</v>
      </c>
      <c r="H589" s="3" t="s">
        <v>291</v>
      </c>
      <c r="I589" s="1" t="s">
        <v>296</v>
      </c>
      <c r="J589" s="1" t="s">
        <v>297</v>
      </c>
      <c r="K589" s="1" t="s">
        <v>298</v>
      </c>
      <c r="L589" s="1" t="s">
        <v>267</v>
      </c>
      <c r="M589" s="1"/>
      <c r="N589" s="1">
        <f t="shared" si="33"/>
        <v>9</v>
      </c>
      <c r="O589" s="65"/>
    </row>
    <row r="590" spans="1:15" ht="15.75" hidden="1" x14ac:dyDescent="0.25">
      <c r="A590" s="1" t="str">
        <f t="shared" si="32"/>
        <v>440994410127MASTER CCTRANSPORTCAREEM</v>
      </c>
      <c r="B590" s="2">
        <v>44099</v>
      </c>
      <c r="C590" s="2">
        <v>44101</v>
      </c>
      <c r="D590" s="3" t="s">
        <v>778</v>
      </c>
      <c r="E590" s="3">
        <v>27</v>
      </c>
      <c r="F590" s="3">
        <v>1</v>
      </c>
      <c r="G590" s="3">
        <f t="shared" si="31"/>
        <v>27</v>
      </c>
      <c r="H590" s="3" t="s">
        <v>291</v>
      </c>
      <c r="I590" s="1" t="s">
        <v>296</v>
      </c>
      <c r="J590" s="1" t="s">
        <v>297</v>
      </c>
      <c r="K590" s="1" t="s">
        <v>298</v>
      </c>
      <c r="L590" s="1" t="s">
        <v>267</v>
      </c>
      <c r="M590" s="1"/>
      <c r="N590" s="1">
        <f t="shared" si="33"/>
        <v>9</v>
      </c>
      <c r="O590" s="65"/>
    </row>
    <row r="591" spans="1:15" ht="15.75" hidden="1" x14ac:dyDescent="0.25">
      <c r="A591" s="1" t="str">
        <f t="shared" si="32"/>
        <v>441004410123.25DINERSGROCERYPICK-N-PACK</v>
      </c>
      <c r="B591" s="2">
        <v>44100</v>
      </c>
      <c r="C591" s="2">
        <v>44101</v>
      </c>
      <c r="D591" s="3" t="s">
        <v>771</v>
      </c>
      <c r="E591" s="3">
        <v>23.25</v>
      </c>
      <c r="F591" s="3">
        <v>1</v>
      </c>
      <c r="G591" s="3">
        <f t="shared" si="31"/>
        <v>23.25</v>
      </c>
      <c r="H591" s="3" t="s">
        <v>266</v>
      </c>
      <c r="I591" s="1" t="s">
        <v>43</v>
      </c>
      <c r="J591" s="1" t="s">
        <v>222</v>
      </c>
      <c r="K591" s="1" t="s">
        <v>298</v>
      </c>
      <c r="L591" s="1" t="s">
        <v>267</v>
      </c>
      <c r="M591" s="1"/>
      <c r="N591" s="1">
        <f t="shared" si="33"/>
        <v>9</v>
      </c>
      <c r="O591" s="87"/>
    </row>
    <row r="592" spans="1:15" ht="15.75" hidden="1" x14ac:dyDescent="0.25">
      <c r="A592" s="1" t="str">
        <f t="shared" si="32"/>
        <v>441014410219.5DINERSGROCERYPICK-N-PACK</v>
      </c>
      <c r="B592" s="2">
        <v>44101</v>
      </c>
      <c r="C592" s="2">
        <v>44102</v>
      </c>
      <c r="D592" s="3" t="s">
        <v>770</v>
      </c>
      <c r="E592" s="3">
        <v>19.5</v>
      </c>
      <c r="F592" s="3">
        <v>1</v>
      </c>
      <c r="G592" s="3">
        <f t="shared" si="31"/>
        <v>19.5</v>
      </c>
      <c r="H592" s="3" t="s">
        <v>266</v>
      </c>
      <c r="I592" s="1" t="s">
        <v>43</v>
      </c>
      <c r="J592" s="1" t="s">
        <v>222</v>
      </c>
      <c r="K592" s="1" t="s">
        <v>298</v>
      </c>
      <c r="L592" s="1" t="s">
        <v>267</v>
      </c>
      <c r="M592" s="1"/>
      <c r="N592" s="1">
        <f t="shared" si="33"/>
        <v>9</v>
      </c>
      <c r="O592" s="87"/>
    </row>
    <row r="593" spans="1:15" ht="15.75" hidden="1" x14ac:dyDescent="0.25">
      <c r="A593" s="1" t="str">
        <f t="shared" si="32"/>
        <v>441024410718.5MASTER CCFOODCAFÉ/REST.</v>
      </c>
      <c r="B593" s="2">
        <v>44102</v>
      </c>
      <c r="C593" s="2">
        <v>44107</v>
      </c>
      <c r="D593" s="3" t="s">
        <v>777</v>
      </c>
      <c r="E593" s="3">
        <v>18.5</v>
      </c>
      <c r="F593" s="3">
        <v>1</v>
      </c>
      <c r="G593" s="3">
        <f t="shared" si="31"/>
        <v>18.5</v>
      </c>
      <c r="H593" s="3" t="s">
        <v>291</v>
      </c>
      <c r="I593" s="1" t="s">
        <v>10</v>
      </c>
      <c r="J593" s="1" t="s">
        <v>11</v>
      </c>
      <c r="K593" s="1" t="s">
        <v>298</v>
      </c>
      <c r="L593" s="1" t="s">
        <v>267</v>
      </c>
      <c r="M593" s="1"/>
      <c r="N593" s="1">
        <f t="shared" si="33"/>
        <v>10</v>
      </c>
      <c r="O593" s="65"/>
    </row>
    <row r="594" spans="1:15" ht="15.75" hidden="1" x14ac:dyDescent="0.25">
      <c r="A594" s="1" t="str">
        <f t="shared" si="32"/>
        <v>441024410212323CURRENTSALARYQATAR AIR</v>
      </c>
      <c r="B594" s="2">
        <v>44102</v>
      </c>
      <c r="C594" s="2">
        <v>44102</v>
      </c>
      <c r="D594" s="3" t="s">
        <v>768</v>
      </c>
      <c r="E594" s="3">
        <v>12323</v>
      </c>
      <c r="F594" s="3">
        <v>1</v>
      </c>
      <c r="G594" s="3">
        <f t="shared" si="31"/>
        <v>12323</v>
      </c>
      <c r="H594" s="3" t="s">
        <v>293</v>
      </c>
      <c r="I594" s="1" t="s">
        <v>18</v>
      </c>
      <c r="J594" s="1" t="s">
        <v>19</v>
      </c>
      <c r="K594" s="1" t="s">
        <v>300</v>
      </c>
      <c r="L594" s="1" t="s">
        <v>257</v>
      </c>
      <c r="M594" s="1"/>
      <c r="N594" s="1">
        <f t="shared" si="33"/>
        <v>9</v>
      </c>
      <c r="O594" s="65"/>
    </row>
    <row r="595" spans="1:15" ht="15.75" hidden="1" x14ac:dyDescent="0.25">
      <c r="A595" s="1" t="str">
        <f t="shared" si="32"/>
        <v>4410244102122.14CURRENTGROCERYALMIRAH</v>
      </c>
      <c r="B595" s="2">
        <v>44102</v>
      </c>
      <c r="C595" s="2">
        <v>44102</v>
      </c>
      <c r="D595" s="3" t="s">
        <v>767</v>
      </c>
      <c r="E595" s="3">
        <v>-122.14</v>
      </c>
      <c r="F595" s="3">
        <v>1</v>
      </c>
      <c r="G595" s="3">
        <f t="shared" si="31"/>
        <v>122.14</v>
      </c>
      <c r="H595" s="3" t="s">
        <v>293</v>
      </c>
      <c r="I595" s="1" t="s">
        <v>43</v>
      </c>
      <c r="J595" s="1" t="s">
        <v>769</v>
      </c>
      <c r="K595" s="1" t="s">
        <v>298</v>
      </c>
      <c r="L595" s="1" t="s">
        <v>257</v>
      </c>
      <c r="M595" s="1"/>
      <c r="N595" s="1">
        <f t="shared" si="33"/>
        <v>9</v>
      </c>
      <c r="O595" s="65"/>
    </row>
    <row r="596" spans="1:15" ht="15.75" hidden="1" x14ac:dyDescent="0.25">
      <c r="A596" s="1" t="str">
        <f t="shared" si="32"/>
        <v>44103441032338.13CURRENTCC BILL PAYMENTBANK</v>
      </c>
      <c r="B596" s="2">
        <v>44103</v>
      </c>
      <c r="C596" s="2">
        <v>44103</v>
      </c>
      <c r="D596" s="3" t="s">
        <v>782</v>
      </c>
      <c r="E596" s="3">
        <v>-2338.13</v>
      </c>
      <c r="F596" s="3">
        <v>1</v>
      </c>
      <c r="G596" s="3">
        <f t="shared" si="31"/>
        <v>2338.13</v>
      </c>
      <c r="H596" s="3" t="s">
        <v>293</v>
      </c>
      <c r="I596" s="1" t="s">
        <v>81</v>
      </c>
      <c r="J596" s="1" t="s">
        <v>8</v>
      </c>
      <c r="K596" s="1" t="s">
        <v>298</v>
      </c>
      <c r="L596" s="1" t="s">
        <v>257</v>
      </c>
      <c r="M596" s="1"/>
      <c r="N596" s="1">
        <f t="shared" si="33"/>
        <v>9</v>
      </c>
      <c r="O596" s="65"/>
    </row>
    <row r="597" spans="1:15" ht="15.75" hidden="1" x14ac:dyDescent="0.25">
      <c r="A597" s="1" t="str">
        <f t="shared" si="32"/>
        <v>44103441032338.13DINERSCC BILL PAYMENTBANK</v>
      </c>
      <c r="B597" s="2">
        <v>44103</v>
      </c>
      <c r="C597" s="2">
        <v>44103</v>
      </c>
      <c r="D597" s="3" t="s">
        <v>80</v>
      </c>
      <c r="E597" s="3">
        <v>-2338.13</v>
      </c>
      <c r="F597" s="3">
        <v>1</v>
      </c>
      <c r="G597" s="3">
        <f t="shared" si="31"/>
        <v>2338.13</v>
      </c>
      <c r="H597" s="3" t="s">
        <v>266</v>
      </c>
      <c r="I597" s="1" t="s">
        <v>81</v>
      </c>
      <c r="J597" s="1" t="s">
        <v>8</v>
      </c>
      <c r="K597" s="1" t="s">
        <v>300</v>
      </c>
      <c r="L597" s="1" t="s">
        <v>267</v>
      </c>
      <c r="M597" s="1"/>
      <c r="N597" s="1">
        <f t="shared" si="33"/>
        <v>9</v>
      </c>
      <c r="O597" s="87"/>
    </row>
    <row r="598" spans="1:15" ht="15.75" hidden="1" x14ac:dyDescent="0.25">
      <c r="A598" s="1" t="str">
        <f t="shared" si="32"/>
        <v>4410544106150MASTER CCTELECOMVODAFONE</v>
      </c>
      <c r="B598" s="2">
        <v>44105</v>
      </c>
      <c r="C598" s="2">
        <v>44106</v>
      </c>
      <c r="D598" s="3" t="s">
        <v>805</v>
      </c>
      <c r="E598" s="3">
        <v>150</v>
      </c>
      <c r="F598" s="3">
        <v>1</v>
      </c>
      <c r="G598" s="3">
        <f t="shared" si="31"/>
        <v>150</v>
      </c>
      <c r="H598" s="3" t="s">
        <v>291</v>
      </c>
      <c r="I598" s="1" t="s">
        <v>58</v>
      </c>
      <c r="J598" s="1" t="s">
        <v>78</v>
      </c>
      <c r="K598" s="1" t="s">
        <v>298</v>
      </c>
      <c r="L598" s="1" t="s">
        <v>267</v>
      </c>
      <c r="M598" s="1"/>
      <c r="N598" s="1">
        <f t="shared" si="33"/>
        <v>10</v>
      </c>
      <c r="O598" s="65"/>
    </row>
    <row r="599" spans="1:15" ht="15.75" hidden="1" x14ac:dyDescent="0.25">
      <c r="A599" s="1" t="str">
        <f t="shared" si="32"/>
        <v>44105441051000CURRENTSAVINGSELF</v>
      </c>
      <c r="B599" s="2">
        <v>44105</v>
      </c>
      <c r="C599" s="2">
        <v>44105</v>
      </c>
      <c r="D599" s="3" t="s">
        <v>316</v>
      </c>
      <c r="E599" s="3">
        <v>-1000</v>
      </c>
      <c r="F599" s="3">
        <v>1</v>
      </c>
      <c r="G599" s="3">
        <f t="shared" si="31"/>
        <v>1000</v>
      </c>
      <c r="H599" s="3" t="s">
        <v>293</v>
      </c>
      <c r="I599" s="1" t="s">
        <v>302</v>
      </c>
      <c r="J599" s="1" t="s">
        <v>14</v>
      </c>
      <c r="K599" s="1" t="s">
        <v>298</v>
      </c>
      <c r="L599" s="1" t="s">
        <v>257</v>
      </c>
      <c r="M599" s="1"/>
      <c r="N599" s="1">
        <f t="shared" si="33"/>
        <v>10</v>
      </c>
      <c r="O599" s="65"/>
    </row>
    <row r="600" spans="1:15" ht="15.75" hidden="1" x14ac:dyDescent="0.25">
      <c r="A600" s="1" t="str">
        <f t="shared" si="32"/>
        <v>4410644110306.45MASTER CCGROCERYFFC</v>
      </c>
      <c r="B600" s="2">
        <v>44106</v>
      </c>
      <c r="C600" s="2">
        <v>44110</v>
      </c>
      <c r="D600" s="3" t="s">
        <v>803</v>
      </c>
      <c r="E600" s="3">
        <v>306.45</v>
      </c>
      <c r="F600" s="3">
        <v>1</v>
      </c>
      <c r="G600" s="3">
        <f t="shared" si="31"/>
        <v>306.45</v>
      </c>
      <c r="H600" s="3" t="s">
        <v>291</v>
      </c>
      <c r="I600" s="1" t="s">
        <v>43</v>
      </c>
      <c r="J600" s="1" t="s">
        <v>96</v>
      </c>
      <c r="K600" s="1" t="s">
        <v>298</v>
      </c>
      <c r="L600" s="1" t="s">
        <v>267</v>
      </c>
      <c r="M600" s="1"/>
      <c r="N600" s="1">
        <f t="shared" si="33"/>
        <v>10</v>
      </c>
      <c r="O600" s="65"/>
    </row>
    <row r="601" spans="1:15" ht="15.75" hidden="1" x14ac:dyDescent="0.25">
      <c r="A601" s="1" t="str">
        <f t="shared" si="32"/>
        <v>44106441088MASTER CCTRANSPORTCAREEM</v>
      </c>
      <c r="B601" s="2">
        <v>44106</v>
      </c>
      <c r="C601" s="2">
        <v>44108</v>
      </c>
      <c r="D601" s="3" t="s">
        <v>802</v>
      </c>
      <c r="E601" s="3">
        <v>8</v>
      </c>
      <c r="F601" s="3">
        <v>1</v>
      </c>
      <c r="G601" s="3">
        <f t="shared" si="31"/>
        <v>8</v>
      </c>
      <c r="H601" s="3" t="s">
        <v>291</v>
      </c>
      <c r="I601" s="1" t="s">
        <v>296</v>
      </c>
      <c r="J601" s="1" t="s">
        <v>297</v>
      </c>
      <c r="K601" s="1" t="s">
        <v>298</v>
      </c>
      <c r="L601" s="1" t="s">
        <v>267</v>
      </c>
      <c r="M601" s="1"/>
      <c r="N601" s="1">
        <f t="shared" si="33"/>
        <v>10</v>
      </c>
      <c r="O601" s="65"/>
    </row>
    <row r="602" spans="1:15" ht="15.75" hidden="1" x14ac:dyDescent="0.25">
      <c r="A602" s="1" t="str">
        <f t="shared" si="32"/>
        <v>441064410812MASTER CCTRANSPORTCAREEM</v>
      </c>
      <c r="B602" s="2">
        <v>44106</v>
      </c>
      <c r="C602" s="2">
        <v>44108</v>
      </c>
      <c r="D602" s="3" t="s">
        <v>804</v>
      </c>
      <c r="E602" s="3">
        <v>12</v>
      </c>
      <c r="F602" s="3">
        <v>1</v>
      </c>
      <c r="G602" s="3">
        <f t="shared" si="31"/>
        <v>12</v>
      </c>
      <c r="H602" s="3" t="s">
        <v>291</v>
      </c>
      <c r="I602" s="1" t="s">
        <v>296</v>
      </c>
      <c r="J602" s="1" t="s">
        <v>297</v>
      </c>
      <c r="K602" s="1" t="s">
        <v>298</v>
      </c>
      <c r="L602" s="1" t="s">
        <v>267</v>
      </c>
      <c r="M602" s="1"/>
      <c r="N602" s="1">
        <f t="shared" si="33"/>
        <v>10</v>
      </c>
      <c r="O602" s="65"/>
    </row>
    <row r="603" spans="1:15" ht="15.75" hidden="1" x14ac:dyDescent="0.25">
      <c r="A603" s="1" t="str">
        <f t="shared" si="32"/>
        <v>441074410861DINERSGROCERYPICK-N-PACK</v>
      </c>
      <c r="B603" s="2">
        <v>44107</v>
      </c>
      <c r="C603" s="2">
        <v>44108</v>
      </c>
      <c r="D603" s="3" t="s">
        <v>796</v>
      </c>
      <c r="E603" s="3">
        <v>61</v>
      </c>
      <c r="F603" s="3">
        <v>1</v>
      </c>
      <c r="G603" s="3">
        <f t="shared" si="31"/>
        <v>61</v>
      </c>
      <c r="H603" s="3" t="s">
        <v>266</v>
      </c>
      <c r="I603" s="1" t="s">
        <v>43</v>
      </c>
      <c r="J603" s="1" t="s">
        <v>222</v>
      </c>
      <c r="K603" s="1" t="s">
        <v>298</v>
      </c>
      <c r="L603" s="1" t="s">
        <v>267</v>
      </c>
      <c r="M603" s="1"/>
      <c r="N603" s="1">
        <f t="shared" si="33"/>
        <v>10</v>
      </c>
      <c r="O603" s="87"/>
    </row>
    <row r="604" spans="1:15" ht="15.75" hidden="1" x14ac:dyDescent="0.25">
      <c r="A604" s="1" t="str">
        <f t="shared" si="32"/>
        <v>441074411060MASTER CCTELECOMOOREDOO</v>
      </c>
      <c r="B604" s="2">
        <v>44107</v>
      </c>
      <c r="C604" s="2">
        <v>44110</v>
      </c>
      <c r="D604" s="3" t="s">
        <v>801</v>
      </c>
      <c r="E604" s="3">
        <v>60</v>
      </c>
      <c r="F604" s="3">
        <v>1</v>
      </c>
      <c r="G604" s="3">
        <f t="shared" si="31"/>
        <v>60</v>
      </c>
      <c r="H604" s="3" t="s">
        <v>291</v>
      </c>
      <c r="I604" s="1" t="s">
        <v>58</v>
      </c>
      <c r="J604" s="1" t="s">
        <v>59</v>
      </c>
      <c r="K604" s="1" t="s">
        <v>298</v>
      </c>
      <c r="L604" s="1" t="s">
        <v>267</v>
      </c>
      <c r="M604" s="1"/>
      <c r="N604" s="1">
        <f t="shared" si="33"/>
        <v>10</v>
      </c>
      <c r="O604" s="65"/>
    </row>
    <row r="605" spans="1:15" ht="15.75" hidden="1" x14ac:dyDescent="0.25">
      <c r="A605" s="1" t="str">
        <f t="shared" si="32"/>
        <v>441084411127MASTER CCFOODQATAR AIR</v>
      </c>
      <c r="B605" s="2">
        <v>44108</v>
      </c>
      <c r="C605" s="2">
        <v>44111</v>
      </c>
      <c r="D605" s="3" t="s">
        <v>800</v>
      </c>
      <c r="E605" s="3">
        <v>27</v>
      </c>
      <c r="F605" s="3">
        <v>1</v>
      </c>
      <c r="G605" s="3">
        <f t="shared" si="31"/>
        <v>27</v>
      </c>
      <c r="H605" s="3" t="s">
        <v>291</v>
      </c>
      <c r="I605" s="1" t="s">
        <v>10</v>
      </c>
      <c r="J605" s="1" t="s">
        <v>19</v>
      </c>
      <c r="K605" s="1" t="s">
        <v>298</v>
      </c>
      <c r="L605" s="1" t="s">
        <v>267</v>
      </c>
      <c r="M605" s="1"/>
      <c r="N605" s="1">
        <f t="shared" si="33"/>
        <v>10</v>
      </c>
      <c r="O605" s="65"/>
    </row>
    <row r="606" spans="1:15" ht="15.75" hidden="1" x14ac:dyDescent="0.25">
      <c r="A606" s="1" t="str">
        <f t="shared" si="32"/>
        <v>44108441084CURRENTSERVICEBANK</v>
      </c>
      <c r="B606" s="2">
        <v>44108</v>
      </c>
      <c r="C606" s="2">
        <v>44108</v>
      </c>
      <c r="D606" s="3" t="s">
        <v>794</v>
      </c>
      <c r="E606" s="3">
        <v>-4</v>
      </c>
      <c r="F606" s="3">
        <v>1</v>
      </c>
      <c r="G606" s="3">
        <f t="shared" si="31"/>
        <v>4</v>
      </c>
      <c r="H606" s="3" t="s">
        <v>293</v>
      </c>
      <c r="I606" s="1" t="s">
        <v>7</v>
      </c>
      <c r="J606" s="1" t="s">
        <v>8</v>
      </c>
      <c r="K606" s="1" t="s">
        <v>298</v>
      </c>
      <c r="L606" s="1" t="s">
        <v>257</v>
      </c>
      <c r="M606" s="1"/>
      <c r="N606" s="1">
        <f t="shared" si="33"/>
        <v>10</v>
      </c>
      <c r="O606" s="65"/>
    </row>
    <row r="607" spans="1:15" ht="15.75" hidden="1" x14ac:dyDescent="0.25">
      <c r="A607" s="1" t="str">
        <f t="shared" si="32"/>
        <v>44108441084125CURRENTRENTCAP ONE</v>
      </c>
      <c r="B607" s="2">
        <v>44108</v>
      </c>
      <c r="C607" s="2">
        <v>44108</v>
      </c>
      <c r="D607" s="3" t="s">
        <v>793</v>
      </c>
      <c r="E607" s="3">
        <v>-4125</v>
      </c>
      <c r="F607" s="3">
        <v>1</v>
      </c>
      <c r="G607" s="3">
        <f t="shared" si="31"/>
        <v>4125</v>
      </c>
      <c r="H607" s="3" t="s">
        <v>293</v>
      </c>
      <c r="I607" s="1" t="s">
        <v>83</v>
      </c>
      <c r="J607" s="1" t="s">
        <v>84</v>
      </c>
      <c r="K607" s="1" t="s">
        <v>298</v>
      </c>
      <c r="L607" s="1" t="s">
        <v>257</v>
      </c>
      <c r="M607" s="1"/>
      <c r="N607" s="1">
        <f t="shared" si="33"/>
        <v>10</v>
      </c>
      <c r="O607" s="65"/>
    </row>
    <row r="608" spans="1:15" ht="15.75" hidden="1" x14ac:dyDescent="0.25">
      <c r="A608" s="1" t="str">
        <f t="shared" si="32"/>
        <v>441084410916.25DINERSGROCERYPICK-N-PACK</v>
      </c>
      <c r="B608" s="2">
        <v>44108</v>
      </c>
      <c r="C608" s="2">
        <v>44109</v>
      </c>
      <c r="D608" s="3" t="s">
        <v>795</v>
      </c>
      <c r="E608" s="3">
        <v>16.25</v>
      </c>
      <c r="F608" s="3">
        <v>1</v>
      </c>
      <c r="G608" s="3">
        <f t="shared" si="31"/>
        <v>16.25</v>
      </c>
      <c r="H608" s="3" t="s">
        <v>266</v>
      </c>
      <c r="I608" s="1" t="s">
        <v>43</v>
      </c>
      <c r="J608" s="1" t="s">
        <v>222</v>
      </c>
      <c r="K608" s="1" t="s">
        <v>298</v>
      </c>
      <c r="L608" s="1" t="s">
        <v>267</v>
      </c>
      <c r="M608" s="1"/>
      <c r="N608" s="1">
        <f t="shared" si="33"/>
        <v>10</v>
      </c>
      <c r="O608" s="87"/>
    </row>
    <row r="609" spans="1:15" ht="15.75" hidden="1" x14ac:dyDescent="0.25">
      <c r="A609" s="1" t="str">
        <f t="shared" si="32"/>
        <v>4410944109500CURRENTWITHDRAWSELF</v>
      </c>
      <c r="B609" s="2">
        <v>44109</v>
      </c>
      <c r="C609" s="2">
        <v>44109</v>
      </c>
      <c r="D609" s="3" t="s">
        <v>792</v>
      </c>
      <c r="E609" s="3">
        <v>-500</v>
      </c>
      <c r="F609" s="3">
        <v>1</v>
      </c>
      <c r="G609" s="3">
        <f t="shared" si="31"/>
        <v>500</v>
      </c>
      <c r="H609" s="3" t="s">
        <v>293</v>
      </c>
      <c r="I609" s="1" t="s">
        <v>13</v>
      </c>
      <c r="J609" s="1" t="s">
        <v>14</v>
      </c>
      <c r="K609" s="1" t="s">
        <v>298</v>
      </c>
      <c r="L609" s="1" t="s">
        <v>257</v>
      </c>
      <c r="M609" s="1"/>
      <c r="N609" s="1">
        <f t="shared" si="33"/>
        <v>10</v>
      </c>
      <c r="O609" s="65"/>
    </row>
    <row r="610" spans="1:15" ht="15.75" hidden="1" x14ac:dyDescent="0.25">
      <c r="A610" s="1" t="str">
        <f t="shared" si="32"/>
        <v>44109441091250CURRENTSAVINGSELF</v>
      </c>
      <c r="B610" s="2">
        <v>44109</v>
      </c>
      <c r="C610" s="2">
        <v>44109</v>
      </c>
      <c r="D610" s="3" t="s">
        <v>333</v>
      </c>
      <c r="E610" s="3">
        <v>-1250</v>
      </c>
      <c r="F610" s="3">
        <v>1</v>
      </c>
      <c r="G610" s="3">
        <f t="shared" si="31"/>
        <v>1250</v>
      </c>
      <c r="H610" s="3" t="s">
        <v>293</v>
      </c>
      <c r="I610" s="1" t="s">
        <v>302</v>
      </c>
      <c r="J610" s="1" t="s">
        <v>14</v>
      </c>
      <c r="K610" s="1" t="s">
        <v>298</v>
      </c>
      <c r="L610" s="1" t="s">
        <v>257</v>
      </c>
      <c r="M610" s="1"/>
      <c r="N610" s="1">
        <f t="shared" si="33"/>
        <v>10</v>
      </c>
      <c r="O610" s="65"/>
    </row>
    <row r="611" spans="1:15" ht="15.75" hidden="1" x14ac:dyDescent="0.25">
      <c r="A611" s="1" t="str">
        <f t="shared" si="32"/>
        <v>441114411350MASTER CCTRANSPORTMETRO</v>
      </c>
      <c r="B611" s="2">
        <v>44111</v>
      </c>
      <c r="C611" s="2">
        <v>44113</v>
      </c>
      <c r="D611" s="3" t="s">
        <v>799</v>
      </c>
      <c r="E611" s="3">
        <v>50</v>
      </c>
      <c r="F611" s="3">
        <v>1</v>
      </c>
      <c r="G611" s="3">
        <f t="shared" si="31"/>
        <v>50</v>
      </c>
      <c r="H611" s="3" t="s">
        <v>291</v>
      </c>
      <c r="I611" s="1" t="s">
        <v>296</v>
      </c>
      <c r="J611" s="1" t="s">
        <v>759</v>
      </c>
      <c r="K611" s="1" t="s">
        <v>298</v>
      </c>
      <c r="L611" s="1" t="s">
        <v>267</v>
      </c>
      <c r="M611" s="1"/>
      <c r="N611" s="1">
        <f t="shared" si="33"/>
        <v>10</v>
      </c>
      <c r="O611" s="65"/>
    </row>
    <row r="612" spans="1:15" ht="15.75" hidden="1" x14ac:dyDescent="0.25">
      <c r="A612" s="1" t="str">
        <f t="shared" si="32"/>
        <v>441124411220252SAVINGTRANSFERINDIA</v>
      </c>
      <c r="B612" s="2">
        <v>44112</v>
      </c>
      <c r="C612" s="2">
        <v>44112</v>
      </c>
      <c r="D612" s="3" t="s">
        <v>791</v>
      </c>
      <c r="E612" s="3">
        <v>-20252</v>
      </c>
      <c r="F612" s="3">
        <v>1</v>
      </c>
      <c r="G612" s="3">
        <f t="shared" si="31"/>
        <v>20252</v>
      </c>
      <c r="H612" s="3" t="s">
        <v>302</v>
      </c>
      <c r="I612" s="1" t="s">
        <v>22</v>
      </c>
      <c r="J612" s="1" t="s">
        <v>23</v>
      </c>
      <c r="K612" s="1" t="s">
        <v>22</v>
      </c>
      <c r="L612" s="1" t="s">
        <v>257</v>
      </c>
      <c r="M612" s="1"/>
      <c r="N612" s="1">
        <f t="shared" si="33"/>
        <v>10</v>
      </c>
      <c r="O612" s="65"/>
    </row>
    <row r="613" spans="1:15" ht="15.75" hidden="1" x14ac:dyDescent="0.25">
      <c r="A613" s="1" t="str">
        <f t="shared" si="32"/>
        <v>441134411710.92DINERSTRANSPORTUBER</v>
      </c>
      <c r="B613" s="2">
        <v>44113</v>
      </c>
      <c r="C613" s="2">
        <v>44117</v>
      </c>
      <c r="D613" s="3" t="s">
        <v>817</v>
      </c>
      <c r="E613" s="3">
        <v>10.92</v>
      </c>
      <c r="F613" s="3">
        <v>1</v>
      </c>
      <c r="G613" s="3">
        <f t="shared" si="31"/>
        <v>10.92</v>
      </c>
      <c r="H613" s="3" t="s">
        <v>266</v>
      </c>
      <c r="I613" s="1" t="s">
        <v>296</v>
      </c>
      <c r="J613" s="1" t="s">
        <v>299</v>
      </c>
      <c r="K613" s="1" t="s">
        <v>298</v>
      </c>
      <c r="L613" s="1" t="s">
        <v>267</v>
      </c>
      <c r="M613" s="1"/>
      <c r="N613" s="1">
        <f t="shared" si="33"/>
        <v>10</v>
      </c>
      <c r="O613" s="87"/>
    </row>
    <row r="614" spans="1:15" ht="15.75" hidden="1" x14ac:dyDescent="0.25">
      <c r="A614" s="1" t="str">
        <f t="shared" si="32"/>
        <v>4411344114282DINERSGROCERYLULU</v>
      </c>
      <c r="B614" s="2">
        <v>44113</v>
      </c>
      <c r="C614" s="2">
        <v>44114</v>
      </c>
      <c r="D614" s="3" t="s">
        <v>818</v>
      </c>
      <c r="E614" s="3">
        <v>282</v>
      </c>
      <c r="F614" s="3">
        <v>1</v>
      </c>
      <c r="G614" s="3">
        <f t="shared" si="31"/>
        <v>282</v>
      </c>
      <c r="H614" s="3" t="s">
        <v>266</v>
      </c>
      <c r="I614" s="1" t="s">
        <v>43</v>
      </c>
      <c r="J614" s="1" t="s">
        <v>44</v>
      </c>
      <c r="K614" s="1" t="s">
        <v>298</v>
      </c>
      <c r="L614" s="1" t="s">
        <v>267</v>
      </c>
      <c r="M614" s="1"/>
      <c r="N614" s="1">
        <f t="shared" si="33"/>
        <v>10</v>
      </c>
      <c r="O614" s="87"/>
    </row>
    <row r="615" spans="1:15" ht="15.75" hidden="1" x14ac:dyDescent="0.25">
      <c r="A615" s="1" t="str">
        <f t="shared" si="32"/>
        <v>441134411511MASTER CCTRANSPORTCAREEM</v>
      </c>
      <c r="B615" s="2">
        <v>44113</v>
      </c>
      <c r="C615" s="2">
        <v>44115</v>
      </c>
      <c r="D615" s="3" t="s">
        <v>798</v>
      </c>
      <c r="E615" s="3">
        <v>11</v>
      </c>
      <c r="F615" s="3">
        <v>1</v>
      </c>
      <c r="G615" s="3">
        <f t="shared" si="31"/>
        <v>11</v>
      </c>
      <c r="H615" s="3" t="s">
        <v>291</v>
      </c>
      <c r="I615" s="1" t="s">
        <v>296</v>
      </c>
      <c r="J615" s="1" t="s">
        <v>297</v>
      </c>
      <c r="K615" s="1" t="s">
        <v>298</v>
      </c>
      <c r="L615" s="1" t="s">
        <v>267</v>
      </c>
      <c r="M615" s="1"/>
      <c r="N615" s="1">
        <f t="shared" si="33"/>
        <v>10</v>
      </c>
      <c r="O615" s="65"/>
    </row>
    <row r="616" spans="1:15" ht="15.75" hidden="1" x14ac:dyDescent="0.25">
      <c r="A616" s="1" t="str">
        <f t="shared" si="32"/>
        <v>441134411514MASTER CCTRANSPORTCAREEM</v>
      </c>
      <c r="B616" s="2">
        <v>44113</v>
      </c>
      <c r="C616" s="2">
        <v>44115</v>
      </c>
      <c r="D616" s="3" t="s">
        <v>797</v>
      </c>
      <c r="E616" s="3">
        <v>14</v>
      </c>
      <c r="F616" s="3">
        <v>1</v>
      </c>
      <c r="G616" s="3">
        <f t="shared" si="31"/>
        <v>14</v>
      </c>
      <c r="H616" s="3" t="s">
        <v>291</v>
      </c>
      <c r="I616" s="1" t="s">
        <v>296</v>
      </c>
      <c r="J616" s="1" t="s">
        <v>297</v>
      </c>
      <c r="K616" s="1" t="s">
        <v>298</v>
      </c>
      <c r="L616" s="1" t="s">
        <v>267</v>
      </c>
      <c r="M616" s="1"/>
      <c r="N616" s="1">
        <f t="shared" si="33"/>
        <v>10</v>
      </c>
      <c r="O616" s="65"/>
    </row>
    <row r="617" spans="1:15" ht="15.75" hidden="1" x14ac:dyDescent="0.25">
      <c r="A617" s="1" t="str">
        <f t="shared" si="32"/>
        <v>44114441178.58DINERSTRANSPORTUBER</v>
      </c>
      <c r="B617" s="2">
        <v>44114</v>
      </c>
      <c r="C617" s="2">
        <v>44117</v>
      </c>
      <c r="D617" s="3" t="s">
        <v>815</v>
      </c>
      <c r="E617" s="3">
        <v>8.58</v>
      </c>
      <c r="F617" s="3">
        <v>1</v>
      </c>
      <c r="G617" s="3">
        <f t="shared" si="31"/>
        <v>8.58</v>
      </c>
      <c r="H617" s="3" t="s">
        <v>266</v>
      </c>
      <c r="I617" s="1" t="s">
        <v>296</v>
      </c>
      <c r="J617" s="1" t="s">
        <v>299</v>
      </c>
      <c r="K617" s="1" t="s">
        <v>298</v>
      </c>
      <c r="L617" s="1" t="s">
        <v>267</v>
      </c>
      <c r="M617" s="1"/>
      <c r="N617" s="1">
        <f t="shared" si="33"/>
        <v>10</v>
      </c>
      <c r="O617" s="87"/>
    </row>
    <row r="618" spans="1:15" ht="15.75" hidden="1" x14ac:dyDescent="0.25">
      <c r="A618" s="1" t="str">
        <f t="shared" si="32"/>
        <v>44114441179.87DINERSTRANSPORTUBER</v>
      </c>
      <c r="B618" s="2">
        <v>44114</v>
      </c>
      <c r="C618" s="2">
        <v>44117</v>
      </c>
      <c r="D618" s="3" t="s">
        <v>814</v>
      </c>
      <c r="E618" s="3">
        <v>9.8699999999999992</v>
      </c>
      <c r="F618" s="3">
        <v>1</v>
      </c>
      <c r="G618" s="3">
        <f t="shared" si="31"/>
        <v>9.8699999999999992</v>
      </c>
      <c r="H618" s="3" t="s">
        <v>266</v>
      </c>
      <c r="I618" s="1" t="s">
        <v>296</v>
      </c>
      <c r="J618" s="1" t="s">
        <v>299</v>
      </c>
      <c r="K618" s="1" t="s">
        <v>298</v>
      </c>
      <c r="L618" s="1" t="s">
        <v>267</v>
      </c>
      <c r="M618" s="1"/>
      <c r="N618" s="1">
        <f t="shared" si="33"/>
        <v>10</v>
      </c>
      <c r="O618" s="87"/>
    </row>
    <row r="619" spans="1:15" ht="15.75" hidden="1" x14ac:dyDescent="0.25">
      <c r="A619" s="1" t="str">
        <f t="shared" si="32"/>
        <v>441144411531DINERSGROCERYPICK-N-PACK</v>
      </c>
      <c r="B619" s="2">
        <v>44114</v>
      </c>
      <c r="C619" s="2">
        <v>44115</v>
      </c>
      <c r="D619" s="3" t="s">
        <v>816</v>
      </c>
      <c r="E619" s="3">
        <v>31</v>
      </c>
      <c r="F619" s="3">
        <v>1</v>
      </c>
      <c r="G619" s="3">
        <f t="shared" si="31"/>
        <v>31</v>
      </c>
      <c r="H619" s="3" t="s">
        <v>266</v>
      </c>
      <c r="I619" s="1" t="s">
        <v>43</v>
      </c>
      <c r="J619" s="1" t="s">
        <v>222</v>
      </c>
      <c r="K619" s="1" t="s">
        <v>298</v>
      </c>
      <c r="L619" s="1" t="s">
        <v>267</v>
      </c>
      <c r="M619" s="1"/>
      <c r="N619" s="1">
        <f t="shared" si="33"/>
        <v>10</v>
      </c>
      <c r="O619" s="87"/>
    </row>
    <row r="620" spans="1:15" ht="15.75" hidden="1" x14ac:dyDescent="0.25">
      <c r="A620" s="1" t="str">
        <f t="shared" si="32"/>
        <v>44115441151268.5CURRENTTRANSFERINDIA</v>
      </c>
      <c r="B620" s="2">
        <v>44115</v>
      </c>
      <c r="C620" s="2">
        <v>44115</v>
      </c>
      <c r="D620" s="3" t="s">
        <v>694</v>
      </c>
      <c r="E620" s="3">
        <v>-1268.5</v>
      </c>
      <c r="F620" s="3">
        <v>1</v>
      </c>
      <c r="G620" s="3">
        <f t="shared" si="31"/>
        <v>1268.5</v>
      </c>
      <c r="H620" s="3" t="s">
        <v>293</v>
      </c>
      <c r="I620" s="1" t="s">
        <v>22</v>
      </c>
      <c r="J620" s="1" t="s">
        <v>23</v>
      </c>
      <c r="K620" s="1" t="s">
        <v>298</v>
      </c>
      <c r="L620" s="1" t="s">
        <v>257</v>
      </c>
      <c r="M620" s="1"/>
      <c r="N620" s="1">
        <f t="shared" si="33"/>
        <v>10</v>
      </c>
      <c r="O620" s="65"/>
    </row>
    <row r="621" spans="1:15" ht="15.75" hidden="1" x14ac:dyDescent="0.25">
      <c r="A621" s="1" t="str">
        <f t="shared" si="32"/>
        <v>441154411613.5DINERSGROCERYPICK-N-PACK</v>
      </c>
      <c r="B621" s="2">
        <v>44115</v>
      </c>
      <c r="C621" s="2">
        <v>44116</v>
      </c>
      <c r="D621" s="3" t="s">
        <v>813</v>
      </c>
      <c r="E621" s="3">
        <v>13.5</v>
      </c>
      <c r="F621" s="3">
        <v>1</v>
      </c>
      <c r="G621" s="3">
        <f t="shared" si="31"/>
        <v>13.5</v>
      </c>
      <c r="H621" s="3" t="s">
        <v>266</v>
      </c>
      <c r="I621" s="1" t="s">
        <v>43</v>
      </c>
      <c r="J621" s="1" t="s">
        <v>222</v>
      </c>
      <c r="K621" s="1" t="s">
        <v>298</v>
      </c>
      <c r="L621" s="1" t="s">
        <v>267</v>
      </c>
      <c r="M621" s="1"/>
      <c r="N621" s="1">
        <f t="shared" si="33"/>
        <v>10</v>
      </c>
      <c r="O621" s="87"/>
    </row>
    <row r="622" spans="1:15" ht="15.75" hidden="1" x14ac:dyDescent="0.25">
      <c r="A622" s="1" t="str">
        <f t="shared" si="32"/>
        <v>44116441195MASTER CCFOODQATAR AIR</v>
      </c>
      <c r="B622" s="2">
        <v>44116</v>
      </c>
      <c r="C622" s="2">
        <v>44119</v>
      </c>
      <c r="D622" s="3" t="s">
        <v>821</v>
      </c>
      <c r="E622" s="3">
        <v>5</v>
      </c>
      <c r="F622" s="3">
        <v>1</v>
      </c>
      <c r="G622" s="3">
        <f t="shared" si="31"/>
        <v>5</v>
      </c>
      <c r="H622" s="3" t="s">
        <v>291</v>
      </c>
      <c r="I622" s="1" t="s">
        <v>10</v>
      </c>
      <c r="J622" s="1" t="s">
        <v>19</v>
      </c>
      <c r="K622" s="1" t="s">
        <v>298</v>
      </c>
      <c r="L622" s="1" t="s">
        <v>267</v>
      </c>
      <c r="M622" s="1"/>
      <c r="N622" s="1">
        <f t="shared" si="33"/>
        <v>10</v>
      </c>
      <c r="O622" s="65"/>
    </row>
    <row r="623" spans="1:15" ht="15.75" hidden="1" x14ac:dyDescent="0.25">
      <c r="A623" s="1" t="str">
        <f t="shared" si="32"/>
        <v>441164411950MASTER CCFOODQATAR AIR</v>
      </c>
      <c r="B623" s="2">
        <v>44116</v>
      </c>
      <c r="C623" s="2">
        <v>44119</v>
      </c>
      <c r="D623" s="3" t="s">
        <v>822</v>
      </c>
      <c r="E623" s="3">
        <v>50</v>
      </c>
      <c r="F623" s="3">
        <v>1</v>
      </c>
      <c r="G623" s="3">
        <f t="shared" si="31"/>
        <v>50</v>
      </c>
      <c r="H623" s="3" t="s">
        <v>291</v>
      </c>
      <c r="I623" s="1" t="s">
        <v>10</v>
      </c>
      <c r="J623" s="1" t="s">
        <v>19</v>
      </c>
      <c r="K623" s="1" t="s">
        <v>298</v>
      </c>
      <c r="L623" s="1" t="s">
        <v>267</v>
      </c>
      <c r="M623" s="1"/>
      <c r="N623" s="1">
        <f t="shared" si="33"/>
        <v>10</v>
      </c>
      <c r="O623" s="65"/>
    </row>
    <row r="624" spans="1:15" ht="15.75" hidden="1" x14ac:dyDescent="0.25">
      <c r="A624" s="1" t="str">
        <f t="shared" si="32"/>
        <v>441174411832.25DINERSGROCERYPICK-N-PACK</v>
      </c>
      <c r="B624" s="2">
        <v>44117</v>
      </c>
      <c r="C624" s="2">
        <v>44118</v>
      </c>
      <c r="D624" s="3" t="s">
        <v>812</v>
      </c>
      <c r="E624" s="3">
        <v>32.25</v>
      </c>
      <c r="F624" s="3">
        <v>1</v>
      </c>
      <c r="G624" s="3">
        <f t="shared" si="31"/>
        <v>32.25</v>
      </c>
      <c r="H624" s="3" t="s">
        <v>266</v>
      </c>
      <c r="I624" s="1" t="s">
        <v>43</v>
      </c>
      <c r="J624" s="1" t="s">
        <v>222</v>
      </c>
      <c r="K624" s="1" t="s">
        <v>298</v>
      </c>
      <c r="L624" s="1" t="s">
        <v>267</v>
      </c>
      <c r="M624" s="1"/>
      <c r="N624" s="1">
        <f t="shared" si="33"/>
        <v>10</v>
      </c>
      <c r="O624" s="87"/>
    </row>
    <row r="625" spans="1:15" ht="15.75" hidden="1" x14ac:dyDescent="0.25">
      <c r="A625" s="1" t="str">
        <f t="shared" si="32"/>
        <v>441184411920DINERSGROCERYPICK-N-PACK</v>
      </c>
      <c r="B625" s="2">
        <v>44118</v>
      </c>
      <c r="C625" s="2">
        <v>44119</v>
      </c>
      <c r="D625" s="3" t="s">
        <v>811</v>
      </c>
      <c r="E625" s="3">
        <v>20</v>
      </c>
      <c r="F625" s="3">
        <v>1</v>
      </c>
      <c r="G625" s="3">
        <f t="shared" si="31"/>
        <v>20</v>
      </c>
      <c r="H625" s="3" t="s">
        <v>266</v>
      </c>
      <c r="I625" s="1" t="s">
        <v>43</v>
      </c>
      <c r="J625" s="1" t="s">
        <v>222</v>
      </c>
      <c r="K625" s="1" t="s">
        <v>298</v>
      </c>
      <c r="L625" s="1" t="s">
        <v>267</v>
      </c>
      <c r="M625" s="1"/>
      <c r="N625" s="1">
        <f t="shared" si="33"/>
        <v>10</v>
      </c>
      <c r="O625" s="87"/>
    </row>
    <row r="626" spans="1:15" ht="15.75" hidden="1" x14ac:dyDescent="0.25">
      <c r="A626" s="1" t="str">
        <f t="shared" si="32"/>
        <v>4411944120161.05DINERSGROCERYLULU</v>
      </c>
      <c r="B626" s="2">
        <v>44119</v>
      </c>
      <c r="C626" s="2">
        <v>44120</v>
      </c>
      <c r="D626" s="3" t="s">
        <v>810</v>
      </c>
      <c r="E626" s="3">
        <v>161.05000000000001</v>
      </c>
      <c r="F626" s="3">
        <v>1</v>
      </c>
      <c r="G626" s="3">
        <f t="shared" si="31"/>
        <v>161.05000000000001</v>
      </c>
      <c r="H626" s="3" t="s">
        <v>266</v>
      </c>
      <c r="I626" s="1" t="s">
        <v>43</v>
      </c>
      <c r="J626" s="1" t="s">
        <v>44</v>
      </c>
      <c r="K626" s="1" t="s">
        <v>298</v>
      </c>
      <c r="L626" s="1" t="s">
        <v>267</v>
      </c>
      <c r="M626" s="1"/>
      <c r="N626" s="1">
        <f t="shared" si="33"/>
        <v>10</v>
      </c>
      <c r="O626" s="87"/>
    </row>
    <row r="627" spans="1:15" ht="15.75" hidden="1" x14ac:dyDescent="0.25">
      <c r="A627" s="1" t="str">
        <f t="shared" si="32"/>
        <v>44119441218MASTER CCTRANSPORTCAREEM</v>
      </c>
      <c r="B627" s="2">
        <v>44119</v>
      </c>
      <c r="C627" s="2">
        <v>44121</v>
      </c>
      <c r="D627" s="3" t="s">
        <v>820</v>
      </c>
      <c r="E627" s="3">
        <v>8</v>
      </c>
      <c r="F627" s="3">
        <v>1</v>
      </c>
      <c r="G627" s="3">
        <f t="shared" si="31"/>
        <v>8</v>
      </c>
      <c r="H627" s="3" t="s">
        <v>291</v>
      </c>
      <c r="I627" s="1" t="s">
        <v>296</v>
      </c>
      <c r="J627" s="1" t="s">
        <v>297</v>
      </c>
      <c r="K627" s="1" t="s">
        <v>298</v>
      </c>
      <c r="L627" s="1" t="s">
        <v>267</v>
      </c>
      <c r="M627" s="1"/>
      <c r="N627" s="1">
        <f t="shared" si="33"/>
        <v>10</v>
      </c>
      <c r="O627" s="65"/>
    </row>
    <row r="628" spans="1:15" ht="15.75" hidden="1" x14ac:dyDescent="0.25">
      <c r="A628" s="1" t="str">
        <f t="shared" si="32"/>
        <v>441204412411.34DINERSTRANSPORTUBER</v>
      </c>
      <c r="B628" s="2">
        <v>44120</v>
      </c>
      <c r="C628" s="2">
        <v>44124</v>
      </c>
      <c r="D628" s="3" t="s">
        <v>809</v>
      </c>
      <c r="E628" s="3">
        <v>11.34</v>
      </c>
      <c r="F628" s="3">
        <v>1</v>
      </c>
      <c r="G628" s="3">
        <f t="shared" si="31"/>
        <v>11.34</v>
      </c>
      <c r="H628" s="3" t="s">
        <v>266</v>
      </c>
      <c r="I628" s="1" t="s">
        <v>296</v>
      </c>
      <c r="J628" s="1" t="s">
        <v>299</v>
      </c>
      <c r="K628" s="1" t="s">
        <v>298</v>
      </c>
      <c r="L628" s="1" t="s">
        <v>267</v>
      </c>
      <c r="M628" s="1"/>
      <c r="N628" s="1">
        <f t="shared" si="33"/>
        <v>10</v>
      </c>
      <c r="O628" s="87"/>
    </row>
    <row r="629" spans="1:15" ht="15.75" hidden="1" x14ac:dyDescent="0.25">
      <c r="A629" s="1" t="str">
        <f t="shared" si="32"/>
        <v>441214412233.5DINERSGROCERYPICK-N-PACK</v>
      </c>
      <c r="B629" s="2">
        <v>44121</v>
      </c>
      <c r="C629" s="2">
        <v>44122</v>
      </c>
      <c r="D629" s="3" t="s">
        <v>807</v>
      </c>
      <c r="E629" s="3">
        <v>33.5</v>
      </c>
      <c r="F629" s="3">
        <v>1</v>
      </c>
      <c r="G629" s="3">
        <f t="shared" si="31"/>
        <v>33.5</v>
      </c>
      <c r="H629" s="3" t="s">
        <v>266</v>
      </c>
      <c r="I629" s="1" t="s">
        <v>43</v>
      </c>
      <c r="J629" s="1" t="s">
        <v>222</v>
      </c>
      <c r="K629" s="1" t="s">
        <v>298</v>
      </c>
      <c r="L629" s="1" t="s">
        <v>267</v>
      </c>
      <c r="M629" s="1"/>
      <c r="N629" s="1">
        <f t="shared" si="33"/>
        <v>10</v>
      </c>
      <c r="O629" s="87"/>
    </row>
    <row r="630" spans="1:15" ht="15.75" hidden="1" x14ac:dyDescent="0.25">
      <c r="A630" s="1" t="str">
        <f t="shared" si="32"/>
        <v>441214412274.3DINERSGROCERYLULU</v>
      </c>
      <c r="B630" s="2">
        <v>44121</v>
      </c>
      <c r="C630" s="2">
        <v>44122</v>
      </c>
      <c r="D630" s="3" t="s">
        <v>808</v>
      </c>
      <c r="E630" s="3">
        <v>74.3</v>
      </c>
      <c r="F630" s="3">
        <v>1</v>
      </c>
      <c r="G630" s="3">
        <f t="shared" si="31"/>
        <v>74.3</v>
      </c>
      <c r="H630" s="3" t="s">
        <v>266</v>
      </c>
      <c r="I630" s="1" t="s">
        <v>43</v>
      </c>
      <c r="J630" s="1" t="s">
        <v>44</v>
      </c>
      <c r="K630" s="1" t="s">
        <v>298</v>
      </c>
      <c r="L630" s="1" t="s">
        <v>267</v>
      </c>
      <c r="M630" s="1"/>
      <c r="N630" s="1">
        <f t="shared" si="33"/>
        <v>10</v>
      </c>
      <c r="O630" s="87"/>
    </row>
    <row r="631" spans="1:15" ht="15.75" hidden="1" x14ac:dyDescent="0.25">
      <c r="A631" s="1" t="str">
        <f t="shared" si="32"/>
        <v>441224412560MASTER CCTELECOMOOREDOO</v>
      </c>
      <c r="B631" s="2">
        <v>44122</v>
      </c>
      <c r="C631" s="2">
        <v>44125</v>
      </c>
      <c r="D631" s="3" t="s">
        <v>819</v>
      </c>
      <c r="E631" s="3">
        <v>60</v>
      </c>
      <c r="F631" s="3">
        <v>1</v>
      </c>
      <c r="G631" s="3">
        <f t="shared" si="31"/>
        <v>60</v>
      </c>
      <c r="H631" s="3" t="s">
        <v>291</v>
      </c>
      <c r="I631" s="1" t="s">
        <v>58</v>
      </c>
      <c r="J631" s="1" t="s">
        <v>59</v>
      </c>
      <c r="K631" s="1" t="s">
        <v>298</v>
      </c>
      <c r="L631" s="1" t="s">
        <v>267</v>
      </c>
      <c r="M631" s="1"/>
      <c r="N631" s="1">
        <f t="shared" si="33"/>
        <v>10</v>
      </c>
      <c r="O631" s="65"/>
    </row>
    <row r="632" spans="1:15" ht="15.75" hidden="1" x14ac:dyDescent="0.25">
      <c r="A632" s="1" t="str">
        <f t="shared" si="32"/>
        <v>441254412620.5DINERSGROCERYPICK-N-PACK</v>
      </c>
      <c r="B632" s="2">
        <v>44125</v>
      </c>
      <c r="C632" s="2">
        <v>44126</v>
      </c>
      <c r="D632" s="3" t="s">
        <v>806</v>
      </c>
      <c r="E632" s="3">
        <v>20.5</v>
      </c>
      <c r="F632" s="3">
        <v>1</v>
      </c>
      <c r="G632" s="3">
        <f t="shared" si="31"/>
        <v>20.5</v>
      </c>
      <c r="H632" s="3" t="s">
        <v>266</v>
      </c>
      <c r="I632" s="1" t="s">
        <v>43</v>
      </c>
      <c r="J632" s="1" t="s">
        <v>222</v>
      </c>
      <c r="K632" s="1" t="s">
        <v>298</v>
      </c>
      <c r="L632" s="1" t="s">
        <v>267</v>
      </c>
      <c r="M632" s="1"/>
      <c r="N632" s="1">
        <f t="shared" si="33"/>
        <v>10</v>
      </c>
      <c r="O632" s="87"/>
    </row>
    <row r="633" spans="1:15" ht="15.75" hidden="1" x14ac:dyDescent="0.25">
      <c r="A633" s="1" t="str">
        <f t="shared" si="32"/>
        <v>4412744128228.83DINERSGROCERYLULU</v>
      </c>
      <c r="B633" s="2">
        <v>44127</v>
      </c>
      <c r="C633" s="2">
        <v>44128</v>
      </c>
      <c r="D633" s="3" t="s">
        <v>825</v>
      </c>
      <c r="E633" s="3">
        <v>228.83</v>
      </c>
      <c r="F633" s="3">
        <v>1</v>
      </c>
      <c r="G633" s="3">
        <f t="shared" si="31"/>
        <v>228.83</v>
      </c>
      <c r="H633" s="3" t="s">
        <v>266</v>
      </c>
      <c r="I633" s="1" t="s">
        <v>43</v>
      </c>
      <c r="J633" s="1" t="s">
        <v>44</v>
      </c>
      <c r="K633" s="1" t="s">
        <v>298</v>
      </c>
      <c r="L633" s="1" t="s">
        <v>267</v>
      </c>
      <c r="M633" s="1"/>
      <c r="N633" s="1">
        <f t="shared" si="33"/>
        <v>10</v>
      </c>
      <c r="O633" s="87"/>
    </row>
    <row r="634" spans="1:15" ht="15.75" hidden="1" x14ac:dyDescent="0.25">
      <c r="A634" s="1" t="str">
        <f t="shared" si="32"/>
        <v>441274412912MASTER CCTRANSPORTCAREEM</v>
      </c>
      <c r="B634" s="2">
        <v>44127</v>
      </c>
      <c r="C634" s="2">
        <v>44129</v>
      </c>
      <c r="D634" s="3" t="s">
        <v>828</v>
      </c>
      <c r="E634" s="3">
        <v>12</v>
      </c>
      <c r="F634" s="3">
        <v>1</v>
      </c>
      <c r="G634" s="3">
        <f t="shared" si="31"/>
        <v>12</v>
      </c>
      <c r="H634" s="3" t="s">
        <v>291</v>
      </c>
      <c r="I634" s="1" t="s">
        <v>296</v>
      </c>
      <c r="J634" s="1" t="s">
        <v>297</v>
      </c>
      <c r="K634" s="1" t="s">
        <v>298</v>
      </c>
      <c r="L634" s="1" t="s">
        <v>267</v>
      </c>
      <c r="M634" s="1"/>
      <c r="N634" s="1">
        <f t="shared" si="33"/>
        <v>10</v>
      </c>
      <c r="O634" s="65"/>
    </row>
    <row r="635" spans="1:15" ht="15.75" hidden="1" x14ac:dyDescent="0.25">
      <c r="A635" s="1" t="str">
        <f t="shared" si="32"/>
        <v>4412944129503.4CURRENTTRANSFERINDIA</v>
      </c>
      <c r="B635" s="2">
        <v>44129</v>
      </c>
      <c r="C635" s="2">
        <v>44129</v>
      </c>
      <c r="D635" s="3" t="s">
        <v>835</v>
      </c>
      <c r="E635" s="3">
        <v>-503.4</v>
      </c>
      <c r="F635" s="3">
        <v>1</v>
      </c>
      <c r="G635" s="3">
        <f t="shared" si="31"/>
        <v>503.4</v>
      </c>
      <c r="H635" s="3" t="s">
        <v>293</v>
      </c>
      <c r="I635" s="1" t="s">
        <v>22</v>
      </c>
      <c r="J635" s="1" t="s">
        <v>23</v>
      </c>
      <c r="K635" s="1" t="s">
        <v>298</v>
      </c>
      <c r="L635" s="1" t="s">
        <v>257</v>
      </c>
      <c r="M635" s="1"/>
      <c r="N635" s="1">
        <f t="shared" si="33"/>
        <v>10</v>
      </c>
      <c r="O635" s="65" t="s">
        <v>838</v>
      </c>
    </row>
    <row r="636" spans="1:15" ht="15.75" hidden="1" x14ac:dyDescent="0.25">
      <c r="A636" s="1" t="str">
        <f t="shared" si="32"/>
        <v>44129441291.01CURRENTSERVICEBANK</v>
      </c>
      <c r="B636" s="2">
        <v>44129</v>
      </c>
      <c r="C636" s="2">
        <v>44129</v>
      </c>
      <c r="D636" s="3" t="s">
        <v>836</v>
      </c>
      <c r="E636" s="3">
        <v>-1.01</v>
      </c>
      <c r="F636" s="3">
        <v>1</v>
      </c>
      <c r="G636" s="3">
        <f t="shared" ref="G636:G699" si="34">ABS(E636)*F636</f>
        <v>1.01</v>
      </c>
      <c r="H636" s="3" t="s">
        <v>293</v>
      </c>
      <c r="I636" s="1" t="s">
        <v>7</v>
      </c>
      <c r="J636" s="1" t="s">
        <v>8</v>
      </c>
      <c r="K636" s="1" t="s">
        <v>298</v>
      </c>
      <c r="L636" s="1" t="s">
        <v>257</v>
      </c>
      <c r="M636" s="1"/>
      <c r="N636" s="1">
        <f t="shared" si="33"/>
        <v>10</v>
      </c>
      <c r="O636" s="65"/>
    </row>
    <row r="637" spans="1:15" ht="15.75" hidden="1" x14ac:dyDescent="0.25">
      <c r="A637" s="1" t="str">
        <f t="shared" si="32"/>
        <v>441294412915CURRENTSERVICEBANK</v>
      </c>
      <c r="B637" s="2">
        <v>44129</v>
      </c>
      <c r="C637" s="2">
        <v>44129</v>
      </c>
      <c r="D637" s="3" t="s">
        <v>837</v>
      </c>
      <c r="E637" s="3">
        <v>-15</v>
      </c>
      <c r="F637" s="3">
        <v>1</v>
      </c>
      <c r="G637" s="3">
        <f t="shared" si="34"/>
        <v>15</v>
      </c>
      <c r="H637" s="3" t="s">
        <v>293</v>
      </c>
      <c r="I637" s="1" t="s">
        <v>7</v>
      </c>
      <c r="J637" s="1" t="s">
        <v>8</v>
      </c>
      <c r="K637" s="1" t="s">
        <v>298</v>
      </c>
      <c r="L637" s="1" t="s">
        <v>257</v>
      </c>
      <c r="M637" s="1"/>
      <c r="N637" s="1">
        <f t="shared" si="33"/>
        <v>10</v>
      </c>
      <c r="O637" s="65"/>
    </row>
    <row r="638" spans="1:15" ht="15.75" hidden="1" x14ac:dyDescent="0.25">
      <c r="A638" s="1" t="str">
        <f t="shared" si="32"/>
        <v>441294413041.25DINERSGROCERYPICK-N-PACK</v>
      </c>
      <c r="B638" s="2">
        <v>44129</v>
      </c>
      <c r="C638" s="2">
        <v>44130</v>
      </c>
      <c r="D638" s="3" t="s">
        <v>824</v>
      </c>
      <c r="E638" s="3">
        <v>41.25</v>
      </c>
      <c r="F638" s="3">
        <v>1</v>
      </c>
      <c r="G638" s="3">
        <f t="shared" si="34"/>
        <v>41.25</v>
      </c>
      <c r="H638" s="3" t="s">
        <v>266</v>
      </c>
      <c r="I638" s="1" t="s">
        <v>43</v>
      </c>
      <c r="J638" s="1" t="s">
        <v>222</v>
      </c>
      <c r="K638" s="1" t="s">
        <v>298</v>
      </c>
      <c r="L638" s="1" t="s">
        <v>267</v>
      </c>
      <c r="M638" s="1"/>
      <c r="N638" s="1">
        <f t="shared" si="33"/>
        <v>10</v>
      </c>
      <c r="O638" s="87"/>
    </row>
    <row r="639" spans="1:15" ht="15.75" hidden="1" x14ac:dyDescent="0.25">
      <c r="A639" s="1" t="str">
        <f t="shared" si="32"/>
        <v>441304413210MASTER CCTRANSPORTCAREEM</v>
      </c>
      <c r="B639" s="2">
        <v>44130</v>
      </c>
      <c r="C639" s="2">
        <v>44132</v>
      </c>
      <c r="D639" s="3" t="s">
        <v>826</v>
      </c>
      <c r="E639" s="3">
        <v>10</v>
      </c>
      <c r="F639" s="3">
        <v>1</v>
      </c>
      <c r="G639" s="3">
        <f t="shared" si="34"/>
        <v>10</v>
      </c>
      <c r="H639" s="3" t="s">
        <v>291</v>
      </c>
      <c r="I639" s="1" t="s">
        <v>296</v>
      </c>
      <c r="J639" s="1" t="s">
        <v>297</v>
      </c>
      <c r="K639" s="1" t="s">
        <v>298</v>
      </c>
      <c r="L639" s="1" t="s">
        <v>267</v>
      </c>
      <c r="M639" s="1"/>
      <c r="N639" s="1">
        <f t="shared" si="33"/>
        <v>10</v>
      </c>
      <c r="O639" s="65"/>
    </row>
    <row r="640" spans="1:15" ht="15.75" hidden="1" x14ac:dyDescent="0.25">
      <c r="A640" s="1" t="str">
        <f t="shared" si="32"/>
        <v>441304413211MASTER CCTRANSPORTCAREEM</v>
      </c>
      <c r="B640" s="2">
        <v>44130</v>
      </c>
      <c r="C640" s="2">
        <v>44132</v>
      </c>
      <c r="D640" s="3" t="s">
        <v>827</v>
      </c>
      <c r="E640" s="3">
        <v>11</v>
      </c>
      <c r="F640" s="3">
        <v>1</v>
      </c>
      <c r="G640" s="3">
        <f t="shared" si="34"/>
        <v>11</v>
      </c>
      <c r="H640" s="3" t="s">
        <v>291</v>
      </c>
      <c r="I640" s="1" t="s">
        <v>296</v>
      </c>
      <c r="J640" s="1" t="s">
        <v>297</v>
      </c>
      <c r="K640" s="1" t="s">
        <v>298</v>
      </c>
      <c r="L640" s="1" t="s">
        <v>267</v>
      </c>
      <c r="M640" s="1"/>
      <c r="N640" s="1">
        <f t="shared" si="33"/>
        <v>10</v>
      </c>
      <c r="O640" s="65"/>
    </row>
    <row r="641" spans="1:15" ht="15.75" hidden="1" x14ac:dyDescent="0.25">
      <c r="A641" s="1" t="str">
        <f t="shared" si="32"/>
        <v>441314413150CURRENTTRAVELHEALTH CENTER</v>
      </c>
      <c r="B641" s="2">
        <v>44131</v>
      </c>
      <c r="C641" s="2">
        <v>44131</v>
      </c>
      <c r="D641" s="3" t="s">
        <v>833</v>
      </c>
      <c r="E641" s="3">
        <v>-50</v>
      </c>
      <c r="F641" s="3">
        <v>1</v>
      </c>
      <c r="G641" s="3">
        <f t="shared" si="34"/>
        <v>50</v>
      </c>
      <c r="H641" s="3" t="s">
        <v>293</v>
      </c>
      <c r="I641" s="1" t="s">
        <v>393</v>
      </c>
      <c r="J641" s="1" t="s">
        <v>159</v>
      </c>
      <c r="K641" s="1" t="s">
        <v>298</v>
      </c>
      <c r="L641" s="1" t="s">
        <v>257</v>
      </c>
      <c r="M641" s="1"/>
      <c r="N641" s="1">
        <f t="shared" si="33"/>
        <v>10</v>
      </c>
      <c r="O641" s="65"/>
    </row>
    <row r="642" spans="1:15" ht="15.75" hidden="1" x14ac:dyDescent="0.25">
      <c r="A642" s="1" t="str">
        <f t="shared" ref="A642:A705" si="35">B642&amp;C642&amp;G642&amp;H642&amp;I642&amp;J642</f>
        <v>441314413130CURRENTTRANSPORTMETRO</v>
      </c>
      <c r="B642" s="2">
        <v>44131</v>
      </c>
      <c r="C642" s="2">
        <v>44131</v>
      </c>
      <c r="D642" s="3" t="s">
        <v>832</v>
      </c>
      <c r="E642" s="3">
        <v>-30</v>
      </c>
      <c r="F642" s="3">
        <v>1</v>
      </c>
      <c r="G642" s="3">
        <f t="shared" si="34"/>
        <v>30</v>
      </c>
      <c r="H642" s="3" t="s">
        <v>293</v>
      </c>
      <c r="I642" s="1" t="s">
        <v>296</v>
      </c>
      <c r="J642" s="1" t="s">
        <v>759</v>
      </c>
      <c r="K642" s="1" t="s">
        <v>298</v>
      </c>
      <c r="L642" s="1" t="s">
        <v>257</v>
      </c>
      <c r="M642" s="1"/>
      <c r="N642" s="1">
        <f t="shared" ref="N642:N705" si="36">MONTH(C642)</f>
        <v>10</v>
      </c>
      <c r="O642" s="65"/>
    </row>
    <row r="643" spans="1:15" ht="15.75" hidden="1" x14ac:dyDescent="0.25">
      <c r="A643" s="1" t="str">
        <f t="shared" si="35"/>
        <v>441314413111753CURRENTSALARYQATAR AIR</v>
      </c>
      <c r="B643" s="2">
        <v>44131</v>
      </c>
      <c r="C643" s="2">
        <v>44131</v>
      </c>
      <c r="D643" s="3" t="s">
        <v>834</v>
      </c>
      <c r="E643" s="3">
        <v>11753</v>
      </c>
      <c r="F643" s="3">
        <v>1</v>
      </c>
      <c r="G643" s="3">
        <f t="shared" si="34"/>
        <v>11753</v>
      </c>
      <c r="H643" s="3" t="s">
        <v>293</v>
      </c>
      <c r="I643" s="1" t="s">
        <v>18</v>
      </c>
      <c r="J643" s="1" t="s">
        <v>19</v>
      </c>
      <c r="K643" s="1" t="s">
        <v>300</v>
      </c>
      <c r="L643" s="1" t="s">
        <v>257</v>
      </c>
      <c r="M643" s="1"/>
      <c r="N643" s="1">
        <f t="shared" si="36"/>
        <v>10</v>
      </c>
      <c r="O643" s="65"/>
    </row>
    <row r="644" spans="1:15" ht="15.75" hidden="1" x14ac:dyDescent="0.25">
      <c r="A644" s="1" t="str">
        <f t="shared" si="35"/>
        <v>441324413626.86DINERSTRANSPORTUBER</v>
      </c>
      <c r="B644" s="2">
        <v>44132</v>
      </c>
      <c r="C644" s="2">
        <v>44136</v>
      </c>
      <c r="D644" s="3" t="s">
        <v>823</v>
      </c>
      <c r="E644" s="3">
        <v>26.86</v>
      </c>
      <c r="F644" s="3">
        <v>1</v>
      </c>
      <c r="G644" s="3">
        <f t="shared" si="34"/>
        <v>26.86</v>
      </c>
      <c r="H644" s="3" t="s">
        <v>266</v>
      </c>
      <c r="I644" s="1" t="s">
        <v>296</v>
      </c>
      <c r="J644" s="1" t="s">
        <v>299</v>
      </c>
      <c r="K644" s="1" t="s">
        <v>298</v>
      </c>
      <c r="L644" s="1" t="s">
        <v>267</v>
      </c>
      <c r="M644" s="1"/>
      <c r="N644" s="1">
        <f t="shared" si="36"/>
        <v>11</v>
      </c>
      <c r="O644" s="87"/>
    </row>
    <row r="645" spans="1:15" ht="15.75" hidden="1" x14ac:dyDescent="0.25">
      <c r="A645" s="1" t="str">
        <f t="shared" si="35"/>
        <v>441324413228CURRENTGROCERYPICK-N-PACK</v>
      </c>
      <c r="B645" s="2">
        <v>44132</v>
      </c>
      <c r="C645" s="2">
        <v>44132</v>
      </c>
      <c r="D645" s="3" t="s">
        <v>831</v>
      </c>
      <c r="E645" s="3">
        <v>-28</v>
      </c>
      <c r="F645" s="3">
        <v>1</v>
      </c>
      <c r="G645" s="3">
        <f t="shared" si="34"/>
        <v>28</v>
      </c>
      <c r="H645" s="3" t="s">
        <v>293</v>
      </c>
      <c r="I645" s="1" t="s">
        <v>43</v>
      </c>
      <c r="J645" s="1" t="s">
        <v>222</v>
      </c>
      <c r="K645" s="1" t="s">
        <v>298</v>
      </c>
      <c r="L645" s="1" t="s">
        <v>257</v>
      </c>
      <c r="M645" s="1"/>
      <c r="N645" s="1">
        <f t="shared" si="36"/>
        <v>10</v>
      </c>
      <c r="O645" s="65"/>
    </row>
    <row r="646" spans="1:15" ht="15.75" hidden="1" x14ac:dyDescent="0.25">
      <c r="A646" s="1" t="str">
        <f t="shared" si="35"/>
        <v>441334413318CURRENTGROCERYPICK-N-PACK</v>
      </c>
      <c r="B646" s="2">
        <v>44133</v>
      </c>
      <c r="C646" s="2">
        <v>44133</v>
      </c>
      <c r="D646" s="3" t="s">
        <v>830</v>
      </c>
      <c r="E646" s="3">
        <v>-18</v>
      </c>
      <c r="F646" s="3">
        <v>1</v>
      </c>
      <c r="G646" s="3">
        <f t="shared" si="34"/>
        <v>18</v>
      </c>
      <c r="H646" s="3" t="s">
        <v>293</v>
      </c>
      <c r="I646" s="1" t="s">
        <v>43</v>
      </c>
      <c r="J646" s="1" t="s">
        <v>222</v>
      </c>
      <c r="K646" s="1" t="s">
        <v>298</v>
      </c>
      <c r="L646" s="1" t="s">
        <v>257</v>
      </c>
      <c r="M646" s="1"/>
      <c r="N646" s="1">
        <f t="shared" si="36"/>
        <v>10</v>
      </c>
      <c r="O646" s="65"/>
    </row>
    <row r="647" spans="1:15" ht="15.75" hidden="1" x14ac:dyDescent="0.25">
      <c r="A647" s="1" t="str">
        <f t="shared" si="35"/>
        <v>44134441341877.44DINERSCC BILL PAYMENTBANK</v>
      </c>
      <c r="B647" s="2">
        <v>44134</v>
      </c>
      <c r="C647" s="2">
        <v>44134</v>
      </c>
      <c r="D647" s="3" t="s">
        <v>80</v>
      </c>
      <c r="E647" s="3">
        <v>-1877.44</v>
      </c>
      <c r="F647" s="3">
        <v>1</v>
      </c>
      <c r="G647" s="3">
        <f t="shared" si="34"/>
        <v>1877.44</v>
      </c>
      <c r="H647" s="3" t="s">
        <v>266</v>
      </c>
      <c r="I647" s="1" t="s">
        <v>81</v>
      </c>
      <c r="J647" s="1" t="s">
        <v>8</v>
      </c>
      <c r="K647" s="1" t="s">
        <v>300</v>
      </c>
      <c r="L647" s="1" t="s">
        <v>267</v>
      </c>
      <c r="M647" s="1"/>
      <c r="N647" s="1">
        <f t="shared" si="36"/>
        <v>10</v>
      </c>
      <c r="O647" s="87"/>
    </row>
    <row r="648" spans="1:15" ht="15.75" hidden="1" x14ac:dyDescent="0.25">
      <c r="A648" s="1" t="str">
        <f t="shared" si="35"/>
        <v>4413544135500CURRENTWITHDRAWSELF</v>
      </c>
      <c r="B648" s="2">
        <v>44135</v>
      </c>
      <c r="C648" s="2">
        <v>44135</v>
      </c>
      <c r="D648" s="3" t="s">
        <v>843</v>
      </c>
      <c r="E648" s="3">
        <v>-500</v>
      </c>
      <c r="F648" s="3">
        <v>1</v>
      </c>
      <c r="G648" s="3">
        <f t="shared" si="34"/>
        <v>500</v>
      </c>
      <c r="H648" s="3" t="s">
        <v>293</v>
      </c>
      <c r="I648" s="1" t="s">
        <v>13</v>
      </c>
      <c r="J648" s="1" t="s">
        <v>14</v>
      </c>
      <c r="K648" s="1" t="s">
        <v>298</v>
      </c>
      <c r="L648" s="1" t="s">
        <v>257</v>
      </c>
      <c r="M648" s="1"/>
      <c r="N648" s="1">
        <f t="shared" si="36"/>
        <v>10</v>
      </c>
      <c r="O648" s="65"/>
    </row>
    <row r="649" spans="1:15" ht="15.75" hidden="1" x14ac:dyDescent="0.25">
      <c r="A649" s="1" t="str">
        <f t="shared" si="35"/>
        <v>4413544135204.8CURRENTGROCERYLULU</v>
      </c>
      <c r="B649" s="2">
        <v>44135</v>
      </c>
      <c r="C649" s="2">
        <v>44135</v>
      </c>
      <c r="D649" s="3" t="s">
        <v>842</v>
      </c>
      <c r="E649" s="3">
        <v>-204.8</v>
      </c>
      <c r="F649" s="3">
        <v>1</v>
      </c>
      <c r="G649" s="3">
        <f t="shared" si="34"/>
        <v>204.8</v>
      </c>
      <c r="H649" s="3" t="s">
        <v>293</v>
      </c>
      <c r="I649" s="1" t="s">
        <v>43</v>
      </c>
      <c r="J649" s="1" t="s">
        <v>44</v>
      </c>
      <c r="K649" s="1" t="s">
        <v>298</v>
      </c>
      <c r="L649" s="1" t="s">
        <v>257</v>
      </c>
      <c r="M649" s="1"/>
      <c r="N649" s="1">
        <f t="shared" si="36"/>
        <v>10</v>
      </c>
      <c r="O649" s="65"/>
    </row>
    <row r="650" spans="1:15" ht="15.75" hidden="1" x14ac:dyDescent="0.25">
      <c r="A650" s="1" t="str">
        <f t="shared" si="35"/>
        <v>441354413533.75CURRENTGROCERYPICK-N-PACK</v>
      </c>
      <c r="B650" s="2">
        <v>44135</v>
      </c>
      <c r="C650" s="2">
        <v>44135</v>
      </c>
      <c r="D650" s="3" t="s">
        <v>844</v>
      </c>
      <c r="E650" s="3">
        <v>-33.75</v>
      </c>
      <c r="F650" s="3">
        <v>1</v>
      </c>
      <c r="G650" s="3">
        <f t="shared" si="34"/>
        <v>33.75</v>
      </c>
      <c r="H650" s="3" t="s">
        <v>293</v>
      </c>
      <c r="I650" s="1" t="s">
        <v>43</v>
      </c>
      <c r="J650" s="1" t="s">
        <v>222</v>
      </c>
      <c r="K650" s="1" t="s">
        <v>298</v>
      </c>
      <c r="L650" s="1" t="s">
        <v>257</v>
      </c>
      <c r="M650" s="1"/>
      <c r="N650" s="1">
        <f t="shared" si="36"/>
        <v>10</v>
      </c>
      <c r="O650" s="65"/>
    </row>
    <row r="651" spans="1:15" ht="15.75" hidden="1" x14ac:dyDescent="0.25">
      <c r="A651" s="1" t="str">
        <f t="shared" si="35"/>
        <v>44135441351877.44CURRENTCC BILL PAYMENTBANK</v>
      </c>
      <c r="B651" s="2">
        <v>44135</v>
      </c>
      <c r="C651" s="2">
        <v>44135</v>
      </c>
      <c r="D651" s="3" t="s">
        <v>829</v>
      </c>
      <c r="E651" s="3">
        <v>-1877.44</v>
      </c>
      <c r="F651" s="3">
        <v>1</v>
      </c>
      <c r="G651" s="3">
        <f t="shared" si="34"/>
        <v>1877.44</v>
      </c>
      <c r="H651" s="3" t="s">
        <v>293</v>
      </c>
      <c r="I651" s="1" t="s">
        <v>81</v>
      </c>
      <c r="J651" s="1" t="s">
        <v>8</v>
      </c>
      <c r="K651" s="1" t="s">
        <v>298</v>
      </c>
      <c r="L651" s="1" t="s">
        <v>257</v>
      </c>
      <c r="M651" s="1"/>
      <c r="N651" s="1">
        <f t="shared" si="36"/>
        <v>10</v>
      </c>
      <c r="O651" s="65"/>
    </row>
    <row r="652" spans="1:15" ht="15.75" hidden="1" x14ac:dyDescent="0.25">
      <c r="A652" s="1" t="str">
        <f t="shared" si="35"/>
        <v>441364413746.45MASTER CCTELECOMVODAFONE</v>
      </c>
      <c r="B652" s="2">
        <v>44136</v>
      </c>
      <c r="C652" s="2">
        <v>44137</v>
      </c>
      <c r="D652" s="3" t="s">
        <v>848</v>
      </c>
      <c r="E652" s="3">
        <v>46.45</v>
      </c>
      <c r="F652" s="3">
        <v>1</v>
      </c>
      <c r="G652" s="3">
        <f t="shared" si="34"/>
        <v>46.45</v>
      </c>
      <c r="H652" s="3" t="s">
        <v>291</v>
      </c>
      <c r="I652" s="1" t="s">
        <v>58</v>
      </c>
      <c r="J652" s="1" t="s">
        <v>78</v>
      </c>
      <c r="K652" s="1" t="s">
        <v>298</v>
      </c>
      <c r="L652" s="1" t="s">
        <v>267</v>
      </c>
      <c r="M652" s="1"/>
      <c r="N652" s="1">
        <f t="shared" si="36"/>
        <v>11</v>
      </c>
      <c r="O652" s="65"/>
    </row>
    <row r="653" spans="1:15" ht="15.75" hidden="1" x14ac:dyDescent="0.25">
      <c r="A653" s="1" t="str">
        <f t="shared" si="35"/>
        <v>441364413615CURRENTSERVICEBANK</v>
      </c>
      <c r="B653" s="2">
        <v>44136</v>
      </c>
      <c r="C653" s="2">
        <v>44136</v>
      </c>
      <c r="D653" s="3" t="s">
        <v>841</v>
      </c>
      <c r="E653" s="3">
        <v>15</v>
      </c>
      <c r="F653" s="3">
        <v>1</v>
      </c>
      <c r="G653" s="3">
        <f t="shared" si="34"/>
        <v>15</v>
      </c>
      <c r="H653" s="3" t="s">
        <v>293</v>
      </c>
      <c r="I653" s="1" t="s">
        <v>7</v>
      </c>
      <c r="J653" s="1" t="s">
        <v>8</v>
      </c>
      <c r="K653" s="1" t="s">
        <v>300</v>
      </c>
      <c r="L653" s="1" t="s">
        <v>257</v>
      </c>
      <c r="M653" s="1"/>
      <c r="N653" s="1">
        <f t="shared" si="36"/>
        <v>11</v>
      </c>
      <c r="O653" s="65"/>
    </row>
    <row r="654" spans="1:15" ht="15.75" hidden="1" x14ac:dyDescent="0.25">
      <c r="A654" s="1" t="str">
        <f t="shared" si="35"/>
        <v>44136441361000CURRENTSAVINGSELF</v>
      </c>
      <c r="B654" s="2">
        <v>44136</v>
      </c>
      <c r="C654" s="2">
        <v>44136</v>
      </c>
      <c r="D654" s="3" t="s">
        <v>316</v>
      </c>
      <c r="E654" s="3">
        <v>-1000</v>
      </c>
      <c r="F654" s="3">
        <v>1</v>
      </c>
      <c r="G654" s="3">
        <f t="shared" si="34"/>
        <v>1000</v>
      </c>
      <c r="H654" s="3" t="s">
        <v>293</v>
      </c>
      <c r="I654" s="1" t="s">
        <v>302</v>
      </c>
      <c r="J654" s="1" t="s">
        <v>14</v>
      </c>
      <c r="K654" s="1" t="s">
        <v>298</v>
      </c>
      <c r="L654" s="1" t="s">
        <v>257</v>
      </c>
      <c r="M654" s="1"/>
      <c r="N654" s="1">
        <f t="shared" si="36"/>
        <v>11</v>
      </c>
      <c r="O654" s="65"/>
    </row>
    <row r="655" spans="1:15" ht="15.75" hidden="1" x14ac:dyDescent="0.25">
      <c r="A655" s="1" t="str">
        <f t="shared" si="35"/>
        <v>441364413730DINERSGROCERYPICK-N-PACK</v>
      </c>
      <c r="B655" s="2">
        <v>44136</v>
      </c>
      <c r="C655" s="2">
        <v>44137</v>
      </c>
      <c r="D655" s="3" t="s">
        <v>845</v>
      </c>
      <c r="E655" s="3">
        <v>30</v>
      </c>
      <c r="F655" s="3">
        <v>1</v>
      </c>
      <c r="G655" s="3">
        <f t="shared" si="34"/>
        <v>30</v>
      </c>
      <c r="H655" s="3" t="s">
        <v>266</v>
      </c>
      <c r="I655" s="1" t="s">
        <v>43</v>
      </c>
      <c r="J655" s="1" t="s">
        <v>222</v>
      </c>
      <c r="K655" s="1" t="s">
        <v>298</v>
      </c>
      <c r="L655" s="1" t="s">
        <v>267</v>
      </c>
      <c r="M655" s="1"/>
      <c r="N655" s="1">
        <f t="shared" si="36"/>
        <v>11</v>
      </c>
      <c r="O655" s="87"/>
    </row>
    <row r="656" spans="1:15" ht="15.75" hidden="1" x14ac:dyDescent="0.25">
      <c r="A656" s="1" t="str">
        <f t="shared" si="35"/>
        <v>4413744140100MASTER CCMEDICALHEALTH CENTER</v>
      </c>
      <c r="B656" s="2">
        <v>44137</v>
      </c>
      <c r="C656" s="2">
        <v>44140</v>
      </c>
      <c r="D656" s="3" t="s">
        <v>846</v>
      </c>
      <c r="E656" s="3">
        <v>100</v>
      </c>
      <c r="F656" s="3">
        <v>1</v>
      </c>
      <c r="G656" s="3">
        <f t="shared" si="34"/>
        <v>100</v>
      </c>
      <c r="H656" s="3" t="s">
        <v>291</v>
      </c>
      <c r="I656" s="1" t="s">
        <v>301</v>
      </c>
      <c r="J656" s="1" t="s">
        <v>159</v>
      </c>
      <c r="K656" s="1" t="s">
        <v>298</v>
      </c>
      <c r="L656" s="1" t="s">
        <v>267</v>
      </c>
      <c r="M656" s="1"/>
      <c r="N656" s="1">
        <f t="shared" si="36"/>
        <v>11</v>
      </c>
      <c r="O656" s="65"/>
    </row>
    <row r="657" spans="1:15" ht="15.75" hidden="1" x14ac:dyDescent="0.25">
      <c r="A657" s="1" t="str">
        <f t="shared" si="35"/>
        <v>4413744140100MASTER CCMEDICALHEALTH CENTER</v>
      </c>
      <c r="B657" s="2">
        <v>44137</v>
      </c>
      <c r="C657" s="2">
        <v>44140</v>
      </c>
      <c r="D657" s="3" t="s">
        <v>847</v>
      </c>
      <c r="E657" s="3">
        <v>100</v>
      </c>
      <c r="F657" s="3">
        <v>1</v>
      </c>
      <c r="G657" s="3">
        <f t="shared" si="34"/>
        <v>100</v>
      </c>
      <c r="H657" s="3" t="s">
        <v>291</v>
      </c>
      <c r="I657" s="1" t="s">
        <v>301</v>
      </c>
      <c r="J657" s="1" t="s">
        <v>159</v>
      </c>
      <c r="K657" s="1" t="s">
        <v>298</v>
      </c>
      <c r="L657" s="1" t="s">
        <v>267</v>
      </c>
      <c r="M657" s="1"/>
      <c r="N657" s="1">
        <f t="shared" si="36"/>
        <v>11</v>
      </c>
      <c r="O657" s="65"/>
    </row>
    <row r="658" spans="1:15" ht="15.75" hidden="1" x14ac:dyDescent="0.25">
      <c r="A658" s="1" t="str">
        <f t="shared" si="35"/>
        <v>44137441374CURRENTSERVICEBANK</v>
      </c>
      <c r="B658" s="2">
        <v>44137</v>
      </c>
      <c r="C658" s="2">
        <v>44137</v>
      </c>
      <c r="D658" s="3" t="s">
        <v>840</v>
      </c>
      <c r="E658" s="3">
        <v>-4</v>
      </c>
      <c r="F658" s="3">
        <v>1</v>
      </c>
      <c r="G658" s="3">
        <f t="shared" si="34"/>
        <v>4</v>
      </c>
      <c r="H658" s="3" t="s">
        <v>293</v>
      </c>
      <c r="I658" s="1" t="s">
        <v>7</v>
      </c>
      <c r="J658" s="1" t="s">
        <v>8</v>
      </c>
      <c r="K658" s="1" t="s">
        <v>298</v>
      </c>
      <c r="L658" s="1" t="s">
        <v>257</v>
      </c>
      <c r="M658" s="1"/>
      <c r="N658" s="1">
        <f t="shared" si="36"/>
        <v>11</v>
      </c>
      <c r="O658" s="65"/>
    </row>
    <row r="659" spans="1:15" ht="15.75" hidden="1" x14ac:dyDescent="0.25">
      <c r="A659" s="1" t="str">
        <f t="shared" si="35"/>
        <v>44137441374125CURRENTRENTCAP ONE</v>
      </c>
      <c r="B659" s="2">
        <v>44137</v>
      </c>
      <c r="C659" s="2">
        <v>44137</v>
      </c>
      <c r="D659" s="3" t="s">
        <v>839</v>
      </c>
      <c r="E659" s="3">
        <v>-4125</v>
      </c>
      <c r="F659" s="3">
        <v>1</v>
      </c>
      <c r="G659" s="3">
        <f t="shared" si="34"/>
        <v>4125</v>
      </c>
      <c r="H659" s="3" t="s">
        <v>293</v>
      </c>
      <c r="I659" s="1" t="s">
        <v>83</v>
      </c>
      <c r="J659" s="1" t="s">
        <v>84</v>
      </c>
      <c r="K659" s="1" t="s">
        <v>298</v>
      </c>
      <c r="L659" s="1" t="s">
        <v>257</v>
      </c>
      <c r="M659" s="1"/>
      <c r="N659" s="1">
        <f t="shared" si="36"/>
        <v>11</v>
      </c>
      <c r="O659" s="65"/>
    </row>
    <row r="660" spans="1:15" ht="15.75" hidden="1" x14ac:dyDescent="0.25">
      <c r="A660" s="1" t="str">
        <f t="shared" si="35"/>
        <v>441384414214MASTER CCFOODTALABAT</v>
      </c>
      <c r="B660" s="2">
        <v>44138</v>
      </c>
      <c r="C660" s="2">
        <v>44142</v>
      </c>
      <c r="D660" s="3" t="s">
        <v>864</v>
      </c>
      <c r="E660" s="3">
        <v>14</v>
      </c>
      <c r="F660" s="3">
        <v>1</v>
      </c>
      <c r="G660" s="3">
        <f t="shared" si="34"/>
        <v>14</v>
      </c>
      <c r="H660" s="3" t="s">
        <v>291</v>
      </c>
      <c r="I660" s="1" t="s">
        <v>10</v>
      </c>
      <c r="J660" s="1" t="s">
        <v>865</v>
      </c>
      <c r="K660" s="1" t="s">
        <v>298</v>
      </c>
      <c r="L660" s="1" t="s">
        <v>267</v>
      </c>
      <c r="M660" s="1"/>
      <c r="N660" s="1">
        <f t="shared" si="36"/>
        <v>11</v>
      </c>
      <c r="O660" s="65"/>
    </row>
    <row r="661" spans="1:15" ht="15.75" hidden="1" x14ac:dyDescent="0.25">
      <c r="A661" s="1" t="str">
        <f t="shared" si="35"/>
        <v>441384414310.22DINERSTRANSPORTUBER</v>
      </c>
      <c r="B661" s="2">
        <v>44138</v>
      </c>
      <c r="C661" s="2">
        <v>44143</v>
      </c>
      <c r="D661" s="3" t="s">
        <v>857</v>
      </c>
      <c r="E661" s="3">
        <v>10.220000000000001</v>
      </c>
      <c r="F661" s="3">
        <v>1</v>
      </c>
      <c r="G661" s="3">
        <f t="shared" si="34"/>
        <v>10.220000000000001</v>
      </c>
      <c r="H661" s="3" t="s">
        <v>266</v>
      </c>
      <c r="I661" s="1" t="s">
        <v>296</v>
      </c>
      <c r="J661" s="1" t="s">
        <v>299</v>
      </c>
      <c r="K661" s="1" t="s">
        <v>298</v>
      </c>
      <c r="L661" s="1" t="s">
        <v>267</v>
      </c>
      <c r="M661" s="1"/>
      <c r="N661" s="1">
        <f t="shared" si="36"/>
        <v>11</v>
      </c>
      <c r="O661" s="87"/>
    </row>
    <row r="662" spans="1:15" ht="15.75" hidden="1" x14ac:dyDescent="0.25">
      <c r="A662" s="1" t="str">
        <f t="shared" si="35"/>
        <v>441384414310.38DINERSTRANSPORTUBER</v>
      </c>
      <c r="B662" s="2">
        <v>44138</v>
      </c>
      <c r="C662" s="2">
        <v>44143</v>
      </c>
      <c r="D662" s="3" t="s">
        <v>858</v>
      </c>
      <c r="E662" s="3">
        <v>10.38</v>
      </c>
      <c r="F662" s="3">
        <v>1</v>
      </c>
      <c r="G662" s="3">
        <f t="shared" si="34"/>
        <v>10.38</v>
      </c>
      <c r="H662" s="3" t="s">
        <v>266</v>
      </c>
      <c r="I662" s="1" t="s">
        <v>296</v>
      </c>
      <c r="J662" s="1" t="s">
        <v>299</v>
      </c>
      <c r="K662" s="1" t="s">
        <v>298</v>
      </c>
      <c r="L662" s="1" t="s">
        <v>267</v>
      </c>
      <c r="M662" s="1"/>
      <c r="N662" s="1">
        <f t="shared" si="36"/>
        <v>11</v>
      </c>
      <c r="O662" s="87"/>
    </row>
    <row r="663" spans="1:15" ht="15.75" hidden="1" x14ac:dyDescent="0.25">
      <c r="A663" s="1" t="str">
        <f t="shared" si="35"/>
        <v>441394414040.5DINERSGROCERYPICK-N-PACK</v>
      </c>
      <c r="B663" s="2">
        <v>44139</v>
      </c>
      <c r="C663" s="2">
        <v>44140</v>
      </c>
      <c r="D663" s="3" t="s">
        <v>856</v>
      </c>
      <c r="E663" s="3">
        <v>40.5</v>
      </c>
      <c r="F663" s="3">
        <v>1</v>
      </c>
      <c r="G663" s="3">
        <f t="shared" si="34"/>
        <v>40.5</v>
      </c>
      <c r="H663" s="3" t="s">
        <v>266</v>
      </c>
      <c r="I663" s="1" t="s">
        <v>43</v>
      </c>
      <c r="J663" s="1" t="s">
        <v>222</v>
      </c>
      <c r="K663" s="1" t="s">
        <v>298</v>
      </c>
      <c r="L663" s="1" t="s">
        <v>267</v>
      </c>
      <c r="M663" s="1"/>
      <c r="N663" s="1">
        <f t="shared" si="36"/>
        <v>11</v>
      </c>
      <c r="O663" s="87"/>
    </row>
    <row r="664" spans="1:15" ht="15.75" hidden="1" x14ac:dyDescent="0.25">
      <c r="A664" s="1" t="str">
        <f t="shared" si="35"/>
        <v>441394414551.81MASTER CCGROCERYGRANDMART</v>
      </c>
      <c r="B664" s="2">
        <v>44139</v>
      </c>
      <c r="C664" s="2">
        <v>44145</v>
      </c>
      <c r="D664" s="3" t="s">
        <v>863</v>
      </c>
      <c r="E664" s="3">
        <v>51.81</v>
      </c>
      <c r="F664" s="3">
        <v>1</v>
      </c>
      <c r="G664" s="3">
        <f t="shared" si="34"/>
        <v>51.81</v>
      </c>
      <c r="H664" s="3" t="s">
        <v>291</v>
      </c>
      <c r="I664" s="1" t="s">
        <v>43</v>
      </c>
      <c r="J664" s="1" t="s">
        <v>50</v>
      </c>
      <c r="K664" s="1" t="s">
        <v>298</v>
      </c>
      <c r="L664" s="1" t="s">
        <v>267</v>
      </c>
      <c r="M664" s="1"/>
      <c r="N664" s="1">
        <f t="shared" si="36"/>
        <v>11</v>
      </c>
      <c r="O664" s="65"/>
    </row>
    <row r="665" spans="1:15" ht="15.75" hidden="1" x14ac:dyDescent="0.25">
      <c r="A665" s="1" t="str">
        <f t="shared" si="35"/>
        <v>44140441401250CURRENTSAVINGSELF</v>
      </c>
      <c r="B665" s="2">
        <v>44140</v>
      </c>
      <c r="C665" s="2">
        <v>44140</v>
      </c>
      <c r="D665" s="3" t="s">
        <v>333</v>
      </c>
      <c r="E665" s="3">
        <v>-1250</v>
      </c>
      <c r="F665" s="3">
        <v>1</v>
      </c>
      <c r="G665" s="3">
        <f t="shared" si="34"/>
        <v>1250</v>
      </c>
      <c r="H665" s="3" t="s">
        <v>293</v>
      </c>
      <c r="I665" s="1" t="s">
        <v>302</v>
      </c>
      <c r="J665" s="1" t="s">
        <v>14</v>
      </c>
      <c r="K665" s="1" t="s">
        <v>298</v>
      </c>
      <c r="L665" s="1" t="s">
        <v>257</v>
      </c>
      <c r="M665" s="1"/>
      <c r="N665" s="1">
        <f t="shared" si="36"/>
        <v>11</v>
      </c>
      <c r="O665" s="65"/>
    </row>
    <row r="666" spans="1:15" ht="15.75" hidden="1" x14ac:dyDescent="0.25">
      <c r="A666" s="1" t="str">
        <f t="shared" si="35"/>
        <v>4414244143183.75DINERSGROCERYPICK-N-PACK</v>
      </c>
      <c r="B666" s="2">
        <v>44142</v>
      </c>
      <c r="C666" s="2">
        <v>44143</v>
      </c>
      <c r="D666" s="3" t="s">
        <v>855</v>
      </c>
      <c r="E666" s="3">
        <v>183.75</v>
      </c>
      <c r="F666" s="3">
        <v>1</v>
      </c>
      <c r="G666" s="3">
        <f t="shared" si="34"/>
        <v>183.75</v>
      </c>
      <c r="H666" s="3" t="s">
        <v>266</v>
      </c>
      <c r="I666" s="1" t="s">
        <v>43</v>
      </c>
      <c r="J666" s="1" t="s">
        <v>222</v>
      </c>
      <c r="K666" s="1" t="s">
        <v>298</v>
      </c>
      <c r="L666" s="1" t="s">
        <v>267</v>
      </c>
      <c r="M666" s="1"/>
      <c r="N666" s="1">
        <f t="shared" si="36"/>
        <v>11</v>
      </c>
      <c r="O666" s="87"/>
    </row>
    <row r="667" spans="1:15" ht="15.75" hidden="1" x14ac:dyDescent="0.25">
      <c r="A667" s="1" t="str">
        <f t="shared" si="35"/>
        <v>44143441431000CURRENTSAVINGSELF</v>
      </c>
      <c r="B667" s="2">
        <v>44143</v>
      </c>
      <c r="C667" s="2">
        <v>44143</v>
      </c>
      <c r="D667" s="3" t="s">
        <v>854</v>
      </c>
      <c r="E667" s="3">
        <v>-1000</v>
      </c>
      <c r="F667" s="3">
        <v>1</v>
      </c>
      <c r="G667" s="3">
        <f t="shared" si="34"/>
        <v>1000</v>
      </c>
      <c r="H667" s="3" t="s">
        <v>293</v>
      </c>
      <c r="I667" s="1" t="s">
        <v>302</v>
      </c>
      <c r="J667" s="1" t="s">
        <v>14</v>
      </c>
      <c r="K667" s="1" t="s">
        <v>298</v>
      </c>
      <c r="L667" s="1" t="s">
        <v>257</v>
      </c>
      <c r="M667" s="1"/>
      <c r="N667" s="1">
        <f t="shared" si="36"/>
        <v>11</v>
      </c>
      <c r="O667" s="65"/>
    </row>
    <row r="668" spans="1:15" ht="15.75" hidden="1" x14ac:dyDescent="0.25">
      <c r="A668" s="1" t="str">
        <f t="shared" si="35"/>
        <v>441444414650MASTER CCTRAVELHEALTH CENTER</v>
      </c>
      <c r="B668" s="2">
        <v>44144</v>
      </c>
      <c r="C668" s="2">
        <v>44146</v>
      </c>
      <c r="D668" s="3" t="s">
        <v>860</v>
      </c>
      <c r="E668" s="3">
        <v>50</v>
      </c>
      <c r="F668" s="3">
        <v>1</v>
      </c>
      <c r="G668" s="3">
        <f t="shared" si="34"/>
        <v>50</v>
      </c>
      <c r="H668" s="3" t="s">
        <v>291</v>
      </c>
      <c r="I668" s="1" t="s">
        <v>393</v>
      </c>
      <c r="J668" s="1" t="s">
        <v>159</v>
      </c>
      <c r="K668" s="1" t="s">
        <v>298</v>
      </c>
      <c r="L668" s="1" t="s">
        <v>267</v>
      </c>
      <c r="M668" s="1"/>
      <c r="N668" s="1">
        <f t="shared" si="36"/>
        <v>11</v>
      </c>
      <c r="O668" s="65"/>
    </row>
    <row r="669" spans="1:15" ht="15.75" hidden="1" x14ac:dyDescent="0.25">
      <c r="A669" s="1" t="str">
        <f t="shared" si="35"/>
        <v>441444414650MASTER CCTRAVELHEALTH CENTER</v>
      </c>
      <c r="B669" s="2">
        <v>44144</v>
      </c>
      <c r="C669" s="2">
        <v>44146</v>
      </c>
      <c r="D669" s="3" t="s">
        <v>861</v>
      </c>
      <c r="E669" s="3">
        <v>50</v>
      </c>
      <c r="F669" s="3">
        <v>1</v>
      </c>
      <c r="G669" s="3">
        <f t="shared" si="34"/>
        <v>50</v>
      </c>
      <c r="H669" s="3" t="s">
        <v>291</v>
      </c>
      <c r="I669" s="1" t="s">
        <v>393</v>
      </c>
      <c r="J669" s="1" t="s">
        <v>159</v>
      </c>
      <c r="K669" s="1" t="s">
        <v>298</v>
      </c>
      <c r="L669" s="1" t="s">
        <v>267</v>
      </c>
      <c r="M669" s="1"/>
      <c r="N669" s="1">
        <f t="shared" si="36"/>
        <v>11</v>
      </c>
      <c r="O669" s="65"/>
    </row>
    <row r="670" spans="1:15" ht="15.75" hidden="1" x14ac:dyDescent="0.25">
      <c r="A670" s="1" t="str">
        <f t="shared" si="35"/>
        <v>441444414610MASTER CCTRANSPORTCAREEM</v>
      </c>
      <c r="B670" s="2">
        <v>44144</v>
      </c>
      <c r="C670" s="2">
        <v>44146</v>
      </c>
      <c r="D670" s="3" t="s">
        <v>862</v>
      </c>
      <c r="E670" s="3">
        <v>10</v>
      </c>
      <c r="F670" s="3">
        <v>1</v>
      </c>
      <c r="G670" s="3">
        <f t="shared" si="34"/>
        <v>10</v>
      </c>
      <c r="H670" s="3" t="s">
        <v>291</v>
      </c>
      <c r="I670" s="1" t="s">
        <v>296</v>
      </c>
      <c r="J670" s="1" t="s">
        <v>297</v>
      </c>
      <c r="K670" s="1" t="s">
        <v>298</v>
      </c>
      <c r="L670" s="1" t="s">
        <v>267</v>
      </c>
      <c r="M670" s="1"/>
      <c r="N670" s="1">
        <f t="shared" si="36"/>
        <v>11</v>
      </c>
      <c r="O670" s="65"/>
    </row>
    <row r="671" spans="1:15" ht="15.75" hidden="1" x14ac:dyDescent="0.25">
      <c r="A671" s="1" t="str">
        <f t="shared" si="35"/>
        <v>44145441451253.5CURRENTTRANSFERINDIA</v>
      </c>
      <c r="B671" s="2">
        <v>44145</v>
      </c>
      <c r="C671" s="2">
        <v>44145</v>
      </c>
      <c r="D671" s="3" t="s">
        <v>694</v>
      </c>
      <c r="E671" s="3">
        <v>-1253.5</v>
      </c>
      <c r="F671" s="3">
        <v>1</v>
      </c>
      <c r="G671" s="3">
        <f t="shared" si="34"/>
        <v>1253.5</v>
      </c>
      <c r="H671" s="3" t="s">
        <v>293</v>
      </c>
      <c r="I671" s="1" t="s">
        <v>22</v>
      </c>
      <c r="J671" s="1" t="s">
        <v>23</v>
      </c>
      <c r="K671" s="1" t="s">
        <v>298</v>
      </c>
      <c r="L671" s="1" t="s">
        <v>257</v>
      </c>
      <c r="M671" s="1"/>
      <c r="N671" s="1">
        <f t="shared" si="36"/>
        <v>11</v>
      </c>
      <c r="O671" s="65"/>
    </row>
    <row r="672" spans="1:15" ht="15.75" hidden="1" x14ac:dyDescent="0.25">
      <c r="A672" s="1" t="str">
        <f t="shared" si="35"/>
        <v>441464414821MASTER CCTRANSPORTCAREEM</v>
      </c>
      <c r="B672" s="2">
        <v>44146</v>
      </c>
      <c r="C672" s="2">
        <v>44148</v>
      </c>
      <c r="D672" s="3" t="s">
        <v>859</v>
      </c>
      <c r="E672" s="3">
        <v>21</v>
      </c>
      <c r="F672" s="3">
        <v>1</v>
      </c>
      <c r="G672" s="3">
        <f t="shared" si="34"/>
        <v>21</v>
      </c>
      <c r="H672" s="3" t="s">
        <v>291</v>
      </c>
      <c r="I672" s="1" t="s">
        <v>296</v>
      </c>
      <c r="J672" s="1" t="s">
        <v>297</v>
      </c>
      <c r="K672" s="1" t="s">
        <v>298</v>
      </c>
      <c r="L672" s="1" t="s">
        <v>267</v>
      </c>
      <c r="M672" s="1"/>
      <c r="N672" s="1">
        <f t="shared" si="36"/>
        <v>11</v>
      </c>
      <c r="O672" s="65"/>
    </row>
    <row r="673" spans="1:15" ht="15.75" hidden="1" x14ac:dyDescent="0.25">
      <c r="A673" s="1" t="str">
        <f t="shared" si="35"/>
        <v>44150441501042.86CURRENTTRANSFERINDIA</v>
      </c>
      <c r="B673" s="2">
        <v>44150</v>
      </c>
      <c r="C673" s="2">
        <v>44150</v>
      </c>
      <c r="D673" s="3" t="s">
        <v>851</v>
      </c>
      <c r="E673" s="3">
        <v>-1042.8599999999999</v>
      </c>
      <c r="F673" s="3">
        <v>1</v>
      </c>
      <c r="G673" s="3">
        <f t="shared" si="34"/>
        <v>1042.8599999999999</v>
      </c>
      <c r="H673" s="3" t="s">
        <v>293</v>
      </c>
      <c r="I673" s="1" t="s">
        <v>22</v>
      </c>
      <c r="J673" s="1" t="s">
        <v>23</v>
      </c>
      <c r="K673" s="1" t="s">
        <v>298</v>
      </c>
      <c r="L673" s="1" t="s">
        <v>257</v>
      </c>
      <c r="M673" s="1"/>
      <c r="N673" s="1">
        <f t="shared" si="36"/>
        <v>11</v>
      </c>
      <c r="O673" s="65"/>
    </row>
    <row r="674" spans="1:15" ht="15.75" hidden="1" x14ac:dyDescent="0.25">
      <c r="A674" s="1" t="str">
        <f t="shared" si="35"/>
        <v>44150441500.99CURRENTSERVICEBANK</v>
      </c>
      <c r="B674" s="2">
        <v>44150</v>
      </c>
      <c r="C674" s="2">
        <v>44150</v>
      </c>
      <c r="D674" s="3" t="s">
        <v>852</v>
      </c>
      <c r="E674" s="3">
        <v>-0.99</v>
      </c>
      <c r="F674" s="3">
        <v>1</v>
      </c>
      <c r="G674" s="3">
        <f t="shared" si="34"/>
        <v>0.99</v>
      </c>
      <c r="H674" s="3" t="s">
        <v>293</v>
      </c>
      <c r="I674" s="1" t="s">
        <v>7</v>
      </c>
      <c r="J674" s="1" t="s">
        <v>8</v>
      </c>
      <c r="K674" s="1" t="s">
        <v>298</v>
      </c>
      <c r="L674" s="1" t="s">
        <v>257</v>
      </c>
      <c r="M674" s="1"/>
      <c r="N674" s="1">
        <f t="shared" si="36"/>
        <v>11</v>
      </c>
      <c r="O674" s="65"/>
    </row>
    <row r="675" spans="1:15" ht="15.75" hidden="1" x14ac:dyDescent="0.25">
      <c r="A675" s="1" t="str">
        <f t="shared" si="35"/>
        <v>441504415015CURRENTSERVICEBANK</v>
      </c>
      <c r="B675" s="2">
        <v>44150</v>
      </c>
      <c r="C675" s="2">
        <v>44150</v>
      </c>
      <c r="D675" s="3" t="s">
        <v>853</v>
      </c>
      <c r="E675" s="3">
        <v>-15</v>
      </c>
      <c r="F675" s="3">
        <v>1</v>
      </c>
      <c r="G675" s="3">
        <f t="shared" si="34"/>
        <v>15</v>
      </c>
      <c r="H675" s="3" t="s">
        <v>293</v>
      </c>
      <c r="I675" s="1" t="s">
        <v>7</v>
      </c>
      <c r="J675" s="1" t="s">
        <v>8</v>
      </c>
      <c r="K675" s="1" t="s">
        <v>298</v>
      </c>
      <c r="L675" s="1" t="s">
        <v>257</v>
      </c>
      <c r="M675" s="1"/>
      <c r="N675" s="1">
        <f t="shared" si="36"/>
        <v>11</v>
      </c>
      <c r="O675" s="65"/>
    </row>
    <row r="676" spans="1:15" ht="15.75" hidden="1" x14ac:dyDescent="0.25">
      <c r="A676" s="1" t="str">
        <f t="shared" si="35"/>
        <v>441614416112540CURRENTSALARYQATAR AIR</v>
      </c>
      <c r="B676" s="2">
        <v>44161</v>
      </c>
      <c r="C676" s="2">
        <v>44161</v>
      </c>
      <c r="D676" s="3" t="s">
        <v>850</v>
      </c>
      <c r="E676" s="3">
        <v>12540</v>
      </c>
      <c r="F676" s="3">
        <v>1</v>
      </c>
      <c r="G676" s="3">
        <f t="shared" si="34"/>
        <v>12540</v>
      </c>
      <c r="H676" s="3" t="s">
        <v>293</v>
      </c>
      <c r="I676" s="1" t="s">
        <v>18</v>
      </c>
      <c r="J676" s="1" t="s">
        <v>19</v>
      </c>
      <c r="K676" s="1" t="s">
        <v>300</v>
      </c>
      <c r="L676" s="1" t="s">
        <v>257</v>
      </c>
      <c r="M676" s="1"/>
      <c r="N676" s="1">
        <f t="shared" si="36"/>
        <v>11</v>
      </c>
      <c r="O676" s="65"/>
    </row>
    <row r="677" spans="1:15" ht="15.75" hidden="1" x14ac:dyDescent="0.25">
      <c r="A677" s="1" t="str">
        <f t="shared" si="35"/>
        <v>4416244162718.04DINERSCC BILL PAYMENTBANK</v>
      </c>
      <c r="B677" s="2">
        <v>44162</v>
      </c>
      <c r="C677" s="2">
        <v>44162</v>
      </c>
      <c r="D677" s="3" t="s">
        <v>80</v>
      </c>
      <c r="E677" s="3">
        <v>-718.04</v>
      </c>
      <c r="F677" s="3">
        <v>1</v>
      </c>
      <c r="G677" s="3">
        <f t="shared" si="34"/>
        <v>718.04</v>
      </c>
      <c r="H677" s="3" t="s">
        <v>266</v>
      </c>
      <c r="I677" s="1" t="s">
        <v>81</v>
      </c>
      <c r="J677" s="1" t="s">
        <v>8</v>
      </c>
      <c r="K677" s="1" t="s">
        <v>300</v>
      </c>
      <c r="L677" s="1" t="s">
        <v>267</v>
      </c>
      <c r="M677" s="1"/>
      <c r="N677" s="1">
        <f t="shared" si="36"/>
        <v>11</v>
      </c>
      <c r="O677" s="87"/>
    </row>
    <row r="678" spans="1:15" ht="15.75" hidden="1" x14ac:dyDescent="0.25">
      <c r="A678" s="1" t="str">
        <f t="shared" si="35"/>
        <v>44164441654501MASTER CCTRAVELHOTEL</v>
      </c>
      <c r="B678" s="2">
        <v>44164</v>
      </c>
      <c r="C678" s="2">
        <v>44165</v>
      </c>
      <c r="D678" s="3" t="s">
        <v>886</v>
      </c>
      <c r="E678" s="3">
        <v>4501</v>
      </c>
      <c r="F678" s="3">
        <v>1</v>
      </c>
      <c r="G678" s="3">
        <f t="shared" si="34"/>
        <v>4501</v>
      </c>
      <c r="H678" s="3" t="s">
        <v>291</v>
      </c>
      <c r="I678" s="1" t="s">
        <v>393</v>
      </c>
      <c r="J678" s="1" t="s">
        <v>1128</v>
      </c>
      <c r="K678" s="1" t="s">
        <v>298</v>
      </c>
      <c r="L678" s="1" t="s">
        <v>267</v>
      </c>
      <c r="M678" s="1"/>
      <c r="N678" s="1">
        <f t="shared" si="36"/>
        <v>11</v>
      </c>
      <c r="O678" s="65" t="s">
        <v>887</v>
      </c>
    </row>
    <row r="679" spans="1:15" ht="15.75" hidden="1" x14ac:dyDescent="0.25">
      <c r="A679" s="1" t="str">
        <f t="shared" si="35"/>
        <v>44164441642250CURRENTTRAVELAKSHIT</v>
      </c>
      <c r="B679" s="2">
        <v>44164</v>
      </c>
      <c r="C679" s="2">
        <v>44164</v>
      </c>
      <c r="D679" s="3" t="s">
        <v>878</v>
      </c>
      <c r="E679" s="3">
        <v>2250</v>
      </c>
      <c r="F679" s="3">
        <v>1</v>
      </c>
      <c r="G679" s="3">
        <f t="shared" si="34"/>
        <v>2250</v>
      </c>
      <c r="H679" s="3" t="s">
        <v>293</v>
      </c>
      <c r="I679" s="1" t="s">
        <v>393</v>
      </c>
      <c r="J679" s="1" t="s">
        <v>879</v>
      </c>
      <c r="K679" s="1" t="s">
        <v>300</v>
      </c>
      <c r="L679" s="1" t="s">
        <v>257</v>
      </c>
      <c r="M679" s="1"/>
      <c r="N679" s="1">
        <f t="shared" si="36"/>
        <v>11</v>
      </c>
      <c r="O679" s="65" t="s">
        <v>887</v>
      </c>
    </row>
    <row r="680" spans="1:15" ht="15.75" hidden="1" x14ac:dyDescent="0.25">
      <c r="A680" s="1" t="str">
        <f t="shared" si="35"/>
        <v>44164441644501CURRENTCC BILL PAYMENTBANK</v>
      </c>
      <c r="B680" s="2">
        <v>44164</v>
      </c>
      <c r="C680" s="2">
        <v>44164</v>
      </c>
      <c r="D680" s="3" t="s">
        <v>877</v>
      </c>
      <c r="E680" s="3">
        <v>-4501</v>
      </c>
      <c r="F680" s="3">
        <v>1</v>
      </c>
      <c r="G680" s="3">
        <f t="shared" si="34"/>
        <v>4501</v>
      </c>
      <c r="H680" s="3" t="s">
        <v>293</v>
      </c>
      <c r="I680" s="1" t="s">
        <v>81</v>
      </c>
      <c r="J680" s="1" t="s">
        <v>8</v>
      </c>
      <c r="K680" s="1" t="s">
        <v>298</v>
      </c>
      <c r="L680" s="1" t="s">
        <v>257</v>
      </c>
      <c r="M680" s="1"/>
      <c r="N680" s="1">
        <f t="shared" si="36"/>
        <v>11</v>
      </c>
      <c r="O680" s="65"/>
    </row>
    <row r="681" spans="1:15" ht="15.75" hidden="1" x14ac:dyDescent="0.25">
      <c r="A681" s="1" t="str">
        <f t="shared" si="35"/>
        <v>4416444164718.04CURRENTCC BILL PAYMENTBANK</v>
      </c>
      <c r="B681" s="2">
        <v>44164</v>
      </c>
      <c r="C681" s="2">
        <v>44164</v>
      </c>
      <c r="D681" s="3" t="s">
        <v>849</v>
      </c>
      <c r="E681" s="3">
        <v>-718.04</v>
      </c>
      <c r="F681" s="3">
        <v>1</v>
      </c>
      <c r="G681" s="3">
        <f t="shared" si="34"/>
        <v>718.04</v>
      </c>
      <c r="H681" s="3" t="s">
        <v>293</v>
      </c>
      <c r="I681" s="1" t="s">
        <v>81</v>
      </c>
      <c r="J681" s="1" t="s">
        <v>8</v>
      </c>
      <c r="K681" s="1" t="s">
        <v>298</v>
      </c>
      <c r="L681" s="1" t="s">
        <v>257</v>
      </c>
      <c r="M681" s="1"/>
      <c r="N681" s="1">
        <f t="shared" si="36"/>
        <v>11</v>
      </c>
      <c r="O681" s="65"/>
    </row>
    <row r="682" spans="1:15" ht="15.75" hidden="1" x14ac:dyDescent="0.25">
      <c r="A682" s="1" t="str">
        <f t="shared" si="35"/>
        <v>44164441644501DINERSCC BILL PAYMENTBANK</v>
      </c>
      <c r="B682" s="2">
        <v>44164</v>
      </c>
      <c r="C682" s="2">
        <v>44164</v>
      </c>
      <c r="D682" s="3" t="s">
        <v>80</v>
      </c>
      <c r="E682" s="3">
        <v>-4501</v>
      </c>
      <c r="F682" s="3">
        <v>1</v>
      </c>
      <c r="G682" s="3">
        <f t="shared" si="34"/>
        <v>4501</v>
      </c>
      <c r="H682" s="3" t="s">
        <v>266</v>
      </c>
      <c r="I682" s="1" t="s">
        <v>81</v>
      </c>
      <c r="J682" s="1" t="s">
        <v>8</v>
      </c>
      <c r="K682" s="1" t="s">
        <v>300</v>
      </c>
      <c r="L682" s="1" t="s">
        <v>267</v>
      </c>
      <c r="M682" s="1"/>
      <c r="N682" s="1">
        <f t="shared" si="36"/>
        <v>11</v>
      </c>
      <c r="O682" s="87"/>
    </row>
    <row r="683" spans="1:15" ht="15.75" hidden="1" x14ac:dyDescent="0.25">
      <c r="A683" s="1" t="str">
        <f t="shared" si="35"/>
        <v>441654416672MASTER CCTELECOMVODAFONE</v>
      </c>
      <c r="B683" s="2">
        <v>44165</v>
      </c>
      <c r="C683" s="2">
        <v>44166</v>
      </c>
      <c r="D683" s="3" t="s">
        <v>885</v>
      </c>
      <c r="E683" s="3">
        <v>72</v>
      </c>
      <c r="F683" s="3">
        <v>1</v>
      </c>
      <c r="G683" s="3">
        <f t="shared" si="34"/>
        <v>72</v>
      </c>
      <c r="H683" s="3" t="s">
        <v>291</v>
      </c>
      <c r="I683" s="1" t="s">
        <v>58</v>
      </c>
      <c r="J683" s="1" t="s">
        <v>78</v>
      </c>
      <c r="K683" s="1" t="s">
        <v>298</v>
      </c>
      <c r="L683" s="1" t="s">
        <v>267</v>
      </c>
      <c r="M683" s="1"/>
      <c r="N683" s="1">
        <f t="shared" si="36"/>
        <v>12</v>
      </c>
      <c r="O683" s="65"/>
    </row>
    <row r="684" spans="1:15" ht="15.75" hidden="1" x14ac:dyDescent="0.25">
      <c r="A684" s="1" t="str">
        <f t="shared" si="35"/>
        <v>44165441651046.43CURRENTTRANSFERINDIA</v>
      </c>
      <c r="B684" s="2">
        <v>44165</v>
      </c>
      <c r="C684" s="2">
        <v>44165</v>
      </c>
      <c r="D684" s="3" t="s">
        <v>874</v>
      </c>
      <c r="E684" s="3">
        <v>-1046.43</v>
      </c>
      <c r="F684" s="3">
        <v>1</v>
      </c>
      <c r="G684" s="3">
        <f t="shared" si="34"/>
        <v>1046.43</v>
      </c>
      <c r="H684" s="3" t="s">
        <v>293</v>
      </c>
      <c r="I684" s="1" t="s">
        <v>22</v>
      </c>
      <c r="J684" s="1" t="s">
        <v>23</v>
      </c>
      <c r="K684" s="1" t="s">
        <v>298</v>
      </c>
      <c r="L684" s="1" t="s">
        <v>257</v>
      </c>
      <c r="M684" s="1"/>
      <c r="N684" s="1">
        <f t="shared" si="36"/>
        <v>11</v>
      </c>
      <c r="O684" s="65"/>
    </row>
    <row r="685" spans="1:15" ht="15.75" hidden="1" x14ac:dyDescent="0.25">
      <c r="A685" s="1" t="str">
        <f t="shared" si="35"/>
        <v>441654416515CURRENTSERVICEBANK</v>
      </c>
      <c r="B685" s="2">
        <v>44165</v>
      </c>
      <c r="C685" s="2">
        <v>44165</v>
      </c>
      <c r="D685" s="3" t="s">
        <v>876</v>
      </c>
      <c r="E685" s="3">
        <v>-15</v>
      </c>
      <c r="F685" s="3">
        <v>1</v>
      </c>
      <c r="G685" s="3">
        <f t="shared" si="34"/>
        <v>15</v>
      </c>
      <c r="H685" s="3" t="s">
        <v>293</v>
      </c>
      <c r="I685" s="1" t="s">
        <v>7</v>
      </c>
      <c r="J685" s="1" t="s">
        <v>8</v>
      </c>
      <c r="K685" s="1" t="s">
        <v>298</v>
      </c>
      <c r="L685" s="1" t="s">
        <v>257</v>
      </c>
      <c r="M685" s="1"/>
      <c r="N685" s="1">
        <f t="shared" si="36"/>
        <v>11</v>
      </c>
      <c r="O685" s="65"/>
    </row>
    <row r="686" spans="1:15" ht="15.75" hidden="1" x14ac:dyDescent="0.25">
      <c r="A686" s="1" t="str">
        <f t="shared" si="35"/>
        <v>44165441651CURRENTSERVICEBANK</v>
      </c>
      <c r="B686" s="2">
        <v>44165</v>
      </c>
      <c r="C686" s="2">
        <v>44165</v>
      </c>
      <c r="D686" s="3" t="s">
        <v>875</v>
      </c>
      <c r="E686" s="3">
        <v>-1</v>
      </c>
      <c r="F686" s="3">
        <v>1</v>
      </c>
      <c r="G686" s="3">
        <f t="shared" si="34"/>
        <v>1</v>
      </c>
      <c r="H686" s="3" t="s">
        <v>293</v>
      </c>
      <c r="I686" s="1" t="s">
        <v>7</v>
      </c>
      <c r="J686" s="1" t="s">
        <v>8</v>
      </c>
      <c r="K686" s="1" t="s">
        <v>298</v>
      </c>
      <c r="L686" s="1" t="s">
        <v>257</v>
      </c>
      <c r="M686" s="1"/>
      <c r="N686" s="1">
        <f t="shared" si="36"/>
        <v>11</v>
      </c>
      <c r="O686" s="65"/>
    </row>
    <row r="687" spans="1:15" ht="15.75" hidden="1" x14ac:dyDescent="0.25">
      <c r="A687" s="1" t="str">
        <f t="shared" si="35"/>
        <v>441664416615CURRENTSERVICEBANK</v>
      </c>
      <c r="B687" s="2">
        <v>44166</v>
      </c>
      <c r="C687" s="2">
        <v>44166</v>
      </c>
      <c r="D687" s="3" t="s">
        <v>872</v>
      </c>
      <c r="E687" s="3">
        <v>15</v>
      </c>
      <c r="F687" s="3">
        <v>1</v>
      </c>
      <c r="G687" s="3">
        <f t="shared" si="34"/>
        <v>15</v>
      </c>
      <c r="H687" s="3" t="s">
        <v>293</v>
      </c>
      <c r="I687" s="1" t="s">
        <v>7</v>
      </c>
      <c r="J687" s="1" t="s">
        <v>8</v>
      </c>
      <c r="K687" s="1" t="s">
        <v>300</v>
      </c>
      <c r="L687" s="1" t="s">
        <v>257</v>
      </c>
      <c r="M687" s="1"/>
      <c r="N687" s="1">
        <f t="shared" si="36"/>
        <v>12</v>
      </c>
      <c r="O687" s="65"/>
    </row>
    <row r="688" spans="1:15" ht="15.75" hidden="1" x14ac:dyDescent="0.25">
      <c r="A688" s="1" t="str">
        <f t="shared" si="35"/>
        <v>441664416615CURRENTSERVICEBANK</v>
      </c>
      <c r="B688" s="2">
        <v>44166</v>
      </c>
      <c r="C688" s="2">
        <v>44166</v>
      </c>
      <c r="D688" s="3" t="s">
        <v>873</v>
      </c>
      <c r="E688" s="3">
        <v>15</v>
      </c>
      <c r="F688" s="3">
        <v>1</v>
      </c>
      <c r="G688" s="3">
        <f t="shared" si="34"/>
        <v>15</v>
      </c>
      <c r="H688" s="3" t="s">
        <v>293</v>
      </c>
      <c r="I688" s="1" t="s">
        <v>7</v>
      </c>
      <c r="J688" s="1" t="s">
        <v>8</v>
      </c>
      <c r="K688" s="1" t="s">
        <v>300</v>
      </c>
      <c r="L688" s="1" t="s">
        <v>257</v>
      </c>
      <c r="M688" s="1"/>
      <c r="N688" s="1">
        <f t="shared" si="36"/>
        <v>12</v>
      </c>
      <c r="O688" s="65"/>
    </row>
    <row r="689" spans="1:15" ht="15.75" hidden="1" x14ac:dyDescent="0.25">
      <c r="A689" s="1" t="str">
        <f t="shared" si="35"/>
        <v>44166441661000CURRENTSAVINGSELF</v>
      </c>
      <c r="B689" s="2">
        <v>44166</v>
      </c>
      <c r="C689" s="2">
        <v>44166</v>
      </c>
      <c r="D689" s="3" t="s">
        <v>316</v>
      </c>
      <c r="E689" s="3">
        <v>-1000</v>
      </c>
      <c r="F689" s="3">
        <v>1</v>
      </c>
      <c r="G689" s="3">
        <f t="shared" si="34"/>
        <v>1000</v>
      </c>
      <c r="H689" s="3" t="s">
        <v>293</v>
      </c>
      <c r="I689" s="1" t="s">
        <v>302</v>
      </c>
      <c r="J689" s="1" t="s">
        <v>14</v>
      </c>
      <c r="K689" s="1" t="s">
        <v>298</v>
      </c>
      <c r="L689" s="1" t="s">
        <v>257</v>
      </c>
      <c r="M689" s="1"/>
      <c r="N689" s="1">
        <f t="shared" si="36"/>
        <v>12</v>
      </c>
      <c r="O689" s="65"/>
    </row>
    <row r="690" spans="1:15" ht="15.75" hidden="1" x14ac:dyDescent="0.25">
      <c r="A690" s="1" t="str">
        <f t="shared" si="35"/>
        <v>441684417134MASTER CCFOODTALABAT</v>
      </c>
      <c r="B690" s="2">
        <v>44168</v>
      </c>
      <c r="C690" s="2">
        <v>44171</v>
      </c>
      <c r="D690" s="3" t="s">
        <v>884</v>
      </c>
      <c r="E690" s="3">
        <v>34</v>
      </c>
      <c r="F690" s="3">
        <v>1</v>
      </c>
      <c r="G690" s="3">
        <f t="shared" si="34"/>
        <v>34</v>
      </c>
      <c r="H690" s="3" t="s">
        <v>291</v>
      </c>
      <c r="I690" s="1" t="s">
        <v>10</v>
      </c>
      <c r="J690" s="1" t="s">
        <v>865</v>
      </c>
      <c r="K690" s="1" t="s">
        <v>298</v>
      </c>
      <c r="L690" s="1" t="s">
        <v>267</v>
      </c>
      <c r="M690" s="1"/>
      <c r="N690" s="1">
        <f t="shared" si="36"/>
        <v>12</v>
      </c>
      <c r="O690" s="65"/>
    </row>
    <row r="691" spans="1:15" ht="15.75" hidden="1" x14ac:dyDescent="0.25">
      <c r="A691" s="1" t="str">
        <f t="shared" si="35"/>
        <v>44168441684CURRENTSERVICEBANK</v>
      </c>
      <c r="B691" s="2">
        <v>44168</v>
      </c>
      <c r="C691" s="2">
        <v>44168</v>
      </c>
      <c r="D691" s="3" t="s">
        <v>871</v>
      </c>
      <c r="E691" s="3">
        <v>-4</v>
      </c>
      <c r="F691" s="3">
        <v>1</v>
      </c>
      <c r="G691" s="3">
        <f t="shared" si="34"/>
        <v>4</v>
      </c>
      <c r="H691" s="3" t="s">
        <v>293</v>
      </c>
      <c r="I691" s="1" t="s">
        <v>7</v>
      </c>
      <c r="J691" s="1" t="s">
        <v>8</v>
      </c>
      <c r="K691" s="1" t="s">
        <v>298</v>
      </c>
      <c r="L691" s="1" t="s">
        <v>257</v>
      </c>
      <c r="M691" s="1"/>
      <c r="N691" s="1">
        <f t="shared" si="36"/>
        <v>12</v>
      </c>
      <c r="O691" s="65"/>
    </row>
    <row r="692" spans="1:15" ht="15.75" hidden="1" x14ac:dyDescent="0.25">
      <c r="A692" s="1" t="str">
        <f t="shared" si="35"/>
        <v>44168441684125CURRENTRENTCAP ONE</v>
      </c>
      <c r="B692" s="2">
        <v>44168</v>
      </c>
      <c r="C692" s="2">
        <v>44168</v>
      </c>
      <c r="D692" s="3" t="s">
        <v>870</v>
      </c>
      <c r="E692" s="3">
        <v>-4125</v>
      </c>
      <c r="F692" s="3">
        <v>1</v>
      </c>
      <c r="G692" s="3">
        <f t="shared" si="34"/>
        <v>4125</v>
      </c>
      <c r="H692" s="3" t="s">
        <v>293</v>
      </c>
      <c r="I692" s="1" t="s">
        <v>83</v>
      </c>
      <c r="J692" s="1" t="s">
        <v>84</v>
      </c>
      <c r="K692" s="1" t="s">
        <v>298</v>
      </c>
      <c r="L692" s="1" t="s">
        <v>257</v>
      </c>
      <c r="M692" s="1"/>
      <c r="N692" s="1">
        <f t="shared" si="36"/>
        <v>12</v>
      </c>
      <c r="O692" s="65"/>
    </row>
    <row r="693" spans="1:15" ht="15.75" hidden="1" x14ac:dyDescent="0.25">
      <c r="A693" s="1" t="str">
        <f t="shared" si="35"/>
        <v>441684416959.18DINERSGROCERYPICK-N-PACK</v>
      </c>
      <c r="B693" s="2">
        <v>44168</v>
      </c>
      <c r="C693" s="2">
        <v>44169</v>
      </c>
      <c r="D693" s="3" t="s">
        <v>880</v>
      </c>
      <c r="E693" s="3">
        <v>59.18</v>
      </c>
      <c r="F693" s="3">
        <v>1</v>
      </c>
      <c r="G693" s="3">
        <f t="shared" si="34"/>
        <v>59.18</v>
      </c>
      <c r="H693" s="3" t="s">
        <v>266</v>
      </c>
      <c r="I693" s="1" t="s">
        <v>43</v>
      </c>
      <c r="J693" s="1" t="s">
        <v>222</v>
      </c>
      <c r="K693" s="1" t="s">
        <v>298</v>
      </c>
      <c r="L693" s="1" t="s">
        <v>267</v>
      </c>
      <c r="M693" s="1"/>
      <c r="N693" s="1">
        <f t="shared" si="36"/>
        <v>12</v>
      </c>
      <c r="O693" s="87"/>
    </row>
    <row r="694" spans="1:15" ht="15.75" hidden="1" x14ac:dyDescent="0.25">
      <c r="A694" s="1" t="str">
        <f t="shared" si="35"/>
        <v>441684417027MASTER CCTRANSPORTCAREEM</v>
      </c>
      <c r="B694" s="2">
        <v>44168</v>
      </c>
      <c r="C694" s="2">
        <v>44170</v>
      </c>
      <c r="D694" s="3" t="s">
        <v>883</v>
      </c>
      <c r="E694" s="3">
        <v>27</v>
      </c>
      <c r="F694" s="3">
        <v>1</v>
      </c>
      <c r="G694" s="3">
        <f t="shared" si="34"/>
        <v>27</v>
      </c>
      <c r="H694" s="3" t="s">
        <v>291</v>
      </c>
      <c r="I694" s="1" t="s">
        <v>296</v>
      </c>
      <c r="J694" s="1" t="s">
        <v>297</v>
      </c>
      <c r="K694" s="1" t="s">
        <v>298</v>
      </c>
      <c r="L694" s="1" t="s">
        <v>267</v>
      </c>
      <c r="M694" s="1"/>
      <c r="N694" s="1">
        <f t="shared" si="36"/>
        <v>12</v>
      </c>
      <c r="O694" s="65"/>
    </row>
    <row r="695" spans="1:15" ht="15.75" hidden="1" x14ac:dyDescent="0.25">
      <c r="A695" s="1" t="str">
        <f t="shared" si="35"/>
        <v>4416944171219.25MASTER CCGROCERYLULU</v>
      </c>
      <c r="B695" s="2">
        <v>44169</v>
      </c>
      <c r="C695" s="2">
        <v>44171</v>
      </c>
      <c r="D695" s="3" t="s">
        <v>882</v>
      </c>
      <c r="E695" s="3">
        <v>219.25</v>
      </c>
      <c r="F695" s="3">
        <v>1</v>
      </c>
      <c r="G695" s="3">
        <f t="shared" si="34"/>
        <v>219.25</v>
      </c>
      <c r="H695" s="3" t="s">
        <v>291</v>
      </c>
      <c r="I695" s="1" t="s">
        <v>43</v>
      </c>
      <c r="J695" s="1" t="s">
        <v>44</v>
      </c>
      <c r="K695" s="1" t="s">
        <v>298</v>
      </c>
      <c r="L695" s="1" t="s">
        <v>267</v>
      </c>
      <c r="M695" s="1"/>
      <c r="N695" s="1">
        <f t="shared" si="36"/>
        <v>12</v>
      </c>
      <c r="O695" s="65"/>
    </row>
    <row r="696" spans="1:15" ht="15.75" hidden="1" x14ac:dyDescent="0.25">
      <c r="A696" s="1" t="str">
        <f t="shared" si="35"/>
        <v>441704417449MASTER CCFOODTALABAT</v>
      </c>
      <c r="B696" s="2">
        <v>44170</v>
      </c>
      <c r="C696" s="2">
        <v>44174</v>
      </c>
      <c r="D696" s="3" t="s">
        <v>890</v>
      </c>
      <c r="E696" s="3">
        <v>49</v>
      </c>
      <c r="F696" s="3">
        <v>1</v>
      </c>
      <c r="G696" s="3">
        <f t="shared" si="34"/>
        <v>49</v>
      </c>
      <c r="H696" s="3" t="s">
        <v>291</v>
      </c>
      <c r="I696" s="1" t="s">
        <v>10</v>
      </c>
      <c r="J696" s="1" t="s">
        <v>865</v>
      </c>
      <c r="K696" s="1" t="s">
        <v>298</v>
      </c>
      <c r="L696" s="1" t="s">
        <v>267</v>
      </c>
      <c r="M696" s="1"/>
      <c r="N696" s="1">
        <f t="shared" si="36"/>
        <v>12</v>
      </c>
      <c r="O696" s="65"/>
    </row>
    <row r="697" spans="1:15" ht="15.75" hidden="1" x14ac:dyDescent="0.25">
      <c r="A697" s="1" t="str">
        <f t="shared" si="35"/>
        <v>441704417343.25MASTER CCGROCERYLULU</v>
      </c>
      <c r="B697" s="2">
        <v>44170</v>
      </c>
      <c r="C697" s="2">
        <v>44173</v>
      </c>
      <c r="D697" s="3" t="s">
        <v>881</v>
      </c>
      <c r="E697" s="3">
        <v>43.25</v>
      </c>
      <c r="F697" s="3">
        <v>1</v>
      </c>
      <c r="G697" s="3">
        <f t="shared" si="34"/>
        <v>43.25</v>
      </c>
      <c r="H697" s="3" t="s">
        <v>291</v>
      </c>
      <c r="I697" s="1" t="s">
        <v>43</v>
      </c>
      <c r="J697" s="1" t="s">
        <v>44</v>
      </c>
      <c r="K697" s="1" t="s">
        <v>298</v>
      </c>
      <c r="L697" s="1" t="s">
        <v>267</v>
      </c>
      <c r="M697" s="1"/>
      <c r="N697" s="1">
        <f t="shared" si="36"/>
        <v>12</v>
      </c>
      <c r="O697" s="65"/>
    </row>
    <row r="698" spans="1:15" ht="15.75" hidden="1" x14ac:dyDescent="0.25">
      <c r="A698" s="1" t="str">
        <f t="shared" si="35"/>
        <v>44171441711250CURRENTSAVINGSELF</v>
      </c>
      <c r="B698" s="2">
        <v>44171</v>
      </c>
      <c r="C698" s="2">
        <v>44171</v>
      </c>
      <c r="D698" s="3" t="s">
        <v>333</v>
      </c>
      <c r="E698" s="3">
        <v>-1250</v>
      </c>
      <c r="F698" s="3">
        <v>1</v>
      </c>
      <c r="G698" s="3">
        <f t="shared" si="34"/>
        <v>1250</v>
      </c>
      <c r="H698" s="3" t="s">
        <v>293</v>
      </c>
      <c r="I698" s="1" t="s">
        <v>302</v>
      </c>
      <c r="J698" s="1" t="s">
        <v>14</v>
      </c>
      <c r="K698" s="1" t="s">
        <v>298</v>
      </c>
      <c r="L698" s="1" t="s">
        <v>257</v>
      </c>
      <c r="M698" s="1"/>
      <c r="N698" s="1">
        <f t="shared" si="36"/>
        <v>12</v>
      </c>
      <c r="O698" s="65"/>
    </row>
    <row r="699" spans="1:15" ht="15.75" hidden="1" x14ac:dyDescent="0.25">
      <c r="A699" s="1" t="str">
        <f t="shared" si="35"/>
        <v>44171441711250CURRENTSAVINGSELF</v>
      </c>
      <c r="B699" s="2">
        <v>44171</v>
      </c>
      <c r="C699" s="2">
        <v>44171</v>
      </c>
      <c r="D699" s="3" t="s">
        <v>869</v>
      </c>
      <c r="E699" s="3">
        <v>-1250</v>
      </c>
      <c r="F699" s="3">
        <v>1</v>
      </c>
      <c r="G699" s="3">
        <f t="shared" si="34"/>
        <v>1250</v>
      </c>
      <c r="H699" s="3" t="s">
        <v>293</v>
      </c>
      <c r="I699" s="1" t="s">
        <v>302</v>
      </c>
      <c r="J699" s="1" t="s">
        <v>14</v>
      </c>
      <c r="K699" s="1" t="s">
        <v>298</v>
      </c>
      <c r="L699" s="1" t="s">
        <v>257</v>
      </c>
      <c r="M699" s="1"/>
      <c r="N699" s="1">
        <f t="shared" si="36"/>
        <v>12</v>
      </c>
      <c r="O699" s="65"/>
    </row>
    <row r="700" spans="1:15" ht="15.75" hidden="1" x14ac:dyDescent="0.25">
      <c r="A700" s="1" t="str">
        <f t="shared" si="35"/>
        <v>441714417257DINERSGROCERYPICK-N-PACK</v>
      </c>
      <c r="B700" s="2">
        <v>44171</v>
      </c>
      <c r="C700" s="2">
        <v>44172</v>
      </c>
      <c r="D700" s="3" t="s">
        <v>888</v>
      </c>
      <c r="E700" s="3">
        <v>57</v>
      </c>
      <c r="F700" s="3">
        <v>1</v>
      </c>
      <c r="G700" s="3">
        <f t="shared" ref="G700:G763" si="37">ABS(E700)*F700</f>
        <v>57</v>
      </c>
      <c r="H700" s="3" t="s">
        <v>266</v>
      </c>
      <c r="I700" s="1" t="s">
        <v>43</v>
      </c>
      <c r="J700" s="1" t="s">
        <v>222</v>
      </c>
      <c r="K700" s="1" t="s">
        <v>298</v>
      </c>
      <c r="L700" s="1" t="s">
        <v>267</v>
      </c>
      <c r="M700" s="1"/>
      <c r="N700" s="1">
        <f t="shared" si="36"/>
        <v>12</v>
      </c>
      <c r="O700" s="87"/>
    </row>
    <row r="701" spans="1:15" ht="15.75" hidden="1" x14ac:dyDescent="0.25">
      <c r="A701" s="1" t="str">
        <f t="shared" si="35"/>
        <v>441734417514MASTER CCTRANSPORTCAREEM</v>
      </c>
      <c r="B701" s="2">
        <v>44173</v>
      </c>
      <c r="C701" s="2">
        <v>44175</v>
      </c>
      <c r="D701" s="3" t="s">
        <v>889</v>
      </c>
      <c r="E701" s="3">
        <v>14</v>
      </c>
      <c r="F701" s="3">
        <v>1</v>
      </c>
      <c r="G701" s="3">
        <f t="shared" si="37"/>
        <v>14</v>
      </c>
      <c r="H701" s="3" t="s">
        <v>291</v>
      </c>
      <c r="I701" s="1" t="s">
        <v>296</v>
      </c>
      <c r="J701" s="1" t="s">
        <v>297</v>
      </c>
      <c r="K701" s="1" t="s">
        <v>298</v>
      </c>
      <c r="L701" s="1" t="s">
        <v>267</v>
      </c>
      <c r="M701" s="1"/>
      <c r="N701" s="1">
        <f t="shared" si="36"/>
        <v>12</v>
      </c>
      <c r="O701" s="65"/>
    </row>
    <row r="702" spans="1:15" ht="15.75" hidden="1" x14ac:dyDescent="0.25">
      <c r="A702" s="1" t="str">
        <f t="shared" si="35"/>
        <v>441754417870MASTER CCFOODTALABAT</v>
      </c>
      <c r="B702" s="2">
        <v>44175</v>
      </c>
      <c r="C702" s="2">
        <v>44178</v>
      </c>
      <c r="D702" s="3" t="s">
        <v>933</v>
      </c>
      <c r="E702" s="3">
        <v>70</v>
      </c>
      <c r="F702" s="3">
        <v>1</v>
      </c>
      <c r="G702" s="3">
        <f t="shared" si="37"/>
        <v>70</v>
      </c>
      <c r="H702" s="3" t="s">
        <v>291</v>
      </c>
      <c r="I702" s="1" t="s">
        <v>10</v>
      </c>
      <c r="J702" s="1" t="s">
        <v>865</v>
      </c>
      <c r="K702" s="1" t="s">
        <v>298</v>
      </c>
      <c r="L702" s="1" t="s">
        <v>267</v>
      </c>
      <c r="M702" s="1"/>
      <c r="N702" s="1">
        <f t="shared" si="36"/>
        <v>12</v>
      </c>
      <c r="O702" s="65"/>
    </row>
    <row r="703" spans="1:15" ht="15.75" hidden="1" x14ac:dyDescent="0.25">
      <c r="A703" s="1" t="str">
        <f t="shared" si="35"/>
        <v>44175441751258.25CURRENTTRANSFERINDIA</v>
      </c>
      <c r="B703" s="2">
        <v>44175</v>
      </c>
      <c r="C703" s="2">
        <v>44175</v>
      </c>
      <c r="D703" s="3" t="s">
        <v>694</v>
      </c>
      <c r="E703" s="3">
        <v>-1258.25</v>
      </c>
      <c r="F703" s="3">
        <v>1</v>
      </c>
      <c r="G703" s="3">
        <f t="shared" si="37"/>
        <v>1258.25</v>
      </c>
      <c r="H703" s="3" t="s">
        <v>293</v>
      </c>
      <c r="I703" s="1" t="s">
        <v>22</v>
      </c>
      <c r="J703" s="1" t="s">
        <v>23</v>
      </c>
      <c r="K703" s="1" t="s">
        <v>298</v>
      </c>
      <c r="L703" s="1" t="s">
        <v>257</v>
      </c>
      <c r="M703" s="1"/>
      <c r="N703" s="1">
        <f t="shared" si="36"/>
        <v>12</v>
      </c>
      <c r="O703" s="65"/>
    </row>
    <row r="704" spans="1:15" ht="15.75" hidden="1" x14ac:dyDescent="0.25">
      <c r="A704" s="1" t="str">
        <f t="shared" si="35"/>
        <v>44176441808DINERSTRANSPORTUBER</v>
      </c>
      <c r="B704" s="2">
        <v>44176</v>
      </c>
      <c r="C704" s="2">
        <v>44180</v>
      </c>
      <c r="D704" s="3" t="s">
        <v>918</v>
      </c>
      <c r="E704" s="3">
        <v>8</v>
      </c>
      <c r="F704" s="3">
        <v>1</v>
      </c>
      <c r="G704" s="3">
        <f t="shared" si="37"/>
        <v>8</v>
      </c>
      <c r="H704" s="3" t="s">
        <v>266</v>
      </c>
      <c r="I704" s="1" t="s">
        <v>296</v>
      </c>
      <c r="J704" s="1" t="s">
        <v>299</v>
      </c>
      <c r="K704" s="1" t="s">
        <v>298</v>
      </c>
      <c r="L704" s="1" t="s">
        <v>267</v>
      </c>
      <c r="M704" s="1"/>
      <c r="N704" s="1">
        <f t="shared" si="36"/>
        <v>12</v>
      </c>
      <c r="O704" s="87"/>
    </row>
    <row r="705" spans="1:15" ht="15.75" hidden="1" x14ac:dyDescent="0.25">
      <c r="A705" s="1" t="str">
        <f t="shared" si="35"/>
        <v>441764418060MASTER CCTELECOMOOREDOO</v>
      </c>
      <c r="B705" s="2">
        <v>44176</v>
      </c>
      <c r="C705" s="2">
        <v>44180</v>
      </c>
      <c r="D705" s="3" t="s">
        <v>931</v>
      </c>
      <c r="E705" s="3">
        <v>60</v>
      </c>
      <c r="F705" s="3">
        <v>1</v>
      </c>
      <c r="G705" s="3">
        <f t="shared" si="37"/>
        <v>60</v>
      </c>
      <c r="H705" s="3" t="s">
        <v>291</v>
      </c>
      <c r="I705" s="1" t="s">
        <v>58</v>
      </c>
      <c r="J705" s="1" t="s">
        <v>59</v>
      </c>
      <c r="K705" s="1" t="s">
        <v>298</v>
      </c>
      <c r="L705" s="1" t="s">
        <v>267</v>
      </c>
      <c r="M705" s="1"/>
      <c r="N705" s="1">
        <f t="shared" si="36"/>
        <v>12</v>
      </c>
      <c r="O705" s="65"/>
    </row>
    <row r="706" spans="1:15" ht="15.75" hidden="1" x14ac:dyDescent="0.25">
      <c r="A706" s="1" t="str">
        <f t="shared" ref="A706:A769" si="38">B706&amp;C706&amp;G706&amp;H706&amp;I706&amp;J706</f>
        <v>44176441788MASTER CCTRANSPORTCAREEM</v>
      </c>
      <c r="B706" s="2">
        <v>44176</v>
      </c>
      <c r="C706" s="2">
        <v>44178</v>
      </c>
      <c r="D706" s="3" t="s">
        <v>932</v>
      </c>
      <c r="E706" s="3">
        <v>8</v>
      </c>
      <c r="F706" s="3">
        <v>1</v>
      </c>
      <c r="G706" s="3">
        <f t="shared" si="37"/>
        <v>8</v>
      </c>
      <c r="H706" s="3" t="s">
        <v>291</v>
      </c>
      <c r="I706" s="1" t="s">
        <v>296</v>
      </c>
      <c r="J706" s="1" t="s">
        <v>297</v>
      </c>
      <c r="K706" s="1" t="s">
        <v>298</v>
      </c>
      <c r="L706" s="1" t="s">
        <v>267</v>
      </c>
      <c r="M706" s="1"/>
      <c r="N706" s="1">
        <f t="shared" ref="N706:N769" si="39">MONTH(C706)</f>
        <v>12</v>
      </c>
      <c r="O706" s="65"/>
    </row>
    <row r="707" spans="1:15" ht="15.75" hidden="1" x14ac:dyDescent="0.25">
      <c r="A707" s="1" t="str">
        <f t="shared" si="38"/>
        <v>4417744178291.75DINERSGROCERYLULU</v>
      </c>
      <c r="B707" s="2">
        <v>44177</v>
      </c>
      <c r="C707" s="2">
        <v>44178</v>
      </c>
      <c r="D707" s="3" t="s">
        <v>917</v>
      </c>
      <c r="E707" s="3">
        <v>291.75</v>
      </c>
      <c r="F707" s="3">
        <v>1</v>
      </c>
      <c r="G707" s="3">
        <f t="shared" si="37"/>
        <v>291.75</v>
      </c>
      <c r="H707" s="3" t="s">
        <v>266</v>
      </c>
      <c r="I707" s="1" t="s">
        <v>43</v>
      </c>
      <c r="J707" s="1" t="s">
        <v>44</v>
      </c>
      <c r="K707" s="1" t="s">
        <v>298</v>
      </c>
      <c r="L707" s="1" t="s">
        <v>267</v>
      </c>
      <c r="M707" s="1"/>
      <c r="N707" s="1">
        <f t="shared" si="39"/>
        <v>12</v>
      </c>
      <c r="O707" s="87"/>
    </row>
    <row r="708" spans="1:15" ht="15.75" hidden="1" x14ac:dyDescent="0.25">
      <c r="A708" s="1" t="str">
        <f t="shared" si="38"/>
        <v>441774417867.5DINERSGROCERYPICK-N-PACK</v>
      </c>
      <c r="B708" s="2">
        <v>44177</v>
      </c>
      <c r="C708" s="2">
        <v>44178</v>
      </c>
      <c r="D708" s="3" t="s">
        <v>916</v>
      </c>
      <c r="E708" s="3">
        <v>67.5</v>
      </c>
      <c r="F708" s="3">
        <v>1</v>
      </c>
      <c r="G708" s="3">
        <f t="shared" si="37"/>
        <v>67.5</v>
      </c>
      <c r="H708" s="3" t="s">
        <v>266</v>
      </c>
      <c r="I708" s="1" t="s">
        <v>43</v>
      </c>
      <c r="J708" s="1" t="s">
        <v>222</v>
      </c>
      <c r="K708" s="1" t="s">
        <v>298</v>
      </c>
      <c r="L708" s="1" t="s">
        <v>267</v>
      </c>
      <c r="M708" s="1"/>
      <c r="N708" s="1">
        <f t="shared" si="39"/>
        <v>12</v>
      </c>
      <c r="O708" s="87"/>
    </row>
    <row r="709" spans="1:15" ht="15.75" hidden="1" x14ac:dyDescent="0.25">
      <c r="A709" s="1" t="str">
        <f t="shared" si="38"/>
        <v>44177441803MASTER CCTRANSPORTCAREEM</v>
      </c>
      <c r="B709" s="2">
        <v>44177</v>
      </c>
      <c r="C709" s="2">
        <v>44180</v>
      </c>
      <c r="D709" s="3" t="s">
        <v>930</v>
      </c>
      <c r="E709" s="3">
        <v>3</v>
      </c>
      <c r="F709" s="3">
        <v>1</v>
      </c>
      <c r="G709" s="3">
        <f t="shared" si="37"/>
        <v>3</v>
      </c>
      <c r="H709" s="3" t="s">
        <v>291</v>
      </c>
      <c r="I709" s="1" t="s">
        <v>296</v>
      </c>
      <c r="J709" s="1" t="s">
        <v>297</v>
      </c>
      <c r="K709" s="1" t="s">
        <v>298</v>
      </c>
      <c r="L709" s="1" t="s">
        <v>267</v>
      </c>
      <c r="M709" s="1"/>
      <c r="N709" s="1">
        <f t="shared" si="39"/>
        <v>12</v>
      </c>
      <c r="O709" s="65"/>
    </row>
    <row r="710" spans="1:15" ht="15.75" hidden="1" x14ac:dyDescent="0.25">
      <c r="A710" s="1" t="str">
        <f t="shared" si="38"/>
        <v>44178441781000CURRENTWITHDRAWSELF</v>
      </c>
      <c r="B710" s="2">
        <v>44178</v>
      </c>
      <c r="C710" s="2">
        <v>44178</v>
      </c>
      <c r="D710" s="3" t="s">
        <v>906</v>
      </c>
      <c r="E710" s="3">
        <v>-1000</v>
      </c>
      <c r="F710" s="3">
        <v>1</v>
      </c>
      <c r="G710" s="3">
        <f t="shared" si="37"/>
        <v>1000</v>
      </c>
      <c r="H710" s="3" t="s">
        <v>293</v>
      </c>
      <c r="I710" s="1" t="s">
        <v>13</v>
      </c>
      <c r="J710" s="1" t="s">
        <v>14</v>
      </c>
      <c r="K710" s="1" t="s">
        <v>298</v>
      </c>
      <c r="L710" s="1" t="s">
        <v>257</v>
      </c>
      <c r="M710" s="1"/>
      <c r="N710" s="1">
        <f t="shared" si="39"/>
        <v>12</v>
      </c>
      <c r="O710" s="65"/>
    </row>
    <row r="711" spans="1:15" ht="15.75" hidden="1" x14ac:dyDescent="0.25">
      <c r="A711" s="1" t="str">
        <f t="shared" si="38"/>
        <v>441794418111.5MASTER CCMEDICALHEALTH CENTER</v>
      </c>
      <c r="B711" s="2">
        <v>44179</v>
      </c>
      <c r="C711" s="2">
        <v>44181</v>
      </c>
      <c r="D711" s="3" t="s">
        <v>927</v>
      </c>
      <c r="E711" s="3">
        <v>11.5</v>
      </c>
      <c r="F711" s="3">
        <v>1</v>
      </c>
      <c r="G711" s="3">
        <f t="shared" si="37"/>
        <v>11.5</v>
      </c>
      <c r="H711" s="3" t="s">
        <v>291</v>
      </c>
      <c r="I711" s="1" t="s">
        <v>301</v>
      </c>
      <c r="J711" s="1" t="s">
        <v>159</v>
      </c>
      <c r="K711" s="1" t="s">
        <v>298</v>
      </c>
      <c r="L711" s="1" t="s">
        <v>267</v>
      </c>
      <c r="M711" s="1"/>
      <c r="N711" s="1">
        <f t="shared" si="39"/>
        <v>12</v>
      </c>
      <c r="O711" s="65"/>
    </row>
    <row r="712" spans="1:15" ht="15.75" hidden="1" x14ac:dyDescent="0.25">
      <c r="A712" s="1" t="str">
        <f t="shared" si="38"/>
        <v>441794418112MASTER CCTRANSPORTCAREEM</v>
      </c>
      <c r="B712" s="2">
        <v>44179</v>
      </c>
      <c r="C712" s="2">
        <v>44181</v>
      </c>
      <c r="D712" s="3" t="s">
        <v>929</v>
      </c>
      <c r="E712" s="3">
        <v>12</v>
      </c>
      <c r="F712" s="3">
        <v>1</v>
      </c>
      <c r="G712" s="3">
        <f t="shared" si="37"/>
        <v>12</v>
      </c>
      <c r="H712" s="3" t="s">
        <v>291</v>
      </c>
      <c r="I712" s="1" t="s">
        <v>296</v>
      </c>
      <c r="J712" s="1" t="s">
        <v>297</v>
      </c>
      <c r="K712" s="1" t="s">
        <v>298</v>
      </c>
      <c r="L712" s="1" t="s">
        <v>267</v>
      </c>
      <c r="M712" s="1"/>
      <c r="N712" s="1">
        <f t="shared" si="39"/>
        <v>12</v>
      </c>
      <c r="O712" s="65"/>
    </row>
    <row r="713" spans="1:15" ht="15.75" hidden="1" x14ac:dyDescent="0.25">
      <c r="A713" s="1" t="str">
        <f t="shared" si="38"/>
        <v>441794418110MASTER CCTRANSPORTCAREEM</v>
      </c>
      <c r="B713" s="2">
        <v>44179</v>
      </c>
      <c r="C713" s="2">
        <v>44181</v>
      </c>
      <c r="D713" s="3" t="s">
        <v>926</v>
      </c>
      <c r="E713" s="3">
        <v>10</v>
      </c>
      <c r="F713" s="3">
        <v>1</v>
      </c>
      <c r="G713" s="3">
        <f t="shared" si="37"/>
        <v>10</v>
      </c>
      <c r="H713" s="3" t="s">
        <v>291</v>
      </c>
      <c r="I713" s="1" t="s">
        <v>296</v>
      </c>
      <c r="J713" s="1" t="s">
        <v>297</v>
      </c>
      <c r="K713" s="1" t="s">
        <v>298</v>
      </c>
      <c r="L713" s="1" t="s">
        <v>267</v>
      </c>
      <c r="M713" s="1"/>
      <c r="N713" s="1">
        <f t="shared" si="39"/>
        <v>12</v>
      </c>
      <c r="O713" s="65"/>
    </row>
    <row r="714" spans="1:15" ht="15.75" hidden="1" x14ac:dyDescent="0.25">
      <c r="A714" s="1" t="str">
        <f t="shared" si="38"/>
        <v>441794418124MASTER CCFOODBOM CHOPATI</v>
      </c>
      <c r="B714" s="2">
        <v>44179</v>
      </c>
      <c r="C714" s="2">
        <v>44181</v>
      </c>
      <c r="D714" s="3" t="s">
        <v>928</v>
      </c>
      <c r="E714" s="3">
        <v>24</v>
      </c>
      <c r="F714" s="3">
        <v>1</v>
      </c>
      <c r="G714" s="3">
        <f t="shared" si="37"/>
        <v>24</v>
      </c>
      <c r="H714" s="3" t="s">
        <v>291</v>
      </c>
      <c r="I714" s="1" t="s">
        <v>10</v>
      </c>
      <c r="J714" s="1" t="s">
        <v>934</v>
      </c>
      <c r="K714" s="1" t="s">
        <v>298</v>
      </c>
      <c r="L714" s="1" t="s">
        <v>267</v>
      </c>
      <c r="M714" s="1"/>
      <c r="N714" s="1">
        <f t="shared" si="39"/>
        <v>12</v>
      </c>
      <c r="O714" s="65"/>
    </row>
    <row r="715" spans="1:15" ht="15.75" hidden="1" x14ac:dyDescent="0.25">
      <c r="A715" s="1" t="str">
        <f t="shared" si="38"/>
        <v>441814418330MASTER CCFOODQATAR AIR</v>
      </c>
      <c r="B715" s="2">
        <v>44181</v>
      </c>
      <c r="C715" s="2">
        <v>44183</v>
      </c>
      <c r="D715" s="3" t="s">
        <v>925</v>
      </c>
      <c r="E715" s="3">
        <v>30</v>
      </c>
      <c r="F715" s="3">
        <v>1</v>
      </c>
      <c r="G715" s="3">
        <f t="shared" si="37"/>
        <v>30</v>
      </c>
      <c r="H715" s="3" t="s">
        <v>291</v>
      </c>
      <c r="I715" s="1" t="s">
        <v>10</v>
      </c>
      <c r="J715" s="1" t="s">
        <v>19</v>
      </c>
      <c r="K715" s="1" t="s">
        <v>298</v>
      </c>
      <c r="L715" s="1" t="s">
        <v>267</v>
      </c>
      <c r="M715" s="1"/>
      <c r="N715" s="1">
        <f t="shared" si="39"/>
        <v>12</v>
      </c>
      <c r="O715" s="65"/>
    </row>
    <row r="716" spans="1:15" ht="15.75" hidden="1" x14ac:dyDescent="0.25">
      <c r="A716" s="1" t="str">
        <f t="shared" si="38"/>
        <v>441814418515.43DINERSTRANSPORTUBER</v>
      </c>
      <c r="B716" s="2">
        <v>44181</v>
      </c>
      <c r="C716" s="2">
        <v>44185</v>
      </c>
      <c r="D716" s="3" t="s">
        <v>915</v>
      </c>
      <c r="E716" s="3">
        <v>15.43</v>
      </c>
      <c r="F716" s="3">
        <v>1</v>
      </c>
      <c r="G716" s="3">
        <f t="shared" si="37"/>
        <v>15.43</v>
      </c>
      <c r="H716" s="3" t="s">
        <v>266</v>
      </c>
      <c r="I716" s="1" t="s">
        <v>296</v>
      </c>
      <c r="J716" s="1" t="s">
        <v>299</v>
      </c>
      <c r="K716" s="1" t="s">
        <v>298</v>
      </c>
      <c r="L716" s="1" t="s">
        <v>267</v>
      </c>
      <c r="M716" s="1"/>
      <c r="N716" s="1">
        <f t="shared" si="39"/>
        <v>12</v>
      </c>
      <c r="O716" s="87"/>
    </row>
    <row r="717" spans="1:15" ht="15.75" hidden="1" x14ac:dyDescent="0.25">
      <c r="A717" s="1" t="str">
        <f t="shared" si="38"/>
        <v>44183441872.1MASTER CCMEDICALHEALTH CENTER</v>
      </c>
      <c r="B717" s="2">
        <v>44183</v>
      </c>
      <c r="C717" s="2">
        <v>44187</v>
      </c>
      <c r="D717" s="3" t="s">
        <v>923</v>
      </c>
      <c r="E717" s="3">
        <v>2.1</v>
      </c>
      <c r="F717" s="3">
        <v>1</v>
      </c>
      <c r="G717" s="3">
        <f t="shared" si="37"/>
        <v>2.1</v>
      </c>
      <c r="H717" s="3" t="s">
        <v>291</v>
      </c>
      <c r="I717" s="1" t="s">
        <v>301</v>
      </c>
      <c r="J717" s="1" t="s">
        <v>159</v>
      </c>
      <c r="K717" s="1" t="s">
        <v>298</v>
      </c>
      <c r="L717" s="1" t="s">
        <v>267</v>
      </c>
      <c r="M717" s="1"/>
      <c r="N717" s="1">
        <f t="shared" si="39"/>
        <v>12</v>
      </c>
      <c r="O717" s="65"/>
    </row>
    <row r="718" spans="1:15" ht="15.75" hidden="1" x14ac:dyDescent="0.25">
      <c r="A718" s="1" t="str">
        <f t="shared" si="38"/>
        <v>441834418469DINERSSHOPPINGLULU</v>
      </c>
      <c r="B718" s="2">
        <v>44183</v>
      </c>
      <c r="C718" s="2">
        <v>44184</v>
      </c>
      <c r="D718" s="3" t="s">
        <v>913</v>
      </c>
      <c r="E718" s="3">
        <v>69</v>
      </c>
      <c r="F718" s="3">
        <v>1</v>
      </c>
      <c r="G718" s="3">
        <f t="shared" si="37"/>
        <v>69</v>
      </c>
      <c r="H718" s="3" t="s">
        <v>266</v>
      </c>
      <c r="I718" s="1" t="s">
        <v>194</v>
      </c>
      <c r="J718" s="1" t="s">
        <v>44</v>
      </c>
      <c r="K718" s="1" t="s">
        <v>298</v>
      </c>
      <c r="L718" s="1" t="s">
        <v>267</v>
      </c>
      <c r="M718" s="1"/>
      <c r="N718" s="1">
        <f t="shared" si="39"/>
        <v>12</v>
      </c>
      <c r="O718" s="87"/>
    </row>
    <row r="719" spans="1:15" ht="15.75" hidden="1" x14ac:dyDescent="0.25">
      <c r="A719" s="1" t="str">
        <f t="shared" si="38"/>
        <v>441834418418DINERSGROCERYLULU</v>
      </c>
      <c r="B719" s="2">
        <v>44183</v>
      </c>
      <c r="C719" s="2">
        <v>44184</v>
      </c>
      <c r="D719" s="3" t="s">
        <v>914</v>
      </c>
      <c r="E719" s="3">
        <v>18</v>
      </c>
      <c r="F719" s="3">
        <v>1</v>
      </c>
      <c r="G719" s="3">
        <f t="shared" si="37"/>
        <v>18</v>
      </c>
      <c r="H719" s="3" t="s">
        <v>266</v>
      </c>
      <c r="I719" s="1" t="s">
        <v>43</v>
      </c>
      <c r="J719" s="1" t="s">
        <v>44</v>
      </c>
      <c r="K719" s="1" t="s">
        <v>298</v>
      </c>
      <c r="L719" s="1" t="s">
        <v>267</v>
      </c>
      <c r="M719" s="1"/>
      <c r="N719" s="1">
        <f t="shared" si="39"/>
        <v>12</v>
      </c>
      <c r="O719" s="87"/>
    </row>
    <row r="720" spans="1:15" ht="15.75" hidden="1" x14ac:dyDescent="0.25">
      <c r="A720" s="1" t="str">
        <f t="shared" si="38"/>
        <v>4418344184201.07DINERSGROCERYLULU</v>
      </c>
      <c r="B720" s="2">
        <v>44183</v>
      </c>
      <c r="C720" s="2">
        <v>44184</v>
      </c>
      <c r="D720" s="3" t="s">
        <v>912</v>
      </c>
      <c r="E720" s="3">
        <v>201.07</v>
      </c>
      <c r="F720" s="3">
        <v>1</v>
      </c>
      <c r="G720" s="3">
        <f t="shared" si="37"/>
        <v>201.07</v>
      </c>
      <c r="H720" s="3" t="s">
        <v>266</v>
      </c>
      <c r="I720" s="1" t="s">
        <v>43</v>
      </c>
      <c r="J720" s="1" t="s">
        <v>44</v>
      </c>
      <c r="K720" s="1" t="s">
        <v>298</v>
      </c>
      <c r="L720" s="1" t="s">
        <v>267</v>
      </c>
      <c r="M720" s="1"/>
      <c r="N720" s="1">
        <f t="shared" si="39"/>
        <v>12</v>
      </c>
      <c r="O720" s="87"/>
    </row>
    <row r="721" spans="1:15" ht="15.75" hidden="1" x14ac:dyDescent="0.25">
      <c r="A721" s="1" t="str">
        <f t="shared" si="38"/>
        <v>44183441858MASTER CCTRANSPORTCAREEM</v>
      </c>
      <c r="B721" s="2">
        <v>44183</v>
      </c>
      <c r="C721" s="2">
        <v>44185</v>
      </c>
      <c r="D721" s="3" t="s">
        <v>924</v>
      </c>
      <c r="E721" s="3">
        <v>8</v>
      </c>
      <c r="F721" s="3">
        <v>1</v>
      </c>
      <c r="G721" s="3">
        <f t="shared" si="37"/>
        <v>8</v>
      </c>
      <c r="H721" s="3" t="s">
        <v>291</v>
      </c>
      <c r="I721" s="1" t="s">
        <v>296</v>
      </c>
      <c r="J721" s="1" t="s">
        <v>297</v>
      </c>
      <c r="K721" s="1" t="s">
        <v>298</v>
      </c>
      <c r="L721" s="1" t="s">
        <v>267</v>
      </c>
      <c r="M721" s="1"/>
      <c r="N721" s="1">
        <f t="shared" si="39"/>
        <v>12</v>
      </c>
      <c r="O721" s="65"/>
    </row>
    <row r="722" spans="1:15" ht="15.75" hidden="1" x14ac:dyDescent="0.25">
      <c r="A722" s="1" t="str">
        <f t="shared" si="38"/>
        <v>441844418540DINERSGROCERYPICK-N-PACK</v>
      </c>
      <c r="B722" s="2">
        <v>44184</v>
      </c>
      <c r="C722" s="2">
        <v>44185</v>
      </c>
      <c r="D722" s="3" t="s">
        <v>911</v>
      </c>
      <c r="E722" s="3">
        <v>40</v>
      </c>
      <c r="F722" s="3">
        <v>1</v>
      </c>
      <c r="G722" s="3">
        <f t="shared" si="37"/>
        <v>40</v>
      </c>
      <c r="H722" s="3" t="s">
        <v>266</v>
      </c>
      <c r="I722" s="1" t="s">
        <v>43</v>
      </c>
      <c r="J722" s="1" t="s">
        <v>222</v>
      </c>
      <c r="K722" s="1" t="s">
        <v>298</v>
      </c>
      <c r="L722" s="1" t="s">
        <v>267</v>
      </c>
      <c r="M722" s="1"/>
      <c r="N722" s="1">
        <f t="shared" si="39"/>
        <v>12</v>
      </c>
      <c r="O722" s="87"/>
    </row>
    <row r="723" spans="1:15" ht="15.75" hidden="1" x14ac:dyDescent="0.25">
      <c r="A723" s="1" t="str">
        <f t="shared" si="38"/>
        <v>441854418750MASTER CCFOODQATAR AIR</v>
      </c>
      <c r="B723" s="2">
        <v>44185</v>
      </c>
      <c r="C723" s="2">
        <v>44187</v>
      </c>
      <c r="D723" s="3" t="s">
        <v>922</v>
      </c>
      <c r="E723" s="3">
        <v>50</v>
      </c>
      <c r="F723" s="3">
        <v>1</v>
      </c>
      <c r="G723" s="3">
        <f t="shared" si="37"/>
        <v>50</v>
      </c>
      <c r="H723" s="3" t="s">
        <v>291</v>
      </c>
      <c r="I723" s="1" t="s">
        <v>10</v>
      </c>
      <c r="J723" s="1" t="s">
        <v>19</v>
      </c>
      <c r="K723" s="1" t="s">
        <v>298</v>
      </c>
      <c r="L723" s="1" t="s">
        <v>267</v>
      </c>
      <c r="M723" s="1"/>
      <c r="N723" s="1">
        <f t="shared" si="39"/>
        <v>12</v>
      </c>
      <c r="O723" s="65"/>
    </row>
    <row r="724" spans="1:15" ht="15.75" hidden="1" x14ac:dyDescent="0.25">
      <c r="A724" s="1" t="str">
        <f t="shared" si="38"/>
        <v>44186441864999CURRENTTRANSFERINDIA</v>
      </c>
      <c r="B724" s="2">
        <v>44186</v>
      </c>
      <c r="C724" s="2">
        <v>44186</v>
      </c>
      <c r="D724" s="3" t="s">
        <v>903</v>
      </c>
      <c r="E724" s="3">
        <v>-4999</v>
      </c>
      <c r="F724" s="3">
        <v>1</v>
      </c>
      <c r="G724" s="3">
        <f t="shared" si="37"/>
        <v>4999</v>
      </c>
      <c r="H724" s="3" t="s">
        <v>293</v>
      </c>
      <c r="I724" s="1" t="s">
        <v>22</v>
      </c>
      <c r="J724" s="1" t="s">
        <v>23</v>
      </c>
      <c r="K724" s="1" t="s">
        <v>298</v>
      </c>
      <c r="L724" s="1" t="s">
        <v>257</v>
      </c>
      <c r="M724" s="1"/>
      <c r="N724" s="1">
        <f t="shared" si="39"/>
        <v>12</v>
      </c>
      <c r="O724" s="65" t="s">
        <v>907</v>
      </c>
    </row>
    <row r="725" spans="1:15" ht="15.75" hidden="1" x14ac:dyDescent="0.25">
      <c r="A725" s="1" t="str">
        <f t="shared" si="38"/>
        <v>441864418615CURRENTSERVICEBANK</v>
      </c>
      <c r="B725" s="2">
        <v>44186</v>
      </c>
      <c r="C725" s="2">
        <v>44186</v>
      </c>
      <c r="D725" s="3" t="s">
        <v>905</v>
      </c>
      <c r="E725" s="3">
        <v>-15</v>
      </c>
      <c r="F725" s="3">
        <v>1</v>
      </c>
      <c r="G725" s="3">
        <f t="shared" si="37"/>
        <v>15</v>
      </c>
      <c r="H725" s="3" t="s">
        <v>293</v>
      </c>
      <c r="I725" s="1" t="s">
        <v>7</v>
      </c>
      <c r="J725" s="1" t="s">
        <v>8</v>
      </c>
      <c r="K725" s="1" t="s">
        <v>298</v>
      </c>
      <c r="L725" s="1" t="s">
        <v>257</v>
      </c>
      <c r="M725" s="1"/>
      <c r="N725" s="1">
        <f t="shared" si="39"/>
        <v>12</v>
      </c>
      <c r="O725" s="65"/>
    </row>
    <row r="726" spans="1:15" ht="15.75" hidden="1" x14ac:dyDescent="0.25">
      <c r="A726" s="1" t="str">
        <f t="shared" si="38"/>
        <v>44186441861CURRENTSERVICEBANK</v>
      </c>
      <c r="B726" s="2">
        <v>44186</v>
      </c>
      <c r="C726" s="2">
        <v>44186</v>
      </c>
      <c r="D726" s="3" t="s">
        <v>904</v>
      </c>
      <c r="E726" s="3">
        <v>-1</v>
      </c>
      <c r="F726" s="3">
        <v>1</v>
      </c>
      <c r="G726" s="3">
        <f t="shared" si="37"/>
        <v>1</v>
      </c>
      <c r="H726" s="3" t="s">
        <v>293</v>
      </c>
      <c r="I726" s="1" t="s">
        <v>7</v>
      </c>
      <c r="J726" s="1" t="s">
        <v>8</v>
      </c>
      <c r="K726" s="1" t="s">
        <v>298</v>
      </c>
      <c r="L726" s="1" t="s">
        <v>257</v>
      </c>
      <c r="M726" s="1"/>
      <c r="N726" s="1">
        <f t="shared" si="39"/>
        <v>12</v>
      </c>
      <c r="O726" s="65"/>
    </row>
    <row r="727" spans="1:15" ht="15.75" hidden="1" x14ac:dyDescent="0.25">
      <c r="A727" s="1" t="str">
        <f t="shared" si="38"/>
        <v>441864418711.5DINERSGROCERYPICK-N-PACK</v>
      </c>
      <c r="B727" s="2">
        <v>44186</v>
      </c>
      <c r="C727" s="2">
        <v>44187</v>
      </c>
      <c r="D727" s="3" t="s">
        <v>910</v>
      </c>
      <c r="E727" s="3">
        <v>11.5</v>
      </c>
      <c r="F727" s="3">
        <v>1</v>
      </c>
      <c r="G727" s="3">
        <f t="shared" si="37"/>
        <v>11.5</v>
      </c>
      <c r="H727" s="3" t="s">
        <v>266</v>
      </c>
      <c r="I727" s="1" t="s">
        <v>43</v>
      </c>
      <c r="J727" s="1" t="s">
        <v>222</v>
      </c>
      <c r="K727" s="1" t="s">
        <v>298</v>
      </c>
      <c r="L727" s="1" t="s">
        <v>267</v>
      </c>
      <c r="M727" s="1"/>
      <c r="N727" s="1">
        <f t="shared" si="39"/>
        <v>12</v>
      </c>
      <c r="O727" s="87"/>
    </row>
    <row r="728" spans="1:15" ht="15.75" hidden="1" x14ac:dyDescent="0.25">
      <c r="A728" s="1" t="str">
        <f t="shared" si="38"/>
        <v>441884418938DINERSGROCERYPICK-N-PACK</v>
      </c>
      <c r="B728" s="2">
        <v>44188</v>
      </c>
      <c r="C728" s="2">
        <v>44189</v>
      </c>
      <c r="D728" s="3" t="s">
        <v>909</v>
      </c>
      <c r="E728" s="3">
        <v>38</v>
      </c>
      <c r="F728" s="3">
        <v>1</v>
      </c>
      <c r="G728" s="3">
        <f t="shared" si="37"/>
        <v>38</v>
      </c>
      <c r="H728" s="3" t="s">
        <v>266</v>
      </c>
      <c r="I728" s="1" t="s">
        <v>43</v>
      </c>
      <c r="J728" s="1" t="s">
        <v>222</v>
      </c>
      <c r="K728" s="1" t="s">
        <v>298</v>
      </c>
      <c r="L728" s="1" t="s">
        <v>267</v>
      </c>
      <c r="M728" s="1"/>
      <c r="N728" s="1">
        <f t="shared" si="39"/>
        <v>12</v>
      </c>
      <c r="O728" s="87"/>
    </row>
    <row r="729" spans="1:15" ht="15.75" hidden="1" x14ac:dyDescent="0.25">
      <c r="A729" s="1" t="str">
        <f t="shared" si="38"/>
        <v>441884419023MASTER CCTRANSPORTCAREEM</v>
      </c>
      <c r="B729" s="2">
        <v>44188</v>
      </c>
      <c r="C729" s="2">
        <v>44190</v>
      </c>
      <c r="D729" s="3" t="s">
        <v>921</v>
      </c>
      <c r="E729" s="3">
        <v>23</v>
      </c>
      <c r="F729" s="3">
        <v>1</v>
      </c>
      <c r="G729" s="3">
        <f t="shared" si="37"/>
        <v>23</v>
      </c>
      <c r="H729" s="3" t="s">
        <v>291</v>
      </c>
      <c r="I729" s="1" t="s">
        <v>296</v>
      </c>
      <c r="J729" s="1" t="s">
        <v>297</v>
      </c>
      <c r="K729" s="1" t="s">
        <v>298</v>
      </c>
      <c r="L729" s="1" t="s">
        <v>267</v>
      </c>
      <c r="M729" s="1"/>
      <c r="N729" s="1">
        <f t="shared" si="39"/>
        <v>12</v>
      </c>
      <c r="O729" s="65"/>
    </row>
    <row r="730" spans="1:15" ht="15.75" hidden="1" x14ac:dyDescent="0.25">
      <c r="A730" s="1" t="str">
        <f t="shared" si="38"/>
        <v>441884419022MASTER CCTRANSPORTCAREEM</v>
      </c>
      <c r="B730" s="2">
        <v>44188</v>
      </c>
      <c r="C730" s="2">
        <v>44190</v>
      </c>
      <c r="D730" s="3" t="s">
        <v>920</v>
      </c>
      <c r="E730" s="3">
        <v>22</v>
      </c>
      <c r="F730" s="3">
        <v>1</v>
      </c>
      <c r="G730" s="3">
        <f t="shared" si="37"/>
        <v>22</v>
      </c>
      <c r="H730" s="3" t="s">
        <v>291</v>
      </c>
      <c r="I730" s="1" t="s">
        <v>296</v>
      </c>
      <c r="J730" s="1" t="s">
        <v>297</v>
      </c>
      <c r="K730" s="1" t="s">
        <v>298</v>
      </c>
      <c r="L730" s="1" t="s">
        <v>267</v>
      </c>
      <c r="M730" s="1"/>
      <c r="N730" s="1">
        <f t="shared" si="39"/>
        <v>12</v>
      </c>
      <c r="O730" s="65"/>
    </row>
    <row r="731" spans="1:15" ht="15.75" hidden="1" x14ac:dyDescent="0.25">
      <c r="A731" s="1" t="str">
        <f t="shared" si="38"/>
        <v>441894419412MASTER CCFOODTALABAT</v>
      </c>
      <c r="B731" s="2">
        <v>44189</v>
      </c>
      <c r="C731" s="2">
        <v>44194</v>
      </c>
      <c r="D731" s="3" t="s">
        <v>919</v>
      </c>
      <c r="E731" s="3">
        <v>12</v>
      </c>
      <c r="F731" s="3">
        <v>1</v>
      </c>
      <c r="G731" s="3">
        <f t="shared" si="37"/>
        <v>12</v>
      </c>
      <c r="H731" s="3" t="s">
        <v>291</v>
      </c>
      <c r="I731" s="1" t="s">
        <v>10</v>
      </c>
      <c r="J731" s="1" t="s">
        <v>865</v>
      </c>
      <c r="K731" s="1" t="s">
        <v>298</v>
      </c>
      <c r="L731" s="1" t="s">
        <v>267</v>
      </c>
      <c r="M731" s="1"/>
      <c r="N731" s="1">
        <f t="shared" si="39"/>
        <v>12</v>
      </c>
      <c r="O731" s="65"/>
    </row>
    <row r="732" spans="1:15" ht="15.75" hidden="1" x14ac:dyDescent="0.25">
      <c r="A732" s="1" t="str">
        <f t="shared" si="38"/>
        <v>441904419140DINERSGROCERYPICK-N-PACK</v>
      </c>
      <c r="B732" s="2">
        <v>44190</v>
      </c>
      <c r="C732" s="2">
        <v>44191</v>
      </c>
      <c r="D732" s="3" t="s">
        <v>908</v>
      </c>
      <c r="E732" s="3">
        <v>40</v>
      </c>
      <c r="F732" s="3">
        <v>1</v>
      </c>
      <c r="G732" s="3">
        <f t="shared" si="37"/>
        <v>40</v>
      </c>
      <c r="H732" s="3" t="s">
        <v>266</v>
      </c>
      <c r="I732" s="1" t="s">
        <v>43</v>
      </c>
      <c r="J732" s="1" t="s">
        <v>222</v>
      </c>
      <c r="K732" s="1" t="s">
        <v>298</v>
      </c>
      <c r="L732" s="1" t="s">
        <v>267</v>
      </c>
      <c r="M732" s="1"/>
      <c r="N732" s="1">
        <f t="shared" si="39"/>
        <v>12</v>
      </c>
      <c r="O732" s="87"/>
    </row>
    <row r="733" spans="1:15" ht="15.75" hidden="1" x14ac:dyDescent="0.25">
      <c r="A733" s="1" t="str">
        <f t="shared" si="38"/>
        <v>441904419211MASTER CCTRANSPORTCAREEM</v>
      </c>
      <c r="B733" s="2">
        <v>44190</v>
      </c>
      <c r="C733" s="2">
        <v>44192</v>
      </c>
      <c r="D733" s="3" t="s">
        <v>941</v>
      </c>
      <c r="E733" s="3">
        <v>11</v>
      </c>
      <c r="F733" s="3">
        <v>1</v>
      </c>
      <c r="G733" s="3">
        <f t="shared" si="37"/>
        <v>11</v>
      </c>
      <c r="H733" s="3" t="s">
        <v>291</v>
      </c>
      <c r="I733" s="1" t="s">
        <v>296</v>
      </c>
      <c r="J733" s="1" t="s">
        <v>297</v>
      </c>
      <c r="K733" s="1" t="s">
        <v>298</v>
      </c>
      <c r="L733" s="1" t="s">
        <v>267</v>
      </c>
      <c r="M733" s="1"/>
      <c r="N733" s="1">
        <f t="shared" si="39"/>
        <v>12</v>
      </c>
      <c r="O733" s="65"/>
    </row>
    <row r="734" spans="1:15" ht="15.75" hidden="1" x14ac:dyDescent="0.25">
      <c r="A734" s="1" t="str">
        <f t="shared" si="38"/>
        <v>441944419590MASTER CCTELECOMVODAFONE</v>
      </c>
      <c r="B734" s="2">
        <v>44194</v>
      </c>
      <c r="C734" s="2">
        <v>44195</v>
      </c>
      <c r="D734" s="3" t="s">
        <v>940</v>
      </c>
      <c r="E734" s="3">
        <v>90</v>
      </c>
      <c r="F734" s="3">
        <v>1</v>
      </c>
      <c r="G734" s="3">
        <f t="shared" si="37"/>
        <v>90</v>
      </c>
      <c r="H734" s="3" t="s">
        <v>291</v>
      </c>
      <c r="I734" s="1" t="s">
        <v>58</v>
      </c>
      <c r="J734" s="1" t="s">
        <v>78</v>
      </c>
      <c r="K734" s="1" t="s">
        <v>298</v>
      </c>
      <c r="L734" s="1" t="s">
        <v>267</v>
      </c>
      <c r="M734" s="1"/>
      <c r="N734" s="1">
        <f t="shared" si="39"/>
        <v>12</v>
      </c>
      <c r="O734" s="65"/>
    </row>
    <row r="735" spans="1:15" ht="15.75" hidden="1" x14ac:dyDescent="0.25">
      <c r="A735" s="1" t="str">
        <f t="shared" si="38"/>
        <v>441944419412360CURRENTSALARYQATAR AIR</v>
      </c>
      <c r="B735" s="2">
        <v>44194</v>
      </c>
      <c r="C735" s="2">
        <v>44194</v>
      </c>
      <c r="D735" s="3" t="s">
        <v>938</v>
      </c>
      <c r="E735" s="3">
        <v>12360</v>
      </c>
      <c r="F735" s="3">
        <v>1</v>
      </c>
      <c r="G735" s="3">
        <f t="shared" si="37"/>
        <v>12360</v>
      </c>
      <c r="H735" s="3" t="s">
        <v>293</v>
      </c>
      <c r="I735" s="1" t="s">
        <v>18</v>
      </c>
      <c r="J735" s="1" t="s">
        <v>19</v>
      </c>
      <c r="K735" s="1" t="s">
        <v>300</v>
      </c>
      <c r="L735" s="1" t="s">
        <v>257</v>
      </c>
      <c r="M735" s="1"/>
      <c r="N735" s="1">
        <f t="shared" si="39"/>
        <v>12</v>
      </c>
      <c r="O735" s="65"/>
    </row>
    <row r="736" spans="1:15" ht="15.75" hidden="1" x14ac:dyDescent="0.25">
      <c r="A736" s="1" t="str">
        <f t="shared" si="38"/>
        <v>4419544195408.3CURRENTGROCERYLULU</v>
      </c>
      <c r="B736" s="2">
        <v>44195</v>
      </c>
      <c r="C736" s="2">
        <v>44195</v>
      </c>
      <c r="D736" s="3" t="s">
        <v>935</v>
      </c>
      <c r="E736" s="3">
        <v>-408.3</v>
      </c>
      <c r="F736" s="3">
        <v>1</v>
      </c>
      <c r="G736" s="3">
        <f t="shared" si="37"/>
        <v>408.3</v>
      </c>
      <c r="H736" s="3" t="s">
        <v>293</v>
      </c>
      <c r="I736" s="1" t="s">
        <v>43</v>
      </c>
      <c r="J736" s="1" t="s">
        <v>44</v>
      </c>
      <c r="K736" s="1" t="s">
        <v>298</v>
      </c>
      <c r="L736" s="1" t="s">
        <v>257</v>
      </c>
      <c r="M736" s="1"/>
      <c r="N736" s="1">
        <f t="shared" si="39"/>
        <v>12</v>
      </c>
      <c r="O736" s="65"/>
    </row>
    <row r="737" spans="1:15" ht="15.75" hidden="1" x14ac:dyDescent="0.25">
      <c r="A737" s="1" t="str">
        <f t="shared" si="38"/>
        <v>44195441951821.53CURRENTCC BILL PAYMENTBANK</v>
      </c>
      <c r="B737" s="2">
        <v>44195</v>
      </c>
      <c r="C737" s="2">
        <v>44195</v>
      </c>
      <c r="D737" s="3" t="s">
        <v>937</v>
      </c>
      <c r="E737" s="3">
        <v>-1821.53</v>
      </c>
      <c r="F737" s="3">
        <v>1</v>
      </c>
      <c r="G737" s="3">
        <f t="shared" si="37"/>
        <v>1821.53</v>
      </c>
      <c r="H737" s="3" t="s">
        <v>293</v>
      </c>
      <c r="I737" s="1" t="s">
        <v>81</v>
      </c>
      <c r="J737" s="1" t="s">
        <v>8</v>
      </c>
      <c r="K737" s="1" t="s">
        <v>298</v>
      </c>
      <c r="L737" s="1" t="s">
        <v>257</v>
      </c>
      <c r="M737" s="1"/>
      <c r="N737" s="1">
        <f t="shared" si="39"/>
        <v>12</v>
      </c>
      <c r="O737" s="65"/>
    </row>
    <row r="738" spans="1:15" ht="15.75" hidden="1" x14ac:dyDescent="0.25">
      <c r="A738" s="1" t="str">
        <f t="shared" si="38"/>
        <v>44195441958CURRENTCC BILL PAYMENTBANK</v>
      </c>
      <c r="B738" s="2">
        <v>44195</v>
      </c>
      <c r="C738" s="2">
        <v>44195</v>
      </c>
      <c r="D738" s="3" t="s">
        <v>936</v>
      </c>
      <c r="E738" s="3">
        <v>-8</v>
      </c>
      <c r="F738" s="3">
        <v>1</v>
      </c>
      <c r="G738" s="3">
        <f t="shared" si="37"/>
        <v>8</v>
      </c>
      <c r="H738" s="3" t="s">
        <v>293</v>
      </c>
      <c r="I738" s="1" t="s">
        <v>81</v>
      </c>
      <c r="J738" s="1" t="s">
        <v>8</v>
      </c>
      <c r="K738" s="1" t="s">
        <v>298</v>
      </c>
      <c r="L738" s="1" t="s">
        <v>257</v>
      </c>
      <c r="M738" s="1"/>
      <c r="N738" s="1">
        <f t="shared" si="39"/>
        <v>12</v>
      </c>
      <c r="O738" s="65"/>
    </row>
    <row r="739" spans="1:15" ht="15.75" hidden="1" x14ac:dyDescent="0.25">
      <c r="A739" s="1" t="str">
        <f t="shared" si="38"/>
        <v>44195441951821.53DINERSCC BILL PAYMENTBANK</v>
      </c>
      <c r="B739" s="2">
        <v>44195</v>
      </c>
      <c r="C739" s="2">
        <v>44195</v>
      </c>
      <c r="D739" s="3" t="s">
        <v>80</v>
      </c>
      <c r="E739" s="3">
        <v>-1821.53</v>
      </c>
      <c r="F739" s="3">
        <v>1</v>
      </c>
      <c r="G739" s="3">
        <f t="shared" si="37"/>
        <v>1821.53</v>
      </c>
      <c r="H739" s="3" t="s">
        <v>266</v>
      </c>
      <c r="I739" s="1" t="s">
        <v>81</v>
      </c>
      <c r="J739" s="1" t="s">
        <v>8</v>
      </c>
      <c r="K739" s="1" t="s">
        <v>300</v>
      </c>
      <c r="L739" s="1" t="s">
        <v>267</v>
      </c>
      <c r="M739" s="1"/>
      <c r="N739" s="1">
        <f t="shared" si="39"/>
        <v>12</v>
      </c>
      <c r="O739" s="87"/>
    </row>
    <row r="740" spans="1:15" ht="15.75" hidden="1" x14ac:dyDescent="0.25">
      <c r="A740" s="1" t="str">
        <f t="shared" si="38"/>
        <v>44195441958DINERSCC BILL PAYMENTBANK</v>
      </c>
      <c r="B740" s="2">
        <v>44195</v>
      </c>
      <c r="C740" s="2">
        <v>44195</v>
      </c>
      <c r="D740" s="3" t="s">
        <v>80</v>
      </c>
      <c r="E740" s="3">
        <v>-8</v>
      </c>
      <c r="F740" s="3">
        <v>1</v>
      </c>
      <c r="G740" s="3">
        <f t="shared" si="37"/>
        <v>8</v>
      </c>
      <c r="H740" s="3" t="s">
        <v>266</v>
      </c>
      <c r="I740" s="1" t="s">
        <v>81</v>
      </c>
      <c r="J740" s="1" t="s">
        <v>8</v>
      </c>
      <c r="K740" s="1" t="s">
        <v>300</v>
      </c>
      <c r="L740" s="1" t="s">
        <v>267</v>
      </c>
      <c r="M740" s="1"/>
      <c r="N740" s="1">
        <f t="shared" si="39"/>
        <v>12</v>
      </c>
      <c r="O740" s="87"/>
    </row>
    <row r="741" spans="1:15" ht="15.75" hidden="1" x14ac:dyDescent="0.25">
      <c r="A741" s="1" t="str">
        <f t="shared" si="38"/>
        <v>44195441968MASTER CCTRANSPORTCAREEM</v>
      </c>
      <c r="B741" s="2">
        <v>44195</v>
      </c>
      <c r="C741" s="2">
        <v>44196</v>
      </c>
      <c r="D741" s="3" t="s">
        <v>939</v>
      </c>
      <c r="E741" s="3">
        <v>8</v>
      </c>
      <c r="F741" s="3">
        <v>1</v>
      </c>
      <c r="G741" s="3">
        <f t="shared" si="37"/>
        <v>8</v>
      </c>
      <c r="H741" s="3" t="s">
        <v>291</v>
      </c>
      <c r="I741" s="1" t="s">
        <v>296</v>
      </c>
      <c r="J741" s="1" t="s">
        <v>297</v>
      </c>
      <c r="K741" s="1" t="s">
        <v>298</v>
      </c>
      <c r="L741" s="1" t="s">
        <v>267</v>
      </c>
      <c r="M741" s="1"/>
      <c r="N741" s="1">
        <f t="shared" si="39"/>
        <v>12</v>
      </c>
      <c r="O741" s="65"/>
    </row>
    <row r="742" spans="1:15" ht="15.75" hidden="1" x14ac:dyDescent="0.25">
      <c r="A742" s="1" t="str">
        <f t="shared" si="38"/>
        <v>441974420133.65MASTER CCGROCERYFFC</v>
      </c>
      <c r="B742" s="2">
        <v>44197</v>
      </c>
      <c r="C742" s="2">
        <v>44201</v>
      </c>
      <c r="D742" s="3" t="s">
        <v>948</v>
      </c>
      <c r="E742" s="3">
        <v>33.65</v>
      </c>
      <c r="F742" s="3">
        <v>1</v>
      </c>
      <c r="G742" s="3">
        <f t="shared" si="37"/>
        <v>33.65</v>
      </c>
      <c r="H742" s="3" t="s">
        <v>291</v>
      </c>
      <c r="I742" s="1" t="s">
        <v>43</v>
      </c>
      <c r="J742" s="1" t="s">
        <v>96</v>
      </c>
      <c r="K742" s="1" t="s">
        <v>298</v>
      </c>
      <c r="L742" s="1" t="s">
        <v>267</v>
      </c>
      <c r="M742" s="1"/>
      <c r="N742" s="1">
        <f t="shared" si="39"/>
        <v>1</v>
      </c>
      <c r="O742" s="65"/>
    </row>
    <row r="743" spans="1:15" ht="15.75" hidden="1" x14ac:dyDescent="0.25">
      <c r="A743" s="1" t="str">
        <f t="shared" si="38"/>
        <v>441984420260MASTER CCTELECOMOOREDOO</v>
      </c>
      <c r="B743" s="2">
        <v>44198</v>
      </c>
      <c r="C743" s="2">
        <v>44202</v>
      </c>
      <c r="D743" s="3" t="s">
        <v>947</v>
      </c>
      <c r="E743" s="3">
        <v>60</v>
      </c>
      <c r="F743" s="3">
        <v>1</v>
      </c>
      <c r="G743" s="3">
        <f t="shared" si="37"/>
        <v>60</v>
      </c>
      <c r="H743" s="3" t="s">
        <v>291</v>
      </c>
      <c r="I743" s="1" t="s">
        <v>58</v>
      </c>
      <c r="J743" s="1" t="s">
        <v>59</v>
      </c>
      <c r="K743" s="1" t="s">
        <v>298</v>
      </c>
      <c r="L743" s="1" t="s">
        <v>267</v>
      </c>
      <c r="M743" s="1"/>
      <c r="N743" s="1">
        <f t="shared" si="39"/>
        <v>1</v>
      </c>
      <c r="O743" s="65"/>
    </row>
    <row r="744" spans="1:15" ht="15.75" hidden="1" x14ac:dyDescent="0.25">
      <c r="A744" s="1" t="str">
        <f t="shared" si="38"/>
        <v>44199442018.71DINERSTRANSPORTUBER</v>
      </c>
      <c r="B744" s="2">
        <v>44199</v>
      </c>
      <c r="C744" s="2">
        <v>44201</v>
      </c>
      <c r="D744" s="3" t="s">
        <v>953</v>
      </c>
      <c r="E744" s="3">
        <v>8.7100000000000009</v>
      </c>
      <c r="F744" s="3">
        <v>1</v>
      </c>
      <c r="G744" s="3">
        <f t="shared" si="37"/>
        <v>8.7100000000000009</v>
      </c>
      <c r="H744" s="3" t="s">
        <v>266</v>
      </c>
      <c r="I744" s="1" t="s">
        <v>296</v>
      </c>
      <c r="J744" s="1" t="s">
        <v>299</v>
      </c>
      <c r="K744" s="1" t="s">
        <v>298</v>
      </c>
      <c r="L744" s="1" t="s">
        <v>267</v>
      </c>
      <c r="M744" s="1"/>
      <c r="N744" s="1">
        <f t="shared" si="39"/>
        <v>1</v>
      </c>
      <c r="O744" s="87"/>
    </row>
    <row r="745" spans="1:15" ht="15.75" hidden="1" x14ac:dyDescent="0.25">
      <c r="A745" s="1" t="str">
        <f t="shared" si="38"/>
        <v>44199441991511.4CURRENTTRANSFERINDIA</v>
      </c>
      <c r="B745" s="2">
        <v>44199</v>
      </c>
      <c r="C745" s="2">
        <v>44199</v>
      </c>
      <c r="D745" s="3" t="s">
        <v>942</v>
      </c>
      <c r="E745" s="3">
        <v>-1511.4</v>
      </c>
      <c r="F745" s="3">
        <v>1</v>
      </c>
      <c r="G745" s="3">
        <f t="shared" si="37"/>
        <v>1511.4</v>
      </c>
      <c r="H745" s="3" t="s">
        <v>293</v>
      </c>
      <c r="I745" s="1" t="s">
        <v>22</v>
      </c>
      <c r="J745" s="1" t="s">
        <v>23</v>
      </c>
      <c r="K745" s="1" t="s">
        <v>298</v>
      </c>
      <c r="L745" s="1" t="s">
        <v>257</v>
      </c>
      <c r="M745" s="1"/>
      <c r="N745" s="1">
        <f t="shared" si="39"/>
        <v>1</v>
      </c>
      <c r="O745" s="65"/>
    </row>
    <row r="746" spans="1:15" ht="15.75" hidden="1" x14ac:dyDescent="0.25">
      <c r="A746" s="1" t="str">
        <f t="shared" si="38"/>
        <v>44199441991.01CURRENTSERVICEBANK</v>
      </c>
      <c r="B746" s="2">
        <v>44199</v>
      </c>
      <c r="C746" s="2">
        <v>44199</v>
      </c>
      <c r="D746" s="3" t="s">
        <v>944</v>
      </c>
      <c r="E746" s="3">
        <v>-1.01</v>
      </c>
      <c r="F746" s="3">
        <v>1</v>
      </c>
      <c r="G746" s="3">
        <f t="shared" si="37"/>
        <v>1.01</v>
      </c>
      <c r="H746" s="3" t="s">
        <v>293</v>
      </c>
      <c r="I746" s="1" t="s">
        <v>7</v>
      </c>
      <c r="J746" s="1" t="s">
        <v>8</v>
      </c>
      <c r="K746" s="1" t="s">
        <v>298</v>
      </c>
      <c r="L746" s="1" t="s">
        <v>257</v>
      </c>
      <c r="M746" s="1"/>
      <c r="N746" s="1">
        <f t="shared" si="39"/>
        <v>1</v>
      </c>
      <c r="O746" s="65"/>
    </row>
    <row r="747" spans="1:15" ht="15.75" hidden="1" x14ac:dyDescent="0.25">
      <c r="A747" s="1" t="str">
        <f t="shared" si="38"/>
        <v>441994419915CURRENTSERVICEBANK</v>
      </c>
      <c r="B747" s="2">
        <v>44199</v>
      </c>
      <c r="C747" s="2">
        <v>44199</v>
      </c>
      <c r="D747" s="3" t="s">
        <v>945</v>
      </c>
      <c r="E747" s="3">
        <v>-15</v>
      </c>
      <c r="F747" s="3">
        <v>1</v>
      </c>
      <c r="G747" s="3">
        <f t="shared" si="37"/>
        <v>15</v>
      </c>
      <c r="H747" s="3" t="s">
        <v>293</v>
      </c>
      <c r="I747" s="1" t="s">
        <v>7</v>
      </c>
      <c r="J747" s="1" t="s">
        <v>8</v>
      </c>
      <c r="K747" s="1" t="s">
        <v>298</v>
      </c>
      <c r="L747" s="1" t="s">
        <v>257</v>
      </c>
      <c r="M747" s="1"/>
      <c r="N747" s="1">
        <f t="shared" si="39"/>
        <v>1</v>
      </c>
      <c r="O747" s="65"/>
    </row>
    <row r="748" spans="1:15" ht="15.75" hidden="1" x14ac:dyDescent="0.25">
      <c r="A748" s="1" t="str">
        <f t="shared" si="38"/>
        <v>441994419915CURRENTSERVICEBANK</v>
      </c>
      <c r="B748" s="2">
        <v>44199</v>
      </c>
      <c r="C748" s="2">
        <v>44199</v>
      </c>
      <c r="D748" s="3" t="s">
        <v>950</v>
      </c>
      <c r="E748" s="3">
        <v>15</v>
      </c>
      <c r="F748" s="3">
        <v>1</v>
      </c>
      <c r="G748" s="3">
        <f t="shared" si="37"/>
        <v>15</v>
      </c>
      <c r="H748" s="3" t="s">
        <v>293</v>
      </c>
      <c r="I748" s="1" t="s">
        <v>7</v>
      </c>
      <c r="J748" s="1" t="s">
        <v>8</v>
      </c>
      <c r="K748" s="1" t="s">
        <v>300</v>
      </c>
      <c r="L748" s="1" t="s">
        <v>257</v>
      </c>
      <c r="M748" s="1"/>
      <c r="N748" s="1">
        <f t="shared" si="39"/>
        <v>1</v>
      </c>
      <c r="O748" s="65"/>
    </row>
    <row r="749" spans="1:15" ht="15.75" hidden="1" x14ac:dyDescent="0.25">
      <c r="A749" s="1" t="str">
        <f t="shared" si="38"/>
        <v>44199441994CURRENTSERVICEBANK</v>
      </c>
      <c r="B749" s="2">
        <v>44199</v>
      </c>
      <c r="C749" s="2">
        <v>44199</v>
      </c>
      <c r="D749" s="3" t="s">
        <v>946</v>
      </c>
      <c r="E749" s="3">
        <v>-4</v>
      </c>
      <c r="F749" s="3">
        <v>1</v>
      </c>
      <c r="G749" s="3">
        <f t="shared" si="37"/>
        <v>4</v>
      </c>
      <c r="H749" s="3" t="s">
        <v>293</v>
      </c>
      <c r="I749" s="1" t="s">
        <v>7</v>
      </c>
      <c r="J749" s="1" t="s">
        <v>8</v>
      </c>
      <c r="K749" s="1" t="s">
        <v>298</v>
      </c>
      <c r="L749" s="1" t="s">
        <v>257</v>
      </c>
      <c r="M749" s="1"/>
      <c r="N749" s="1">
        <f t="shared" si="39"/>
        <v>1</v>
      </c>
      <c r="O749" s="65"/>
    </row>
    <row r="750" spans="1:15" ht="15.75" hidden="1" x14ac:dyDescent="0.25">
      <c r="A750" s="1" t="str">
        <f t="shared" si="38"/>
        <v>44199441994125CURRENTRENTCAP ONE</v>
      </c>
      <c r="B750" s="2">
        <v>44199</v>
      </c>
      <c r="C750" s="2">
        <v>44199</v>
      </c>
      <c r="D750" s="3" t="s">
        <v>943</v>
      </c>
      <c r="E750" s="3">
        <v>-4125</v>
      </c>
      <c r="F750" s="3">
        <v>1</v>
      </c>
      <c r="G750" s="3">
        <f t="shared" si="37"/>
        <v>4125</v>
      </c>
      <c r="H750" s="3" t="s">
        <v>293</v>
      </c>
      <c r="I750" s="1" t="s">
        <v>83</v>
      </c>
      <c r="J750" s="1" t="s">
        <v>84</v>
      </c>
      <c r="K750" s="1" t="s">
        <v>298</v>
      </c>
      <c r="L750" s="1" t="s">
        <v>257</v>
      </c>
      <c r="M750" s="1"/>
      <c r="N750" s="1">
        <f t="shared" si="39"/>
        <v>1</v>
      </c>
      <c r="O750" s="65"/>
    </row>
    <row r="751" spans="1:15" ht="15.75" hidden="1" x14ac:dyDescent="0.25">
      <c r="A751" s="1" t="str">
        <f t="shared" si="38"/>
        <v>4420044200500CURRENTWITHDRAWSELF</v>
      </c>
      <c r="B751" s="2">
        <v>44200</v>
      </c>
      <c r="C751" s="2">
        <v>44200</v>
      </c>
      <c r="D751" s="3" t="s">
        <v>949</v>
      </c>
      <c r="E751" s="3">
        <v>-500</v>
      </c>
      <c r="F751" s="3">
        <v>1</v>
      </c>
      <c r="G751" s="3">
        <f t="shared" si="37"/>
        <v>500</v>
      </c>
      <c r="H751" s="3" t="s">
        <v>293</v>
      </c>
      <c r="I751" s="1" t="s">
        <v>13</v>
      </c>
      <c r="J751" s="1" t="s">
        <v>14</v>
      </c>
      <c r="K751" s="1" t="s">
        <v>298</v>
      </c>
      <c r="L751" s="1" t="s">
        <v>257</v>
      </c>
      <c r="M751" s="1"/>
      <c r="N751" s="1">
        <f t="shared" si="39"/>
        <v>1</v>
      </c>
      <c r="O751" s="65"/>
    </row>
    <row r="752" spans="1:15" ht="15.75" hidden="1" x14ac:dyDescent="0.25">
      <c r="A752" s="1" t="str">
        <f t="shared" si="38"/>
        <v>442004420153DINERSGROCERYPICK-N-PACK</v>
      </c>
      <c r="B752" s="2">
        <v>44200</v>
      </c>
      <c r="C752" s="2">
        <v>44201</v>
      </c>
      <c r="D752" s="3" t="s">
        <v>952</v>
      </c>
      <c r="E752" s="3">
        <v>53</v>
      </c>
      <c r="F752" s="3">
        <v>1</v>
      </c>
      <c r="G752" s="3">
        <f t="shared" si="37"/>
        <v>53</v>
      </c>
      <c r="H752" s="3" t="s">
        <v>266</v>
      </c>
      <c r="I752" s="1" t="s">
        <v>43</v>
      </c>
      <c r="J752" s="1" t="s">
        <v>222</v>
      </c>
      <c r="K752" s="1" t="s">
        <v>298</v>
      </c>
      <c r="L752" s="1" t="s">
        <v>267</v>
      </c>
      <c r="M752" s="1"/>
      <c r="N752" s="1">
        <f t="shared" si="39"/>
        <v>1</v>
      </c>
      <c r="O752" s="87"/>
    </row>
    <row r="753" spans="1:15" ht="15.75" hidden="1" x14ac:dyDescent="0.25">
      <c r="A753" s="1" t="str">
        <f t="shared" si="38"/>
        <v>442014420250MASTER CCTELECOMVODAFONE</v>
      </c>
      <c r="B753" s="2">
        <v>44201</v>
      </c>
      <c r="C753" s="2">
        <v>44202</v>
      </c>
      <c r="D753" s="3" t="s">
        <v>959</v>
      </c>
      <c r="E753" s="3">
        <v>50</v>
      </c>
      <c r="F753" s="3">
        <v>1</v>
      </c>
      <c r="G753" s="3">
        <f t="shared" si="37"/>
        <v>50</v>
      </c>
      <c r="H753" s="3" t="s">
        <v>291</v>
      </c>
      <c r="I753" s="1" t="s">
        <v>58</v>
      </c>
      <c r="J753" s="1" t="s">
        <v>78</v>
      </c>
      <c r="K753" s="1" t="s">
        <v>298</v>
      </c>
      <c r="L753" s="1" t="s">
        <v>267</v>
      </c>
      <c r="M753" s="1"/>
      <c r="N753" s="1">
        <f t="shared" si="39"/>
        <v>1</v>
      </c>
      <c r="O753" s="65"/>
    </row>
    <row r="754" spans="1:15" ht="15.75" hidden="1" x14ac:dyDescent="0.25">
      <c r="A754" s="1" t="str">
        <f t="shared" si="38"/>
        <v>44201442011250CURRENTSAVINGSELF</v>
      </c>
      <c r="B754" s="2">
        <v>44201</v>
      </c>
      <c r="C754" s="2">
        <v>44201</v>
      </c>
      <c r="D754" s="3" t="s">
        <v>333</v>
      </c>
      <c r="E754" s="3">
        <v>-1250</v>
      </c>
      <c r="F754" s="3">
        <v>1</v>
      </c>
      <c r="G754" s="3">
        <f t="shared" si="37"/>
        <v>1250</v>
      </c>
      <c r="H754" s="3" t="s">
        <v>293</v>
      </c>
      <c r="I754" s="1" t="s">
        <v>302</v>
      </c>
      <c r="J754" s="1" t="s">
        <v>14</v>
      </c>
      <c r="K754" s="1" t="s">
        <v>298</v>
      </c>
      <c r="L754" s="1" t="s">
        <v>257</v>
      </c>
      <c r="M754" s="1"/>
      <c r="N754" s="1">
        <f t="shared" si="39"/>
        <v>1</v>
      </c>
      <c r="O754" s="65"/>
    </row>
    <row r="755" spans="1:15" ht="15.75" hidden="1" x14ac:dyDescent="0.25">
      <c r="A755" s="1" t="str">
        <f t="shared" si="38"/>
        <v>442024420427MASTER CCFOODBOM CHOPATI</v>
      </c>
      <c r="B755" s="2">
        <v>44202</v>
      </c>
      <c r="C755" s="2">
        <v>44204</v>
      </c>
      <c r="D755" s="3" t="s">
        <v>958</v>
      </c>
      <c r="E755" s="3">
        <v>27</v>
      </c>
      <c r="F755" s="3">
        <v>1</v>
      </c>
      <c r="G755" s="3">
        <f t="shared" si="37"/>
        <v>27</v>
      </c>
      <c r="H755" s="3" t="s">
        <v>291</v>
      </c>
      <c r="I755" s="1" t="s">
        <v>10</v>
      </c>
      <c r="J755" s="1" t="s">
        <v>934</v>
      </c>
      <c r="K755" s="1" t="s">
        <v>298</v>
      </c>
      <c r="L755" s="1" t="s">
        <v>267</v>
      </c>
      <c r="M755" s="1"/>
      <c r="N755" s="1">
        <f t="shared" si="39"/>
        <v>1</v>
      </c>
      <c r="O755" s="65"/>
    </row>
    <row r="756" spans="1:15" ht="15.75" hidden="1" x14ac:dyDescent="0.25">
      <c r="A756" s="1" t="str">
        <f t="shared" si="38"/>
        <v>44203442049MASTER CCFOODCAFÉ/REST.</v>
      </c>
      <c r="B756" s="2">
        <v>44203</v>
      </c>
      <c r="C756" s="2">
        <v>44204</v>
      </c>
      <c r="D756" s="3" t="s">
        <v>955</v>
      </c>
      <c r="E756" s="3">
        <v>9</v>
      </c>
      <c r="F756" s="3">
        <v>1</v>
      </c>
      <c r="G756" s="3">
        <f t="shared" si="37"/>
        <v>9</v>
      </c>
      <c r="H756" s="3" t="s">
        <v>291</v>
      </c>
      <c r="I756" s="1" t="s">
        <v>10</v>
      </c>
      <c r="J756" s="1" t="s">
        <v>11</v>
      </c>
      <c r="K756" s="1" t="s">
        <v>298</v>
      </c>
      <c r="L756" s="1" t="s">
        <v>267</v>
      </c>
      <c r="M756" s="1"/>
      <c r="N756" s="1">
        <f t="shared" si="39"/>
        <v>1</v>
      </c>
      <c r="O756" s="65"/>
    </row>
    <row r="757" spans="1:15" ht="15.75" hidden="1" x14ac:dyDescent="0.25">
      <c r="A757" s="1" t="str">
        <f t="shared" si="38"/>
        <v>4420344204284.2DINERSGROCERYLULU</v>
      </c>
      <c r="B757" s="2">
        <v>44203</v>
      </c>
      <c r="C757" s="2">
        <f>B757+1</f>
        <v>44204</v>
      </c>
      <c r="D757" s="3" t="s">
        <v>951</v>
      </c>
      <c r="E757" s="3">
        <v>284.2</v>
      </c>
      <c r="F757" s="3">
        <v>1</v>
      </c>
      <c r="G757" s="3">
        <f t="shared" si="37"/>
        <v>284.2</v>
      </c>
      <c r="H757" s="3" t="s">
        <v>266</v>
      </c>
      <c r="I757" s="1" t="s">
        <v>43</v>
      </c>
      <c r="J757" s="1" t="s">
        <v>44</v>
      </c>
      <c r="K757" s="1" t="s">
        <v>298</v>
      </c>
      <c r="L757" s="1" t="s">
        <v>267</v>
      </c>
      <c r="M757" s="1"/>
      <c r="N757" s="1">
        <f t="shared" si="39"/>
        <v>1</v>
      </c>
      <c r="O757" s="87"/>
    </row>
    <row r="758" spans="1:15" ht="15.75" hidden="1" x14ac:dyDescent="0.25">
      <c r="A758" s="1" t="str">
        <f t="shared" si="38"/>
        <v>442034420417MASTER CCGROCERYLULU</v>
      </c>
      <c r="B758" s="2">
        <v>44203</v>
      </c>
      <c r="C758" s="2">
        <v>44204</v>
      </c>
      <c r="D758" s="3" t="s">
        <v>954</v>
      </c>
      <c r="E758" s="3">
        <v>17</v>
      </c>
      <c r="F758" s="3">
        <v>1</v>
      </c>
      <c r="G758" s="3">
        <f t="shared" si="37"/>
        <v>17</v>
      </c>
      <c r="H758" s="3" t="s">
        <v>291</v>
      </c>
      <c r="I758" s="1" t="s">
        <v>43</v>
      </c>
      <c r="J758" s="1" t="s">
        <v>44</v>
      </c>
      <c r="K758" s="1" t="s">
        <v>298</v>
      </c>
      <c r="L758" s="1" t="s">
        <v>267</v>
      </c>
      <c r="M758" s="1"/>
      <c r="N758" s="1">
        <f t="shared" si="39"/>
        <v>1</v>
      </c>
      <c r="O758" s="65"/>
    </row>
    <row r="759" spans="1:15" ht="15.75" hidden="1" x14ac:dyDescent="0.25">
      <c r="A759" s="1" t="str">
        <f t="shared" si="38"/>
        <v>442034420816MASTER CCFOODCAFÉ/REST.</v>
      </c>
      <c r="B759" s="2">
        <v>44203</v>
      </c>
      <c r="C759" s="2">
        <v>44208</v>
      </c>
      <c r="D759" s="3" t="s">
        <v>956</v>
      </c>
      <c r="E759" s="3">
        <v>16</v>
      </c>
      <c r="F759" s="3">
        <v>1</v>
      </c>
      <c r="G759" s="3">
        <f t="shared" si="37"/>
        <v>16</v>
      </c>
      <c r="H759" s="3" t="s">
        <v>291</v>
      </c>
      <c r="I759" s="1" t="s">
        <v>10</v>
      </c>
      <c r="J759" s="1" t="s">
        <v>11</v>
      </c>
      <c r="K759" s="1" t="s">
        <v>298</v>
      </c>
      <c r="L759" s="1" t="s">
        <v>267</v>
      </c>
      <c r="M759" s="1"/>
      <c r="N759" s="1">
        <f t="shared" si="39"/>
        <v>1</v>
      </c>
      <c r="O759" s="65"/>
    </row>
    <row r="760" spans="1:15" ht="15.75" hidden="1" x14ac:dyDescent="0.25">
      <c r="A760" s="1" t="str">
        <f t="shared" si="38"/>
        <v>442034420517MASTER CCTRANSPORTCAREEM</v>
      </c>
      <c r="B760" s="2">
        <v>44203</v>
      </c>
      <c r="C760" s="2">
        <v>44205</v>
      </c>
      <c r="D760" s="3" t="s">
        <v>957</v>
      </c>
      <c r="E760" s="3">
        <v>17</v>
      </c>
      <c r="F760" s="3">
        <v>1</v>
      </c>
      <c r="G760" s="3">
        <f t="shared" si="37"/>
        <v>17</v>
      </c>
      <c r="H760" s="3" t="s">
        <v>291</v>
      </c>
      <c r="I760" s="1" t="s">
        <v>296</v>
      </c>
      <c r="J760" s="1" t="s">
        <v>297</v>
      </c>
      <c r="K760" s="1" t="s">
        <v>298</v>
      </c>
      <c r="L760" s="1" t="s">
        <v>267</v>
      </c>
      <c r="M760" s="1"/>
      <c r="N760" s="1">
        <f t="shared" si="39"/>
        <v>1</v>
      </c>
      <c r="O760" s="65"/>
    </row>
    <row r="761" spans="1:15" ht="15.75" hidden="1" x14ac:dyDescent="0.25">
      <c r="A761" s="1" t="str">
        <f t="shared" si="38"/>
        <v>442044420823MASTER CCTRANSPORTCAREEM</v>
      </c>
      <c r="B761" s="2">
        <v>44204</v>
      </c>
      <c r="C761" s="2">
        <v>44208</v>
      </c>
      <c r="D761" s="3" t="s">
        <v>961</v>
      </c>
      <c r="E761" s="3">
        <v>23</v>
      </c>
      <c r="F761" s="3">
        <v>1</v>
      </c>
      <c r="G761" s="3">
        <f t="shared" si="37"/>
        <v>23</v>
      </c>
      <c r="H761" s="3" t="s">
        <v>291</v>
      </c>
      <c r="I761" s="1" t="s">
        <v>296</v>
      </c>
      <c r="J761" s="1" t="s">
        <v>297</v>
      </c>
      <c r="K761" s="1" t="s">
        <v>298</v>
      </c>
      <c r="L761" s="1" t="s">
        <v>267</v>
      </c>
      <c r="M761" s="1"/>
      <c r="N761" s="1">
        <f t="shared" si="39"/>
        <v>1</v>
      </c>
      <c r="O761" s="65"/>
    </row>
    <row r="762" spans="1:15" ht="15.75" hidden="1" x14ac:dyDescent="0.25">
      <c r="A762" s="1" t="str">
        <f t="shared" si="38"/>
        <v>442044420823MASTER CCGROCERYCARREFOUR</v>
      </c>
      <c r="B762" s="2">
        <v>44204</v>
      </c>
      <c r="C762" s="2">
        <v>44208</v>
      </c>
      <c r="D762" s="3" t="s">
        <v>961</v>
      </c>
      <c r="E762" s="3">
        <v>23</v>
      </c>
      <c r="F762" s="3">
        <v>1</v>
      </c>
      <c r="G762" s="3">
        <f t="shared" si="37"/>
        <v>23</v>
      </c>
      <c r="H762" s="3" t="s">
        <v>291</v>
      </c>
      <c r="I762" s="1" t="s">
        <v>43</v>
      </c>
      <c r="J762" s="1" t="s">
        <v>67</v>
      </c>
      <c r="K762" s="1" t="s">
        <v>298</v>
      </c>
      <c r="L762" s="1" t="s">
        <v>267</v>
      </c>
      <c r="M762" s="1"/>
      <c r="N762" s="1">
        <f t="shared" si="39"/>
        <v>1</v>
      </c>
      <c r="O762" s="65"/>
    </row>
    <row r="763" spans="1:15" ht="15.75" hidden="1" x14ac:dyDescent="0.25">
      <c r="A763" s="1" t="str">
        <f t="shared" si="38"/>
        <v>44206442061262.5CURRENTTRANSFERINDIA</v>
      </c>
      <c r="B763" s="2">
        <v>44206</v>
      </c>
      <c r="C763" s="2">
        <v>44206</v>
      </c>
      <c r="D763" s="3" t="s">
        <v>694</v>
      </c>
      <c r="E763" s="3">
        <v>-1262.5</v>
      </c>
      <c r="F763" s="3">
        <v>1</v>
      </c>
      <c r="G763" s="3">
        <f t="shared" si="37"/>
        <v>1262.5</v>
      </c>
      <c r="H763" s="3" t="s">
        <v>293</v>
      </c>
      <c r="I763" s="1" t="s">
        <v>22</v>
      </c>
      <c r="J763" s="1" t="s">
        <v>23</v>
      </c>
      <c r="K763" s="1" t="s">
        <v>298</v>
      </c>
      <c r="L763" s="1" t="s">
        <v>257</v>
      </c>
      <c r="M763" s="1"/>
      <c r="N763" s="1">
        <f t="shared" si="39"/>
        <v>1</v>
      </c>
      <c r="O763" s="65"/>
    </row>
    <row r="764" spans="1:15" ht="15.75" hidden="1" x14ac:dyDescent="0.25">
      <c r="A764" s="1" t="str">
        <f t="shared" si="38"/>
        <v>44206442062000CURRENTSAVINGSELF</v>
      </c>
      <c r="B764" s="2">
        <v>44206</v>
      </c>
      <c r="C764" s="2">
        <v>44206</v>
      </c>
      <c r="D764" s="3" t="s">
        <v>960</v>
      </c>
      <c r="E764" s="3">
        <v>-2000</v>
      </c>
      <c r="F764" s="3">
        <v>1</v>
      </c>
      <c r="G764" s="3">
        <f t="shared" ref="G764:G777" si="40">ABS(E764)*F764</f>
        <v>2000</v>
      </c>
      <c r="H764" s="3" t="s">
        <v>293</v>
      </c>
      <c r="I764" s="1" t="s">
        <v>302</v>
      </c>
      <c r="J764" s="1" t="s">
        <v>14</v>
      </c>
      <c r="K764" s="1" t="s">
        <v>298</v>
      </c>
      <c r="L764" s="1" t="s">
        <v>257</v>
      </c>
      <c r="M764" s="1"/>
      <c r="N764" s="1">
        <f t="shared" si="39"/>
        <v>1</v>
      </c>
      <c r="O764" s="65"/>
    </row>
    <row r="765" spans="1:15" ht="15.75" hidden="1" x14ac:dyDescent="0.25">
      <c r="A765" s="1" t="str">
        <f t="shared" si="38"/>
        <v>442114421511MASTER CCFOODTALABAT</v>
      </c>
      <c r="B765" s="2">
        <v>44211</v>
      </c>
      <c r="C765" s="2">
        <v>44215</v>
      </c>
      <c r="D765" s="3" t="s">
        <v>974</v>
      </c>
      <c r="E765" s="3">
        <v>11</v>
      </c>
      <c r="F765" s="3">
        <v>1</v>
      </c>
      <c r="G765" s="3">
        <f t="shared" si="40"/>
        <v>11</v>
      </c>
      <c r="H765" s="3" t="s">
        <v>291</v>
      </c>
      <c r="I765" s="1" t="s">
        <v>10</v>
      </c>
      <c r="J765" s="1" t="s">
        <v>865</v>
      </c>
      <c r="K765" s="1" t="s">
        <v>298</v>
      </c>
      <c r="L765" s="1" t="s">
        <v>267</v>
      </c>
      <c r="M765" s="1"/>
      <c r="N765" s="1">
        <f t="shared" si="39"/>
        <v>1</v>
      </c>
      <c r="O765" s="65"/>
    </row>
    <row r="766" spans="1:15" ht="15.75" hidden="1" x14ac:dyDescent="0.25">
      <c r="A766" s="1" t="str">
        <f t="shared" si="38"/>
        <v>4421144212292.6DINERSGROCERYLULU</v>
      </c>
      <c r="B766" s="2">
        <v>44211</v>
      </c>
      <c r="C766" s="2">
        <v>44212</v>
      </c>
      <c r="D766" s="3" t="s">
        <v>968</v>
      </c>
      <c r="E766" s="3">
        <v>292.60000000000002</v>
      </c>
      <c r="F766" s="3">
        <v>1</v>
      </c>
      <c r="G766" s="3">
        <f t="shared" si="40"/>
        <v>292.60000000000002</v>
      </c>
      <c r="H766" s="3" t="s">
        <v>266</v>
      </c>
      <c r="I766" s="1" t="s">
        <v>43</v>
      </c>
      <c r="J766" s="1" t="s">
        <v>44</v>
      </c>
      <c r="K766" s="1" t="s">
        <v>298</v>
      </c>
      <c r="L766" s="1" t="s">
        <v>267</v>
      </c>
      <c r="M766" s="1"/>
      <c r="N766" s="1">
        <f t="shared" si="39"/>
        <v>1</v>
      </c>
      <c r="O766" s="87"/>
    </row>
    <row r="767" spans="1:15" ht="15.75" hidden="1" x14ac:dyDescent="0.25">
      <c r="A767" s="1" t="str">
        <f t="shared" si="38"/>
        <v>44211442138MASTER CCTRANSPORTCAREEM</v>
      </c>
      <c r="B767" s="2">
        <v>44211</v>
      </c>
      <c r="C767" s="2">
        <v>44213</v>
      </c>
      <c r="D767" s="3" t="s">
        <v>975</v>
      </c>
      <c r="E767" s="3">
        <v>8</v>
      </c>
      <c r="F767" s="3">
        <v>1</v>
      </c>
      <c r="G767" s="3">
        <f t="shared" si="40"/>
        <v>8</v>
      </c>
      <c r="H767" s="3" t="s">
        <v>291</v>
      </c>
      <c r="I767" s="1" t="s">
        <v>296</v>
      </c>
      <c r="J767" s="1" t="s">
        <v>297</v>
      </c>
      <c r="K767" s="1" t="s">
        <v>298</v>
      </c>
      <c r="L767" s="1" t="s">
        <v>267</v>
      </c>
      <c r="M767" s="1"/>
      <c r="N767" s="1">
        <f t="shared" si="39"/>
        <v>1</v>
      </c>
      <c r="O767" s="65"/>
    </row>
    <row r="768" spans="1:15" ht="15.75" hidden="1" x14ac:dyDescent="0.25">
      <c r="A768" s="1" t="str">
        <f t="shared" si="38"/>
        <v>4421344215100MASTER CCTRANSPORTMETRO</v>
      </c>
      <c r="B768" s="2">
        <v>44213</v>
      </c>
      <c r="C768" s="2">
        <v>44215</v>
      </c>
      <c r="D768" s="3" t="s">
        <v>973</v>
      </c>
      <c r="E768" s="3">
        <v>100</v>
      </c>
      <c r="F768" s="3">
        <v>1</v>
      </c>
      <c r="G768" s="3">
        <f t="shared" si="40"/>
        <v>100</v>
      </c>
      <c r="H768" s="3" t="s">
        <v>291</v>
      </c>
      <c r="I768" s="1" t="s">
        <v>296</v>
      </c>
      <c r="J768" s="1" t="s">
        <v>759</v>
      </c>
      <c r="K768" s="1" t="s">
        <v>298</v>
      </c>
      <c r="L768" s="1" t="s">
        <v>267</v>
      </c>
      <c r="M768" s="1"/>
      <c r="N768" s="1">
        <f t="shared" si="39"/>
        <v>1</v>
      </c>
      <c r="O768" s="65"/>
    </row>
    <row r="769" spans="1:15" ht="15.75" hidden="1" x14ac:dyDescent="0.25">
      <c r="A769" s="1" t="str">
        <f t="shared" si="38"/>
        <v>44213442131563.95CURRENTTRANSFERINDIA</v>
      </c>
      <c r="B769" s="2">
        <v>44213</v>
      </c>
      <c r="C769" s="2">
        <v>44213</v>
      </c>
      <c r="D769" s="3" t="s">
        <v>962</v>
      </c>
      <c r="E769" s="3">
        <v>-1563.95</v>
      </c>
      <c r="F769" s="3">
        <v>1</v>
      </c>
      <c r="G769" s="3">
        <f t="shared" si="40"/>
        <v>1563.95</v>
      </c>
      <c r="H769" s="3" t="s">
        <v>293</v>
      </c>
      <c r="I769" s="1" t="s">
        <v>22</v>
      </c>
      <c r="J769" s="1" t="s">
        <v>23</v>
      </c>
      <c r="K769" s="1" t="s">
        <v>298</v>
      </c>
      <c r="L769" s="1" t="s">
        <v>257</v>
      </c>
      <c r="M769" s="1"/>
      <c r="N769" s="1">
        <f t="shared" si="39"/>
        <v>1</v>
      </c>
      <c r="O769" s="65"/>
    </row>
    <row r="770" spans="1:15" ht="15.75" hidden="1" x14ac:dyDescent="0.25">
      <c r="A770" s="1" t="str">
        <f t="shared" ref="A770:A833" si="41">B770&amp;C770&amp;G770&amp;H770&amp;I770&amp;J770</f>
        <v>442144421660MASTER CCTELECOMOOREDOO</v>
      </c>
      <c r="B770" s="2">
        <v>44214</v>
      </c>
      <c r="C770" s="2">
        <v>44216</v>
      </c>
      <c r="D770" s="3" t="s">
        <v>972</v>
      </c>
      <c r="E770" s="3">
        <v>60</v>
      </c>
      <c r="F770" s="3">
        <v>1</v>
      </c>
      <c r="G770" s="3">
        <f t="shared" si="40"/>
        <v>60</v>
      </c>
      <c r="H770" s="3" t="s">
        <v>291</v>
      </c>
      <c r="I770" s="1" t="s">
        <v>58</v>
      </c>
      <c r="J770" s="1" t="s">
        <v>59</v>
      </c>
      <c r="K770" s="1" t="s">
        <v>298</v>
      </c>
      <c r="L770" s="1" t="s">
        <v>267</v>
      </c>
      <c r="M770" s="1"/>
      <c r="N770" s="1">
        <f t="shared" ref="N770:N833" si="42">MONTH(C770)</f>
        <v>1</v>
      </c>
      <c r="O770" s="65"/>
    </row>
    <row r="771" spans="1:15" ht="15.75" hidden="1" x14ac:dyDescent="0.25">
      <c r="A771" s="1" t="str">
        <f t="shared" si="41"/>
        <v>442154421712MASTER CCTRANSPORTCAREEM</v>
      </c>
      <c r="B771" s="2">
        <v>44215</v>
      </c>
      <c r="C771" s="2">
        <v>44217</v>
      </c>
      <c r="D771" s="3" t="s">
        <v>971</v>
      </c>
      <c r="E771" s="3">
        <v>12</v>
      </c>
      <c r="F771" s="3">
        <v>1</v>
      </c>
      <c r="G771" s="3">
        <f t="shared" si="40"/>
        <v>12</v>
      </c>
      <c r="H771" s="3" t="s">
        <v>291</v>
      </c>
      <c r="I771" s="1" t="s">
        <v>296</v>
      </c>
      <c r="J771" s="1" t="s">
        <v>297</v>
      </c>
      <c r="K771" s="1" t="s">
        <v>298</v>
      </c>
      <c r="L771" s="1" t="s">
        <v>267</v>
      </c>
      <c r="M771" s="1"/>
      <c r="N771" s="1">
        <f t="shared" si="42"/>
        <v>1</v>
      </c>
      <c r="O771" s="65"/>
    </row>
    <row r="772" spans="1:15" ht="15.75" hidden="1" x14ac:dyDescent="0.25">
      <c r="A772" s="1" t="str">
        <f t="shared" si="41"/>
        <v>442164421619CURRENTFOODCAFÉ/REST.</v>
      </c>
      <c r="B772" s="2">
        <v>44216</v>
      </c>
      <c r="C772" s="2">
        <v>44216</v>
      </c>
      <c r="D772" s="3" t="s">
        <v>978</v>
      </c>
      <c r="E772" s="3">
        <v>-19</v>
      </c>
      <c r="F772" s="3">
        <v>1</v>
      </c>
      <c r="G772" s="3">
        <f t="shared" si="40"/>
        <v>19</v>
      </c>
      <c r="H772" s="3" t="s">
        <v>293</v>
      </c>
      <c r="I772" s="1" t="s">
        <v>10</v>
      </c>
      <c r="J772" s="1" t="s">
        <v>11</v>
      </c>
      <c r="K772" s="1" t="s">
        <v>298</v>
      </c>
      <c r="L772" s="1" t="s">
        <v>257</v>
      </c>
      <c r="M772" s="1"/>
      <c r="N772" s="1">
        <f t="shared" si="42"/>
        <v>1</v>
      </c>
      <c r="O772" s="65"/>
    </row>
    <row r="773" spans="1:15" ht="15.75" hidden="1" x14ac:dyDescent="0.25">
      <c r="A773" s="1" t="str">
        <f t="shared" si="41"/>
        <v>442174421828DINERSGROCERYPICK-N-PACK</v>
      </c>
      <c r="B773" s="2">
        <v>44217</v>
      </c>
      <c r="C773" s="2">
        <v>44218</v>
      </c>
      <c r="D773" s="3" t="s">
        <v>967</v>
      </c>
      <c r="E773" s="3">
        <v>28</v>
      </c>
      <c r="F773" s="3">
        <v>1</v>
      </c>
      <c r="G773" s="3">
        <f t="shared" si="40"/>
        <v>28</v>
      </c>
      <c r="H773" s="3" t="s">
        <v>266</v>
      </c>
      <c r="I773" s="1" t="s">
        <v>43</v>
      </c>
      <c r="J773" s="1" t="s">
        <v>222</v>
      </c>
      <c r="K773" s="1" t="s">
        <v>298</v>
      </c>
      <c r="L773" s="1" t="s">
        <v>267</v>
      </c>
      <c r="M773" s="1"/>
      <c r="N773" s="1">
        <f t="shared" si="42"/>
        <v>1</v>
      </c>
      <c r="O773" s="87"/>
    </row>
    <row r="774" spans="1:15" ht="15.75" hidden="1" x14ac:dyDescent="0.25">
      <c r="A774" s="1" t="str">
        <f t="shared" si="41"/>
        <v>4421844219309.2DINERSGROCERYLULU</v>
      </c>
      <c r="B774" s="2">
        <v>44218</v>
      </c>
      <c r="C774" s="2">
        <v>44219</v>
      </c>
      <c r="D774" s="3" t="s">
        <v>966</v>
      </c>
      <c r="E774" s="3">
        <v>309.2</v>
      </c>
      <c r="F774" s="3">
        <v>1</v>
      </c>
      <c r="G774" s="3">
        <f t="shared" si="40"/>
        <v>309.2</v>
      </c>
      <c r="H774" s="3" t="s">
        <v>266</v>
      </c>
      <c r="I774" s="1" t="s">
        <v>43</v>
      </c>
      <c r="J774" s="1" t="s">
        <v>44</v>
      </c>
      <c r="K774" s="1" t="s">
        <v>298</v>
      </c>
      <c r="L774" s="1" t="s">
        <v>267</v>
      </c>
      <c r="M774" s="1"/>
      <c r="N774" s="1">
        <f t="shared" si="42"/>
        <v>1</v>
      </c>
      <c r="O774" s="87"/>
    </row>
    <row r="775" spans="1:15" ht="15.75" hidden="1" x14ac:dyDescent="0.25">
      <c r="A775" s="1" t="str">
        <f t="shared" si="41"/>
        <v>44218442208MASTER CCTRANSPORTCAREEM</v>
      </c>
      <c r="B775" s="2">
        <v>44218</v>
      </c>
      <c r="C775" s="2">
        <v>44220</v>
      </c>
      <c r="D775" s="3" t="s">
        <v>970</v>
      </c>
      <c r="E775" s="3">
        <v>8</v>
      </c>
      <c r="F775" s="3">
        <v>1</v>
      </c>
      <c r="G775" s="3">
        <f t="shared" si="40"/>
        <v>8</v>
      </c>
      <c r="H775" s="3" t="s">
        <v>291</v>
      </c>
      <c r="I775" s="1" t="s">
        <v>296</v>
      </c>
      <c r="J775" s="1" t="s">
        <v>297</v>
      </c>
      <c r="K775" s="1" t="s">
        <v>298</v>
      </c>
      <c r="L775" s="1" t="s">
        <v>267</v>
      </c>
      <c r="M775" s="1"/>
      <c r="N775" s="1">
        <f t="shared" si="42"/>
        <v>1</v>
      </c>
      <c r="O775" s="65"/>
    </row>
    <row r="776" spans="1:15" ht="15.75" hidden="1" x14ac:dyDescent="0.25">
      <c r="A776" s="1" t="str">
        <f t="shared" si="41"/>
        <v>442194422915DINERSGROCERYPICK-N-PACK</v>
      </c>
      <c r="B776" s="2">
        <v>44219</v>
      </c>
      <c r="C776" s="2">
        <v>44229</v>
      </c>
      <c r="D776" s="3" t="s">
        <v>965</v>
      </c>
      <c r="E776" s="3">
        <v>15</v>
      </c>
      <c r="F776" s="3">
        <v>1</v>
      </c>
      <c r="G776" s="3">
        <f t="shared" si="40"/>
        <v>15</v>
      </c>
      <c r="H776" s="3" t="s">
        <v>266</v>
      </c>
      <c r="I776" s="1" t="s">
        <v>43</v>
      </c>
      <c r="J776" s="1" t="s">
        <v>222</v>
      </c>
      <c r="K776" s="1" t="s">
        <v>298</v>
      </c>
      <c r="L776" s="1" t="s">
        <v>267</v>
      </c>
      <c r="M776" s="1"/>
      <c r="N776" s="1">
        <f t="shared" si="42"/>
        <v>2</v>
      </c>
      <c r="O776" s="87"/>
    </row>
    <row r="777" spans="1:15" ht="15.75" hidden="1" x14ac:dyDescent="0.25">
      <c r="A777" s="1" t="str">
        <f t="shared" si="41"/>
        <v>442224422940.5DINERSGROCERYPICK-N-PACK</v>
      </c>
      <c r="B777" s="2">
        <v>44222</v>
      </c>
      <c r="C777" s="2">
        <v>44229</v>
      </c>
      <c r="D777" s="3" t="s">
        <v>964</v>
      </c>
      <c r="E777" s="3">
        <v>40.5</v>
      </c>
      <c r="F777" s="3">
        <v>1</v>
      </c>
      <c r="G777" s="3">
        <f t="shared" si="40"/>
        <v>40.5</v>
      </c>
      <c r="H777" s="3" t="s">
        <v>266</v>
      </c>
      <c r="I777" s="1" t="s">
        <v>43</v>
      </c>
      <c r="J777" s="1" t="s">
        <v>222</v>
      </c>
      <c r="K777" s="1" t="s">
        <v>298</v>
      </c>
      <c r="L777" s="1" t="s">
        <v>267</v>
      </c>
      <c r="M777" s="1"/>
      <c r="N777" s="1">
        <f t="shared" si="42"/>
        <v>2</v>
      </c>
      <c r="O777" s="87"/>
    </row>
    <row r="778" spans="1:15" ht="15.75" hidden="1" x14ac:dyDescent="0.25">
      <c r="A778" s="1" t="str">
        <f t="shared" si="41"/>
        <v>44223442278.58DINERSTRANSPORTUBER</v>
      </c>
      <c r="B778" s="2">
        <v>44223</v>
      </c>
      <c r="C778" s="2">
        <v>44227</v>
      </c>
      <c r="D778" s="3" t="s">
        <v>963</v>
      </c>
      <c r="E778" s="3">
        <v>8.61</v>
      </c>
      <c r="F778" s="3">
        <v>1</v>
      </c>
      <c r="G778" s="3">
        <v>8.58</v>
      </c>
      <c r="H778" s="3" t="s">
        <v>266</v>
      </c>
      <c r="I778" s="1" t="s">
        <v>296</v>
      </c>
      <c r="J778" s="1" t="s">
        <v>299</v>
      </c>
      <c r="K778" s="1" t="s">
        <v>298</v>
      </c>
      <c r="L778" s="1" t="s">
        <v>267</v>
      </c>
      <c r="M778" s="1"/>
      <c r="N778" s="1">
        <f t="shared" si="42"/>
        <v>1</v>
      </c>
      <c r="O778" s="87"/>
    </row>
    <row r="779" spans="1:15" ht="15.75" hidden="1" x14ac:dyDescent="0.25">
      <c r="A779" s="1" t="str">
        <f t="shared" si="41"/>
        <v>442234422398.6CURRENTSHOPPINGRED TAG</v>
      </c>
      <c r="B779" s="2">
        <v>44223</v>
      </c>
      <c r="C779" s="2">
        <v>44223</v>
      </c>
      <c r="D779" s="3" t="s">
        <v>976</v>
      </c>
      <c r="E779" s="3">
        <v>-98.6</v>
      </c>
      <c r="F779" s="3">
        <v>1</v>
      </c>
      <c r="G779" s="3">
        <f t="shared" ref="G779:G842" si="43">ABS(E779)*F779</f>
        <v>98.6</v>
      </c>
      <c r="H779" s="3" t="s">
        <v>293</v>
      </c>
      <c r="I779" s="1" t="s">
        <v>194</v>
      </c>
      <c r="J779" s="1" t="s">
        <v>746</v>
      </c>
      <c r="K779" s="1" t="s">
        <v>298</v>
      </c>
      <c r="L779" s="1" t="s">
        <v>257</v>
      </c>
      <c r="M779" s="1"/>
      <c r="N779" s="1">
        <f t="shared" si="42"/>
        <v>1</v>
      </c>
      <c r="O779" s="65"/>
    </row>
    <row r="780" spans="1:15" ht="15.75" hidden="1" x14ac:dyDescent="0.25">
      <c r="A780" s="1" t="str">
        <f t="shared" si="41"/>
        <v>442234422312360CURRENTSALARYQATAR AIR</v>
      </c>
      <c r="B780" s="2">
        <v>44223</v>
      </c>
      <c r="C780" s="2">
        <v>44223</v>
      </c>
      <c r="D780" s="3" t="s">
        <v>977</v>
      </c>
      <c r="E780" s="3">
        <v>12360</v>
      </c>
      <c r="F780" s="3">
        <v>1</v>
      </c>
      <c r="G780" s="3">
        <f t="shared" si="43"/>
        <v>12360</v>
      </c>
      <c r="H780" s="3" t="s">
        <v>293</v>
      </c>
      <c r="I780" s="1" t="s">
        <v>18</v>
      </c>
      <c r="J780" s="1" t="s">
        <v>19</v>
      </c>
      <c r="K780" s="1" t="s">
        <v>300</v>
      </c>
      <c r="L780" s="1" t="s">
        <v>257</v>
      </c>
      <c r="M780" s="1"/>
      <c r="N780" s="1">
        <f t="shared" si="42"/>
        <v>1</v>
      </c>
      <c r="O780" s="65"/>
    </row>
    <row r="781" spans="1:15" ht="15.75" hidden="1" x14ac:dyDescent="0.25">
      <c r="A781" s="1" t="str">
        <f t="shared" si="41"/>
        <v>442234422519MASTER CCTRANSPORTCAREEM</v>
      </c>
      <c r="B781" s="2">
        <v>44223</v>
      </c>
      <c r="C781" s="2">
        <v>44225</v>
      </c>
      <c r="D781" s="3" t="s">
        <v>969</v>
      </c>
      <c r="E781" s="3">
        <v>19</v>
      </c>
      <c r="F781" s="3">
        <v>1</v>
      </c>
      <c r="G781" s="3">
        <f t="shared" si="43"/>
        <v>19</v>
      </c>
      <c r="H781" s="3" t="s">
        <v>291</v>
      </c>
      <c r="I781" s="1" t="s">
        <v>296</v>
      </c>
      <c r="J781" s="1" t="s">
        <v>297</v>
      </c>
      <c r="K781" s="1" t="s">
        <v>298</v>
      </c>
      <c r="L781" s="1" t="s">
        <v>267</v>
      </c>
      <c r="M781" s="1"/>
      <c r="N781" s="1">
        <f t="shared" si="42"/>
        <v>1</v>
      </c>
      <c r="O781" s="65"/>
    </row>
    <row r="782" spans="1:15" ht="15.75" hidden="1" x14ac:dyDescent="0.25">
      <c r="A782" s="1" t="str">
        <f t="shared" si="41"/>
        <v>44226442261510.47DINERSCC BILL PAYMENTBANK</v>
      </c>
      <c r="B782" s="2">
        <v>44226</v>
      </c>
      <c r="C782" s="2">
        <v>44226</v>
      </c>
      <c r="D782" s="3" t="s">
        <v>80</v>
      </c>
      <c r="E782" s="3">
        <v>-1510.47</v>
      </c>
      <c r="F782" s="3">
        <v>1</v>
      </c>
      <c r="G782" s="3">
        <f t="shared" si="43"/>
        <v>1510.47</v>
      </c>
      <c r="H782" s="3" t="s">
        <v>266</v>
      </c>
      <c r="I782" s="1" t="s">
        <v>81</v>
      </c>
      <c r="J782" s="1" t="s">
        <v>8</v>
      </c>
      <c r="K782" s="1" t="s">
        <v>300</v>
      </c>
      <c r="L782" s="1" t="s">
        <v>267</v>
      </c>
      <c r="M782" s="1"/>
      <c r="N782" s="1">
        <f t="shared" si="42"/>
        <v>1</v>
      </c>
      <c r="O782" s="87"/>
    </row>
    <row r="783" spans="1:15" ht="15.75" hidden="1" x14ac:dyDescent="0.25">
      <c r="A783" s="1" t="str">
        <f t="shared" si="41"/>
        <v>442274422760CURRENTTELECOMOOREDOO</v>
      </c>
      <c r="B783" s="2">
        <v>44227</v>
      </c>
      <c r="C783" s="2">
        <v>44227</v>
      </c>
      <c r="D783" s="3" t="s">
        <v>988</v>
      </c>
      <c r="E783" s="3">
        <v>-60</v>
      </c>
      <c r="F783" s="3">
        <v>1</v>
      </c>
      <c r="G783" s="3">
        <f t="shared" si="43"/>
        <v>60</v>
      </c>
      <c r="H783" s="3" t="s">
        <v>293</v>
      </c>
      <c r="I783" s="1" t="s">
        <v>58</v>
      </c>
      <c r="J783" s="1" t="s">
        <v>59</v>
      </c>
      <c r="K783" s="1" t="s">
        <v>298</v>
      </c>
      <c r="L783" s="1" t="s">
        <v>257</v>
      </c>
      <c r="M783" s="1"/>
      <c r="N783" s="1">
        <f t="shared" si="42"/>
        <v>1</v>
      </c>
      <c r="O783" s="65"/>
    </row>
    <row r="784" spans="1:15" ht="15.75" hidden="1" x14ac:dyDescent="0.25">
      <c r="A784" s="1" t="str">
        <f t="shared" si="41"/>
        <v>4422744227313.45CURRENTGROCERYLULU</v>
      </c>
      <c r="B784" s="2">
        <v>44227</v>
      </c>
      <c r="C784" s="2">
        <v>44227</v>
      </c>
      <c r="D784" s="3" t="s">
        <v>983</v>
      </c>
      <c r="E784" s="3">
        <v>-313.45</v>
      </c>
      <c r="F784" s="3">
        <v>1</v>
      </c>
      <c r="G784" s="3">
        <f t="shared" si="43"/>
        <v>313.45</v>
      </c>
      <c r="H784" s="3" t="s">
        <v>293</v>
      </c>
      <c r="I784" s="1" t="s">
        <v>43</v>
      </c>
      <c r="J784" s="1" t="s">
        <v>44</v>
      </c>
      <c r="K784" s="1" t="s">
        <v>298</v>
      </c>
      <c r="L784" s="1" t="s">
        <v>257</v>
      </c>
      <c r="M784" s="1"/>
      <c r="N784" s="1">
        <f t="shared" si="42"/>
        <v>1</v>
      </c>
      <c r="O784" s="65"/>
    </row>
    <row r="785" spans="1:15" ht="15.75" hidden="1" x14ac:dyDescent="0.25">
      <c r="A785" s="1" t="str">
        <f t="shared" si="41"/>
        <v>442274422735CURRENTGROCERYPICK-N-PACK</v>
      </c>
      <c r="B785" s="2">
        <v>44227</v>
      </c>
      <c r="C785" s="2">
        <v>44227</v>
      </c>
      <c r="D785" s="3" t="s">
        <v>982</v>
      </c>
      <c r="E785" s="3">
        <v>-35</v>
      </c>
      <c r="F785" s="3">
        <v>1</v>
      </c>
      <c r="G785" s="3">
        <f t="shared" si="43"/>
        <v>35</v>
      </c>
      <c r="H785" s="3" t="s">
        <v>293</v>
      </c>
      <c r="I785" s="1" t="s">
        <v>43</v>
      </c>
      <c r="J785" s="1" t="s">
        <v>222</v>
      </c>
      <c r="K785" s="1" t="s">
        <v>298</v>
      </c>
      <c r="L785" s="1" t="s">
        <v>257</v>
      </c>
      <c r="M785" s="1"/>
      <c r="N785" s="1">
        <f t="shared" si="42"/>
        <v>1</v>
      </c>
      <c r="O785" s="65"/>
    </row>
    <row r="786" spans="1:15" ht="15.75" hidden="1" x14ac:dyDescent="0.25">
      <c r="A786" s="1" t="str">
        <f t="shared" si="41"/>
        <v>442274422715CURRENTFOODCAFÉ/REST.</v>
      </c>
      <c r="B786" s="2">
        <v>44227</v>
      </c>
      <c r="C786" s="2">
        <v>44227</v>
      </c>
      <c r="D786" s="3" t="s">
        <v>979</v>
      </c>
      <c r="E786" s="3">
        <v>-15</v>
      </c>
      <c r="F786" s="3">
        <v>1</v>
      </c>
      <c r="G786" s="3">
        <f t="shared" si="43"/>
        <v>15</v>
      </c>
      <c r="H786" s="3" t="s">
        <v>293</v>
      </c>
      <c r="I786" s="1" t="s">
        <v>10</v>
      </c>
      <c r="J786" s="1" t="s">
        <v>11</v>
      </c>
      <c r="K786" s="1" t="s">
        <v>298</v>
      </c>
      <c r="L786" s="1" t="s">
        <v>257</v>
      </c>
      <c r="M786" s="1"/>
      <c r="N786" s="1">
        <f t="shared" si="42"/>
        <v>1</v>
      </c>
      <c r="O786" s="65"/>
    </row>
    <row r="787" spans="1:15" ht="15.75" hidden="1" x14ac:dyDescent="0.25">
      <c r="A787" s="1" t="str">
        <f t="shared" si="41"/>
        <v>442274422720CURRENTFOODCAFÉ/REST.</v>
      </c>
      <c r="B787" s="2">
        <v>44227</v>
      </c>
      <c r="C787" s="2">
        <v>44227</v>
      </c>
      <c r="D787" s="3" t="s">
        <v>980</v>
      </c>
      <c r="E787" s="3">
        <v>-20</v>
      </c>
      <c r="F787" s="3">
        <v>1</v>
      </c>
      <c r="G787" s="3">
        <f t="shared" si="43"/>
        <v>20</v>
      </c>
      <c r="H787" s="3" t="s">
        <v>293</v>
      </c>
      <c r="I787" s="1" t="s">
        <v>10</v>
      </c>
      <c r="J787" s="1" t="s">
        <v>11</v>
      </c>
      <c r="K787" s="1" t="s">
        <v>298</v>
      </c>
      <c r="L787" s="1" t="s">
        <v>257</v>
      </c>
      <c r="M787" s="1"/>
      <c r="N787" s="1">
        <f t="shared" si="42"/>
        <v>1</v>
      </c>
      <c r="O787" s="65"/>
    </row>
    <row r="788" spans="1:15" ht="15.75" hidden="1" x14ac:dyDescent="0.25">
      <c r="A788" s="1" t="str">
        <f t="shared" si="41"/>
        <v>44227442271510.47CURRENTCC BILL PAYMENTBANK</v>
      </c>
      <c r="B788" s="2">
        <v>44227</v>
      </c>
      <c r="C788" s="2">
        <v>44227</v>
      </c>
      <c r="D788" s="3" t="s">
        <v>981</v>
      </c>
      <c r="E788" s="3">
        <v>-1510.47</v>
      </c>
      <c r="F788" s="3">
        <v>1</v>
      </c>
      <c r="G788" s="3">
        <f t="shared" si="43"/>
        <v>1510.47</v>
      </c>
      <c r="H788" s="3" t="s">
        <v>293</v>
      </c>
      <c r="I788" s="1" t="s">
        <v>81</v>
      </c>
      <c r="J788" s="1" t="s">
        <v>8</v>
      </c>
      <c r="K788" s="1" t="s">
        <v>298</v>
      </c>
      <c r="L788" s="1" t="s">
        <v>257</v>
      </c>
      <c r="M788" s="1"/>
      <c r="N788" s="1">
        <f t="shared" si="42"/>
        <v>1</v>
      </c>
      <c r="O788" s="65"/>
    </row>
    <row r="789" spans="1:15" ht="15.75" hidden="1" x14ac:dyDescent="0.25">
      <c r="A789" s="1" t="str">
        <f t="shared" si="41"/>
        <v>442284422815CURRENTSERVICEBANK</v>
      </c>
      <c r="B789" s="2">
        <v>44228</v>
      </c>
      <c r="C789" s="2">
        <v>44228</v>
      </c>
      <c r="D789" s="3" t="s">
        <v>986</v>
      </c>
      <c r="E789" s="3">
        <v>15</v>
      </c>
      <c r="F789" s="3">
        <v>1</v>
      </c>
      <c r="G789" s="3">
        <f t="shared" si="43"/>
        <v>15</v>
      </c>
      <c r="H789" s="3" t="s">
        <v>293</v>
      </c>
      <c r="I789" s="1" t="s">
        <v>7</v>
      </c>
      <c r="J789" s="1" t="s">
        <v>8</v>
      </c>
      <c r="K789" s="1" t="s">
        <v>300</v>
      </c>
      <c r="L789" s="1" t="s">
        <v>257</v>
      </c>
      <c r="M789" s="1"/>
      <c r="N789" s="1">
        <f t="shared" si="42"/>
        <v>2</v>
      </c>
      <c r="O789" s="65"/>
    </row>
    <row r="790" spans="1:15" ht="15.75" hidden="1" x14ac:dyDescent="0.25">
      <c r="A790" s="1" t="str">
        <f t="shared" si="41"/>
        <v>442284422815CURRENTSERVICEBANK</v>
      </c>
      <c r="B790" s="2">
        <v>44228</v>
      </c>
      <c r="C790" s="2">
        <v>44228</v>
      </c>
      <c r="D790" s="3" t="s">
        <v>987</v>
      </c>
      <c r="E790" s="3">
        <v>15</v>
      </c>
      <c r="F790" s="3">
        <v>1</v>
      </c>
      <c r="G790" s="3">
        <f t="shared" si="43"/>
        <v>15</v>
      </c>
      <c r="H790" s="3" t="s">
        <v>293</v>
      </c>
      <c r="I790" s="1" t="s">
        <v>7</v>
      </c>
      <c r="J790" s="1" t="s">
        <v>8</v>
      </c>
      <c r="K790" s="1" t="s">
        <v>300</v>
      </c>
      <c r="L790" s="1" t="s">
        <v>257</v>
      </c>
      <c r="M790" s="1"/>
      <c r="N790" s="1">
        <f t="shared" si="42"/>
        <v>2</v>
      </c>
      <c r="O790" s="65"/>
    </row>
    <row r="791" spans="1:15" ht="15.75" hidden="1" x14ac:dyDescent="0.25">
      <c r="A791" s="1" t="str">
        <f t="shared" si="41"/>
        <v>44229442294CURRENTSERVICEBANK</v>
      </c>
      <c r="B791" s="2">
        <v>44229</v>
      </c>
      <c r="C791" s="2">
        <v>44229</v>
      </c>
      <c r="D791" s="3" t="s">
        <v>985</v>
      </c>
      <c r="E791" s="3">
        <v>-4</v>
      </c>
      <c r="F791" s="3">
        <v>1</v>
      </c>
      <c r="G791" s="3">
        <f t="shared" si="43"/>
        <v>4</v>
      </c>
      <c r="H791" s="3" t="s">
        <v>293</v>
      </c>
      <c r="I791" s="1" t="s">
        <v>7</v>
      </c>
      <c r="J791" s="1" t="s">
        <v>8</v>
      </c>
      <c r="K791" s="1" t="s">
        <v>298</v>
      </c>
      <c r="L791" s="1" t="s">
        <v>257</v>
      </c>
      <c r="M791" s="1"/>
      <c r="N791" s="1">
        <f t="shared" si="42"/>
        <v>2</v>
      </c>
      <c r="O791" s="65"/>
    </row>
    <row r="792" spans="1:15" ht="15.75" hidden="1" x14ac:dyDescent="0.25">
      <c r="A792" s="1" t="str">
        <f t="shared" si="41"/>
        <v>44229442294125CURRENTRENTCAP ONE</v>
      </c>
      <c r="B792" s="2">
        <v>44229</v>
      </c>
      <c r="C792" s="2">
        <v>44229</v>
      </c>
      <c r="D792" s="3" t="s">
        <v>984</v>
      </c>
      <c r="E792" s="3">
        <v>-4125</v>
      </c>
      <c r="F792" s="3">
        <v>1</v>
      </c>
      <c r="G792" s="3">
        <f t="shared" si="43"/>
        <v>4125</v>
      </c>
      <c r="H792" s="3" t="s">
        <v>293</v>
      </c>
      <c r="I792" s="1" t="s">
        <v>83</v>
      </c>
      <c r="J792" s="1" t="s">
        <v>84</v>
      </c>
      <c r="K792" s="1" t="s">
        <v>298</v>
      </c>
      <c r="L792" s="1" t="s">
        <v>257</v>
      </c>
      <c r="M792" s="1"/>
      <c r="N792" s="1">
        <f t="shared" si="42"/>
        <v>2</v>
      </c>
      <c r="O792" s="65"/>
    </row>
    <row r="793" spans="1:15" ht="15.75" hidden="1" x14ac:dyDescent="0.25">
      <c r="A793" s="1" t="str">
        <f t="shared" si="41"/>
        <v>442294423139.43MASTER CCGROCERYGRANDMART</v>
      </c>
      <c r="B793" s="2">
        <v>44229</v>
      </c>
      <c r="C793" s="2">
        <v>44231</v>
      </c>
      <c r="D793" s="3" t="s">
        <v>990</v>
      </c>
      <c r="E793" s="3">
        <v>39.43</v>
      </c>
      <c r="F793" s="3">
        <v>1</v>
      </c>
      <c r="G793" s="3">
        <f t="shared" si="43"/>
        <v>39.43</v>
      </c>
      <c r="H793" s="3" t="s">
        <v>291</v>
      </c>
      <c r="I793" s="1" t="s">
        <v>43</v>
      </c>
      <c r="J793" s="1" t="s">
        <v>50</v>
      </c>
      <c r="K793" s="1" t="s">
        <v>298</v>
      </c>
      <c r="L793" s="1" t="s">
        <v>267</v>
      </c>
      <c r="M793" s="1"/>
      <c r="N793" s="1">
        <f t="shared" si="42"/>
        <v>2</v>
      </c>
      <c r="O793" s="65"/>
    </row>
    <row r="794" spans="1:15" ht="15.75" hidden="1" x14ac:dyDescent="0.25">
      <c r="A794" s="1" t="str">
        <f t="shared" si="41"/>
        <v>442304423140.6MASTER CCTELECOMVODAFONE</v>
      </c>
      <c r="B794" s="2">
        <v>44230</v>
      </c>
      <c r="C794" s="2">
        <v>44231</v>
      </c>
      <c r="D794" s="3" t="s">
        <v>989</v>
      </c>
      <c r="E794" s="3">
        <v>40.6</v>
      </c>
      <c r="F794" s="3">
        <v>1</v>
      </c>
      <c r="G794" s="3">
        <f t="shared" si="43"/>
        <v>40.6</v>
      </c>
      <c r="H794" s="3" t="s">
        <v>291</v>
      </c>
      <c r="I794" s="1" t="s">
        <v>58</v>
      </c>
      <c r="J794" s="1" t="s">
        <v>78</v>
      </c>
      <c r="K794" s="1" t="s">
        <v>298</v>
      </c>
      <c r="L794" s="1" t="s">
        <v>267</v>
      </c>
      <c r="M794" s="1"/>
      <c r="N794" s="1">
        <f t="shared" si="42"/>
        <v>2</v>
      </c>
      <c r="O794" s="65"/>
    </row>
    <row r="795" spans="1:15" ht="15.75" hidden="1" x14ac:dyDescent="0.25">
      <c r="A795" s="1" t="str">
        <f t="shared" si="41"/>
        <v>44231442311260CURRENTTRANSFERINDIA</v>
      </c>
      <c r="B795" s="2">
        <v>44231</v>
      </c>
      <c r="C795" s="2">
        <v>44231</v>
      </c>
      <c r="D795" s="3" t="s">
        <v>991</v>
      </c>
      <c r="E795" s="3">
        <v>-1260</v>
      </c>
      <c r="F795" s="3">
        <v>1</v>
      </c>
      <c r="G795" s="3">
        <f t="shared" si="43"/>
        <v>1260</v>
      </c>
      <c r="H795" s="3" t="s">
        <v>293</v>
      </c>
      <c r="I795" s="1" t="s">
        <v>22</v>
      </c>
      <c r="J795" s="1" t="s">
        <v>23</v>
      </c>
      <c r="K795" s="1" t="s">
        <v>298</v>
      </c>
      <c r="L795" s="1" t="s">
        <v>257</v>
      </c>
      <c r="M795" s="1"/>
      <c r="N795" s="1">
        <f t="shared" si="42"/>
        <v>2</v>
      </c>
      <c r="O795" s="65"/>
    </row>
    <row r="796" spans="1:15" ht="15.75" hidden="1" x14ac:dyDescent="0.25">
      <c r="A796" s="1" t="str">
        <f t="shared" si="41"/>
        <v>4423144232150DINERSSHOPPINGLULU</v>
      </c>
      <c r="B796" s="2">
        <v>44231</v>
      </c>
      <c r="C796" s="2">
        <v>44232</v>
      </c>
      <c r="D796" s="3" t="s">
        <v>993</v>
      </c>
      <c r="E796" s="3">
        <v>150</v>
      </c>
      <c r="F796" s="3">
        <v>1</v>
      </c>
      <c r="G796" s="3">
        <f t="shared" si="43"/>
        <v>150</v>
      </c>
      <c r="H796" s="3" t="s">
        <v>266</v>
      </c>
      <c r="I796" s="1" t="s">
        <v>194</v>
      </c>
      <c r="J796" s="1" t="s">
        <v>44</v>
      </c>
      <c r="K796" s="1" t="s">
        <v>298</v>
      </c>
      <c r="L796" s="1" t="s">
        <v>267</v>
      </c>
      <c r="M796" s="1"/>
      <c r="N796" s="1">
        <f t="shared" si="42"/>
        <v>2</v>
      </c>
      <c r="O796" s="87"/>
    </row>
    <row r="797" spans="1:15" ht="15.75" hidden="1" x14ac:dyDescent="0.25">
      <c r="A797" s="1" t="str">
        <f t="shared" si="41"/>
        <v>4423144232258.5DINERSGROCERYLULU</v>
      </c>
      <c r="B797" s="2">
        <v>44231</v>
      </c>
      <c r="C797" s="2">
        <v>44232</v>
      </c>
      <c r="D797" s="3" t="s">
        <v>992</v>
      </c>
      <c r="E797" s="3">
        <v>258.5</v>
      </c>
      <c r="F797" s="3">
        <v>1</v>
      </c>
      <c r="G797" s="3">
        <f t="shared" si="43"/>
        <v>258.5</v>
      </c>
      <c r="H797" s="3" t="s">
        <v>266</v>
      </c>
      <c r="I797" s="1" t="s">
        <v>43</v>
      </c>
      <c r="J797" s="1" t="s">
        <v>44</v>
      </c>
      <c r="K797" s="1" t="s">
        <v>298</v>
      </c>
      <c r="L797" s="1" t="s">
        <v>267</v>
      </c>
      <c r="M797" s="1"/>
      <c r="N797" s="1">
        <f t="shared" si="42"/>
        <v>2</v>
      </c>
      <c r="O797" s="87"/>
    </row>
    <row r="798" spans="1:15" ht="15.75" hidden="1" x14ac:dyDescent="0.25">
      <c r="A798" s="1" t="str">
        <f t="shared" si="41"/>
        <v>442314423311MASTER CCTRANSPORTCAREEM</v>
      </c>
      <c r="B798" s="2">
        <v>44231</v>
      </c>
      <c r="C798" s="2">
        <v>44233</v>
      </c>
      <c r="D798" s="3" t="s">
        <v>995</v>
      </c>
      <c r="E798" s="3">
        <v>11</v>
      </c>
      <c r="F798" s="3">
        <v>1</v>
      </c>
      <c r="G798" s="3">
        <f t="shared" si="43"/>
        <v>11</v>
      </c>
      <c r="H798" s="3" t="s">
        <v>291</v>
      </c>
      <c r="I798" s="1" t="s">
        <v>296</v>
      </c>
      <c r="J798" s="1" t="s">
        <v>297</v>
      </c>
      <c r="K798" s="1" t="s">
        <v>298</v>
      </c>
      <c r="L798" s="1" t="s">
        <v>267</v>
      </c>
      <c r="M798" s="1"/>
      <c r="N798" s="1">
        <f t="shared" si="42"/>
        <v>2</v>
      </c>
      <c r="O798" s="65"/>
    </row>
    <row r="799" spans="1:15" ht="15.75" hidden="1" x14ac:dyDescent="0.25">
      <c r="A799" s="1" t="str">
        <f t="shared" si="41"/>
        <v>442314423312MASTER CCTRANSPORTCAREEM</v>
      </c>
      <c r="B799" s="2">
        <v>44231</v>
      </c>
      <c r="C799" s="2">
        <v>44233</v>
      </c>
      <c r="D799" s="3" t="s">
        <v>994</v>
      </c>
      <c r="E799" s="3">
        <v>12</v>
      </c>
      <c r="F799" s="3">
        <v>1</v>
      </c>
      <c r="G799" s="3">
        <f t="shared" si="43"/>
        <v>12</v>
      </c>
      <c r="H799" s="3" t="s">
        <v>291</v>
      </c>
      <c r="I799" s="1" t="s">
        <v>296</v>
      </c>
      <c r="J799" s="1" t="s">
        <v>297</v>
      </c>
      <c r="K799" s="1" t="s">
        <v>298</v>
      </c>
      <c r="L799" s="1" t="s">
        <v>267</v>
      </c>
      <c r="M799" s="1"/>
      <c r="N799" s="1">
        <f t="shared" si="42"/>
        <v>2</v>
      </c>
      <c r="O799" s="65"/>
    </row>
    <row r="800" spans="1:15" ht="15.75" hidden="1" x14ac:dyDescent="0.25">
      <c r="A800" s="1" t="str">
        <f t="shared" si="41"/>
        <v>442324423550DINERSGROCERYPICK-N-PACK</v>
      </c>
      <c r="B800" s="2">
        <v>44232</v>
      </c>
      <c r="C800" s="2">
        <v>44235</v>
      </c>
      <c r="D800" s="3" t="s">
        <v>998</v>
      </c>
      <c r="E800" s="3">
        <v>50</v>
      </c>
      <c r="F800" s="3">
        <v>1</v>
      </c>
      <c r="G800" s="3">
        <f t="shared" si="43"/>
        <v>50</v>
      </c>
      <c r="H800" s="3" t="s">
        <v>266</v>
      </c>
      <c r="I800" s="1" t="s">
        <v>43</v>
      </c>
      <c r="J800" s="1" t="s">
        <v>222</v>
      </c>
      <c r="K800" s="1" t="s">
        <v>298</v>
      </c>
      <c r="L800" s="1" t="s">
        <v>267</v>
      </c>
      <c r="M800" s="1"/>
      <c r="N800" s="1">
        <f t="shared" si="42"/>
        <v>2</v>
      </c>
      <c r="O800" s="87"/>
    </row>
    <row r="801" spans="1:15" ht="15.75" x14ac:dyDescent="0.25">
      <c r="A801" s="1" t="str">
        <f t="shared" si="41"/>
        <v>44232442331941DINERSGOLDKALYAN</v>
      </c>
      <c r="B801" s="2">
        <v>44232</v>
      </c>
      <c r="C801" s="2">
        <v>44233</v>
      </c>
      <c r="D801" s="3" t="s">
        <v>999</v>
      </c>
      <c r="E801" s="3">
        <v>1941</v>
      </c>
      <c r="F801" s="3">
        <v>1</v>
      </c>
      <c r="G801" s="3">
        <f t="shared" si="43"/>
        <v>1941</v>
      </c>
      <c r="H801" s="3" t="s">
        <v>266</v>
      </c>
      <c r="I801" s="1" t="s">
        <v>106</v>
      </c>
      <c r="J801" s="1" t="s">
        <v>173</v>
      </c>
      <c r="K801" s="1" t="s">
        <v>298</v>
      </c>
      <c r="L801" s="1" t="s">
        <v>267</v>
      </c>
      <c r="M801" s="1"/>
      <c r="N801" s="1">
        <f t="shared" si="42"/>
        <v>2</v>
      </c>
      <c r="O801" s="87"/>
    </row>
    <row r="802" spans="1:15" ht="15.75" hidden="1" x14ac:dyDescent="0.25">
      <c r="A802" s="1" t="str">
        <f t="shared" si="41"/>
        <v>44233442378DINERSTRANSPORTUBER</v>
      </c>
      <c r="B802" s="2">
        <v>44233</v>
      </c>
      <c r="C802" s="2">
        <v>44237</v>
      </c>
      <c r="D802" s="3" t="s">
        <v>1011</v>
      </c>
      <c r="E802" s="3">
        <v>8</v>
      </c>
      <c r="F802" s="3">
        <v>1</v>
      </c>
      <c r="G802" s="3">
        <f t="shared" si="43"/>
        <v>8</v>
      </c>
      <c r="H802" s="3" t="s">
        <v>266</v>
      </c>
      <c r="I802" s="1" t="s">
        <v>296</v>
      </c>
      <c r="J802" s="1" t="s">
        <v>299</v>
      </c>
      <c r="K802" s="1" t="s">
        <v>298</v>
      </c>
      <c r="L802" s="1" t="s">
        <v>267</v>
      </c>
      <c r="M802" s="1"/>
      <c r="N802" s="1">
        <f t="shared" si="42"/>
        <v>2</v>
      </c>
      <c r="O802" s="87"/>
    </row>
    <row r="803" spans="1:15" ht="15.75" hidden="1" x14ac:dyDescent="0.25">
      <c r="A803" s="1" t="str">
        <f t="shared" si="41"/>
        <v>442334423440DINERSMEDICALNASEEM AL</v>
      </c>
      <c r="B803" s="2">
        <v>44233</v>
      </c>
      <c r="C803" s="2">
        <v>44234</v>
      </c>
      <c r="D803" s="3" t="s">
        <v>996</v>
      </c>
      <c r="E803" s="3">
        <v>40</v>
      </c>
      <c r="F803" s="3">
        <v>1</v>
      </c>
      <c r="G803" s="3">
        <f t="shared" si="43"/>
        <v>40</v>
      </c>
      <c r="H803" s="3" t="s">
        <v>266</v>
      </c>
      <c r="I803" s="1" t="s">
        <v>301</v>
      </c>
      <c r="J803" s="1" t="s">
        <v>1000</v>
      </c>
      <c r="K803" s="1" t="s">
        <v>298</v>
      </c>
      <c r="L803" s="1" t="s">
        <v>267</v>
      </c>
      <c r="M803" s="1"/>
      <c r="N803" s="1">
        <f t="shared" si="42"/>
        <v>2</v>
      </c>
      <c r="O803" s="87"/>
    </row>
    <row r="804" spans="1:15" ht="15.75" hidden="1" x14ac:dyDescent="0.25">
      <c r="A804" s="1" t="str">
        <f t="shared" si="41"/>
        <v>4423344234196.65DINERSGROCERYLULU</v>
      </c>
      <c r="B804" s="2">
        <v>44233</v>
      </c>
      <c r="C804" s="2">
        <v>44234</v>
      </c>
      <c r="D804" s="3" t="s">
        <v>997</v>
      </c>
      <c r="E804" s="3">
        <v>196.65</v>
      </c>
      <c r="F804" s="3">
        <v>1</v>
      </c>
      <c r="G804" s="3">
        <f t="shared" si="43"/>
        <v>196.65</v>
      </c>
      <c r="H804" s="3" t="s">
        <v>266</v>
      </c>
      <c r="I804" s="1" t="s">
        <v>43</v>
      </c>
      <c r="J804" s="1" t="s">
        <v>44</v>
      </c>
      <c r="K804" s="1" t="s">
        <v>298</v>
      </c>
      <c r="L804" s="1" t="s">
        <v>267</v>
      </c>
      <c r="M804" s="1"/>
      <c r="N804" s="1">
        <f t="shared" si="42"/>
        <v>2</v>
      </c>
      <c r="O804" s="87"/>
    </row>
    <row r="805" spans="1:15" ht="15.75" hidden="1" x14ac:dyDescent="0.25">
      <c r="A805" s="1" t="str">
        <f t="shared" si="41"/>
        <v>4423344236167MASTER CCMEDICALPHARMACY</v>
      </c>
      <c r="B805" s="2">
        <v>44233</v>
      </c>
      <c r="C805" s="2">
        <v>44236</v>
      </c>
      <c r="D805" s="3" t="s">
        <v>1001</v>
      </c>
      <c r="E805" s="3">
        <v>167</v>
      </c>
      <c r="F805" s="3">
        <v>1</v>
      </c>
      <c r="G805" s="3">
        <f t="shared" si="43"/>
        <v>167</v>
      </c>
      <c r="H805" s="3" t="s">
        <v>291</v>
      </c>
      <c r="I805" s="1" t="s">
        <v>301</v>
      </c>
      <c r="J805" s="1" t="s">
        <v>304</v>
      </c>
      <c r="K805" s="1" t="s">
        <v>298</v>
      </c>
      <c r="L805" s="1" t="s">
        <v>267</v>
      </c>
      <c r="M805" s="1"/>
      <c r="N805" s="1">
        <f t="shared" si="42"/>
        <v>2</v>
      </c>
      <c r="O805" s="65" t="s">
        <v>1003</v>
      </c>
    </row>
    <row r="806" spans="1:15" ht="15.75" hidden="1" x14ac:dyDescent="0.25">
      <c r="A806" s="1" t="str">
        <f t="shared" si="41"/>
        <v>44233442368MASTER CCTRANSPORTCAREEM</v>
      </c>
      <c r="B806" s="2">
        <v>44233</v>
      </c>
      <c r="C806" s="2">
        <v>44236</v>
      </c>
      <c r="D806" s="3" t="s">
        <v>1002</v>
      </c>
      <c r="E806" s="3">
        <v>8</v>
      </c>
      <c r="F806" s="3">
        <v>1</v>
      </c>
      <c r="G806" s="3">
        <f t="shared" si="43"/>
        <v>8</v>
      </c>
      <c r="H806" s="3" t="s">
        <v>291</v>
      </c>
      <c r="I806" s="1" t="s">
        <v>296</v>
      </c>
      <c r="J806" s="1" t="s">
        <v>297</v>
      </c>
      <c r="K806" s="1" t="s">
        <v>298</v>
      </c>
      <c r="L806" s="1" t="s">
        <v>267</v>
      </c>
      <c r="M806" s="1"/>
      <c r="N806" s="1">
        <f t="shared" si="42"/>
        <v>2</v>
      </c>
      <c r="O806" s="65"/>
    </row>
    <row r="807" spans="1:15" ht="15.75" hidden="1" x14ac:dyDescent="0.25">
      <c r="A807" s="1" t="str">
        <f t="shared" si="41"/>
        <v>44234442341250CURRENTSAVINGSELF</v>
      </c>
      <c r="B807" s="2">
        <v>44234</v>
      </c>
      <c r="C807" s="2">
        <v>44234</v>
      </c>
      <c r="D807" s="3" t="s">
        <v>333</v>
      </c>
      <c r="E807" s="3">
        <v>-1250</v>
      </c>
      <c r="F807" s="3">
        <v>1</v>
      </c>
      <c r="G807" s="3">
        <f t="shared" si="43"/>
        <v>1250</v>
      </c>
      <c r="H807" s="3" t="s">
        <v>293</v>
      </c>
      <c r="I807" s="1" t="s">
        <v>302</v>
      </c>
      <c r="J807" s="1" t="s">
        <v>14</v>
      </c>
      <c r="K807" s="1" t="s">
        <v>298</v>
      </c>
      <c r="L807" s="1" t="s">
        <v>257</v>
      </c>
      <c r="M807" s="1"/>
      <c r="N807" s="1">
        <f t="shared" si="42"/>
        <v>2</v>
      </c>
      <c r="O807" s="65"/>
    </row>
    <row r="808" spans="1:15" ht="15.75" hidden="1" x14ac:dyDescent="0.25">
      <c r="A808" s="1" t="str">
        <f t="shared" si="41"/>
        <v>44236442387MASTER CCTRANSPORTCAREEM</v>
      </c>
      <c r="B808" s="2">
        <v>44236</v>
      </c>
      <c r="C808" s="2">
        <v>44238</v>
      </c>
      <c r="D808" s="3" t="s">
        <v>1007</v>
      </c>
      <c r="E808" s="3">
        <v>7</v>
      </c>
      <c r="F808" s="3">
        <v>1</v>
      </c>
      <c r="G808" s="3">
        <f t="shared" si="43"/>
        <v>7</v>
      </c>
      <c r="H808" s="3" t="s">
        <v>291</v>
      </c>
      <c r="I808" s="1" t="s">
        <v>296</v>
      </c>
      <c r="J808" s="1" t="s">
        <v>297</v>
      </c>
      <c r="K808" s="1" t="s">
        <v>298</v>
      </c>
      <c r="L808" s="1" t="s">
        <v>267</v>
      </c>
      <c r="M808" s="1"/>
      <c r="N808" s="1">
        <f t="shared" si="42"/>
        <v>2</v>
      </c>
      <c r="O808" s="65"/>
    </row>
    <row r="809" spans="1:15" ht="15.75" hidden="1" x14ac:dyDescent="0.25">
      <c r="A809" s="1" t="str">
        <f t="shared" si="41"/>
        <v>44236442389MASTER CCTRANSPORTCAREEM</v>
      </c>
      <c r="B809" s="2">
        <v>44236</v>
      </c>
      <c r="C809" s="2">
        <v>44238</v>
      </c>
      <c r="D809" s="3" t="s">
        <v>1006</v>
      </c>
      <c r="E809" s="3">
        <v>9</v>
      </c>
      <c r="F809" s="3">
        <v>1</v>
      </c>
      <c r="G809" s="3">
        <f t="shared" si="43"/>
        <v>9</v>
      </c>
      <c r="H809" s="3" t="s">
        <v>291</v>
      </c>
      <c r="I809" s="1" t="s">
        <v>296</v>
      </c>
      <c r="J809" s="1" t="s">
        <v>297</v>
      </c>
      <c r="K809" s="1" t="s">
        <v>298</v>
      </c>
      <c r="L809" s="1" t="s">
        <v>267</v>
      </c>
      <c r="M809" s="1"/>
      <c r="N809" s="1">
        <f t="shared" si="42"/>
        <v>2</v>
      </c>
      <c r="O809" s="65"/>
    </row>
    <row r="810" spans="1:15" ht="15.75" hidden="1" x14ac:dyDescent="0.25">
      <c r="A810" s="1" t="str">
        <f t="shared" si="41"/>
        <v>442374423943MASTER CCFOODQATAR AIR</v>
      </c>
      <c r="B810" s="2">
        <v>44237</v>
      </c>
      <c r="C810" s="2">
        <v>44239</v>
      </c>
      <c r="D810" s="3" t="s">
        <v>1020</v>
      </c>
      <c r="E810" s="3">
        <v>43</v>
      </c>
      <c r="F810" s="3">
        <v>1</v>
      </c>
      <c r="G810" s="3">
        <f t="shared" si="43"/>
        <v>43</v>
      </c>
      <c r="H810" s="3" t="s">
        <v>291</v>
      </c>
      <c r="I810" s="1" t="s">
        <v>10</v>
      </c>
      <c r="J810" s="1" t="s">
        <v>19</v>
      </c>
      <c r="K810" s="1" t="s">
        <v>298</v>
      </c>
      <c r="L810" s="1" t="s">
        <v>267</v>
      </c>
      <c r="M810" s="1"/>
      <c r="N810" s="1">
        <f t="shared" si="42"/>
        <v>2</v>
      </c>
      <c r="O810" s="65"/>
    </row>
    <row r="811" spans="1:15" ht="15.75" hidden="1" x14ac:dyDescent="0.25">
      <c r="A811" s="1" t="str">
        <f t="shared" si="41"/>
        <v>44237442371271.25CURRENTTRANSFERINDIA</v>
      </c>
      <c r="B811" s="2">
        <v>44237</v>
      </c>
      <c r="C811" s="2">
        <v>44237</v>
      </c>
      <c r="D811" s="3" t="s">
        <v>694</v>
      </c>
      <c r="E811" s="3">
        <v>-1271.25</v>
      </c>
      <c r="F811" s="3">
        <v>1</v>
      </c>
      <c r="G811" s="3">
        <f t="shared" si="43"/>
        <v>1271.25</v>
      </c>
      <c r="H811" s="3" t="s">
        <v>293</v>
      </c>
      <c r="I811" s="1" t="s">
        <v>22</v>
      </c>
      <c r="J811" s="1" t="s">
        <v>23</v>
      </c>
      <c r="K811" s="1" t="s">
        <v>298</v>
      </c>
      <c r="L811" s="1" t="s">
        <v>257</v>
      </c>
      <c r="M811" s="1"/>
      <c r="N811" s="1">
        <f t="shared" si="42"/>
        <v>2</v>
      </c>
      <c r="O811" s="65"/>
    </row>
    <row r="812" spans="1:15" ht="15.75" hidden="1" x14ac:dyDescent="0.25">
      <c r="A812" s="1" t="str">
        <f t="shared" si="41"/>
        <v>442374424314.25DINERSGROCERYPICK-N-PACK</v>
      </c>
      <c r="B812" s="2">
        <v>44237</v>
      </c>
      <c r="C812" s="2">
        <v>44243</v>
      </c>
      <c r="D812" s="3" t="s">
        <v>1010</v>
      </c>
      <c r="E812" s="3">
        <v>14.25</v>
      </c>
      <c r="F812" s="3">
        <v>1</v>
      </c>
      <c r="G812" s="3">
        <f t="shared" si="43"/>
        <v>14.25</v>
      </c>
      <c r="H812" s="3" t="s">
        <v>266</v>
      </c>
      <c r="I812" s="1" t="s">
        <v>43</v>
      </c>
      <c r="J812" s="1" t="s">
        <v>222</v>
      </c>
      <c r="K812" s="1" t="s">
        <v>298</v>
      </c>
      <c r="L812" s="1" t="s">
        <v>267</v>
      </c>
      <c r="M812" s="1"/>
      <c r="N812" s="1">
        <f t="shared" si="42"/>
        <v>2</v>
      </c>
      <c r="O812" s="87"/>
    </row>
    <row r="813" spans="1:15" ht="15.75" hidden="1" x14ac:dyDescent="0.25">
      <c r="A813" s="1" t="str">
        <f t="shared" si="41"/>
        <v>4423944240299.55DINERSGROCERYLULU</v>
      </c>
      <c r="B813" s="2">
        <v>44239</v>
      </c>
      <c r="C813" s="2">
        <v>44240</v>
      </c>
      <c r="D813" s="3" t="s">
        <v>1009</v>
      </c>
      <c r="E813" s="3">
        <v>299.55</v>
      </c>
      <c r="F813" s="3">
        <v>1</v>
      </c>
      <c r="G813" s="3">
        <f t="shared" si="43"/>
        <v>299.55</v>
      </c>
      <c r="H813" s="3" t="s">
        <v>266</v>
      </c>
      <c r="I813" s="1" t="s">
        <v>43</v>
      </c>
      <c r="J813" s="1" t="s">
        <v>44</v>
      </c>
      <c r="K813" s="1" t="s">
        <v>298</v>
      </c>
      <c r="L813" s="1" t="s">
        <v>267</v>
      </c>
      <c r="M813" s="1"/>
      <c r="N813" s="1">
        <f t="shared" si="42"/>
        <v>2</v>
      </c>
      <c r="O813" s="87"/>
    </row>
    <row r="814" spans="1:15" ht="15.75" hidden="1" x14ac:dyDescent="0.25">
      <c r="A814" s="1" t="str">
        <f t="shared" si="41"/>
        <v>44239442417MASTER CCTRANSPORTCAREEM</v>
      </c>
      <c r="B814" s="2">
        <v>44239</v>
      </c>
      <c r="C814" s="2">
        <v>44241</v>
      </c>
      <c r="D814" s="3" t="s">
        <v>1018</v>
      </c>
      <c r="E814" s="3">
        <v>7</v>
      </c>
      <c r="F814" s="3">
        <v>1</v>
      </c>
      <c r="G814" s="3">
        <f t="shared" si="43"/>
        <v>7</v>
      </c>
      <c r="H814" s="3" t="s">
        <v>291</v>
      </c>
      <c r="I814" s="1" t="s">
        <v>296</v>
      </c>
      <c r="J814" s="1" t="s">
        <v>297</v>
      </c>
      <c r="K814" s="1" t="s">
        <v>298</v>
      </c>
      <c r="L814" s="1" t="s">
        <v>267</v>
      </c>
      <c r="M814" s="1"/>
      <c r="N814" s="1">
        <f t="shared" si="42"/>
        <v>2</v>
      </c>
      <c r="O814" s="65"/>
    </row>
    <row r="815" spans="1:15" ht="15.75" hidden="1" x14ac:dyDescent="0.25">
      <c r="A815" s="1" t="str">
        <f t="shared" si="41"/>
        <v>44239442417MASTER CCTRANSPORTCAREEM</v>
      </c>
      <c r="B815" s="2">
        <v>44239</v>
      </c>
      <c r="C815" s="2">
        <v>44241</v>
      </c>
      <c r="D815" s="3" t="s">
        <v>1019</v>
      </c>
      <c r="E815" s="3">
        <v>7</v>
      </c>
      <c r="F815" s="3">
        <v>1</v>
      </c>
      <c r="G815" s="3">
        <f t="shared" si="43"/>
        <v>7</v>
      </c>
      <c r="H815" s="3" t="s">
        <v>291</v>
      </c>
      <c r="I815" s="1" t="s">
        <v>296</v>
      </c>
      <c r="J815" s="1" t="s">
        <v>297</v>
      </c>
      <c r="K815" s="1" t="s">
        <v>298</v>
      </c>
      <c r="L815" s="1" t="s">
        <v>267</v>
      </c>
      <c r="M815" s="1"/>
      <c r="N815" s="1">
        <f t="shared" si="42"/>
        <v>2</v>
      </c>
      <c r="O815" s="65"/>
    </row>
    <row r="816" spans="1:15" ht="15.75" hidden="1" x14ac:dyDescent="0.25">
      <c r="A816" s="1" t="str">
        <f t="shared" si="41"/>
        <v>442394424111MASTER CCTRANSPORTCAREEM</v>
      </c>
      <c r="B816" s="2">
        <v>44239</v>
      </c>
      <c r="C816" s="2">
        <v>44241</v>
      </c>
      <c r="D816" s="3" t="s">
        <v>1017</v>
      </c>
      <c r="E816" s="3">
        <v>11</v>
      </c>
      <c r="F816" s="3">
        <v>1</v>
      </c>
      <c r="G816" s="3">
        <f t="shared" si="43"/>
        <v>11</v>
      </c>
      <c r="H816" s="3" t="s">
        <v>291</v>
      </c>
      <c r="I816" s="1" t="s">
        <v>296</v>
      </c>
      <c r="J816" s="1" t="s">
        <v>297</v>
      </c>
      <c r="K816" s="1" t="s">
        <v>298</v>
      </c>
      <c r="L816" s="1" t="s">
        <v>267</v>
      </c>
      <c r="M816" s="1"/>
      <c r="N816" s="1">
        <f t="shared" si="42"/>
        <v>2</v>
      </c>
      <c r="O816" s="65"/>
    </row>
    <row r="817" spans="1:15" ht="15.75" hidden="1" x14ac:dyDescent="0.25">
      <c r="A817" s="1" t="str">
        <f t="shared" si="41"/>
        <v>44240442436.1MASTER CCMEDICALHEALTH CENTER</v>
      </c>
      <c r="B817" s="2">
        <v>44240</v>
      </c>
      <c r="C817" s="2">
        <v>44243</v>
      </c>
      <c r="D817" s="3" t="s">
        <v>1015</v>
      </c>
      <c r="E817" s="3">
        <v>6.1</v>
      </c>
      <c r="F817" s="3">
        <v>1</v>
      </c>
      <c r="G817" s="3">
        <f t="shared" si="43"/>
        <v>6.1</v>
      </c>
      <c r="H817" s="3" t="s">
        <v>291</v>
      </c>
      <c r="I817" s="1" t="s">
        <v>301</v>
      </c>
      <c r="J817" s="1" t="s">
        <v>159</v>
      </c>
      <c r="K817" s="1" t="s">
        <v>298</v>
      </c>
      <c r="L817" s="1" t="s">
        <v>267</v>
      </c>
      <c r="M817" s="1"/>
      <c r="N817" s="1">
        <f t="shared" si="42"/>
        <v>2</v>
      </c>
      <c r="O817" s="65"/>
    </row>
    <row r="818" spans="1:15" ht="15.75" hidden="1" x14ac:dyDescent="0.25">
      <c r="A818" s="1" t="str">
        <f t="shared" si="41"/>
        <v>44240442438MASTER CCTRANSPORTCAREEM</v>
      </c>
      <c r="B818" s="2">
        <v>44240</v>
      </c>
      <c r="C818" s="2">
        <v>44243</v>
      </c>
      <c r="D818" s="3" t="s">
        <v>1016</v>
      </c>
      <c r="E818" s="3">
        <v>8</v>
      </c>
      <c r="F818" s="3">
        <v>1</v>
      </c>
      <c r="G818" s="3">
        <f t="shared" si="43"/>
        <v>8</v>
      </c>
      <c r="H818" s="3" t="s">
        <v>291</v>
      </c>
      <c r="I818" s="1" t="s">
        <v>296</v>
      </c>
      <c r="J818" s="1" t="s">
        <v>297</v>
      </c>
      <c r="K818" s="1" t="s">
        <v>298</v>
      </c>
      <c r="L818" s="1" t="s">
        <v>267</v>
      </c>
      <c r="M818" s="1"/>
      <c r="N818" s="1">
        <f t="shared" si="42"/>
        <v>2</v>
      </c>
      <c r="O818" s="65"/>
    </row>
    <row r="819" spans="1:15" ht="15.75" hidden="1" x14ac:dyDescent="0.25">
      <c r="A819" s="1" t="str">
        <f t="shared" si="41"/>
        <v>44240442438MASTER CCTRANSPORTCAREEM</v>
      </c>
      <c r="B819" s="2">
        <v>44240</v>
      </c>
      <c r="C819" s="2">
        <v>44243</v>
      </c>
      <c r="D819" s="3" t="s">
        <v>1014</v>
      </c>
      <c r="E819" s="3">
        <v>8</v>
      </c>
      <c r="F819" s="3">
        <v>1</v>
      </c>
      <c r="G819" s="3">
        <f t="shared" si="43"/>
        <v>8</v>
      </c>
      <c r="H819" s="3" t="s">
        <v>291</v>
      </c>
      <c r="I819" s="1" t="s">
        <v>296</v>
      </c>
      <c r="J819" s="1" t="s">
        <v>297</v>
      </c>
      <c r="K819" s="1" t="s">
        <v>298</v>
      </c>
      <c r="L819" s="1" t="s">
        <v>267</v>
      </c>
      <c r="M819" s="1"/>
      <c r="N819" s="1">
        <f t="shared" si="42"/>
        <v>2</v>
      </c>
      <c r="O819" s="65"/>
    </row>
    <row r="820" spans="1:15" ht="15.75" hidden="1" x14ac:dyDescent="0.25">
      <c r="A820" s="1" t="str">
        <f t="shared" si="41"/>
        <v>442414424397.25MASTER CCGROCERYLULU</v>
      </c>
      <c r="B820" s="2">
        <v>44241</v>
      </c>
      <c r="C820" s="2">
        <v>44243</v>
      </c>
      <c r="D820" s="3" t="s">
        <v>1013</v>
      </c>
      <c r="E820" s="3">
        <v>97.25</v>
      </c>
      <c r="F820" s="3">
        <v>1</v>
      </c>
      <c r="G820" s="3">
        <f t="shared" si="43"/>
        <v>97.25</v>
      </c>
      <c r="H820" s="3" t="s">
        <v>291</v>
      </c>
      <c r="I820" s="1" t="s">
        <v>43</v>
      </c>
      <c r="J820" s="1" t="s">
        <v>44</v>
      </c>
      <c r="K820" s="1" t="s">
        <v>298</v>
      </c>
      <c r="L820" s="1" t="s">
        <v>267</v>
      </c>
      <c r="M820" s="1"/>
      <c r="N820" s="1">
        <f t="shared" si="42"/>
        <v>2</v>
      </c>
      <c r="O820" s="65"/>
    </row>
    <row r="821" spans="1:15" ht="15.75" hidden="1" x14ac:dyDescent="0.25">
      <c r="A821" s="1" t="str">
        <f t="shared" si="41"/>
        <v>44243442430MASTER CCTRAVELQATAR AIR</v>
      </c>
      <c r="B821" s="2">
        <v>44243</v>
      </c>
      <c r="C821" s="2">
        <v>44243</v>
      </c>
      <c r="D821" s="3" t="s">
        <v>886</v>
      </c>
      <c r="E821" s="3">
        <v>-23.65</v>
      </c>
      <c r="F821" s="3">
        <v>0</v>
      </c>
      <c r="G821" s="3">
        <f t="shared" si="43"/>
        <v>0</v>
      </c>
      <c r="H821" s="3" t="s">
        <v>291</v>
      </c>
      <c r="I821" s="1" t="s">
        <v>393</v>
      </c>
      <c r="J821" s="1" t="s">
        <v>19</v>
      </c>
      <c r="K821" s="1" t="s">
        <v>300</v>
      </c>
      <c r="L821" s="1" t="s">
        <v>267</v>
      </c>
      <c r="M821" s="1"/>
      <c r="N821" s="1">
        <f t="shared" si="42"/>
        <v>2</v>
      </c>
      <c r="O821" s="65">
        <v>44164</v>
      </c>
    </row>
    <row r="822" spans="1:15" ht="15.75" hidden="1" x14ac:dyDescent="0.25">
      <c r="A822" s="1" t="str">
        <f t="shared" si="41"/>
        <v>4424544248113.75MASTER CCGROCERYLULU</v>
      </c>
      <c r="B822" s="2">
        <v>44245</v>
      </c>
      <c r="C822" s="2">
        <v>44248</v>
      </c>
      <c r="D822" s="3" t="s">
        <v>1012</v>
      </c>
      <c r="E822" s="3">
        <v>113.75</v>
      </c>
      <c r="F822" s="3">
        <v>1</v>
      </c>
      <c r="G822" s="3">
        <f t="shared" si="43"/>
        <v>113.75</v>
      </c>
      <c r="H822" s="3" t="s">
        <v>291</v>
      </c>
      <c r="I822" s="1" t="s">
        <v>43</v>
      </c>
      <c r="J822" s="1" t="s">
        <v>44</v>
      </c>
      <c r="K822" s="1" t="s">
        <v>298</v>
      </c>
      <c r="L822" s="1" t="s">
        <v>267</v>
      </c>
      <c r="M822" s="1"/>
      <c r="N822" s="1">
        <f t="shared" si="42"/>
        <v>2</v>
      </c>
      <c r="O822" s="65"/>
    </row>
    <row r="823" spans="1:15" ht="15.75" hidden="1" x14ac:dyDescent="0.25">
      <c r="A823" s="1" t="str">
        <f t="shared" si="41"/>
        <v>442484424810000SAVINGTRANSFERINDIA</v>
      </c>
      <c r="B823" s="2">
        <v>44248</v>
      </c>
      <c r="C823" s="2">
        <v>44248</v>
      </c>
      <c r="D823" s="3" t="s">
        <v>1021</v>
      </c>
      <c r="E823" s="3">
        <v>-10000</v>
      </c>
      <c r="F823" s="3">
        <v>1</v>
      </c>
      <c r="G823" s="3">
        <f t="shared" si="43"/>
        <v>10000</v>
      </c>
      <c r="H823" s="3" t="s">
        <v>302</v>
      </c>
      <c r="I823" s="1" t="s">
        <v>22</v>
      </c>
      <c r="J823" s="1" t="s">
        <v>23</v>
      </c>
      <c r="K823" s="1" t="s">
        <v>22</v>
      </c>
      <c r="L823" s="1" t="s">
        <v>257</v>
      </c>
      <c r="M823" s="1"/>
      <c r="N823" s="1">
        <f t="shared" si="42"/>
        <v>2</v>
      </c>
      <c r="O823" s="65" t="s">
        <v>1093</v>
      </c>
    </row>
    <row r="824" spans="1:15" ht="15.75" hidden="1" x14ac:dyDescent="0.25">
      <c r="A824" s="1" t="str">
        <f t="shared" si="41"/>
        <v>442514425112228CURRENTSALARYQATAR AIR</v>
      </c>
      <c r="B824" s="2">
        <v>44251</v>
      </c>
      <c r="C824" s="2">
        <v>44251</v>
      </c>
      <c r="D824" s="3" t="s">
        <v>1008</v>
      </c>
      <c r="E824" s="3">
        <v>12228</v>
      </c>
      <c r="F824" s="3">
        <v>1</v>
      </c>
      <c r="G824" s="3">
        <f t="shared" si="43"/>
        <v>12228</v>
      </c>
      <c r="H824" s="3" t="s">
        <v>293</v>
      </c>
      <c r="I824" s="1" t="s">
        <v>18</v>
      </c>
      <c r="J824" s="1" t="s">
        <v>19</v>
      </c>
      <c r="K824" s="1" t="s">
        <v>300</v>
      </c>
      <c r="L824" s="1" t="s">
        <v>257</v>
      </c>
      <c r="M824" s="1"/>
      <c r="N824" s="1">
        <f t="shared" si="42"/>
        <v>2</v>
      </c>
      <c r="O824" s="65"/>
    </row>
    <row r="825" spans="1:15" ht="15.75" hidden="1" x14ac:dyDescent="0.25">
      <c r="A825" s="1" t="str">
        <f t="shared" si="41"/>
        <v>44254442543529.39DINERSCC BILL PAYMENTBANK</v>
      </c>
      <c r="B825" s="2">
        <v>44254</v>
      </c>
      <c r="C825" s="2">
        <v>44254</v>
      </c>
      <c r="D825" s="3" t="s">
        <v>80</v>
      </c>
      <c r="E825" s="3">
        <v>-3529.39</v>
      </c>
      <c r="F825" s="3">
        <v>1</v>
      </c>
      <c r="G825" s="3">
        <f t="shared" si="43"/>
        <v>3529.39</v>
      </c>
      <c r="H825" s="3" t="s">
        <v>266</v>
      </c>
      <c r="I825" s="1" t="s">
        <v>81</v>
      </c>
      <c r="J825" s="1" t="s">
        <v>8</v>
      </c>
      <c r="K825" s="1" t="s">
        <v>300</v>
      </c>
      <c r="L825" s="1" t="s">
        <v>267</v>
      </c>
      <c r="M825" s="1"/>
      <c r="N825" s="1">
        <f t="shared" si="42"/>
        <v>2</v>
      </c>
      <c r="O825" s="87"/>
    </row>
    <row r="826" spans="1:15" ht="15.75" hidden="1" x14ac:dyDescent="0.25">
      <c r="A826" s="1" t="str">
        <f t="shared" si="41"/>
        <v>442554425512.01CURRENTCC BILL PAYMENTBANK</v>
      </c>
      <c r="B826" s="2">
        <v>44255</v>
      </c>
      <c r="C826" s="2">
        <v>44255</v>
      </c>
      <c r="D826" s="3" t="s">
        <v>1026</v>
      </c>
      <c r="E826" s="3">
        <v>-12.01</v>
      </c>
      <c r="F826" s="3">
        <v>1</v>
      </c>
      <c r="G826" s="3">
        <f t="shared" si="43"/>
        <v>12.01</v>
      </c>
      <c r="H826" s="3" t="s">
        <v>293</v>
      </c>
      <c r="I826" s="1" t="s">
        <v>81</v>
      </c>
      <c r="J826" s="1" t="s">
        <v>8</v>
      </c>
      <c r="K826" s="1" t="s">
        <v>298</v>
      </c>
      <c r="L826" s="1" t="s">
        <v>257</v>
      </c>
      <c r="M826" s="1"/>
      <c r="N826" s="1">
        <f t="shared" si="42"/>
        <v>2</v>
      </c>
      <c r="O826" s="65"/>
    </row>
    <row r="827" spans="1:15" ht="15.75" hidden="1" x14ac:dyDescent="0.25">
      <c r="A827" s="1" t="str">
        <f t="shared" si="41"/>
        <v>44255442553529.39CURRENTCC BILL PAYMENTBANK</v>
      </c>
      <c r="B827" s="2">
        <v>44255</v>
      </c>
      <c r="C827" s="2">
        <v>44255</v>
      </c>
      <c r="D827" s="3" t="s">
        <v>1022</v>
      </c>
      <c r="E827" s="3">
        <v>-3529.39</v>
      </c>
      <c r="F827" s="3">
        <v>1</v>
      </c>
      <c r="G827" s="3">
        <f t="shared" si="43"/>
        <v>3529.39</v>
      </c>
      <c r="H827" s="3" t="s">
        <v>293</v>
      </c>
      <c r="I827" s="1" t="s">
        <v>81</v>
      </c>
      <c r="J827" s="1" t="s">
        <v>8</v>
      </c>
      <c r="K827" s="1" t="s">
        <v>298</v>
      </c>
      <c r="L827" s="1" t="s">
        <v>257</v>
      </c>
      <c r="M827" s="1"/>
      <c r="N827" s="1">
        <f t="shared" si="42"/>
        <v>2</v>
      </c>
      <c r="O827" s="65"/>
    </row>
    <row r="828" spans="1:15" ht="15.75" hidden="1" x14ac:dyDescent="0.25">
      <c r="A828" s="1" t="str">
        <f t="shared" si="41"/>
        <v>442554425512.01DINERSCC BILL PAYMENTBANK</v>
      </c>
      <c r="B828" s="2">
        <v>44255</v>
      </c>
      <c r="C828" s="2">
        <v>44255</v>
      </c>
      <c r="D828" s="3" t="s">
        <v>80</v>
      </c>
      <c r="E828" s="3">
        <v>-12.01</v>
      </c>
      <c r="F828" s="3">
        <v>1</v>
      </c>
      <c r="G828" s="3">
        <f t="shared" si="43"/>
        <v>12.01</v>
      </c>
      <c r="H828" s="3" t="s">
        <v>266</v>
      </c>
      <c r="I828" s="1" t="s">
        <v>81</v>
      </c>
      <c r="J828" s="1" t="s">
        <v>8</v>
      </c>
      <c r="K828" s="1" t="s">
        <v>300</v>
      </c>
      <c r="L828" s="1" t="s">
        <v>267</v>
      </c>
      <c r="M828" s="1"/>
      <c r="N828" s="1">
        <f t="shared" si="42"/>
        <v>2</v>
      </c>
      <c r="O828" s="87"/>
    </row>
    <row r="829" spans="1:15" ht="15.75" hidden="1" x14ac:dyDescent="0.25">
      <c r="A829" s="1" t="str">
        <f t="shared" si="41"/>
        <v>442554425712MASTER CCTRANSPORTCAREEM</v>
      </c>
      <c r="B829" s="2">
        <v>44255</v>
      </c>
      <c r="C829" s="2">
        <v>44257</v>
      </c>
      <c r="D829" s="3" t="s">
        <v>1033</v>
      </c>
      <c r="E829" s="3">
        <v>12</v>
      </c>
      <c r="F829" s="3">
        <v>1</v>
      </c>
      <c r="G829" s="3">
        <f t="shared" si="43"/>
        <v>12</v>
      </c>
      <c r="H829" s="3" t="s">
        <v>291</v>
      </c>
      <c r="I829" s="1" t="s">
        <v>296</v>
      </c>
      <c r="J829" s="1" t="s">
        <v>297</v>
      </c>
      <c r="K829" s="1" t="s">
        <v>298</v>
      </c>
      <c r="L829" s="1" t="s">
        <v>267</v>
      </c>
      <c r="M829" s="1"/>
      <c r="N829" s="1">
        <f t="shared" si="42"/>
        <v>3</v>
      </c>
      <c r="O829" s="65"/>
    </row>
    <row r="830" spans="1:15" ht="15.75" hidden="1" x14ac:dyDescent="0.25">
      <c r="A830" s="1" t="str">
        <f t="shared" si="41"/>
        <v>442564425790MASTER CCTELECOMVODAFONE</v>
      </c>
      <c r="B830" s="2">
        <v>44256</v>
      </c>
      <c r="C830" s="2">
        <v>44257</v>
      </c>
      <c r="D830" s="3" t="s">
        <v>1032</v>
      </c>
      <c r="E830" s="3">
        <v>90</v>
      </c>
      <c r="F830" s="3">
        <v>1</v>
      </c>
      <c r="G830" s="3">
        <f t="shared" si="43"/>
        <v>90</v>
      </c>
      <c r="H830" s="3" t="s">
        <v>291</v>
      </c>
      <c r="I830" s="1" t="s">
        <v>58</v>
      </c>
      <c r="J830" s="1" t="s">
        <v>78</v>
      </c>
      <c r="K830" s="1" t="s">
        <v>298</v>
      </c>
      <c r="L830" s="1" t="s">
        <v>267</v>
      </c>
      <c r="M830" s="1"/>
      <c r="N830" s="1">
        <f t="shared" si="42"/>
        <v>3</v>
      </c>
      <c r="O830" s="65"/>
    </row>
    <row r="831" spans="1:15" ht="15.75" hidden="1" x14ac:dyDescent="0.25">
      <c r="A831" s="1" t="str">
        <f t="shared" si="41"/>
        <v>44256442561000CURRENTWITHDRAWSELF</v>
      </c>
      <c r="B831" s="2">
        <v>44256</v>
      </c>
      <c r="C831" s="2">
        <v>44256</v>
      </c>
      <c r="D831" s="3" t="s">
        <v>1025</v>
      </c>
      <c r="E831" s="3">
        <v>-1000</v>
      </c>
      <c r="F831" s="3">
        <v>1</v>
      </c>
      <c r="G831" s="3">
        <f t="shared" si="43"/>
        <v>1000</v>
      </c>
      <c r="H831" s="3" t="s">
        <v>293</v>
      </c>
      <c r="I831" s="1" t="s">
        <v>13</v>
      </c>
      <c r="J831" s="1" t="s">
        <v>14</v>
      </c>
      <c r="K831" s="1" t="s">
        <v>298</v>
      </c>
      <c r="L831" s="1" t="s">
        <v>257</v>
      </c>
      <c r="M831" s="1"/>
      <c r="N831" s="1">
        <f t="shared" si="42"/>
        <v>3</v>
      </c>
      <c r="O831" s="65"/>
    </row>
    <row r="832" spans="1:15" ht="15.75" hidden="1" x14ac:dyDescent="0.25">
      <c r="A832" s="1" t="str">
        <f t="shared" si="41"/>
        <v>4425644257159DINERSSHOPPINGLULU</v>
      </c>
      <c r="B832" s="2">
        <v>44256</v>
      </c>
      <c r="C832" s="2">
        <v>44257</v>
      </c>
      <c r="D832" s="3" t="s">
        <v>1028</v>
      </c>
      <c r="E832" s="3">
        <v>159</v>
      </c>
      <c r="F832" s="3">
        <v>1</v>
      </c>
      <c r="G832" s="3">
        <f t="shared" si="43"/>
        <v>159</v>
      </c>
      <c r="H832" s="3" t="s">
        <v>266</v>
      </c>
      <c r="I832" s="1" t="s">
        <v>194</v>
      </c>
      <c r="J832" s="1" t="s">
        <v>44</v>
      </c>
      <c r="K832" s="1" t="s">
        <v>298</v>
      </c>
      <c r="L832" s="1" t="s">
        <v>267</v>
      </c>
      <c r="M832" s="1"/>
      <c r="N832" s="1">
        <f t="shared" si="42"/>
        <v>3</v>
      </c>
      <c r="O832" s="87"/>
    </row>
    <row r="833" spans="1:15" ht="15.75" hidden="1" x14ac:dyDescent="0.25">
      <c r="A833" s="1" t="str">
        <f t="shared" si="41"/>
        <v>4425644257397.88DINERSGROCERYLULU</v>
      </c>
      <c r="B833" s="2">
        <v>44256</v>
      </c>
      <c r="C833" s="2">
        <v>44257</v>
      </c>
      <c r="D833" s="3" t="s">
        <v>1027</v>
      </c>
      <c r="E833" s="3">
        <v>397.88</v>
      </c>
      <c r="F833" s="3">
        <v>1</v>
      </c>
      <c r="G833" s="3">
        <f t="shared" si="43"/>
        <v>397.88</v>
      </c>
      <c r="H833" s="3" t="s">
        <v>266</v>
      </c>
      <c r="I833" s="1" t="s">
        <v>43</v>
      </c>
      <c r="J833" s="1" t="s">
        <v>44</v>
      </c>
      <c r="K833" s="1" t="s">
        <v>298</v>
      </c>
      <c r="L833" s="1" t="s">
        <v>267</v>
      </c>
      <c r="M833" s="1"/>
      <c r="N833" s="1">
        <f t="shared" si="42"/>
        <v>3</v>
      </c>
      <c r="O833" s="87"/>
    </row>
    <row r="834" spans="1:15" ht="15.75" hidden="1" x14ac:dyDescent="0.25">
      <c r="A834" s="1" t="str">
        <f t="shared" ref="A834:A897" si="44">B834&amp;C834&amp;G834&amp;H834&amp;I834&amp;J834</f>
        <v>442564425715.5MASTER CCSHOPPINGLULU</v>
      </c>
      <c r="B834" s="2">
        <v>44256</v>
      </c>
      <c r="C834" s="2">
        <v>44257</v>
      </c>
      <c r="D834" s="3" t="s">
        <v>1029</v>
      </c>
      <c r="E834" s="3">
        <v>15.5</v>
      </c>
      <c r="F834" s="3">
        <v>1</v>
      </c>
      <c r="G834" s="3">
        <f t="shared" si="43"/>
        <v>15.5</v>
      </c>
      <c r="H834" s="3" t="s">
        <v>291</v>
      </c>
      <c r="I834" s="1" t="s">
        <v>194</v>
      </c>
      <c r="J834" s="1" t="s">
        <v>44</v>
      </c>
      <c r="K834" s="1" t="s">
        <v>298</v>
      </c>
      <c r="L834" s="1" t="s">
        <v>267</v>
      </c>
      <c r="M834" s="1"/>
      <c r="N834" s="1">
        <f t="shared" ref="N834:N897" si="45">MONTH(C834)</f>
        <v>3</v>
      </c>
      <c r="O834" s="65"/>
    </row>
    <row r="835" spans="1:15" ht="15.75" hidden="1" x14ac:dyDescent="0.25">
      <c r="A835" s="1" t="str">
        <f t="shared" si="44"/>
        <v>442564425815MASTER CCTRANSPORTCAREEM</v>
      </c>
      <c r="B835" s="2">
        <v>44256</v>
      </c>
      <c r="C835" s="2">
        <v>44258</v>
      </c>
      <c r="D835" s="3" t="s">
        <v>1031</v>
      </c>
      <c r="E835" s="3">
        <v>15</v>
      </c>
      <c r="F835" s="3">
        <v>1</v>
      </c>
      <c r="G835" s="3">
        <f t="shared" si="43"/>
        <v>15</v>
      </c>
      <c r="H835" s="3" t="s">
        <v>291</v>
      </c>
      <c r="I835" s="1" t="s">
        <v>296</v>
      </c>
      <c r="J835" s="1" t="s">
        <v>297</v>
      </c>
      <c r="K835" s="1" t="s">
        <v>298</v>
      </c>
      <c r="L835" s="1" t="s">
        <v>267</v>
      </c>
      <c r="M835" s="1"/>
      <c r="N835" s="1">
        <f t="shared" si="45"/>
        <v>3</v>
      </c>
      <c r="O835" s="65"/>
    </row>
    <row r="836" spans="1:15" ht="15.75" hidden="1" x14ac:dyDescent="0.25">
      <c r="A836" s="1" t="str">
        <f t="shared" si="44"/>
        <v>442564425816MASTER CCTRANSPORTCAREEM</v>
      </c>
      <c r="B836" s="2">
        <v>44256</v>
      </c>
      <c r="C836" s="2">
        <v>44258</v>
      </c>
      <c r="D836" s="3" t="s">
        <v>1030</v>
      </c>
      <c r="E836" s="3">
        <v>16</v>
      </c>
      <c r="F836" s="3">
        <v>1</v>
      </c>
      <c r="G836" s="3">
        <f t="shared" si="43"/>
        <v>16</v>
      </c>
      <c r="H836" s="3" t="s">
        <v>291</v>
      </c>
      <c r="I836" s="1" t="s">
        <v>296</v>
      </c>
      <c r="J836" s="1" t="s">
        <v>297</v>
      </c>
      <c r="K836" s="1" t="s">
        <v>298</v>
      </c>
      <c r="L836" s="1" t="s">
        <v>267</v>
      </c>
      <c r="M836" s="1"/>
      <c r="N836" s="1">
        <f t="shared" si="45"/>
        <v>3</v>
      </c>
      <c r="O836" s="65"/>
    </row>
    <row r="837" spans="1:15" ht="15.75" hidden="1" x14ac:dyDescent="0.25">
      <c r="A837" s="1" t="str">
        <f t="shared" si="44"/>
        <v>442574425910MASTER CCTELECOMOOREDOO</v>
      </c>
      <c r="B837" s="2">
        <v>44257</v>
      </c>
      <c r="C837" s="2">
        <v>44259</v>
      </c>
      <c r="D837" s="3" t="s">
        <v>1035</v>
      </c>
      <c r="E837" s="3">
        <v>10</v>
      </c>
      <c r="F837" s="3">
        <v>1</v>
      </c>
      <c r="G837" s="3">
        <f t="shared" si="43"/>
        <v>10</v>
      </c>
      <c r="H837" s="3" t="s">
        <v>291</v>
      </c>
      <c r="I837" s="1" t="s">
        <v>58</v>
      </c>
      <c r="J837" s="1" t="s">
        <v>59</v>
      </c>
      <c r="K837" s="1" t="s">
        <v>298</v>
      </c>
      <c r="L837" s="1" t="s">
        <v>267</v>
      </c>
      <c r="M837" s="1"/>
      <c r="N837" s="1">
        <f t="shared" si="45"/>
        <v>3</v>
      </c>
      <c r="O837" s="65"/>
    </row>
    <row r="838" spans="1:15" ht="15.75" hidden="1" x14ac:dyDescent="0.25">
      <c r="A838" s="1" t="str">
        <f t="shared" si="44"/>
        <v>442574425950MASTER CCTELECOMOOREDOO</v>
      </c>
      <c r="B838" s="2">
        <v>44257</v>
      </c>
      <c r="C838" s="2">
        <v>44259</v>
      </c>
      <c r="D838" s="3" t="s">
        <v>1036</v>
      </c>
      <c r="E838" s="3">
        <v>50</v>
      </c>
      <c r="F838" s="3">
        <v>1</v>
      </c>
      <c r="G838" s="3">
        <f t="shared" si="43"/>
        <v>50</v>
      </c>
      <c r="H838" s="3" t="s">
        <v>291</v>
      </c>
      <c r="I838" s="1" t="s">
        <v>58</v>
      </c>
      <c r="J838" s="1" t="s">
        <v>59</v>
      </c>
      <c r="K838" s="1" t="s">
        <v>298</v>
      </c>
      <c r="L838" s="1" t="s">
        <v>267</v>
      </c>
      <c r="M838" s="1"/>
      <c r="N838" s="1">
        <f t="shared" si="45"/>
        <v>3</v>
      </c>
      <c r="O838" s="65"/>
    </row>
    <row r="839" spans="1:15" ht="15.75" hidden="1" x14ac:dyDescent="0.25">
      <c r="A839" s="1" t="str">
        <f t="shared" si="44"/>
        <v>44257442574CURRENTSERVICEBANK</v>
      </c>
      <c r="B839" s="2">
        <v>44257</v>
      </c>
      <c r="C839" s="2">
        <v>44257</v>
      </c>
      <c r="D839" s="3" t="s">
        <v>1024</v>
      </c>
      <c r="E839" s="3">
        <v>-4</v>
      </c>
      <c r="F839" s="3">
        <v>1</v>
      </c>
      <c r="G839" s="3">
        <f t="shared" si="43"/>
        <v>4</v>
      </c>
      <c r="H839" s="3" t="s">
        <v>293</v>
      </c>
      <c r="I839" s="1" t="s">
        <v>7</v>
      </c>
      <c r="J839" s="1" t="s">
        <v>8</v>
      </c>
      <c r="K839" s="1" t="s">
        <v>298</v>
      </c>
      <c r="L839" s="1" t="s">
        <v>257</v>
      </c>
      <c r="M839" s="1"/>
      <c r="N839" s="1">
        <f t="shared" si="45"/>
        <v>3</v>
      </c>
      <c r="O839" s="65"/>
    </row>
    <row r="840" spans="1:15" ht="15.75" hidden="1" x14ac:dyDescent="0.25">
      <c r="A840" s="1" t="str">
        <f t="shared" si="44"/>
        <v>44257442574125CURRENTRENTCAP ONE</v>
      </c>
      <c r="B840" s="2">
        <v>44257</v>
      </c>
      <c r="C840" s="2">
        <v>44257</v>
      </c>
      <c r="D840" s="3" t="s">
        <v>1023</v>
      </c>
      <c r="E840" s="3">
        <v>-4125</v>
      </c>
      <c r="F840" s="3">
        <v>1</v>
      </c>
      <c r="G840" s="3">
        <f t="shared" si="43"/>
        <v>4125</v>
      </c>
      <c r="H840" s="3" t="s">
        <v>293</v>
      </c>
      <c r="I840" s="1" t="s">
        <v>83</v>
      </c>
      <c r="J840" s="1" t="s">
        <v>84</v>
      </c>
      <c r="K840" s="1" t="s">
        <v>298</v>
      </c>
      <c r="L840" s="1" t="s">
        <v>257</v>
      </c>
      <c r="M840" s="1"/>
      <c r="N840" s="1">
        <f t="shared" si="45"/>
        <v>3</v>
      </c>
      <c r="O840" s="65"/>
    </row>
    <row r="841" spans="1:15" ht="15.75" hidden="1" x14ac:dyDescent="0.25">
      <c r="A841" s="1" t="str">
        <f t="shared" si="44"/>
        <v>442574425844DINERSGROCERYPICK-N-PACK</v>
      </c>
      <c r="B841" s="2">
        <v>44257</v>
      </c>
      <c r="C841" s="2">
        <v>44258</v>
      </c>
      <c r="D841" s="3" t="s">
        <v>1034</v>
      </c>
      <c r="E841" s="3">
        <v>44</v>
      </c>
      <c r="F841" s="3">
        <v>1</v>
      </c>
      <c r="G841" s="3">
        <f t="shared" si="43"/>
        <v>44</v>
      </c>
      <c r="H841" s="3" t="s">
        <v>266</v>
      </c>
      <c r="I841" s="1" t="s">
        <v>43</v>
      </c>
      <c r="J841" s="1" t="s">
        <v>222</v>
      </c>
      <c r="K841" s="1" t="s">
        <v>298</v>
      </c>
      <c r="L841" s="1" t="s">
        <v>267</v>
      </c>
      <c r="M841" s="1"/>
      <c r="N841" s="1">
        <f t="shared" si="45"/>
        <v>3</v>
      </c>
      <c r="O841" s="87"/>
    </row>
    <row r="842" spans="1:15" ht="15.75" hidden="1" x14ac:dyDescent="0.25">
      <c r="A842" s="1" t="str">
        <f t="shared" si="44"/>
        <v>4426144265386.5MASTER CCGROCERYFFC</v>
      </c>
      <c r="B842" s="2">
        <v>44261</v>
      </c>
      <c r="C842" s="2">
        <v>44265</v>
      </c>
      <c r="D842" s="3" t="s">
        <v>1060</v>
      </c>
      <c r="E842" s="3">
        <v>386.5</v>
      </c>
      <c r="F842" s="3">
        <v>1</v>
      </c>
      <c r="G842" s="3">
        <f t="shared" si="43"/>
        <v>386.5</v>
      </c>
      <c r="H842" s="3" t="s">
        <v>291</v>
      </c>
      <c r="I842" s="1" t="s">
        <v>43</v>
      </c>
      <c r="J842" s="1" t="s">
        <v>96</v>
      </c>
      <c r="K842" s="1" t="s">
        <v>298</v>
      </c>
      <c r="L842" s="1" t="s">
        <v>267</v>
      </c>
      <c r="M842" s="1"/>
      <c r="N842" s="1">
        <f t="shared" si="45"/>
        <v>3</v>
      </c>
      <c r="O842" s="65"/>
    </row>
    <row r="843" spans="1:15" ht="15.75" hidden="1" x14ac:dyDescent="0.25">
      <c r="A843" s="1" t="str">
        <f t="shared" si="44"/>
        <v>442614426410MASTER CCTRANSPORTCAREEM</v>
      </c>
      <c r="B843" s="2">
        <v>44261</v>
      </c>
      <c r="C843" s="2">
        <v>44264</v>
      </c>
      <c r="D843" s="3" t="s">
        <v>1059</v>
      </c>
      <c r="E843" s="3">
        <v>10</v>
      </c>
      <c r="F843" s="3">
        <v>1</v>
      </c>
      <c r="G843" s="3">
        <f t="shared" ref="G843:G906" si="46">ABS(E843)*F843</f>
        <v>10</v>
      </c>
      <c r="H843" s="3" t="s">
        <v>291</v>
      </c>
      <c r="I843" s="1" t="s">
        <v>296</v>
      </c>
      <c r="J843" s="1" t="s">
        <v>297</v>
      </c>
      <c r="K843" s="1" t="s">
        <v>298</v>
      </c>
      <c r="L843" s="1" t="s">
        <v>267</v>
      </c>
      <c r="M843" s="1"/>
      <c r="N843" s="1">
        <f t="shared" si="45"/>
        <v>3</v>
      </c>
      <c r="O843" s="65"/>
    </row>
    <row r="844" spans="1:15" ht="15.75" hidden="1" x14ac:dyDescent="0.25">
      <c r="A844" s="1" t="str">
        <f t="shared" si="44"/>
        <v>44262442652MASTER CCMEDICALHEALTH CENTER</v>
      </c>
      <c r="B844" s="2">
        <v>44262</v>
      </c>
      <c r="C844" s="2">
        <v>44265</v>
      </c>
      <c r="D844" s="3" t="s">
        <v>1056</v>
      </c>
      <c r="E844" s="3">
        <v>2</v>
      </c>
      <c r="F844" s="3">
        <v>1</v>
      </c>
      <c r="G844" s="3">
        <f t="shared" si="46"/>
        <v>2</v>
      </c>
      <c r="H844" s="3" t="s">
        <v>291</v>
      </c>
      <c r="I844" s="1" t="s">
        <v>301</v>
      </c>
      <c r="J844" s="1" t="s">
        <v>159</v>
      </c>
      <c r="K844" s="1" t="s">
        <v>298</v>
      </c>
      <c r="L844" s="1" t="s">
        <v>267</v>
      </c>
      <c r="M844" s="1"/>
      <c r="N844" s="1">
        <f t="shared" si="45"/>
        <v>3</v>
      </c>
      <c r="O844" s="65"/>
    </row>
    <row r="845" spans="1:15" ht="15.75" hidden="1" x14ac:dyDescent="0.25">
      <c r="A845" s="1" t="str">
        <f t="shared" si="44"/>
        <v>44262442654.33MASTER CCMEDICALHEALTH CENTER</v>
      </c>
      <c r="B845" s="2">
        <v>44262</v>
      </c>
      <c r="C845" s="2">
        <v>44265</v>
      </c>
      <c r="D845" s="3" t="s">
        <v>1057</v>
      </c>
      <c r="E845" s="3">
        <v>4.33</v>
      </c>
      <c r="F845" s="3">
        <v>1</v>
      </c>
      <c r="G845" s="3">
        <f t="shared" si="46"/>
        <v>4.33</v>
      </c>
      <c r="H845" s="3" t="s">
        <v>291</v>
      </c>
      <c r="I845" s="1" t="s">
        <v>301</v>
      </c>
      <c r="J845" s="1" t="s">
        <v>159</v>
      </c>
      <c r="K845" s="1" t="s">
        <v>298</v>
      </c>
      <c r="L845" s="1" t="s">
        <v>267</v>
      </c>
      <c r="M845" s="1"/>
      <c r="N845" s="1">
        <f t="shared" si="45"/>
        <v>3</v>
      </c>
      <c r="O845" s="65"/>
    </row>
    <row r="846" spans="1:15" ht="15.75" hidden="1" x14ac:dyDescent="0.25">
      <c r="A846" s="1" t="str">
        <f t="shared" si="44"/>
        <v>44262442621250CURRENTSAVINGSELF</v>
      </c>
      <c r="B846" s="2">
        <v>44262</v>
      </c>
      <c r="C846" s="2">
        <v>44262</v>
      </c>
      <c r="D846" s="3" t="s">
        <v>333</v>
      </c>
      <c r="E846" s="3">
        <v>-1250</v>
      </c>
      <c r="F846" s="3">
        <v>1</v>
      </c>
      <c r="G846" s="3">
        <f t="shared" si="46"/>
        <v>1250</v>
      </c>
      <c r="H846" s="3" t="s">
        <v>293</v>
      </c>
      <c r="I846" s="1" t="s">
        <v>302</v>
      </c>
      <c r="J846" s="1" t="s">
        <v>14</v>
      </c>
      <c r="K846" s="1" t="s">
        <v>298</v>
      </c>
      <c r="L846" s="1" t="s">
        <v>257</v>
      </c>
      <c r="M846" s="1"/>
      <c r="N846" s="1">
        <f t="shared" si="45"/>
        <v>3</v>
      </c>
      <c r="O846" s="65"/>
    </row>
    <row r="847" spans="1:15" ht="15.75" hidden="1" x14ac:dyDescent="0.25">
      <c r="A847" s="1" t="str">
        <f t="shared" si="44"/>
        <v>44262442648MASTER CCTRANSPORTCAREEM</v>
      </c>
      <c r="B847" s="2">
        <v>44262</v>
      </c>
      <c r="C847" s="2">
        <v>44264</v>
      </c>
      <c r="D847" s="3" t="s">
        <v>1058</v>
      </c>
      <c r="E847" s="3">
        <v>8</v>
      </c>
      <c r="F847" s="3">
        <v>1</v>
      </c>
      <c r="G847" s="3">
        <f t="shared" si="46"/>
        <v>8</v>
      </c>
      <c r="H847" s="3" t="s">
        <v>291</v>
      </c>
      <c r="I847" s="1" t="s">
        <v>296</v>
      </c>
      <c r="J847" s="1" t="s">
        <v>297</v>
      </c>
      <c r="K847" s="1" t="s">
        <v>298</v>
      </c>
      <c r="L847" s="1" t="s">
        <v>267</v>
      </c>
      <c r="M847" s="1"/>
      <c r="N847" s="1">
        <f t="shared" si="45"/>
        <v>3</v>
      </c>
      <c r="O847" s="65"/>
    </row>
    <row r="848" spans="1:15" ht="15.75" hidden="1" x14ac:dyDescent="0.25">
      <c r="A848" s="1" t="str">
        <f t="shared" si="44"/>
        <v>44264442641509.3CURRENTTRANSFERINDIA</v>
      </c>
      <c r="B848" s="2">
        <v>44264</v>
      </c>
      <c r="C848" s="2">
        <v>44264</v>
      </c>
      <c r="D848" s="3" t="s">
        <v>1037</v>
      </c>
      <c r="E848" s="3">
        <v>-1509.3</v>
      </c>
      <c r="F848" s="3">
        <v>1</v>
      </c>
      <c r="G848" s="3">
        <f t="shared" si="46"/>
        <v>1509.3</v>
      </c>
      <c r="H848" s="3" t="s">
        <v>293</v>
      </c>
      <c r="I848" s="1" t="s">
        <v>22</v>
      </c>
      <c r="J848" s="1" t="s">
        <v>23</v>
      </c>
      <c r="K848" s="1" t="s">
        <v>298</v>
      </c>
      <c r="L848" s="1" t="s">
        <v>257</v>
      </c>
      <c r="M848" s="1"/>
      <c r="N848" s="1">
        <f t="shared" si="45"/>
        <v>3</v>
      </c>
      <c r="O848" s="65"/>
    </row>
    <row r="849" spans="1:15" ht="15.75" hidden="1" x14ac:dyDescent="0.25">
      <c r="A849" s="1" t="str">
        <f t="shared" si="44"/>
        <v>44264442641.01CURRENTSERVICEBANK</v>
      </c>
      <c r="B849" s="2">
        <v>44264</v>
      </c>
      <c r="C849" s="2">
        <v>44264</v>
      </c>
      <c r="D849" s="3" t="s">
        <v>1038</v>
      </c>
      <c r="E849" s="3">
        <v>-1.01</v>
      </c>
      <c r="F849" s="3">
        <v>1</v>
      </c>
      <c r="G849" s="3">
        <f t="shared" si="46"/>
        <v>1.01</v>
      </c>
      <c r="H849" s="3" t="s">
        <v>293</v>
      </c>
      <c r="I849" s="1" t="s">
        <v>7</v>
      </c>
      <c r="J849" s="1" t="s">
        <v>8</v>
      </c>
      <c r="K849" s="1" t="s">
        <v>298</v>
      </c>
      <c r="L849" s="1" t="s">
        <v>257</v>
      </c>
      <c r="M849" s="1"/>
      <c r="N849" s="1">
        <f t="shared" si="45"/>
        <v>3</v>
      </c>
      <c r="O849" s="65"/>
    </row>
    <row r="850" spans="1:15" ht="15.75" hidden="1" x14ac:dyDescent="0.25">
      <c r="A850" s="1" t="str">
        <f t="shared" si="44"/>
        <v>442644426415CURRENTSERVICEBANK</v>
      </c>
      <c r="B850" s="2">
        <v>44264</v>
      </c>
      <c r="C850" s="2">
        <v>44264</v>
      </c>
      <c r="D850" s="3" t="s">
        <v>1039</v>
      </c>
      <c r="E850" s="3">
        <v>-15</v>
      </c>
      <c r="F850" s="3">
        <v>1</v>
      </c>
      <c r="G850" s="3">
        <f t="shared" si="46"/>
        <v>15</v>
      </c>
      <c r="H850" s="3" t="s">
        <v>293</v>
      </c>
      <c r="I850" s="1" t="s">
        <v>7</v>
      </c>
      <c r="J850" s="1" t="s">
        <v>8</v>
      </c>
      <c r="K850" s="1" t="s">
        <v>298</v>
      </c>
      <c r="L850" s="1" t="s">
        <v>257</v>
      </c>
      <c r="M850" s="1"/>
      <c r="N850" s="1">
        <f t="shared" si="45"/>
        <v>3</v>
      </c>
      <c r="O850" s="65"/>
    </row>
    <row r="851" spans="1:15" ht="15.75" hidden="1" x14ac:dyDescent="0.25">
      <c r="A851" s="1" t="str">
        <f t="shared" si="44"/>
        <v>44265442651264.75CURRENTTRANSFERINDIA</v>
      </c>
      <c r="B851" s="2">
        <v>44265</v>
      </c>
      <c r="C851" s="2">
        <v>44265</v>
      </c>
      <c r="D851" s="3" t="s">
        <v>694</v>
      </c>
      <c r="E851" s="3">
        <v>-1264.75</v>
      </c>
      <c r="F851" s="3">
        <v>1</v>
      </c>
      <c r="G851" s="3">
        <f t="shared" si="46"/>
        <v>1264.75</v>
      </c>
      <c r="H851" s="3" t="s">
        <v>293</v>
      </c>
      <c r="I851" s="1" t="s">
        <v>22</v>
      </c>
      <c r="J851" s="1" t="s">
        <v>23</v>
      </c>
      <c r="K851" s="1" t="s">
        <v>298</v>
      </c>
      <c r="L851" s="1" t="s">
        <v>257</v>
      </c>
      <c r="M851" s="1"/>
      <c r="N851" s="1">
        <f t="shared" si="45"/>
        <v>3</v>
      </c>
      <c r="O851" s="65"/>
    </row>
    <row r="852" spans="1:15" ht="15.75" hidden="1" x14ac:dyDescent="0.25">
      <c r="A852" s="1" t="str">
        <f t="shared" si="44"/>
        <v>442654426826.5DINERSGROCERYPICK-N-PACK</v>
      </c>
      <c r="B852" s="2">
        <v>44265</v>
      </c>
      <c r="C852" s="2">
        <v>44268</v>
      </c>
      <c r="D852" s="3" t="s">
        <v>1047</v>
      </c>
      <c r="E852" s="3">
        <v>26.5</v>
      </c>
      <c r="F852" s="3">
        <v>1</v>
      </c>
      <c r="G852" s="3">
        <f t="shared" si="46"/>
        <v>26.5</v>
      </c>
      <c r="H852" s="3" t="s">
        <v>266</v>
      </c>
      <c r="I852" s="1" t="s">
        <v>43</v>
      </c>
      <c r="J852" s="1" t="s">
        <v>222</v>
      </c>
      <c r="K852" s="1" t="s">
        <v>298</v>
      </c>
      <c r="L852" s="1" t="s">
        <v>267</v>
      </c>
      <c r="M852" s="1"/>
      <c r="N852" s="1">
        <f t="shared" si="45"/>
        <v>3</v>
      </c>
      <c r="O852" s="87"/>
    </row>
    <row r="853" spans="1:15" ht="15.75" hidden="1" x14ac:dyDescent="0.25">
      <c r="A853" s="1" t="str">
        <f t="shared" si="44"/>
        <v>442674426859DINERSSHOPPINGMAX</v>
      </c>
      <c r="B853" s="2">
        <v>44267</v>
      </c>
      <c r="C853" s="2">
        <v>44268</v>
      </c>
      <c r="D853" s="3" t="s">
        <v>1045</v>
      </c>
      <c r="E853" s="3">
        <v>59</v>
      </c>
      <c r="F853" s="3">
        <v>1</v>
      </c>
      <c r="G853" s="3">
        <f t="shared" si="46"/>
        <v>59</v>
      </c>
      <c r="H853" s="3" t="s">
        <v>266</v>
      </c>
      <c r="I853" s="1" t="s">
        <v>194</v>
      </c>
      <c r="J853" s="1" t="s">
        <v>776</v>
      </c>
      <c r="K853" s="1" t="s">
        <v>298</v>
      </c>
      <c r="L853" s="1" t="s">
        <v>267</v>
      </c>
      <c r="M853" s="1"/>
      <c r="N853" s="1">
        <f t="shared" si="45"/>
        <v>3</v>
      </c>
      <c r="O853" s="87"/>
    </row>
    <row r="854" spans="1:15" ht="15.75" hidden="1" x14ac:dyDescent="0.25">
      <c r="A854" s="1" t="str">
        <f t="shared" si="44"/>
        <v>442674427128DINERSGROCERYPICK-N-PACK</v>
      </c>
      <c r="B854" s="2">
        <v>44267</v>
      </c>
      <c r="C854" s="2">
        <v>44271</v>
      </c>
      <c r="D854" s="3" t="s">
        <v>1044</v>
      </c>
      <c r="E854" s="3">
        <v>28</v>
      </c>
      <c r="F854" s="3">
        <v>1</v>
      </c>
      <c r="G854" s="3">
        <f t="shared" si="46"/>
        <v>28</v>
      </c>
      <c r="H854" s="3" t="s">
        <v>266</v>
      </c>
      <c r="I854" s="1" t="s">
        <v>43</v>
      </c>
      <c r="J854" s="1" t="s">
        <v>222</v>
      </c>
      <c r="K854" s="1" t="s">
        <v>298</v>
      </c>
      <c r="L854" s="1" t="s">
        <v>267</v>
      </c>
      <c r="M854" s="1"/>
      <c r="N854" s="1">
        <f t="shared" si="45"/>
        <v>3</v>
      </c>
      <c r="O854" s="87"/>
    </row>
    <row r="855" spans="1:15" ht="15.75" hidden="1" x14ac:dyDescent="0.25">
      <c r="A855" s="1" t="str">
        <f t="shared" si="44"/>
        <v>442674426815DINERSFOODCAFÉ/REST.</v>
      </c>
      <c r="B855" s="2">
        <v>44267</v>
      </c>
      <c r="C855" s="2">
        <v>44268</v>
      </c>
      <c r="D855" s="3" t="s">
        <v>1046</v>
      </c>
      <c r="E855" s="3">
        <v>15</v>
      </c>
      <c r="F855" s="3">
        <v>1</v>
      </c>
      <c r="G855" s="3">
        <f t="shared" si="46"/>
        <v>15</v>
      </c>
      <c r="H855" s="3" t="s">
        <v>266</v>
      </c>
      <c r="I855" s="1" t="s">
        <v>10</v>
      </c>
      <c r="J855" s="1" t="s">
        <v>11</v>
      </c>
      <c r="K855" s="1" t="s">
        <v>298</v>
      </c>
      <c r="L855" s="1" t="s">
        <v>267</v>
      </c>
      <c r="M855" s="1"/>
      <c r="N855" s="1">
        <f t="shared" si="45"/>
        <v>3</v>
      </c>
      <c r="O855" s="87"/>
    </row>
    <row r="856" spans="1:15" ht="15.75" hidden="1" x14ac:dyDescent="0.25">
      <c r="A856" s="1" t="str">
        <f t="shared" si="44"/>
        <v>442674426914MASTER CCTRANSPORTCAREEM</v>
      </c>
      <c r="B856" s="2">
        <v>44267</v>
      </c>
      <c r="C856" s="2">
        <v>44269</v>
      </c>
      <c r="D856" s="3" t="s">
        <v>1055</v>
      </c>
      <c r="E856" s="3">
        <v>14</v>
      </c>
      <c r="F856" s="3">
        <v>1</v>
      </c>
      <c r="G856" s="3">
        <f t="shared" si="46"/>
        <v>14</v>
      </c>
      <c r="H856" s="3" t="s">
        <v>291</v>
      </c>
      <c r="I856" s="1" t="s">
        <v>296</v>
      </c>
      <c r="J856" s="1" t="s">
        <v>297</v>
      </c>
      <c r="K856" s="1" t="s">
        <v>298</v>
      </c>
      <c r="L856" s="1" t="s">
        <v>267</v>
      </c>
      <c r="M856" s="1"/>
      <c r="N856" s="1">
        <f t="shared" si="45"/>
        <v>3</v>
      </c>
      <c r="O856" s="65"/>
    </row>
    <row r="857" spans="1:15" ht="15.75" hidden="1" x14ac:dyDescent="0.25">
      <c r="A857" s="1" t="str">
        <f t="shared" si="44"/>
        <v>442674426918MASTER CCTRANSPORTCAREEM</v>
      </c>
      <c r="B857" s="2">
        <v>44267</v>
      </c>
      <c r="C857" s="2">
        <v>44269</v>
      </c>
      <c r="D857" s="3" t="s">
        <v>1054</v>
      </c>
      <c r="E857" s="3">
        <v>18</v>
      </c>
      <c r="F857" s="3">
        <v>1</v>
      </c>
      <c r="G857" s="3">
        <f t="shared" si="46"/>
        <v>18</v>
      </c>
      <c r="H857" s="3" t="s">
        <v>291</v>
      </c>
      <c r="I857" s="1" t="s">
        <v>296</v>
      </c>
      <c r="J857" s="1" t="s">
        <v>297</v>
      </c>
      <c r="K857" s="1" t="s">
        <v>298</v>
      </c>
      <c r="L857" s="1" t="s">
        <v>267</v>
      </c>
      <c r="M857" s="1"/>
      <c r="N857" s="1">
        <f t="shared" si="45"/>
        <v>3</v>
      </c>
      <c r="O857" s="65"/>
    </row>
    <row r="858" spans="1:15" ht="15.75" hidden="1" x14ac:dyDescent="0.25">
      <c r="A858" s="1" t="str">
        <f t="shared" si="44"/>
        <v>442684426919DINERSSHOPPINGMAX</v>
      </c>
      <c r="B858" s="2">
        <v>44268</v>
      </c>
      <c r="C858" s="2">
        <v>44269</v>
      </c>
      <c r="D858" s="3" t="s">
        <v>1043</v>
      </c>
      <c r="E858" s="3">
        <v>19</v>
      </c>
      <c r="F858" s="3">
        <v>1</v>
      </c>
      <c r="G858" s="3">
        <f t="shared" si="46"/>
        <v>19</v>
      </c>
      <c r="H858" s="3" t="s">
        <v>266</v>
      </c>
      <c r="I858" s="1" t="s">
        <v>194</v>
      </c>
      <c r="J858" s="1" t="s">
        <v>776</v>
      </c>
      <c r="K858" s="1" t="s">
        <v>298</v>
      </c>
      <c r="L858" s="1" t="s">
        <v>267</v>
      </c>
      <c r="M858" s="1"/>
      <c r="N858" s="1">
        <f t="shared" si="45"/>
        <v>3</v>
      </c>
      <c r="O858" s="87"/>
    </row>
    <row r="859" spans="1:15" ht="15.75" hidden="1" x14ac:dyDescent="0.25">
      <c r="A859" s="1" t="str">
        <f t="shared" si="44"/>
        <v>4426844272192.25MASTER CCGROCERYCARREFOUR</v>
      </c>
      <c r="B859" s="2">
        <v>44268</v>
      </c>
      <c r="C859" s="2">
        <v>44272</v>
      </c>
      <c r="D859" s="3" t="s">
        <v>1052</v>
      </c>
      <c r="E859" s="3">
        <v>192.25</v>
      </c>
      <c r="F859" s="3">
        <v>1</v>
      </c>
      <c r="G859" s="3">
        <f t="shared" si="46"/>
        <v>192.25</v>
      </c>
      <c r="H859" s="3" t="s">
        <v>291</v>
      </c>
      <c r="I859" s="1" t="s">
        <v>43</v>
      </c>
      <c r="J859" s="1" t="s">
        <v>67</v>
      </c>
      <c r="K859" s="1" t="s">
        <v>298</v>
      </c>
      <c r="L859" s="1" t="s">
        <v>267</v>
      </c>
      <c r="M859" s="1"/>
      <c r="N859" s="1">
        <f t="shared" si="45"/>
        <v>3</v>
      </c>
      <c r="O859" s="65"/>
    </row>
    <row r="860" spans="1:15" ht="15.75" hidden="1" x14ac:dyDescent="0.25">
      <c r="A860" s="1" t="str">
        <f t="shared" si="44"/>
        <v>442684427114MASTER CCTRANSPORTCAREEM</v>
      </c>
      <c r="B860" s="2">
        <v>44268</v>
      </c>
      <c r="C860" s="2">
        <v>44271</v>
      </c>
      <c r="D860" s="3" t="s">
        <v>1053</v>
      </c>
      <c r="E860" s="3">
        <v>14</v>
      </c>
      <c r="F860" s="3">
        <v>1</v>
      </c>
      <c r="G860" s="3">
        <f t="shared" si="46"/>
        <v>14</v>
      </c>
      <c r="H860" s="3" t="s">
        <v>291</v>
      </c>
      <c r="I860" s="1" t="s">
        <v>296</v>
      </c>
      <c r="J860" s="1" t="s">
        <v>297</v>
      </c>
      <c r="K860" s="1" t="s">
        <v>298</v>
      </c>
      <c r="L860" s="1" t="s">
        <v>267</v>
      </c>
      <c r="M860" s="1"/>
      <c r="N860" s="1">
        <f t="shared" si="45"/>
        <v>3</v>
      </c>
      <c r="O860" s="65"/>
    </row>
    <row r="861" spans="1:15" ht="15.75" hidden="1" x14ac:dyDescent="0.25">
      <c r="A861" s="1" t="str">
        <f t="shared" si="44"/>
        <v>44270442733.37MASTER CCMEDICALHEALTH CENTER</v>
      </c>
      <c r="B861" s="2">
        <v>44270</v>
      </c>
      <c r="C861" s="2">
        <v>44273</v>
      </c>
      <c r="D861" s="3" t="s">
        <v>1050</v>
      </c>
      <c r="E861" s="3">
        <v>3.37</v>
      </c>
      <c r="F861" s="3">
        <v>1</v>
      </c>
      <c r="G861" s="3">
        <f t="shared" si="46"/>
        <v>3.37</v>
      </c>
      <c r="H861" s="3" t="s">
        <v>291</v>
      </c>
      <c r="I861" s="1" t="s">
        <v>301</v>
      </c>
      <c r="J861" s="1" t="s">
        <v>159</v>
      </c>
      <c r="K861" s="1" t="s">
        <v>298</v>
      </c>
      <c r="L861" s="1" t="s">
        <v>267</v>
      </c>
      <c r="M861" s="1"/>
      <c r="N861" s="1">
        <f t="shared" si="45"/>
        <v>3</v>
      </c>
      <c r="O861" s="65"/>
    </row>
    <row r="862" spans="1:15" ht="15.75" hidden="1" x14ac:dyDescent="0.25">
      <c r="A862" s="1" t="str">
        <f t="shared" si="44"/>
        <v>442704428044.5DINERSGROCERYPICK-N-PACK</v>
      </c>
      <c r="B862" s="2">
        <v>44270</v>
      </c>
      <c r="C862" s="2">
        <v>44280</v>
      </c>
      <c r="D862" s="3" t="s">
        <v>1042</v>
      </c>
      <c r="E862" s="3">
        <v>44.5</v>
      </c>
      <c r="F862" s="3">
        <v>1</v>
      </c>
      <c r="G862" s="3">
        <f t="shared" si="46"/>
        <v>44.5</v>
      </c>
      <c r="H862" s="3" t="s">
        <v>266</v>
      </c>
      <c r="I862" s="1" t="s">
        <v>43</v>
      </c>
      <c r="J862" s="1" t="s">
        <v>222</v>
      </c>
      <c r="K862" s="1" t="s">
        <v>298</v>
      </c>
      <c r="L862" s="1" t="s">
        <v>267</v>
      </c>
      <c r="M862" s="1"/>
      <c r="N862" s="1">
        <f t="shared" si="45"/>
        <v>3</v>
      </c>
      <c r="O862" s="87"/>
    </row>
    <row r="863" spans="1:15" ht="15.75" hidden="1" x14ac:dyDescent="0.25">
      <c r="A863" s="1" t="str">
        <f t="shared" si="44"/>
        <v>442704427315MASTER CCFOODBOM CHOPATI</v>
      </c>
      <c r="B863" s="2">
        <v>44270</v>
      </c>
      <c r="C863" s="2">
        <v>44273</v>
      </c>
      <c r="D863" s="3" t="s">
        <v>1051</v>
      </c>
      <c r="E863" s="3">
        <v>15</v>
      </c>
      <c r="F863" s="3">
        <v>1</v>
      </c>
      <c r="G863" s="3">
        <f t="shared" si="46"/>
        <v>15</v>
      </c>
      <c r="H863" s="3" t="s">
        <v>291</v>
      </c>
      <c r="I863" s="1" t="s">
        <v>10</v>
      </c>
      <c r="J863" s="1" t="s">
        <v>934</v>
      </c>
      <c r="K863" s="1" t="s">
        <v>298</v>
      </c>
      <c r="L863" s="1" t="s">
        <v>267</v>
      </c>
      <c r="M863" s="1"/>
      <c r="N863" s="1">
        <f t="shared" si="45"/>
        <v>3</v>
      </c>
      <c r="O863" s="65"/>
    </row>
    <row r="864" spans="1:15" ht="15.75" hidden="1" x14ac:dyDescent="0.25">
      <c r="A864" s="1" t="str">
        <f t="shared" si="44"/>
        <v>442714427230DINERSSHOPPINGFFC</v>
      </c>
      <c r="B864" s="2">
        <v>44271</v>
      </c>
      <c r="C864" s="2">
        <v>44272</v>
      </c>
      <c r="D864" s="3" t="s">
        <v>1041</v>
      </c>
      <c r="E864" s="3">
        <v>30</v>
      </c>
      <c r="F864" s="3">
        <v>1</v>
      </c>
      <c r="G864" s="3">
        <f t="shared" si="46"/>
        <v>30</v>
      </c>
      <c r="H864" s="3" t="s">
        <v>266</v>
      </c>
      <c r="I864" s="1" t="s">
        <v>194</v>
      </c>
      <c r="J864" s="1" t="s">
        <v>96</v>
      </c>
      <c r="K864" s="1" t="s">
        <v>298</v>
      </c>
      <c r="L864" s="1" t="s">
        <v>267</v>
      </c>
      <c r="M864" s="1"/>
      <c r="N864" s="1">
        <f t="shared" si="45"/>
        <v>3</v>
      </c>
      <c r="O864" s="87"/>
    </row>
    <row r="865" spans="1:15" ht="15.75" hidden="1" x14ac:dyDescent="0.25">
      <c r="A865" s="1" t="str">
        <f t="shared" si="44"/>
        <v>44271442744.3MASTER CCGROCERYFFC</v>
      </c>
      <c r="B865" s="2">
        <v>44271</v>
      </c>
      <c r="C865" s="2">
        <v>44274</v>
      </c>
      <c r="D865" s="3" t="s">
        <v>1049</v>
      </c>
      <c r="E865" s="3">
        <v>4.3</v>
      </c>
      <c r="F865" s="3">
        <v>1</v>
      </c>
      <c r="G865" s="3">
        <f t="shared" si="46"/>
        <v>4.3</v>
      </c>
      <c r="H865" s="3" t="s">
        <v>291</v>
      </c>
      <c r="I865" s="1" t="s">
        <v>43</v>
      </c>
      <c r="J865" s="1" t="s">
        <v>96</v>
      </c>
      <c r="K865" s="1" t="s">
        <v>298</v>
      </c>
      <c r="L865" s="1" t="s">
        <v>267</v>
      </c>
      <c r="M865" s="1"/>
      <c r="N865" s="1">
        <f t="shared" si="45"/>
        <v>3</v>
      </c>
      <c r="O865" s="65"/>
    </row>
    <row r="866" spans="1:15" ht="15.75" hidden="1" x14ac:dyDescent="0.25">
      <c r="A866" s="1" t="str">
        <f t="shared" si="44"/>
        <v>44272442817DINERSGROCERYPICK-N-PACK</v>
      </c>
      <c r="B866" s="2">
        <v>44272</v>
      </c>
      <c r="C866" s="2">
        <v>44281</v>
      </c>
      <c r="D866" s="3" t="s">
        <v>1040</v>
      </c>
      <c r="E866" s="3">
        <v>7</v>
      </c>
      <c r="F866" s="3">
        <v>1</v>
      </c>
      <c r="G866" s="3">
        <f t="shared" si="46"/>
        <v>7</v>
      </c>
      <c r="H866" s="3" t="s">
        <v>266</v>
      </c>
      <c r="I866" s="1" t="s">
        <v>43</v>
      </c>
      <c r="J866" s="1" t="s">
        <v>222</v>
      </c>
      <c r="K866" s="1" t="s">
        <v>298</v>
      </c>
      <c r="L866" s="1" t="s">
        <v>267</v>
      </c>
      <c r="M866" s="1"/>
      <c r="N866" s="1">
        <f t="shared" si="45"/>
        <v>3</v>
      </c>
      <c r="O866" s="87"/>
    </row>
    <row r="867" spans="1:15" ht="15.75" hidden="1" x14ac:dyDescent="0.25">
      <c r="A867" s="1" t="str">
        <f t="shared" si="44"/>
        <v>44272442746.4MASTER CCGROCERYFFC</v>
      </c>
      <c r="B867" s="2">
        <v>44272</v>
      </c>
      <c r="C867" s="2">
        <v>44274</v>
      </c>
      <c r="D867" s="3" t="s">
        <v>1048</v>
      </c>
      <c r="E867" s="3">
        <v>6.4</v>
      </c>
      <c r="F867" s="3">
        <v>1</v>
      </c>
      <c r="G867" s="3">
        <f t="shared" si="46"/>
        <v>6.4</v>
      </c>
      <c r="H867" s="3" t="s">
        <v>291</v>
      </c>
      <c r="I867" s="1" t="s">
        <v>43</v>
      </c>
      <c r="J867" s="1" t="s">
        <v>96</v>
      </c>
      <c r="K867" s="1" t="s">
        <v>298</v>
      </c>
      <c r="L867" s="1" t="s">
        <v>267</v>
      </c>
      <c r="M867" s="1"/>
      <c r="N867" s="1">
        <f t="shared" si="45"/>
        <v>3</v>
      </c>
      <c r="O867" s="65"/>
    </row>
    <row r="868" spans="1:15" ht="15.75" hidden="1" x14ac:dyDescent="0.25">
      <c r="A868" s="1" t="str">
        <f t="shared" si="44"/>
        <v>442744428154.5DINERSGROCERYPICK-N-PACK</v>
      </c>
      <c r="B868" s="2">
        <v>44274</v>
      </c>
      <c r="C868" s="2">
        <v>44281</v>
      </c>
      <c r="D868" s="3" t="s">
        <v>1067</v>
      </c>
      <c r="E868" s="3">
        <v>54.5</v>
      </c>
      <c r="F868" s="3">
        <v>1</v>
      </c>
      <c r="G868" s="3">
        <f t="shared" si="46"/>
        <v>54.5</v>
      </c>
      <c r="H868" s="3" t="s">
        <v>266</v>
      </c>
      <c r="I868" s="1" t="s">
        <v>43</v>
      </c>
      <c r="J868" s="1" t="s">
        <v>222</v>
      </c>
      <c r="K868" s="1" t="s">
        <v>298</v>
      </c>
      <c r="L868" s="1" t="s">
        <v>267</v>
      </c>
      <c r="M868" s="1"/>
      <c r="N868" s="1">
        <f t="shared" si="45"/>
        <v>3</v>
      </c>
      <c r="O868" s="87"/>
    </row>
    <row r="869" spans="1:15" ht="15.75" hidden="1" x14ac:dyDescent="0.25">
      <c r="A869" s="1" t="str">
        <f t="shared" si="44"/>
        <v>442754427811.59DINERSTRANSPORTUBER</v>
      </c>
      <c r="B869" s="2">
        <v>44275</v>
      </c>
      <c r="C869" s="2">
        <v>44278</v>
      </c>
      <c r="D869" s="3" t="s">
        <v>1065</v>
      </c>
      <c r="E869" s="3">
        <v>11.59</v>
      </c>
      <c r="F869" s="3">
        <v>1</v>
      </c>
      <c r="G869" s="3">
        <f t="shared" si="46"/>
        <v>11.59</v>
      </c>
      <c r="H869" s="3" t="s">
        <v>266</v>
      </c>
      <c r="I869" s="1" t="s">
        <v>296</v>
      </c>
      <c r="J869" s="1" t="s">
        <v>299</v>
      </c>
      <c r="K869" s="1" t="s">
        <v>298</v>
      </c>
      <c r="L869" s="1" t="s">
        <v>267</v>
      </c>
      <c r="M869" s="1"/>
      <c r="N869" s="1">
        <f t="shared" si="45"/>
        <v>3</v>
      </c>
      <c r="O869" s="87"/>
    </row>
    <row r="870" spans="1:15" ht="15.75" hidden="1" x14ac:dyDescent="0.25">
      <c r="A870" s="1" t="str">
        <f t="shared" si="44"/>
        <v>442754427812.32DINERSTRANSPORTUBER</v>
      </c>
      <c r="B870" s="2">
        <v>44275</v>
      </c>
      <c r="C870" s="2">
        <v>44278</v>
      </c>
      <c r="D870" s="3" t="s">
        <v>1066</v>
      </c>
      <c r="E870" s="3">
        <v>12.32</v>
      </c>
      <c r="F870" s="3">
        <v>1</v>
      </c>
      <c r="G870" s="3">
        <f t="shared" si="46"/>
        <v>12.32</v>
      </c>
      <c r="H870" s="3" t="s">
        <v>266</v>
      </c>
      <c r="I870" s="1" t="s">
        <v>296</v>
      </c>
      <c r="J870" s="1" t="s">
        <v>299</v>
      </c>
      <c r="K870" s="1" t="s">
        <v>298</v>
      </c>
      <c r="L870" s="1" t="s">
        <v>267</v>
      </c>
      <c r="M870" s="1"/>
      <c r="N870" s="1">
        <f t="shared" si="45"/>
        <v>3</v>
      </c>
      <c r="O870" s="87"/>
    </row>
    <row r="871" spans="1:15" ht="15.75" hidden="1" x14ac:dyDescent="0.25">
      <c r="A871" s="1" t="str">
        <f t="shared" si="44"/>
        <v>442784428150MASTER CCTRAVELHEALTH CENTER</v>
      </c>
      <c r="B871" s="2">
        <v>44278</v>
      </c>
      <c r="C871" s="2">
        <v>44281</v>
      </c>
      <c r="D871" s="3" t="s">
        <v>1073</v>
      </c>
      <c r="E871" s="3">
        <v>50</v>
      </c>
      <c r="F871" s="3">
        <v>1</v>
      </c>
      <c r="G871" s="3">
        <f t="shared" si="46"/>
        <v>50</v>
      </c>
      <c r="H871" s="3" t="s">
        <v>291</v>
      </c>
      <c r="I871" s="1" t="s">
        <v>393</v>
      </c>
      <c r="J871" s="1" t="s">
        <v>159</v>
      </c>
      <c r="K871" s="1" t="s">
        <v>298</v>
      </c>
      <c r="L871" s="1" t="s">
        <v>267</v>
      </c>
      <c r="M871" s="1"/>
      <c r="N871" s="1">
        <f t="shared" si="45"/>
        <v>3</v>
      </c>
      <c r="O871" s="65"/>
    </row>
    <row r="872" spans="1:15" ht="15.75" hidden="1" x14ac:dyDescent="0.25">
      <c r="A872" s="1" t="str">
        <f t="shared" si="44"/>
        <v>442784428013MASTER CCTRANSPORTCAREEM</v>
      </c>
      <c r="B872" s="2">
        <v>44278</v>
      </c>
      <c r="C872" s="2">
        <v>44280</v>
      </c>
      <c r="D872" s="3" t="s">
        <v>1074</v>
      </c>
      <c r="E872" s="3">
        <v>13</v>
      </c>
      <c r="F872" s="3">
        <v>1</v>
      </c>
      <c r="G872" s="3">
        <f t="shared" si="46"/>
        <v>13</v>
      </c>
      <c r="H872" s="3" t="s">
        <v>291</v>
      </c>
      <c r="I872" s="1" t="s">
        <v>296</v>
      </c>
      <c r="J872" s="1" t="s">
        <v>297</v>
      </c>
      <c r="K872" s="1" t="s">
        <v>298</v>
      </c>
      <c r="L872" s="1" t="s">
        <v>267</v>
      </c>
      <c r="M872" s="1"/>
      <c r="N872" s="1">
        <f t="shared" si="45"/>
        <v>3</v>
      </c>
      <c r="O872" s="65"/>
    </row>
    <row r="873" spans="1:15" ht="15.75" hidden="1" x14ac:dyDescent="0.25">
      <c r="A873" s="1" t="str">
        <f t="shared" si="44"/>
        <v>44278442808MASTER CCTRANSPORTCAREEM</v>
      </c>
      <c r="B873" s="2">
        <v>44278</v>
      </c>
      <c r="C873" s="2">
        <v>44280</v>
      </c>
      <c r="D873" s="3" t="s">
        <v>1075</v>
      </c>
      <c r="E873" s="3">
        <v>8</v>
      </c>
      <c r="F873" s="3">
        <v>1</v>
      </c>
      <c r="G873" s="3">
        <f t="shared" si="46"/>
        <v>8</v>
      </c>
      <c r="H873" s="3" t="s">
        <v>291</v>
      </c>
      <c r="I873" s="1" t="s">
        <v>296</v>
      </c>
      <c r="J873" s="1" t="s">
        <v>297</v>
      </c>
      <c r="K873" s="1" t="s">
        <v>298</v>
      </c>
      <c r="L873" s="1" t="s">
        <v>267</v>
      </c>
      <c r="M873" s="1"/>
      <c r="N873" s="1">
        <f t="shared" si="45"/>
        <v>3</v>
      </c>
      <c r="O873" s="65"/>
    </row>
    <row r="874" spans="1:15" ht="15.75" hidden="1" x14ac:dyDescent="0.25">
      <c r="A874" s="1" t="str">
        <f t="shared" si="44"/>
        <v>442794428210MASTER CCFOODQATAR AIR</v>
      </c>
      <c r="B874" s="2">
        <v>44279</v>
      </c>
      <c r="C874" s="2">
        <v>44282</v>
      </c>
      <c r="D874" s="3" t="s">
        <v>1070</v>
      </c>
      <c r="E874" s="3">
        <v>10</v>
      </c>
      <c r="F874" s="3">
        <v>1</v>
      </c>
      <c r="G874" s="3">
        <f t="shared" si="46"/>
        <v>10</v>
      </c>
      <c r="H874" s="3" t="s">
        <v>291</v>
      </c>
      <c r="I874" s="1" t="s">
        <v>10</v>
      </c>
      <c r="J874" s="1" t="s">
        <v>19</v>
      </c>
      <c r="K874" s="1" t="s">
        <v>298</v>
      </c>
      <c r="L874" s="1" t="s">
        <v>267</v>
      </c>
      <c r="M874" s="1"/>
      <c r="N874" s="1">
        <f t="shared" si="45"/>
        <v>3</v>
      </c>
      <c r="O874" s="65"/>
    </row>
    <row r="875" spans="1:15" ht="15.75" hidden="1" x14ac:dyDescent="0.25">
      <c r="A875" s="1" t="str">
        <f t="shared" si="44"/>
        <v>4427944280189.85DINERSGROCERYLULU</v>
      </c>
      <c r="B875" s="2">
        <v>44279</v>
      </c>
      <c r="C875" s="2">
        <v>44280</v>
      </c>
      <c r="D875" s="3" t="s">
        <v>1064</v>
      </c>
      <c r="E875" s="3">
        <v>189.85</v>
      </c>
      <c r="F875" s="3">
        <v>1</v>
      </c>
      <c r="G875" s="3">
        <f t="shared" si="46"/>
        <v>189.85</v>
      </c>
      <c r="H875" s="3" t="s">
        <v>266</v>
      </c>
      <c r="I875" s="1" t="s">
        <v>43</v>
      </c>
      <c r="J875" s="1" t="s">
        <v>44</v>
      </c>
      <c r="K875" s="1" t="s">
        <v>298</v>
      </c>
      <c r="L875" s="1" t="s">
        <v>267</v>
      </c>
      <c r="M875" s="1"/>
      <c r="N875" s="1">
        <f t="shared" si="45"/>
        <v>3</v>
      </c>
      <c r="O875" s="87"/>
    </row>
    <row r="876" spans="1:15" ht="15.75" hidden="1" x14ac:dyDescent="0.25">
      <c r="A876" s="1" t="str">
        <f t="shared" si="44"/>
        <v>442794428113MASTER CCTRANSPORTCAREEM</v>
      </c>
      <c r="B876" s="2">
        <v>44279</v>
      </c>
      <c r="C876" s="2">
        <v>44281</v>
      </c>
      <c r="D876" s="3" t="s">
        <v>1071</v>
      </c>
      <c r="E876" s="3">
        <v>13</v>
      </c>
      <c r="F876" s="3">
        <v>1</v>
      </c>
      <c r="G876" s="3">
        <f t="shared" si="46"/>
        <v>13</v>
      </c>
      <c r="H876" s="3" t="s">
        <v>291</v>
      </c>
      <c r="I876" s="1" t="s">
        <v>296</v>
      </c>
      <c r="J876" s="1" t="s">
        <v>297</v>
      </c>
      <c r="K876" s="1" t="s">
        <v>298</v>
      </c>
      <c r="L876" s="1" t="s">
        <v>267</v>
      </c>
      <c r="M876" s="1"/>
      <c r="N876" s="1">
        <f t="shared" si="45"/>
        <v>3</v>
      </c>
      <c r="O876" s="65"/>
    </row>
    <row r="877" spans="1:15" ht="15.75" hidden="1" x14ac:dyDescent="0.25">
      <c r="A877" s="1" t="str">
        <f t="shared" si="44"/>
        <v>44279442818MASTER CCTRANSPORTCAREEM</v>
      </c>
      <c r="B877" s="2">
        <v>44279</v>
      </c>
      <c r="C877" s="2">
        <v>44281</v>
      </c>
      <c r="D877" s="3" t="s">
        <v>1072</v>
      </c>
      <c r="E877" s="3">
        <v>8</v>
      </c>
      <c r="F877" s="3">
        <v>1</v>
      </c>
      <c r="G877" s="3">
        <f t="shared" si="46"/>
        <v>8</v>
      </c>
      <c r="H877" s="3" t="s">
        <v>291</v>
      </c>
      <c r="I877" s="1" t="s">
        <v>296</v>
      </c>
      <c r="J877" s="1" t="s">
        <v>297</v>
      </c>
      <c r="K877" s="1" t="s">
        <v>298</v>
      </c>
      <c r="L877" s="1" t="s">
        <v>267</v>
      </c>
      <c r="M877" s="1"/>
      <c r="N877" s="1">
        <f t="shared" si="45"/>
        <v>3</v>
      </c>
      <c r="O877" s="65"/>
    </row>
    <row r="878" spans="1:15" ht="15.75" hidden="1" x14ac:dyDescent="0.25">
      <c r="A878" s="1" t="str">
        <f t="shared" si="44"/>
        <v>442804428520MASTER CCTRANSPORTMETRO</v>
      </c>
      <c r="B878" s="2">
        <v>44280</v>
      </c>
      <c r="C878" s="2">
        <v>44285</v>
      </c>
      <c r="D878" s="3" t="s">
        <v>1069</v>
      </c>
      <c r="E878" s="3">
        <v>20</v>
      </c>
      <c r="F878" s="3">
        <v>1</v>
      </c>
      <c r="G878" s="3">
        <f t="shared" si="46"/>
        <v>20</v>
      </c>
      <c r="H878" s="3" t="s">
        <v>291</v>
      </c>
      <c r="I878" s="1" t="s">
        <v>296</v>
      </c>
      <c r="J878" s="1" t="s">
        <v>759</v>
      </c>
      <c r="K878" s="1" t="s">
        <v>298</v>
      </c>
      <c r="L878" s="1" t="s">
        <v>267</v>
      </c>
      <c r="M878" s="1"/>
      <c r="N878" s="1">
        <f t="shared" si="45"/>
        <v>3</v>
      </c>
      <c r="O878" s="65"/>
    </row>
    <row r="879" spans="1:15" ht="15.75" hidden="1" x14ac:dyDescent="0.25">
      <c r="A879" s="1" t="str">
        <f t="shared" si="44"/>
        <v>442804428311.5DINERSTRANSPORTUBER</v>
      </c>
      <c r="B879" s="2">
        <v>44280</v>
      </c>
      <c r="C879" s="2">
        <v>44283</v>
      </c>
      <c r="D879" s="3" t="s">
        <v>1063</v>
      </c>
      <c r="E879" s="3">
        <v>11.5</v>
      </c>
      <c r="F879" s="3">
        <v>1</v>
      </c>
      <c r="G879" s="3">
        <f t="shared" si="46"/>
        <v>11.5</v>
      </c>
      <c r="H879" s="3" t="s">
        <v>266</v>
      </c>
      <c r="I879" s="1" t="s">
        <v>296</v>
      </c>
      <c r="J879" s="1" t="s">
        <v>299</v>
      </c>
      <c r="K879" s="1" t="s">
        <v>298</v>
      </c>
      <c r="L879" s="1" t="s">
        <v>267</v>
      </c>
      <c r="M879" s="1"/>
      <c r="N879" s="1">
        <f t="shared" si="45"/>
        <v>3</v>
      </c>
      <c r="O879" s="87"/>
    </row>
    <row r="880" spans="1:15" ht="15.75" hidden="1" x14ac:dyDescent="0.25">
      <c r="A880" s="1" t="str">
        <f t="shared" si="44"/>
        <v>442804428612DINERSGROCERYPICK-N-PACK</v>
      </c>
      <c r="B880" s="2">
        <v>44280</v>
      </c>
      <c r="C880" s="2">
        <v>44286</v>
      </c>
      <c r="D880" s="3" t="s">
        <v>1062</v>
      </c>
      <c r="E880" s="3">
        <v>12</v>
      </c>
      <c r="F880" s="3">
        <v>1</v>
      </c>
      <c r="G880" s="3">
        <f t="shared" si="46"/>
        <v>12</v>
      </c>
      <c r="H880" s="3" t="s">
        <v>266</v>
      </c>
      <c r="I880" s="1" t="s">
        <v>43</v>
      </c>
      <c r="J880" s="1" t="s">
        <v>222</v>
      </c>
      <c r="K880" s="1" t="s">
        <v>298</v>
      </c>
      <c r="L880" s="1" t="s">
        <v>267</v>
      </c>
      <c r="M880" s="1"/>
      <c r="N880" s="1">
        <f t="shared" si="45"/>
        <v>3</v>
      </c>
      <c r="O880" s="87"/>
    </row>
    <row r="881" spans="1:15" ht="15.75" hidden="1" x14ac:dyDescent="0.25">
      <c r="A881" s="1" t="str">
        <f t="shared" si="44"/>
        <v>442804428228MASTER CCTRANSPORTCAREEM</v>
      </c>
      <c r="B881" s="2">
        <v>44280</v>
      </c>
      <c r="C881" s="2">
        <v>44282</v>
      </c>
      <c r="D881" s="3" t="s">
        <v>1068</v>
      </c>
      <c r="E881" s="3">
        <v>28</v>
      </c>
      <c r="F881" s="3">
        <v>1</v>
      </c>
      <c r="G881" s="3">
        <f t="shared" si="46"/>
        <v>28</v>
      </c>
      <c r="H881" s="3" t="s">
        <v>291</v>
      </c>
      <c r="I881" s="1" t="s">
        <v>296</v>
      </c>
      <c r="J881" s="1" t="s">
        <v>297</v>
      </c>
      <c r="K881" s="1" t="s">
        <v>298</v>
      </c>
      <c r="L881" s="1" t="s">
        <v>267</v>
      </c>
      <c r="M881" s="1"/>
      <c r="N881" s="1">
        <f t="shared" si="45"/>
        <v>3</v>
      </c>
      <c r="O881" s="65"/>
    </row>
    <row r="882" spans="1:15" ht="15.75" hidden="1" x14ac:dyDescent="0.25">
      <c r="A882" s="1" t="str">
        <f t="shared" si="44"/>
        <v>4428244283377.05DINERSGROCERYLULU</v>
      </c>
      <c r="B882" s="2">
        <v>44282</v>
      </c>
      <c r="C882" s="2">
        <v>44283</v>
      </c>
      <c r="D882" s="3" t="s">
        <v>1061</v>
      </c>
      <c r="E882" s="3">
        <v>377.05</v>
      </c>
      <c r="F882" s="3">
        <v>1</v>
      </c>
      <c r="G882" s="3">
        <f t="shared" si="46"/>
        <v>377.05</v>
      </c>
      <c r="H882" s="3" t="s">
        <v>266</v>
      </c>
      <c r="I882" s="1" t="s">
        <v>43</v>
      </c>
      <c r="J882" s="1" t="s">
        <v>44</v>
      </c>
      <c r="K882" s="1" t="s">
        <v>298</v>
      </c>
      <c r="L882" s="1" t="s">
        <v>267</v>
      </c>
      <c r="M882" s="1"/>
      <c r="N882" s="1">
        <f t="shared" si="45"/>
        <v>3</v>
      </c>
      <c r="O882" s="87"/>
    </row>
    <row r="883" spans="1:15" ht="15.75" hidden="1" x14ac:dyDescent="0.25">
      <c r="A883" s="1" t="str">
        <f t="shared" si="44"/>
        <v>4428344286100MASTER CCFOODQATAR AIR</v>
      </c>
      <c r="B883" s="2">
        <v>44283</v>
      </c>
      <c r="C883" s="2">
        <v>44286</v>
      </c>
      <c r="D883" s="3" t="s">
        <v>1081</v>
      </c>
      <c r="E883" s="3">
        <v>100</v>
      </c>
      <c r="F883" s="3">
        <v>1</v>
      </c>
      <c r="G883" s="3">
        <f t="shared" si="46"/>
        <v>100</v>
      </c>
      <c r="H883" s="3" t="s">
        <v>291</v>
      </c>
      <c r="I883" s="1" t="s">
        <v>10</v>
      </c>
      <c r="J883" s="1" t="s">
        <v>19</v>
      </c>
      <c r="K883" s="1" t="s">
        <v>298</v>
      </c>
      <c r="L883" s="1" t="s">
        <v>267</v>
      </c>
      <c r="M883" s="1"/>
      <c r="N883" s="1">
        <f t="shared" si="45"/>
        <v>3</v>
      </c>
      <c r="O883" s="65"/>
    </row>
    <row r="884" spans="1:15" ht="15.75" hidden="1" x14ac:dyDescent="0.25">
      <c r="A884" s="1" t="str">
        <f t="shared" si="44"/>
        <v>442834428610MASTER CCFOODQATAR AIR</v>
      </c>
      <c r="B884" s="2">
        <v>44283</v>
      </c>
      <c r="C884" s="2">
        <v>44286</v>
      </c>
      <c r="D884" s="3" t="s">
        <v>1082</v>
      </c>
      <c r="E884" s="3">
        <v>10</v>
      </c>
      <c r="F884" s="3">
        <v>1</v>
      </c>
      <c r="G884" s="3">
        <f t="shared" si="46"/>
        <v>10</v>
      </c>
      <c r="H884" s="3" t="s">
        <v>291</v>
      </c>
      <c r="I884" s="1" t="s">
        <v>10</v>
      </c>
      <c r="J884" s="1" t="s">
        <v>19</v>
      </c>
      <c r="K884" s="1" t="s">
        <v>298</v>
      </c>
      <c r="L884" s="1" t="s">
        <v>267</v>
      </c>
      <c r="M884" s="1"/>
      <c r="N884" s="1">
        <f t="shared" si="45"/>
        <v>3</v>
      </c>
      <c r="O884" s="65"/>
    </row>
    <row r="885" spans="1:15" ht="15.75" hidden="1" x14ac:dyDescent="0.25">
      <c r="A885" s="1" t="str">
        <f t="shared" si="44"/>
        <v>442844428410CURRENTTELECOMOOREDOO</v>
      </c>
      <c r="B885" s="2">
        <v>44284</v>
      </c>
      <c r="C885" s="2">
        <v>44284</v>
      </c>
      <c r="D885" s="3" t="s">
        <v>1076</v>
      </c>
      <c r="E885" s="3">
        <v>-10</v>
      </c>
      <c r="F885" s="3">
        <v>1</v>
      </c>
      <c r="G885" s="3">
        <f t="shared" si="46"/>
        <v>10</v>
      </c>
      <c r="H885" s="3" t="s">
        <v>293</v>
      </c>
      <c r="I885" s="1" t="s">
        <v>58</v>
      </c>
      <c r="J885" s="1" t="s">
        <v>59</v>
      </c>
      <c r="K885" s="1" t="s">
        <v>298</v>
      </c>
      <c r="L885" s="1" t="s">
        <v>257</v>
      </c>
      <c r="M885" s="1"/>
      <c r="N885" s="1">
        <f t="shared" si="45"/>
        <v>3</v>
      </c>
      <c r="O885" s="65"/>
    </row>
    <row r="886" spans="1:15" ht="15.75" hidden="1" x14ac:dyDescent="0.25">
      <c r="A886" s="1" t="str">
        <f t="shared" si="44"/>
        <v>442844428450CURRENTTELECOMOOREDOO</v>
      </c>
      <c r="B886" s="2">
        <v>44284</v>
      </c>
      <c r="C886" s="2">
        <v>44284</v>
      </c>
      <c r="D886" s="3" t="s">
        <v>1077</v>
      </c>
      <c r="E886" s="3">
        <v>-50</v>
      </c>
      <c r="F886" s="3">
        <v>1</v>
      </c>
      <c r="G886" s="3">
        <f t="shared" si="46"/>
        <v>50</v>
      </c>
      <c r="H886" s="3" t="s">
        <v>293</v>
      </c>
      <c r="I886" s="1" t="s">
        <v>58</v>
      </c>
      <c r="J886" s="1" t="s">
        <v>59</v>
      </c>
      <c r="K886" s="1" t="s">
        <v>298</v>
      </c>
      <c r="L886" s="1" t="s">
        <v>257</v>
      </c>
      <c r="M886" s="1"/>
      <c r="N886" s="1">
        <f t="shared" si="45"/>
        <v>3</v>
      </c>
      <c r="O886" s="65"/>
    </row>
    <row r="887" spans="1:15" ht="15.75" hidden="1" x14ac:dyDescent="0.25">
      <c r="A887" s="1" t="str">
        <f t="shared" si="44"/>
        <v>442844428410000CURRENTSAVINGSELF</v>
      </c>
      <c r="B887" s="2">
        <v>44284</v>
      </c>
      <c r="C887" s="2">
        <v>44284</v>
      </c>
      <c r="D887" s="3" t="s">
        <v>1079</v>
      </c>
      <c r="E887" s="3">
        <v>-10000</v>
      </c>
      <c r="F887" s="3">
        <v>1</v>
      </c>
      <c r="G887" s="3">
        <f t="shared" si="46"/>
        <v>10000</v>
      </c>
      <c r="H887" s="3" t="s">
        <v>293</v>
      </c>
      <c r="I887" s="1" t="s">
        <v>302</v>
      </c>
      <c r="J887" s="1" t="s">
        <v>14</v>
      </c>
      <c r="K887" s="1" t="s">
        <v>298</v>
      </c>
      <c r="L887" s="1" t="s">
        <v>257</v>
      </c>
      <c r="M887" s="1"/>
      <c r="N887" s="1">
        <f t="shared" si="45"/>
        <v>3</v>
      </c>
      <c r="O887" s="65"/>
    </row>
    <row r="888" spans="1:15" ht="15.75" hidden="1" x14ac:dyDescent="0.25">
      <c r="A888" s="1" t="str">
        <f t="shared" si="44"/>
        <v>442844428420400CURRENTSALARYQATAR AIR</v>
      </c>
      <c r="B888" s="2">
        <v>44284</v>
      </c>
      <c r="C888" s="2">
        <v>44284</v>
      </c>
      <c r="D888" s="3" t="s">
        <v>1080</v>
      </c>
      <c r="E888" s="3">
        <v>20400</v>
      </c>
      <c r="F888" s="3">
        <v>1</v>
      </c>
      <c r="G888" s="3">
        <f t="shared" si="46"/>
        <v>20400</v>
      </c>
      <c r="H888" s="3" t="s">
        <v>293</v>
      </c>
      <c r="I888" s="1" t="s">
        <v>18</v>
      </c>
      <c r="J888" s="1" t="s">
        <v>19</v>
      </c>
      <c r="K888" s="1" t="s">
        <v>300</v>
      </c>
      <c r="L888" s="1" t="s">
        <v>257</v>
      </c>
      <c r="M888" s="1"/>
      <c r="N888" s="1">
        <f t="shared" si="45"/>
        <v>3</v>
      </c>
      <c r="O888" s="65"/>
    </row>
    <row r="889" spans="1:15" ht="15.75" hidden="1" x14ac:dyDescent="0.25">
      <c r="A889" s="1" t="str">
        <f t="shared" si="44"/>
        <v>44284442842491.32CURRENTCC BILL PAYMENTBANK</v>
      </c>
      <c r="B889" s="2">
        <v>44284</v>
      </c>
      <c r="C889" s="2">
        <v>44284</v>
      </c>
      <c r="D889" s="3" t="s">
        <v>1078</v>
      </c>
      <c r="E889" s="3">
        <v>-2491.3200000000002</v>
      </c>
      <c r="F889" s="3">
        <v>1</v>
      </c>
      <c r="G889" s="3">
        <f t="shared" si="46"/>
        <v>2491.3200000000002</v>
      </c>
      <c r="H889" s="3" t="s">
        <v>293</v>
      </c>
      <c r="I889" s="1" t="s">
        <v>81</v>
      </c>
      <c r="J889" s="1" t="s">
        <v>8</v>
      </c>
      <c r="K889" s="1" t="s">
        <v>298</v>
      </c>
      <c r="L889" s="1" t="s">
        <v>257</v>
      </c>
      <c r="M889" s="1"/>
      <c r="N889" s="1">
        <f t="shared" si="45"/>
        <v>3</v>
      </c>
      <c r="O889" s="65"/>
    </row>
    <row r="890" spans="1:15" ht="15.75" hidden="1" x14ac:dyDescent="0.25">
      <c r="A890" s="1" t="str">
        <f t="shared" si="44"/>
        <v>4428444284142CURRENTCC BILL PAYMENTBANK</v>
      </c>
      <c r="B890" s="2">
        <v>44284</v>
      </c>
      <c r="C890" s="2">
        <v>44284</v>
      </c>
      <c r="D890" s="3" t="s">
        <v>1083</v>
      </c>
      <c r="E890" s="3">
        <v>-142</v>
      </c>
      <c r="F890" s="3">
        <v>1</v>
      </c>
      <c r="G890" s="3">
        <f t="shared" si="46"/>
        <v>142</v>
      </c>
      <c r="H890" s="3" t="s">
        <v>293</v>
      </c>
      <c r="I890" s="1" t="s">
        <v>81</v>
      </c>
      <c r="J890" s="1" t="s">
        <v>8</v>
      </c>
      <c r="K890" s="1" t="s">
        <v>298</v>
      </c>
      <c r="L890" s="1" t="s">
        <v>257</v>
      </c>
      <c r="M890" s="1"/>
      <c r="N890" s="1">
        <f t="shared" si="45"/>
        <v>3</v>
      </c>
      <c r="O890" s="65"/>
    </row>
    <row r="891" spans="1:15" ht="15.75" hidden="1" x14ac:dyDescent="0.25">
      <c r="A891" s="1" t="str">
        <f t="shared" si="44"/>
        <v>44284442842491.32DINERSCC BILL PAYMENTBANK</v>
      </c>
      <c r="B891" s="2">
        <v>44284</v>
      </c>
      <c r="C891" s="2">
        <v>44284</v>
      </c>
      <c r="D891" s="3" t="s">
        <v>80</v>
      </c>
      <c r="E891" s="3">
        <v>-2491.3200000000002</v>
      </c>
      <c r="F891" s="3">
        <v>1</v>
      </c>
      <c r="G891" s="3">
        <f t="shared" si="46"/>
        <v>2491.3200000000002</v>
      </c>
      <c r="H891" s="3" t="s">
        <v>266</v>
      </c>
      <c r="I891" s="1" t="s">
        <v>81</v>
      </c>
      <c r="J891" s="1" t="s">
        <v>8</v>
      </c>
      <c r="K891" s="1" t="s">
        <v>300</v>
      </c>
      <c r="L891" s="1" t="s">
        <v>267</v>
      </c>
      <c r="M891" s="1"/>
      <c r="N891" s="1">
        <f t="shared" si="45"/>
        <v>3</v>
      </c>
      <c r="O891" s="87"/>
    </row>
    <row r="892" spans="1:15" ht="15.75" hidden="1" x14ac:dyDescent="0.25">
      <c r="A892" s="1" t="str">
        <f t="shared" si="44"/>
        <v>4428444284142DINERSCC BILL PAYMENTBANK</v>
      </c>
      <c r="B892" s="2">
        <v>44284</v>
      </c>
      <c r="C892" s="2">
        <v>44284</v>
      </c>
      <c r="D892" s="3" t="s">
        <v>80</v>
      </c>
      <c r="E892" s="3">
        <v>-142</v>
      </c>
      <c r="F892" s="3">
        <v>1</v>
      </c>
      <c r="G892" s="3">
        <f t="shared" si="46"/>
        <v>142</v>
      </c>
      <c r="H892" s="3" t="s">
        <v>266</v>
      </c>
      <c r="I892" s="1" t="s">
        <v>81</v>
      </c>
      <c r="J892" s="1" t="s">
        <v>8</v>
      </c>
      <c r="K892" s="1" t="s">
        <v>300</v>
      </c>
      <c r="L892" s="1" t="s">
        <v>267</v>
      </c>
      <c r="M892" s="1"/>
      <c r="N892" s="1">
        <f t="shared" si="45"/>
        <v>3</v>
      </c>
      <c r="O892" s="87"/>
    </row>
    <row r="893" spans="1:15" ht="15.75" hidden="1" x14ac:dyDescent="0.25">
      <c r="A893" s="1" t="str">
        <f t="shared" si="44"/>
        <v>442854428535.25CURRENTGROCERYPICK-N-PACK</v>
      </c>
      <c r="B893" s="2">
        <v>44285</v>
      </c>
      <c r="C893" s="2">
        <v>44285</v>
      </c>
      <c r="D893" s="3" t="s">
        <v>1088</v>
      </c>
      <c r="E893" s="3">
        <v>-35.25</v>
      </c>
      <c r="F893" s="3">
        <v>1</v>
      </c>
      <c r="G893" s="3">
        <f t="shared" si="46"/>
        <v>35.25</v>
      </c>
      <c r="H893" s="3" t="s">
        <v>293</v>
      </c>
      <c r="I893" s="1" t="s">
        <v>43</v>
      </c>
      <c r="J893" s="1" t="s">
        <v>222</v>
      </c>
      <c r="K893" s="1" t="s">
        <v>298</v>
      </c>
      <c r="L893" s="1" t="s">
        <v>257</v>
      </c>
      <c r="M893" s="1"/>
      <c r="N893" s="1">
        <f t="shared" si="45"/>
        <v>3</v>
      </c>
      <c r="O893" s="65"/>
    </row>
    <row r="894" spans="1:15" ht="15.75" hidden="1" x14ac:dyDescent="0.25">
      <c r="A894" s="1" t="str">
        <f t="shared" si="44"/>
        <v>442864429010.66DINERSTRANSPORTUBER</v>
      </c>
      <c r="B894" s="2">
        <v>44286</v>
      </c>
      <c r="C894" s="2">
        <v>44290</v>
      </c>
      <c r="D894" s="3" t="s">
        <v>1090</v>
      </c>
      <c r="E894" s="3">
        <v>10.66</v>
      </c>
      <c r="F894" s="3">
        <v>1</v>
      </c>
      <c r="G894" s="3">
        <f t="shared" si="46"/>
        <v>10.66</v>
      </c>
      <c r="H894" s="3" t="s">
        <v>266</v>
      </c>
      <c r="I894" s="1" t="s">
        <v>296</v>
      </c>
      <c r="J894" s="1" t="s">
        <v>299</v>
      </c>
      <c r="K894" s="1" t="s">
        <v>298</v>
      </c>
      <c r="L894" s="1" t="s">
        <v>267</v>
      </c>
      <c r="M894" s="1"/>
      <c r="N894" s="1">
        <f t="shared" si="45"/>
        <v>4</v>
      </c>
      <c r="O894" s="87"/>
    </row>
    <row r="895" spans="1:15" ht="15.75" hidden="1" x14ac:dyDescent="0.25">
      <c r="A895" s="1" t="str">
        <f t="shared" si="44"/>
        <v>442864428812MASTER CCTRANSPORTCAREEM</v>
      </c>
      <c r="B895" s="2">
        <v>44286</v>
      </c>
      <c r="C895" s="2">
        <v>44288</v>
      </c>
      <c r="D895" s="3" t="s">
        <v>1091</v>
      </c>
      <c r="E895" s="3">
        <v>12</v>
      </c>
      <c r="F895" s="3">
        <v>1</v>
      </c>
      <c r="G895" s="3">
        <f t="shared" si="46"/>
        <v>12</v>
      </c>
      <c r="H895" s="3" t="s">
        <v>291</v>
      </c>
      <c r="I895" s="1" t="s">
        <v>296</v>
      </c>
      <c r="J895" s="1" t="s">
        <v>297</v>
      </c>
      <c r="K895" s="1" t="s">
        <v>298</v>
      </c>
      <c r="L895" s="1" t="s">
        <v>267</v>
      </c>
      <c r="M895" s="1"/>
      <c r="N895" s="1">
        <f t="shared" si="45"/>
        <v>4</v>
      </c>
      <c r="O895" s="65"/>
    </row>
    <row r="896" spans="1:15" ht="15.75" hidden="1" x14ac:dyDescent="0.25">
      <c r="A896" s="1" t="str">
        <f t="shared" si="44"/>
        <v>442874428890MASTER CCTELECOMVODAFONE</v>
      </c>
      <c r="B896" s="2">
        <v>44287</v>
      </c>
      <c r="C896" s="2">
        <v>44288</v>
      </c>
      <c r="D896" s="3" t="s">
        <v>1092</v>
      </c>
      <c r="E896" s="3">
        <v>90</v>
      </c>
      <c r="F896" s="3">
        <v>1</v>
      </c>
      <c r="G896" s="3">
        <f t="shared" si="46"/>
        <v>90</v>
      </c>
      <c r="H896" s="3" t="s">
        <v>291</v>
      </c>
      <c r="I896" s="1" t="s">
        <v>58</v>
      </c>
      <c r="J896" s="1" t="s">
        <v>78</v>
      </c>
      <c r="K896" s="1" t="s">
        <v>298</v>
      </c>
      <c r="L896" s="1" t="s">
        <v>267</v>
      </c>
      <c r="M896" s="1"/>
      <c r="N896" s="1">
        <f t="shared" si="45"/>
        <v>4</v>
      </c>
      <c r="O896" s="65"/>
    </row>
    <row r="897" spans="1:15" ht="15.75" hidden="1" x14ac:dyDescent="0.25">
      <c r="A897" s="1" t="str">
        <f t="shared" si="44"/>
        <v>44287442871000CURRENTWITHDRAWSELF</v>
      </c>
      <c r="B897" s="2">
        <v>44287</v>
      </c>
      <c r="C897" s="2">
        <v>44287</v>
      </c>
      <c r="D897" s="3" t="s">
        <v>1086</v>
      </c>
      <c r="E897" s="3">
        <v>-1000</v>
      </c>
      <c r="F897" s="3">
        <v>1</v>
      </c>
      <c r="G897" s="3">
        <f t="shared" si="46"/>
        <v>1000</v>
      </c>
      <c r="H897" s="3" t="s">
        <v>293</v>
      </c>
      <c r="I897" s="1" t="s">
        <v>13</v>
      </c>
      <c r="J897" s="1" t="s">
        <v>14</v>
      </c>
      <c r="K897" s="1" t="s">
        <v>298</v>
      </c>
      <c r="L897" s="1" t="s">
        <v>257</v>
      </c>
      <c r="M897" s="1"/>
      <c r="N897" s="1">
        <f t="shared" si="45"/>
        <v>4</v>
      </c>
      <c r="O897" s="65"/>
    </row>
    <row r="898" spans="1:15" ht="15.75" hidden="1" x14ac:dyDescent="0.25">
      <c r="A898" s="1" t="str">
        <f t="shared" ref="A898:A961" si="47">B898&amp;C898&amp;G898&amp;H898&amp;I898&amp;J898</f>
        <v>442874428715CURRENTSERVICEBANK</v>
      </c>
      <c r="B898" s="2">
        <v>44287</v>
      </c>
      <c r="C898" s="2">
        <v>44287</v>
      </c>
      <c r="D898" s="3" t="s">
        <v>1087</v>
      </c>
      <c r="E898" s="3">
        <v>15</v>
      </c>
      <c r="F898" s="3">
        <v>1</v>
      </c>
      <c r="G898" s="3">
        <f t="shared" si="46"/>
        <v>15</v>
      </c>
      <c r="H898" s="3" t="s">
        <v>293</v>
      </c>
      <c r="I898" s="1" t="s">
        <v>7</v>
      </c>
      <c r="J898" s="1" t="s">
        <v>8</v>
      </c>
      <c r="K898" s="1" t="s">
        <v>300</v>
      </c>
      <c r="L898" s="1" t="s">
        <v>257</v>
      </c>
      <c r="M898" s="1"/>
      <c r="N898" s="1">
        <f t="shared" ref="N898:N961" si="48">MONTH(C898)</f>
        <v>4</v>
      </c>
      <c r="O898" s="65"/>
    </row>
    <row r="899" spans="1:15" ht="15.75" hidden="1" x14ac:dyDescent="0.25">
      <c r="A899" s="1" t="str">
        <f t="shared" si="47"/>
        <v>4428744288228.7DINERSGROCERYLULU</v>
      </c>
      <c r="B899" s="2">
        <v>44287</v>
      </c>
      <c r="C899" s="2">
        <v>44288</v>
      </c>
      <c r="D899" s="3" t="s">
        <v>1089</v>
      </c>
      <c r="E899" s="3">
        <v>228.7</v>
      </c>
      <c r="F899" s="3">
        <v>1</v>
      </c>
      <c r="G899" s="3">
        <f t="shared" si="46"/>
        <v>228.7</v>
      </c>
      <c r="H899" s="3" t="s">
        <v>266</v>
      </c>
      <c r="I899" s="1" t="s">
        <v>43</v>
      </c>
      <c r="J899" s="1" t="s">
        <v>44</v>
      </c>
      <c r="K899" s="1" t="s">
        <v>298</v>
      </c>
      <c r="L899" s="1" t="s">
        <v>267</v>
      </c>
      <c r="M899" s="1"/>
      <c r="N899" s="1">
        <f t="shared" si="48"/>
        <v>4</v>
      </c>
      <c r="O899" s="87"/>
    </row>
    <row r="900" spans="1:15" ht="15.75" hidden="1" x14ac:dyDescent="0.25">
      <c r="A900" s="1" t="str">
        <f t="shared" si="47"/>
        <v>4428944292109MASTER CCFOODCAFÉ/REST.</v>
      </c>
      <c r="B900" s="2">
        <v>44289</v>
      </c>
      <c r="C900" s="2">
        <v>44292</v>
      </c>
      <c r="D900" s="3" t="s">
        <v>1096</v>
      </c>
      <c r="E900" s="3">
        <v>109</v>
      </c>
      <c r="F900" s="3">
        <v>1</v>
      </c>
      <c r="G900" s="3">
        <f t="shared" si="46"/>
        <v>109</v>
      </c>
      <c r="H900" s="3" t="s">
        <v>291</v>
      </c>
      <c r="I900" s="1" t="s">
        <v>10</v>
      </c>
      <c r="J900" s="1" t="s">
        <v>11</v>
      </c>
      <c r="K900" s="1" t="s">
        <v>298</v>
      </c>
      <c r="L900" s="1" t="s">
        <v>267</v>
      </c>
      <c r="M900" s="1"/>
      <c r="N900" s="1">
        <f t="shared" si="48"/>
        <v>4</v>
      </c>
      <c r="O900" s="65"/>
    </row>
    <row r="901" spans="1:15" ht="15.75" hidden="1" x14ac:dyDescent="0.25">
      <c r="A901" s="1" t="str">
        <f t="shared" si="47"/>
        <v>44290442904CURRENTSERVICEBANK</v>
      </c>
      <c r="B901" s="2">
        <v>44290</v>
      </c>
      <c r="C901" s="2">
        <v>44290</v>
      </c>
      <c r="D901" s="3" t="s">
        <v>1085</v>
      </c>
      <c r="E901" s="3">
        <v>-4</v>
      </c>
      <c r="F901" s="3">
        <v>1</v>
      </c>
      <c r="G901" s="3">
        <f t="shared" si="46"/>
        <v>4</v>
      </c>
      <c r="H901" s="3" t="s">
        <v>293</v>
      </c>
      <c r="I901" s="1" t="s">
        <v>7</v>
      </c>
      <c r="J901" s="1" t="s">
        <v>8</v>
      </c>
      <c r="K901" s="1" t="s">
        <v>298</v>
      </c>
      <c r="L901" s="1" t="s">
        <v>257</v>
      </c>
      <c r="M901" s="1"/>
      <c r="N901" s="1">
        <f t="shared" si="48"/>
        <v>4</v>
      </c>
      <c r="O901" s="65"/>
    </row>
    <row r="902" spans="1:15" ht="15.75" hidden="1" x14ac:dyDescent="0.25">
      <c r="A902" s="1" t="str">
        <f t="shared" si="47"/>
        <v>44290442904125CURRENTRENTCAP ONE</v>
      </c>
      <c r="B902" s="2">
        <v>44290</v>
      </c>
      <c r="C902" s="2">
        <v>44290</v>
      </c>
      <c r="D902" s="3" t="s">
        <v>1084</v>
      </c>
      <c r="E902" s="3">
        <v>-4125</v>
      </c>
      <c r="F902" s="3">
        <v>1</v>
      </c>
      <c r="G902" s="3">
        <f t="shared" si="46"/>
        <v>4125</v>
      </c>
      <c r="H902" s="3" t="s">
        <v>293</v>
      </c>
      <c r="I902" s="1" t="s">
        <v>83</v>
      </c>
      <c r="J902" s="1" t="s">
        <v>84</v>
      </c>
      <c r="K902" s="1" t="s">
        <v>298</v>
      </c>
      <c r="L902" s="1" t="s">
        <v>257</v>
      </c>
      <c r="M902" s="1"/>
      <c r="N902" s="1">
        <f t="shared" si="48"/>
        <v>4</v>
      </c>
      <c r="O902" s="65"/>
    </row>
    <row r="903" spans="1:15" ht="15.75" hidden="1" x14ac:dyDescent="0.25">
      <c r="A903" s="1" t="str">
        <f t="shared" si="47"/>
        <v>44291442911000CURRENTWITHDRAWSELF</v>
      </c>
      <c r="B903" s="2">
        <v>44291</v>
      </c>
      <c r="C903" s="2">
        <v>44291</v>
      </c>
      <c r="D903" s="3" t="s">
        <v>1094</v>
      </c>
      <c r="E903" s="3">
        <v>-1000</v>
      </c>
      <c r="F903" s="3">
        <v>1</v>
      </c>
      <c r="G903" s="3">
        <f t="shared" si="46"/>
        <v>1000</v>
      </c>
      <c r="H903" s="3" t="s">
        <v>293</v>
      </c>
      <c r="I903" s="1" t="s">
        <v>13</v>
      </c>
      <c r="J903" s="1" t="s">
        <v>14</v>
      </c>
      <c r="K903" s="1" t="s">
        <v>298</v>
      </c>
      <c r="L903" s="1" t="s">
        <v>257</v>
      </c>
      <c r="M903" s="1"/>
      <c r="N903" s="1">
        <f t="shared" si="48"/>
        <v>4</v>
      </c>
      <c r="O903" s="65"/>
    </row>
    <row r="904" spans="1:15" ht="15.75" hidden="1" x14ac:dyDescent="0.25">
      <c r="A904" s="1" t="str">
        <f t="shared" si="47"/>
        <v>44291442911250CURRENTSAVINGSELF</v>
      </c>
      <c r="B904" s="2">
        <v>44291</v>
      </c>
      <c r="C904" s="2">
        <v>44291</v>
      </c>
      <c r="D904" s="3" t="s">
        <v>333</v>
      </c>
      <c r="E904" s="3">
        <v>-1250</v>
      </c>
      <c r="F904" s="3">
        <v>1</v>
      </c>
      <c r="G904" s="3">
        <f t="shared" si="46"/>
        <v>1250</v>
      </c>
      <c r="H904" s="3" t="s">
        <v>293</v>
      </c>
      <c r="I904" s="1" t="s">
        <v>302</v>
      </c>
      <c r="J904" s="1" t="s">
        <v>14</v>
      </c>
      <c r="K904" s="1" t="s">
        <v>298</v>
      </c>
      <c r="L904" s="1" t="s">
        <v>257</v>
      </c>
      <c r="M904" s="1"/>
      <c r="N904" s="1">
        <f t="shared" si="48"/>
        <v>4</v>
      </c>
      <c r="O904" s="65"/>
    </row>
    <row r="905" spans="1:15" ht="15.75" hidden="1" x14ac:dyDescent="0.25">
      <c r="A905" s="1" t="str">
        <f t="shared" si="47"/>
        <v>442924429462DINERSGROCERYPICK-N-PACK</v>
      </c>
      <c r="B905" s="2">
        <v>44292</v>
      </c>
      <c r="C905" s="2">
        <v>44294</v>
      </c>
      <c r="D905" s="3" t="s">
        <v>1095</v>
      </c>
      <c r="E905" s="3">
        <v>62</v>
      </c>
      <c r="F905" s="3">
        <v>1</v>
      </c>
      <c r="G905" s="3">
        <f t="shared" si="46"/>
        <v>62</v>
      </c>
      <c r="H905" s="3" t="s">
        <v>266</v>
      </c>
      <c r="I905" s="1" t="s">
        <v>43</v>
      </c>
      <c r="J905" s="1" t="s">
        <v>222</v>
      </c>
      <c r="K905" s="1" t="s">
        <v>298</v>
      </c>
      <c r="L905" s="1" t="s">
        <v>267</v>
      </c>
      <c r="M905" s="1"/>
      <c r="N905" s="1">
        <f t="shared" si="48"/>
        <v>4</v>
      </c>
      <c r="O905" s="87"/>
    </row>
    <row r="906" spans="1:15" ht="15.75" hidden="1" x14ac:dyDescent="0.25">
      <c r="A906" s="1" t="str">
        <f t="shared" si="47"/>
        <v>4429444297379.77MASTER CCGROCERYLULU</v>
      </c>
      <c r="B906" s="2">
        <v>44294</v>
      </c>
      <c r="C906" s="2">
        <v>44297</v>
      </c>
      <c r="D906" s="3" t="s">
        <v>1124</v>
      </c>
      <c r="E906" s="3">
        <v>379.77</v>
      </c>
      <c r="F906" s="3">
        <v>1</v>
      </c>
      <c r="G906" s="3">
        <f t="shared" si="46"/>
        <v>379.77</v>
      </c>
      <c r="H906" s="3" t="s">
        <v>291</v>
      </c>
      <c r="I906" s="1" t="s">
        <v>43</v>
      </c>
      <c r="J906" s="1" t="s">
        <v>44</v>
      </c>
      <c r="K906" s="1" t="s">
        <v>298</v>
      </c>
      <c r="L906" s="1" t="s">
        <v>267</v>
      </c>
      <c r="M906" s="1"/>
      <c r="N906" s="1">
        <f t="shared" si="48"/>
        <v>4</v>
      </c>
      <c r="O906" s="65"/>
    </row>
    <row r="907" spans="1:15" ht="15.75" hidden="1" x14ac:dyDescent="0.25">
      <c r="A907" s="1" t="str">
        <f t="shared" si="47"/>
        <v>442944429730MASTER CCGROCERYLULU</v>
      </c>
      <c r="B907" s="2">
        <v>44294</v>
      </c>
      <c r="C907" s="2">
        <v>44297</v>
      </c>
      <c r="D907" s="3" t="s">
        <v>1122</v>
      </c>
      <c r="E907" s="3">
        <v>30</v>
      </c>
      <c r="F907" s="3">
        <v>1</v>
      </c>
      <c r="G907" s="3">
        <f t="shared" ref="G907:G970" si="49">ABS(E907)*F907</f>
        <v>30</v>
      </c>
      <c r="H907" s="3" t="s">
        <v>291</v>
      </c>
      <c r="I907" s="1" t="s">
        <v>43</v>
      </c>
      <c r="J907" s="1" t="s">
        <v>44</v>
      </c>
      <c r="K907" s="1" t="s">
        <v>298</v>
      </c>
      <c r="L907" s="1" t="s">
        <v>267</v>
      </c>
      <c r="M907" s="1"/>
      <c r="N907" s="1">
        <f t="shared" si="48"/>
        <v>4</v>
      </c>
      <c r="O907" s="65"/>
    </row>
    <row r="908" spans="1:15" ht="15.75" hidden="1" x14ac:dyDescent="0.25">
      <c r="A908" s="1" t="str">
        <f t="shared" si="47"/>
        <v>442944429610MASTER CCTRANSPORTCAREEM</v>
      </c>
      <c r="B908" s="2">
        <v>44294</v>
      </c>
      <c r="C908" s="2">
        <v>44296</v>
      </c>
      <c r="D908" s="3" t="s">
        <v>1123</v>
      </c>
      <c r="E908" s="3">
        <v>10</v>
      </c>
      <c r="F908" s="3">
        <v>1</v>
      </c>
      <c r="G908" s="3">
        <f t="shared" si="49"/>
        <v>10</v>
      </c>
      <c r="H908" s="3" t="s">
        <v>291</v>
      </c>
      <c r="I908" s="1" t="s">
        <v>296</v>
      </c>
      <c r="J908" s="1" t="s">
        <v>297</v>
      </c>
      <c r="K908" s="1" t="s">
        <v>298</v>
      </c>
      <c r="L908" s="1" t="s">
        <v>267</v>
      </c>
      <c r="M908" s="1"/>
      <c r="N908" s="1">
        <f t="shared" si="48"/>
        <v>4</v>
      </c>
      <c r="O908" s="65"/>
    </row>
    <row r="909" spans="1:15" ht="15.75" hidden="1" x14ac:dyDescent="0.25">
      <c r="A909" s="1" t="str">
        <f t="shared" si="47"/>
        <v>442944429616MASTER CCTRANSPORTCAREEM</v>
      </c>
      <c r="B909" s="2">
        <v>44294</v>
      </c>
      <c r="C909" s="2">
        <v>44296</v>
      </c>
      <c r="D909" s="3" t="s">
        <v>1125</v>
      </c>
      <c r="E909" s="3">
        <v>16</v>
      </c>
      <c r="F909" s="3">
        <v>1</v>
      </c>
      <c r="G909" s="3">
        <f t="shared" si="49"/>
        <v>16</v>
      </c>
      <c r="H909" s="3" t="s">
        <v>291</v>
      </c>
      <c r="I909" s="1" t="s">
        <v>296</v>
      </c>
      <c r="J909" s="1" t="s">
        <v>297</v>
      </c>
      <c r="K909" s="1" t="s">
        <v>298</v>
      </c>
      <c r="L909" s="1" t="s">
        <v>267</v>
      </c>
      <c r="M909" s="1"/>
      <c r="N909" s="1">
        <f t="shared" si="48"/>
        <v>4</v>
      </c>
      <c r="O909" s="65"/>
    </row>
    <row r="910" spans="1:15" ht="15.75" hidden="1" x14ac:dyDescent="0.25">
      <c r="A910" s="1" t="str">
        <f t="shared" si="47"/>
        <v>442964429719.5DINERSGROCERYPICK-N-PACK</v>
      </c>
      <c r="B910" s="2">
        <v>44296</v>
      </c>
      <c r="C910" s="2">
        <v>44297</v>
      </c>
      <c r="D910" s="3" t="s">
        <v>1109</v>
      </c>
      <c r="E910" s="3">
        <v>19.5</v>
      </c>
      <c r="F910" s="3">
        <v>1</v>
      </c>
      <c r="G910" s="3">
        <f t="shared" si="49"/>
        <v>19.5</v>
      </c>
      <c r="H910" s="3" t="s">
        <v>266</v>
      </c>
      <c r="I910" s="1" t="s">
        <v>43</v>
      </c>
      <c r="J910" s="1" t="s">
        <v>222</v>
      </c>
      <c r="K910" s="1" t="s">
        <v>298</v>
      </c>
      <c r="L910" s="1" t="s">
        <v>267</v>
      </c>
      <c r="M910" s="1"/>
      <c r="N910" s="1">
        <f t="shared" si="48"/>
        <v>4</v>
      </c>
      <c r="O910" s="87"/>
    </row>
    <row r="911" spans="1:15" ht="15.75" hidden="1" x14ac:dyDescent="0.25">
      <c r="A911" s="1" t="str">
        <f t="shared" si="47"/>
        <v>44297442971245.5CURRENTTRANSFERINDIA</v>
      </c>
      <c r="B911" s="2">
        <v>44297</v>
      </c>
      <c r="C911" s="2">
        <v>44297</v>
      </c>
      <c r="D911" s="3" t="s">
        <v>694</v>
      </c>
      <c r="E911" s="3">
        <v>-1245.5</v>
      </c>
      <c r="F911" s="3">
        <v>1</v>
      </c>
      <c r="G911" s="3">
        <f t="shared" si="49"/>
        <v>1245.5</v>
      </c>
      <c r="H911" s="3" t="s">
        <v>293</v>
      </c>
      <c r="I911" s="1" t="s">
        <v>22</v>
      </c>
      <c r="J911" s="1" t="s">
        <v>23</v>
      </c>
      <c r="K911" s="1" t="s">
        <v>298</v>
      </c>
      <c r="L911" s="1" t="s">
        <v>257</v>
      </c>
      <c r="M911" s="1"/>
      <c r="N911" s="1">
        <f t="shared" si="48"/>
        <v>4</v>
      </c>
      <c r="O911" s="65"/>
    </row>
    <row r="912" spans="1:15" ht="15.75" hidden="1" x14ac:dyDescent="0.25">
      <c r="A912" s="1" t="str">
        <f t="shared" si="47"/>
        <v>442984430050MASTER CCTRANSPORTMETRO</v>
      </c>
      <c r="B912" s="2">
        <v>44298</v>
      </c>
      <c r="C912" s="2">
        <v>44300</v>
      </c>
      <c r="D912" s="3" t="s">
        <v>1121</v>
      </c>
      <c r="E912" s="3">
        <v>50</v>
      </c>
      <c r="F912" s="3">
        <v>1</v>
      </c>
      <c r="G912" s="3">
        <f t="shared" si="49"/>
        <v>50</v>
      </c>
      <c r="H912" s="3" t="s">
        <v>291</v>
      </c>
      <c r="I912" s="1" t="s">
        <v>296</v>
      </c>
      <c r="J912" s="1" t="s">
        <v>759</v>
      </c>
      <c r="K912" s="1" t="s">
        <v>298</v>
      </c>
      <c r="L912" s="1" t="s">
        <v>267</v>
      </c>
      <c r="M912" s="1"/>
      <c r="N912" s="1">
        <f t="shared" si="48"/>
        <v>4</v>
      </c>
      <c r="O912" s="65"/>
    </row>
    <row r="913" spans="1:15" ht="15.75" hidden="1" x14ac:dyDescent="0.25">
      <c r="A913" s="1" t="str">
        <f t="shared" si="47"/>
        <v>442994430017.25DINERSGROCERYPICK-N-PACK</v>
      </c>
      <c r="B913" s="2">
        <v>44299</v>
      </c>
      <c r="C913" s="2">
        <v>44300</v>
      </c>
      <c r="D913" s="3" t="s">
        <v>1108</v>
      </c>
      <c r="E913" s="3">
        <v>17.25</v>
      </c>
      <c r="F913" s="3">
        <v>1</v>
      </c>
      <c r="G913" s="3">
        <f t="shared" si="49"/>
        <v>17.25</v>
      </c>
      <c r="H913" s="3" t="s">
        <v>266</v>
      </c>
      <c r="I913" s="1" t="s">
        <v>43</v>
      </c>
      <c r="J913" s="1" t="s">
        <v>222</v>
      </c>
      <c r="K913" s="1" t="s">
        <v>298</v>
      </c>
      <c r="L913" s="1" t="s">
        <v>267</v>
      </c>
      <c r="M913" s="1"/>
      <c r="N913" s="1">
        <f t="shared" si="48"/>
        <v>4</v>
      </c>
      <c r="O913" s="87"/>
    </row>
    <row r="914" spans="1:15" ht="15.75" hidden="1" x14ac:dyDescent="0.25">
      <c r="A914" s="1" t="str">
        <f t="shared" si="47"/>
        <v>443014430660MASTER CCTELECOMOOREDOO</v>
      </c>
      <c r="B914" s="2">
        <v>44301</v>
      </c>
      <c r="C914" s="2">
        <v>44306</v>
      </c>
      <c r="D914" s="3" t="s">
        <v>1119</v>
      </c>
      <c r="E914" s="3">
        <v>60</v>
      </c>
      <c r="F914" s="3">
        <v>1</v>
      </c>
      <c r="G914" s="3">
        <f t="shared" si="49"/>
        <v>60</v>
      </c>
      <c r="H914" s="3" t="s">
        <v>291</v>
      </c>
      <c r="I914" s="1" t="s">
        <v>58</v>
      </c>
      <c r="J914" s="1" t="s">
        <v>59</v>
      </c>
      <c r="K914" s="1" t="s">
        <v>298</v>
      </c>
      <c r="L914" s="1" t="s">
        <v>267</v>
      </c>
      <c r="M914" s="1"/>
      <c r="N914" s="1">
        <f t="shared" si="48"/>
        <v>4</v>
      </c>
      <c r="O914" s="65"/>
    </row>
    <row r="915" spans="1:15" ht="15.75" hidden="1" x14ac:dyDescent="0.25">
      <c r="A915" s="1" t="str">
        <f t="shared" si="47"/>
        <v>4430144304408.9MASTER CCGROCERYLULU</v>
      </c>
      <c r="B915" s="2">
        <v>44301</v>
      </c>
      <c r="C915" s="2">
        <v>44304</v>
      </c>
      <c r="D915" s="3" t="s">
        <v>1120</v>
      </c>
      <c r="E915" s="3">
        <v>408.9</v>
      </c>
      <c r="F915" s="3">
        <v>1</v>
      </c>
      <c r="G915" s="3">
        <f t="shared" si="49"/>
        <v>408.9</v>
      </c>
      <c r="H915" s="3" t="s">
        <v>291</v>
      </c>
      <c r="I915" s="1" t="s">
        <v>43</v>
      </c>
      <c r="J915" s="1" t="s">
        <v>44</v>
      </c>
      <c r="K915" s="1" t="s">
        <v>298</v>
      </c>
      <c r="L915" s="1" t="s">
        <v>267</v>
      </c>
      <c r="M915" s="1"/>
      <c r="N915" s="1">
        <f t="shared" si="48"/>
        <v>4</v>
      </c>
      <c r="O915" s="65"/>
    </row>
    <row r="916" spans="1:15" ht="15.75" hidden="1" x14ac:dyDescent="0.25">
      <c r="A916" s="1" t="str">
        <f t="shared" si="47"/>
        <v>443024430625.14DINERSTRANSPORTUBER</v>
      </c>
      <c r="B916" s="2">
        <v>44302</v>
      </c>
      <c r="C916" s="2">
        <v>44306</v>
      </c>
      <c r="D916" s="3" t="s">
        <v>1107</v>
      </c>
      <c r="E916" s="3">
        <v>25.14</v>
      </c>
      <c r="F916" s="3">
        <v>1</v>
      </c>
      <c r="G916" s="3">
        <f t="shared" si="49"/>
        <v>25.14</v>
      </c>
      <c r="H916" s="3" t="s">
        <v>266</v>
      </c>
      <c r="I916" s="1" t="s">
        <v>296</v>
      </c>
      <c r="J916" s="1" t="s">
        <v>299</v>
      </c>
      <c r="K916" s="1" t="s">
        <v>298</v>
      </c>
      <c r="L916" s="1" t="s">
        <v>267</v>
      </c>
      <c r="M916" s="1"/>
      <c r="N916" s="1">
        <f t="shared" si="48"/>
        <v>4</v>
      </c>
      <c r="O916" s="87"/>
    </row>
    <row r="917" spans="1:15" ht="15.75" hidden="1" x14ac:dyDescent="0.25">
      <c r="A917" s="1" t="str">
        <f t="shared" si="47"/>
        <v>443024430427MASTER CCTRANSPORTCAREEM</v>
      </c>
      <c r="B917" s="2">
        <v>44302</v>
      </c>
      <c r="C917" s="2">
        <v>44304</v>
      </c>
      <c r="D917" s="3" t="s">
        <v>1118</v>
      </c>
      <c r="E917" s="3">
        <v>27</v>
      </c>
      <c r="F917" s="3">
        <v>1</v>
      </c>
      <c r="G917" s="3">
        <f t="shared" si="49"/>
        <v>27</v>
      </c>
      <c r="H917" s="3" t="s">
        <v>291</v>
      </c>
      <c r="I917" s="1" t="s">
        <v>296</v>
      </c>
      <c r="J917" s="1" t="s">
        <v>297</v>
      </c>
      <c r="K917" s="1" t="s">
        <v>298</v>
      </c>
      <c r="L917" s="1" t="s">
        <v>267</v>
      </c>
      <c r="M917" s="1"/>
      <c r="N917" s="1">
        <f t="shared" si="48"/>
        <v>4</v>
      </c>
      <c r="O917" s="65"/>
    </row>
    <row r="918" spans="1:15" ht="15.75" hidden="1" x14ac:dyDescent="0.25">
      <c r="A918" s="1" t="str">
        <f t="shared" si="47"/>
        <v>4430544306121.75DINERSGROCERYFFC</v>
      </c>
      <c r="B918" s="2">
        <v>44305</v>
      </c>
      <c r="C918" s="2">
        <v>44306</v>
      </c>
      <c r="D918" s="3" t="s">
        <v>1106</v>
      </c>
      <c r="E918" s="3">
        <v>121.75</v>
      </c>
      <c r="F918" s="3">
        <v>1</v>
      </c>
      <c r="G918" s="3">
        <f t="shared" si="49"/>
        <v>121.75</v>
      </c>
      <c r="H918" s="3" t="s">
        <v>266</v>
      </c>
      <c r="I918" s="1" t="s">
        <v>43</v>
      </c>
      <c r="J918" s="1" t="s">
        <v>96</v>
      </c>
      <c r="K918" s="1" t="s">
        <v>298</v>
      </c>
      <c r="L918" s="1" t="s">
        <v>267</v>
      </c>
      <c r="M918" s="1"/>
      <c r="N918" s="1">
        <f t="shared" si="48"/>
        <v>4</v>
      </c>
      <c r="O918" s="87"/>
    </row>
    <row r="919" spans="1:15" ht="15.75" hidden="1" x14ac:dyDescent="0.25">
      <c r="A919" s="1" t="str">
        <f t="shared" si="47"/>
        <v>443054430712MASTER CCTRANSPORTCAREEM</v>
      </c>
      <c r="B919" s="2">
        <v>44305</v>
      </c>
      <c r="C919" s="2">
        <v>44307</v>
      </c>
      <c r="D919" s="3" t="s">
        <v>1117</v>
      </c>
      <c r="E919" s="3">
        <v>12</v>
      </c>
      <c r="F919" s="3">
        <v>1</v>
      </c>
      <c r="G919" s="3">
        <f t="shared" si="49"/>
        <v>12</v>
      </c>
      <c r="H919" s="3" t="s">
        <v>291</v>
      </c>
      <c r="I919" s="1" t="s">
        <v>296</v>
      </c>
      <c r="J919" s="1" t="s">
        <v>297</v>
      </c>
      <c r="K919" s="1" t="s">
        <v>298</v>
      </c>
      <c r="L919" s="1" t="s">
        <v>267</v>
      </c>
      <c r="M919" s="1"/>
      <c r="N919" s="1">
        <f t="shared" si="48"/>
        <v>4</v>
      </c>
      <c r="O919" s="65"/>
    </row>
    <row r="920" spans="1:15" ht="15.75" hidden="1" x14ac:dyDescent="0.25">
      <c r="A920" s="1" t="str">
        <f t="shared" si="47"/>
        <v>443064430614793SAVINGTRANSFERINDIA</v>
      </c>
      <c r="B920" s="2">
        <v>44306</v>
      </c>
      <c r="C920" s="2">
        <v>44306</v>
      </c>
      <c r="D920" s="3" t="s">
        <v>1097</v>
      </c>
      <c r="E920" s="3">
        <v>-14793</v>
      </c>
      <c r="F920" s="3">
        <v>1</v>
      </c>
      <c r="G920" s="3">
        <f t="shared" si="49"/>
        <v>14793</v>
      </c>
      <c r="H920" s="3" t="s">
        <v>302</v>
      </c>
      <c r="I920" s="1" t="s">
        <v>22</v>
      </c>
      <c r="J920" s="1" t="s">
        <v>23</v>
      </c>
      <c r="K920" s="1" t="s">
        <v>22</v>
      </c>
      <c r="L920" s="1" t="s">
        <v>257</v>
      </c>
      <c r="M920" s="1"/>
      <c r="N920" s="1">
        <f t="shared" si="48"/>
        <v>4</v>
      </c>
      <c r="O920" s="65"/>
    </row>
    <row r="921" spans="1:15" ht="15.75" hidden="1" x14ac:dyDescent="0.25">
      <c r="A921" s="1" t="str">
        <f t="shared" si="47"/>
        <v>4430844309900DINERSTRAVELASTER</v>
      </c>
      <c r="B921" s="2">
        <v>44308</v>
      </c>
      <c r="C921" s="2">
        <v>44309</v>
      </c>
      <c r="D921" s="3" t="s">
        <v>1104</v>
      </c>
      <c r="E921" s="3">
        <v>900</v>
      </c>
      <c r="F921" s="3">
        <v>1</v>
      </c>
      <c r="G921" s="3">
        <f t="shared" si="49"/>
        <v>900</v>
      </c>
      <c r="H921" s="3" t="s">
        <v>266</v>
      </c>
      <c r="I921" s="1" t="s">
        <v>393</v>
      </c>
      <c r="J921" s="1" t="s">
        <v>303</v>
      </c>
      <c r="K921" s="1" t="s">
        <v>298</v>
      </c>
      <c r="L921" s="1" t="s">
        <v>267</v>
      </c>
      <c r="M921" s="1"/>
      <c r="N921" s="1">
        <f t="shared" si="48"/>
        <v>4</v>
      </c>
      <c r="O921" s="87"/>
    </row>
    <row r="922" spans="1:15" ht="15.75" hidden="1" x14ac:dyDescent="0.25">
      <c r="A922" s="1" t="str">
        <f t="shared" si="47"/>
        <v>443084430928DINERSGROCERYPICK-N-PACK</v>
      </c>
      <c r="B922" s="2">
        <v>44308</v>
      </c>
      <c r="C922" s="2">
        <v>44309</v>
      </c>
      <c r="D922" s="3" t="s">
        <v>1105</v>
      </c>
      <c r="E922" s="3">
        <v>28</v>
      </c>
      <c r="F922" s="3">
        <v>1</v>
      </c>
      <c r="G922" s="3">
        <f t="shared" si="49"/>
        <v>28</v>
      </c>
      <c r="H922" s="3" t="s">
        <v>266</v>
      </c>
      <c r="I922" s="1" t="s">
        <v>43</v>
      </c>
      <c r="J922" s="1" t="s">
        <v>222</v>
      </c>
      <c r="K922" s="1" t="s">
        <v>298</v>
      </c>
      <c r="L922" s="1" t="s">
        <v>267</v>
      </c>
      <c r="M922" s="1"/>
      <c r="N922" s="1">
        <f t="shared" si="48"/>
        <v>4</v>
      </c>
      <c r="O922" s="87"/>
    </row>
    <row r="923" spans="1:15" ht="15.75" hidden="1" x14ac:dyDescent="0.25">
      <c r="A923" s="1" t="str">
        <f t="shared" si="47"/>
        <v>443084431010MASTER CCTRANSPORTCAREEM</v>
      </c>
      <c r="B923" s="2">
        <v>44308</v>
      </c>
      <c r="C923" s="2">
        <v>44310</v>
      </c>
      <c r="D923" s="3" t="s">
        <v>1114</v>
      </c>
      <c r="E923" s="3">
        <v>10</v>
      </c>
      <c r="F923" s="3">
        <v>1</v>
      </c>
      <c r="G923" s="3">
        <f t="shared" si="49"/>
        <v>10</v>
      </c>
      <c r="H923" s="3" t="s">
        <v>291</v>
      </c>
      <c r="I923" s="1" t="s">
        <v>296</v>
      </c>
      <c r="J923" s="1" t="s">
        <v>297</v>
      </c>
      <c r="K923" s="1" t="s">
        <v>298</v>
      </c>
      <c r="L923" s="1" t="s">
        <v>267</v>
      </c>
      <c r="M923" s="1"/>
      <c r="N923" s="1">
        <f t="shared" si="48"/>
        <v>4</v>
      </c>
      <c r="O923" s="65"/>
    </row>
    <row r="924" spans="1:15" ht="15.75" hidden="1" x14ac:dyDescent="0.25">
      <c r="A924" s="1" t="str">
        <f t="shared" si="47"/>
        <v>443084431011MASTER CCTRANSPORTCAREEM</v>
      </c>
      <c r="B924" s="2">
        <v>44308</v>
      </c>
      <c r="C924" s="2">
        <v>44310</v>
      </c>
      <c r="D924" s="3" t="s">
        <v>1115</v>
      </c>
      <c r="E924" s="3">
        <v>11</v>
      </c>
      <c r="F924" s="3">
        <v>1</v>
      </c>
      <c r="G924" s="3">
        <f t="shared" si="49"/>
        <v>11</v>
      </c>
      <c r="H924" s="3" t="s">
        <v>291</v>
      </c>
      <c r="I924" s="1" t="s">
        <v>296</v>
      </c>
      <c r="J924" s="1" t="s">
        <v>297</v>
      </c>
      <c r="K924" s="1" t="s">
        <v>298</v>
      </c>
      <c r="L924" s="1" t="s">
        <v>267</v>
      </c>
      <c r="M924" s="1"/>
      <c r="N924" s="1">
        <f t="shared" si="48"/>
        <v>4</v>
      </c>
      <c r="O924" s="65"/>
    </row>
    <row r="925" spans="1:15" ht="15.75" hidden="1" x14ac:dyDescent="0.25">
      <c r="A925" s="1" t="str">
        <f t="shared" si="47"/>
        <v>443084431013MASTER CCTRANSPORTCAREEM</v>
      </c>
      <c r="B925" s="2">
        <v>44308</v>
      </c>
      <c r="C925" s="2">
        <v>44310</v>
      </c>
      <c r="D925" s="3" t="s">
        <v>1113</v>
      </c>
      <c r="E925" s="3">
        <v>13</v>
      </c>
      <c r="F925" s="3">
        <v>1</v>
      </c>
      <c r="G925" s="3">
        <f t="shared" si="49"/>
        <v>13</v>
      </c>
      <c r="H925" s="3" t="s">
        <v>291</v>
      </c>
      <c r="I925" s="1" t="s">
        <v>296</v>
      </c>
      <c r="J925" s="1" t="s">
        <v>297</v>
      </c>
      <c r="K925" s="1" t="s">
        <v>298</v>
      </c>
      <c r="L925" s="1" t="s">
        <v>267</v>
      </c>
      <c r="M925" s="1"/>
      <c r="N925" s="1">
        <f t="shared" si="48"/>
        <v>4</v>
      </c>
      <c r="O925" s="65"/>
    </row>
    <row r="926" spans="1:15" ht="15.75" hidden="1" x14ac:dyDescent="0.25">
      <c r="A926" s="1" t="str">
        <f t="shared" si="47"/>
        <v>443084431014MASTER CCTRANSPORTCAREEM</v>
      </c>
      <c r="B926" s="2">
        <v>44308</v>
      </c>
      <c r="C926" s="2">
        <v>44310</v>
      </c>
      <c r="D926" s="3" t="s">
        <v>1116</v>
      </c>
      <c r="E926" s="3">
        <v>14</v>
      </c>
      <c r="F926" s="3">
        <v>1</v>
      </c>
      <c r="G926" s="3">
        <f t="shared" si="49"/>
        <v>14</v>
      </c>
      <c r="H926" s="3" t="s">
        <v>291</v>
      </c>
      <c r="I926" s="1" t="s">
        <v>296</v>
      </c>
      <c r="J926" s="1" t="s">
        <v>297</v>
      </c>
      <c r="K926" s="1" t="s">
        <v>298</v>
      </c>
      <c r="L926" s="1" t="s">
        <v>267</v>
      </c>
      <c r="M926" s="1"/>
      <c r="N926" s="1">
        <f t="shared" si="48"/>
        <v>4</v>
      </c>
      <c r="O926" s="65"/>
    </row>
    <row r="927" spans="1:15" ht="15.75" hidden="1" x14ac:dyDescent="0.25">
      <c r="A927" s="1" t="str">
        <f t="shared" si="47"/>
        <v>443094431321.39DINERSTRANSPORTUBER</v>
      </c>
      <c r="B927" s="2">
        <v>44309</v>
      </c>
      <c r="C927" s="2">
        <v>44313</v>
      </c>
      <c r="D927" s="3" t="s">
        <v>1103</v>
      </c>
      <c r="E927" s="3">
        <v>21.39</v>
      </c>
      <c r="F927" s="3">
        <v>1</v>
      </c>
      <c r="G927" s="3">
        <f t="shared" si="49"/>
        <v>21.39</v>
      </c>
      <c r="H927" s="3" t="s">
        <v>266</v>
      </c>
      <c r="I927" s="1" t="s">
        <v>296</v>
      </c>
      <c r="J927" s="1" t="s">
        <v>299</v>
      </c>
      <c r="K927" s="1" t="s">
        <v>298</v>
      </c>
      <c r="L927" s="1" t="s">
        <v>267</v>
      </c>
      <c r="M927" s="1"/>
      <c r="N927" s="1">
        <f t="shared" si="48"/>
        <v>4</v>
      </c>
      <c r="O927" s="87"/>
    </row>
    <row r="928" spans="1:15" ht="15.75" hidden="1" x14ac:dyDescent="0.25">
      <c r="A928" s="1" t="str">
        <f t="shared" si="47"/>
        <v>44309443118MASTER CCTRANSPORTCAREEM</v>
      </c>
      <c r="B928" s="2">
        <v>44309</v>
      </c>
      <c r="C928" s="2">
        <v>44311</v>
      </c>
      <c r="D928" s="3" t="s">
        <v>1112</v>
      </c>
      <c r="E928" s="3">
        <v>8</v>
      </c>
      <c r="F928" s="3">
        <v>1</v>
      </c>
      <c r="G928" s="3">
        <f t="shared" si="49"/>
        <v>8</v>
      </c>
      <c r="H928" s="3" t="s">
        <v>291</v>
      </c>
      <c r="I928" s="1" t="s">
        <v>296</v>
      </c>
      <c r="J928" s="1" t="s">
        <v>297</v>
      </c>
      <c r="K928" s="1" t="s">
        <v>298</v>
      </c>
      <c r="L928" s="1" t="s">
        <v>267</v>
      </c>
      <c r="M928" s="1"/>
      <c r="N928" s="1">
        <f t="shared" si="48"/>
        <v>4</v>
      </c>
      <c r="O928" s="65"/>
    </row>
    <row r="929" spans="1:15" ht="15.75" hidden="1" x14ac:dyDescent="0.25">
      <c r="A929" s="1" t="str">
        <f t="shared" si="47"/>
        <v>443144431418454CURRENTSALARYQATAR AIR</v>
      </c>
      <c r="B929" s="2">
        <v>44314</v>
      </c>
      <c r="C929" s="2">
        <v>44314</v>
      </c>
      <c r="D929" s="3" t="s">
        <v>1101</v>
      </c>
      <c r="E929" s="3">
        <v>18454</v>
      </c>
      <c r="F929" s="3">
        <v>1</v>
      </c>
      <c r="G929" s="3">
        <f t="shared" si="49"/>
        <v>18454</v>
      </c>
      <c r="H929" s="3" t="s">
        <v>293</v>
      </c>
      <c r="I929" s="1" t="s">
        <v>18</v>
      </c>
      <c r="J929" s="1" t="s">
        <v>19</v>
      </c>
      <c r="K929" s="1" t="s">
        <v>300</v>
      </c>
      <c r="L929" s="1" t="s">
        <v>257</v>
      </c>
      <c r="M929" s="1"/>
      <c r="N929" s="1">
        <f t="shared" si="48"/>
        <v>4</v>
      </c>
      <c r="O929" s="65"/>
    </row>
    <row r="930" spans="1:15" ht="15.75" hidden="1" x14ac:dyDescent="0.25">
      <c r="A930" s="1" t="str">
        <f t="shared" si="47"/>
        <v>443164431617.52DINERSCC BILL PAYMENTBANK</v>
      </c>
      <c r="B930" s="2">
        <v>44316</v>
      </c>
      <c r="C930" s="2">
        <v>44316</v>
      </c>
      <c r="D930" s="3" t="s">
        <v>1102</v>
      </c>
      <c r="E930" s="3">
        <v>17.52</v>
      </c>
      <c r="F930" s="3">
        <v>1</v>
      </c>
      <c r="G930" s="3">
        <f t="shared" si="49"/>
        <v>17.52</v>
      </c>
      <c r="H930" s="3" t="s">
        <v>266</v>
      </c>
      <c r="I930" s="1" t="s">
        <v>81</v>
      </c>
      <c r="J930" s="1" t="s">
        <v>8</v>
      </c>
      <c r="K930" s="1" t="s">
        <v>300</v>
      </c>
      <c r="L930" s="1" t="s">
        <v>267</v>
      </c>
      <c r="M930" s="1"/>
      <c r="N930" s="1">
        <f t="shared" si="48"/>
        <v>4</v>
      </c>
      <c r="O930" s="87"/>
    </row>
    <row r="931" spans="1:15" ht="15.75" hidden="1" x14ac:dyDescent="0.25">
      <c r="A931" s="1" t="str">
        <f t="shared" si="47"/>
        <v>443174431890MASTER CCTELECOMVODAFONE</v>
      </c>
      <c r="B931" s="2">
        <v>44317</v>
      </c>
      <c r="C931" s="2">
        <v>44318</v>
      </c>
      <c r="D931" s="3" t="s">
        <v>1111</v>
      </c>
      <c r="E931" s="3">
        <v>90</v>
      </c>
      <c r="F931" s="3">
        <v>1</v>
      </c>
      <c r="G931" s="3">
        <f t="shared" si="49"/>
        <v>90</v>
      </c>
      <c r="H931" s="3" t="s">
        <v>291</v>
      </c>
      <c r="I931" s="1" t="s">
        <v>58</v>
      </c>
      <c r="J931" s="1" t="s">
        <v>78</v>
      </c>
      <c r="K931" s="1" t="s">
        <v>298</v>
      </c>
      <c r="L931" s="1" t="s">
        <v>267</v>
      </c>
      <c r="M931" s="1"/>
      <c r="N931" s="1">
        <f t="shared" si="48"/>
        <v>5</v>
      </c>
      <c r="O931" s="65"/>
    </row>
    <row r="932" spans="1:15" ht="15.75" hidden="1" x14ac:dyDescent="0.25">
      <c r="A932" s="1" t="str">
        <f t="shared" si="47"/>
        <v>44317443170SAVINGSAVINGBANK</v>
      </c>
      <c r="B932" s="2">
        <v>44317</v>
      </c>
      <c r="C932" s="2">
        <v>44317</v>
      </c>
      <c r="D932" s="3" t="s">
        <v>526</v>
      </c>
      <c r="E932" s="3">
        <v>39.46</v>
      </c>
      <c r="F932" s="3">
        <v>0</v>
      </c>
      <c r="G932" s="3">
        <f t="shared" si="49"/>
        <v>0</v>
      </c>
      <c r="H932" s="3" t="s">
        <v>302</v>
      </c>
      <c r="I932" s="1" t="s">
        <v>302</v>
      </c>
      <c r="J932" s="1" t="s">
        <v>8</v>
      </c>
      <c r="K932" s="1" t="s">
        <v>300</v>
      </c>
      <c r="L932" s="1" t="s">
        <v>257</v>
      </c>
      <c r="M932" s="1"/>
      <c r="N932" s="1">
        <f t="shared" si="48"/>
        <v>5</v>
      </c>
      <c r="O932" s="65"/>
    </row>
    <row r="933" spans="1:15" ht="15.75" hidden="1" x14ac:dyDescent="0.25">
      <c r="A933" s="1" t="str">
        <f t="shared" si="47"/>
        <v>44317443162802.55DINERSCC BILL PAYMENTBANK</v>
      </c>
      <c r="B933" s="2">
        <v>44317</v>
      </c>
      <c r="C933" s="2">
        <v>44316</v>
      </c>
      <c r="D933" s="3" t="s">
        <v>80</v>
      </c>
      <c r="E933" s="3">
        <v>-2802.55</v>
      </c>
      <c r="F933" s="3">
        <v>1</v>
      </c>
      <c r="G933" s="3">
        <f t="shared" si="49"/>
        <v>2802.55</v>
      </c>
      <c r="H933" s="3" t="s">
        <v>266</v>
      </c>
      <c r="I933" s="1" t="s">
        <v>81</v>
      </c>
      <c r="J933" s="1" t="s">
        <v>8</v>
      </c>
      <c r="K933" s="1" t="s">
        <v>300</v>
      </c>
      <c r="L933" s="1" t="s">
        <v>267</v>
      </c>
      <c r="M933" s="1"/>
      <c r="N933" s="1">
        <f t="shared" si="48"/>
        <v>4</v>
      </c>
      <c r="O933" s="87"/>
    </row>
    <row r="934" spans="1:15" ht="15.75" hidden="1" x14ac:dyDescent="0.25">
      <c r="A934" s="1" t="str">
        <f t="shared" si="47"/>
        <v>44318443184CURRENTSERVICEBANK</v>
      </c>
      <c r="B934" s="2">
        <v>44318</v>
      </c>
      <c r="C934" s="2">
        <v>44318</v>
      </c>
      <c r="D934" s="3" t="s">
        <v>1099</v>
      </c>
      <c r="E934" s="3">
        <v>-4</v>
      </c>
      <c r="F934" s="3">
        <v>1</v>
      </c>
      <c r="G934" s="3">
        <f t="shared" si="49"/>
        <v>4</v>
      </c>
      <c r="H934" s="3" t="s">
        <v>293</v>
      </c>
      <c r="I934" s="1" t="s">
        <v>7</v>
      </c>
      <c r="J934" s="1" t="s">
        <v>8</v>
      </c>
      <c r="K934" s="1" t="s">
        <v>298</v>
      </c>
      <c r="L934" s="1" t="s">
        <v>257</v>
      </c>
      <c r="M934" s="1"/>
      <c r="N934" s="1">
        <f t="shared" si="48"/>
        <v>5</v>
      </c>
      <c r="O934" s="65"/>
    </row>
    <row r="935" spans="1:15" ht="15.75" hidden="1" x14ac:dyDescent="0.25">
      <c r="A935" s="1" t="str">
        <f t="shared" si="47"/>
        <v>443184431815CURRENTSERVICEBANK</v>
      </c>
      <c r="B935" s="2">
        <v>44318</v>
      </c>
      <c r="C935" s="2">
        <v>44318</v>
      </c>
      <c r="D935" s="3" t="s">
        <v>1110</v>
      </c>
      <c r="E935" s="3">
        <v>15</v>
      </c>
      <c r="F935" s="3">
        <v>1</v>
      </c>
      <c r="G935" s="3">
        <f t="shared" si="49"/>
        <v>15</v>
      </c>
      <c r="H935" s="3" t="s">
        <v>293</v>
      </c>
      <c r="I935" s="1" t="s">
        <v>7</v>
      </c>
      <c r="J935" s="1" t="s">
        <v>8</v>
      </c>
      <c r="K935" s="1" t="s">
        <v>300</v>
      </c>
      <c r="L935" s="1" t="s">
        <v>257</v>
      </c>
      <c r="M935" s="1"/>
      <c r="N935" s="1">
        <f t="shared" si="48"/>
        <v>5</v>
      </c>
      <c r="O935" s="65"/>
    </row>
    <row r="936" spans="1:15" ht="15.75" hidden="1" x14ac:dyDescent="0.25">
      <c r="A936" s="1" t="str">
        <f t="shared" si="47"/>
        <v>44318443184125CURRENTRENTCAP ONE</v>
      </c>
      <c r="B936" s="2">
        <v>44318</v>
      </c>
      <c r="C936" s="2">
        <v>44318</v>
      </c>
      <c r="D936" s="3" t="s">
        <v>1098</v>
      </c>
      <c r="E936" s="3">
        <v>-4125</v>
      </c>
      <c r="F936" s="3">
        <v>1</v>
      </c>
      <c r="G936" s="3">
        <f t="shared" si="49"/>
        <v>4125</v>
      </c>
      <c r="H936" s="3" t="s">
        <v>293</v>
      </c>
      <c r="I936" s="1" t="s">
        <v>83</v>
      </c>
      <c r="J936" s="1" t="s">
        <v>84</v>
      </c>
      <c r="K936" s="1" t="s">
        <v>298</v>
      </c>
      <c r="L936" s="1" t="s">
        <v>257</v>
      </c>
      <c r="M936" s="1"/>
      <c r="N936" s="1">
        <f t="shared" si="48"/>
        <v>5</v>
      </c>
      <c r="O936" s="65"/>
    </row>
    <row r="937" spans="1:15" ht="15.75" hidden="1" x14ac:dyDescent="0.25">
      <c r="A937" s="1" t="str">
        <f t="shared" si="47"/>
        <v>44318443162802.55CURRENTCC BILL PAYMENTBANK</v>
      </c>
      <c r="B937" s="2">
        <v>44318</v>
      </c>
      <c r="C937" s="2">
        <v>44316</v>
      </c>
      <c r="D937" s="3" t="s">
        <v>1100</v>
      </c>
      <c r="E937" s="3">
        <v>-2802.55</v>
      </c>
      <c r="F937" s="3">
        <v>1</v>
      </c>
      <c r="G937" s="3">
        <f t="shared" si="49"/>
        <v>2802.55</v>
      </c>
      <c r="H937" s="3" t="s">
        <v>293</v>
      </c>
      <c r="I937" s="1" t="s">
        <v>81</v>
      </c>
      <c r="J937" s="1" t="s">
        <v>8</v>
      </c>
      <c r="K937" s="1" t="s">
        <v>298</v>
      </c>
      <c r="L937" s="1" t="s">
        <v>257</v>
      </c>
      <c r="M937" s="1"/>
      <c r="N937" s="1">
        <f t="shared" si="48"/>
        <v>4</v>
      </c>
      <c r="O937" s="65"/>
    </row>
    <row r="938" spans="1:15" ht="15.75" hidden="1" x14ac:dyDescent="0.25">
      <c r="A938" s="1" t="str">
        <f t="shared" si="47"/>
        <v>44321443211250CURRENTSAVINGSELF</v>
      </c>
      <c r="B938" s="2">
        <v>44321</v>
      </c>
      <c r="C938" s="2">
        <v>44321</v>
      </c>
      <c r="D938" s="3" t="s">
        <v>333</v>
      </c>
      <c r="E938" s="3">
        <v>-1250</v>
      </c>
      <c r="F938" s="3">
        <v>1</v>
      </c>
      <c r="G938" s="3">
        <f t="shared" si="49"/>
        <v>1250</v>
      </c>
      <c r="H938" s="3" t="s">
        <v>293</v>
      </c>
      <c r="I938" s="1" t="s">
        <v>302</v>
      </c>
      <c r="J938" s="1" t="s">
        <v>14</v>
      </c>
      <c r="K938" s="1" t="s">
        <v>298</v>
      </c>
      <c r="L938" s="1" t="s">
        <v>257</v>
      </c>
      <c r="M938" s="1"/>
      <c r="N938" s="1">
        <f t="shared" si="48"/>
        <v>5</v>
      </c>
      <c r="O938" s="65"/>
    </row>
    <row r="939" spans="1:15" ht="15.75" hidden="1" x14ac:dyDescent="0.25">
      <c r="A939" s="1" t="str">
        <f t="shared" si="47"/>
        <v>44323443275492DINERSTRAVELHOTEL</v>
      </c>
      <c r="B939" s="2">
        <v>44323</v>
      </c>
      <c r="C939" s="2">
        <v>44327</v>
      </c>
      <c r="D939" s="3" t="s">
        <v>1127</v>
      </c>
      <c r="E939" s="3">
        <v>5492</v>
      </c>
      <c r="F939" s="3">
        <v>1</v>
      </c>
      <c r="G939" s="3">
        <f t="shared" si="49"/>
        <v>5492</v>
      </c>
      <c r="H939" s="3" t="s">
        <v>266</v>
      </c>
      <c r="I939" s="1" t="s">
        <v>393</v>
      </c>
      <c r="J939" s="1" t="s">
        <v>1128</v>
      </c>
      <c r="K939" s="1" t="s">
        <v>298</v>
      </c>
      <c r="L939" s="1" t="s">
        <v>267</v>
      </c>
      <c r="M939" s="1"/>
      <c r="N939" s="1">
        <f t="shared" si="48"/>
        <v>5</v>
      </c>
      <c r="O939" s="87" t="s">
        <v>887</v>
      </c>
    </row>
    <row r="940" spans="1:15" ht="15.75" hidden="1" x14ac:dyDescent="0.25">
      <c r="A940" s="1" t="str">
        <f t="shared" si="47"/>
        <v>44326443261257.5CURRENTTRANSFERINDIA</v>
      </c>
      <c r="B940" s="2">
        <v>44326</v>
      </c>
      <c r="C940" s="2">
        <v>44326</v>
      </c>
      <c r="D940" s="3" t="s">
        <v>694</v>
      </c>
      <c r="E940" s="3">
        <v>-1257.5</v>
      </c>
      <c r="F940" s="3">
        <v>1</v>
      </c>
      <c r="G940" s="3">
        <f t="shared" si="49"/>
        <v>1257.5</v>
      </c>
      <c r="H940" s="3" t="s">
        <v>293</v>
      </c>
      <c r="I940" s="1" t="s">
        <v>22</v>
      </c>
      <c r="J940" s="1" t="s">
        <v>23</v>
      </c>
      <c r="K940" s="1" t="s">
        <v>298</v>
      </c>
      <c r="L940" s="1" t="s">
        <v>257</v>
      </c>
      <c r="M940" s="1"/>
      <c r="N940" s="1">
        <f t="shared" si="48"/>
        <v>5</v>
      </c>
      <c r="O940" s="65"/>
    </row>
    <row r="941" spans="1:15" ht="15.75" hidden="1" x14ac:dyDescent="0.25">
      <c r="A941" s="1" t="str">
        <f t="shared" si="47"/>
        <v>44330443307250CURRENTSAVINGSELF</v>
      </c>
      <c r="B941" s="2">
        <v>44330</v>
      </c>
      <c r="C941" s="2">
        <v>44330</v>
      </c>
      <c r="D941" s="3" t="s">
        <v>1079</v>
      </c>
      <c r="E941" s="3">
        <v>-7250</v>
      </c>
      <c r="F941" s="3">
        <v>1</v>
      </c>
      <c r="G941" s="3">
        <f t="shared" si="49"/>
        <v>7250</v>
      </c>
      <c r="H941" s="3" t="s">
        <v>293</v>
      </c>
      <c r="I941" s="1" t="s">
        <v>302</v>
      </c>
      <c r="J941" s="1" t="s">
        <v>14</v>
      </c>
      <c r="K941" s="1" t="s">
        <v>298</v>
      </c>
      <c r="L941" s="1" t="s">
        <v>257</v>
      </c>
      <c r="M941" s="1"/>
      <c r="N941" s="1">
        <f t="shared" si="48"/>
        <v>5</v>
      </c>
      <c r="O941" s="65"/>
    </row>
    <row r="942" spans="1:15" ht="15.75" hidden="1" x14ac:dyDescent="0.25">
      <c r="A942" s="1" t="str">
        <f t="shared" si="47"/>
        <v>443374433834.5DINERSGROCERYPICK-N-PACK</v>
      </c>
      <c r="B942" s="2">
        <v>44337</v>
      </c>
      <c r="C942" s="2">
        <v>44338</v>
      </c>
      <c r="D942" s="3" t="s">
        <v>1149</v>
      </c>
      <c r="E942" s="3">
        <v>34.5</v>
      </c>
      <c r="F942" s="3">
        <v>1</v>
      </c>
      <c r="G942" s="3">
        <f t="shared" si="49"/>
        <v>34.5</v>
      </c>
      <c r="H942" s="3" t="s">
        <v>266</v>
      </c>
      <c r="I942" s="1" t="s">
        <v>43</v>
      </c>
      <c r="J942" s="1" t="s">
        <v>222</v>
      </c>
      <c r="K942" s="1" t="s">
        <v>298</v>
      </c>
      <c r="L942" s="1" t="s">
        <v>267</v>
      </c>
      <c r="M942" s="1"/>
      <c r="N942" s="1">
        <f t="shared" si="48"/>
        <v>5</v>
      </c>
      <c r="O942" s="87"/>
    </row>
    <row r="943" spans="1:15" ht="15.75" hidden="1" x14ac:dyDescent="0.25">
      <c r="A943" s="1" t="str">
        <f t="shared" si="47"/>
        <v>443384433959.35DINERSGROCERYLULU</v>
      </c>
      <c r="B943" s="2">
        <v>44338</v>
      </c>
      <c r="C943" s="2">
        <v>44339</v>
      </c>
      <c r="D943" s="3" t="s">
        <v>1148</v>
      </c>
      <c r="E943" s="3">
        <v>59.35</v>
      </c>
      <c r="F943" s="3">
        <v>1</v>
      </c>
      <c r="G943" s="3">
        <f t="shared" si="49"/>
        <v>59.35</v>
      </c>
      <c r="H943" s="3" t="s">
        <v>266</v>
      </c>
      <c r="I943" s="1" t="s">
        <v>43</v>
      </c>
      <c r="J943" s="1" t="s">
        <v>44</v>
      </c>
      <c r="K943" s="1" t="s">
        <v>298</v>
      </c>
      <c r="L943" s="1" t="s">
        <v>267</v>
      </c>
      <c r="M943" s="1"/>
      <c r="N943" s="1">
        <f t="shared" si="48"/>
        <v>5</v>
      </c>
      <c r="O943" s="87"/>
    </row>
    <row r="944" spans="1:15" ht="15.75" hidden="1" x14ac:dyDescent="0.25">
      <c r="A944" s="1" t="str">
        <f t="shared" si="47"/>
        <v>4433944339707.14CURRENTTRANSFERINDIA</v>
      </c>
      <c r="B944" s="2">
        <v>44339</v>
      </c>
      <c r="C944" s="2">
        <v>44339</v>
      </c>
      <c r="D944" s="3" t="s">
        <v>1142</v>
      </c>
      <c r="E944" s="3">
        <v>-707.14</v>
      </c>
      <c r="F944" s="3">
        <v>1</v>
      </c>
      <c r="G944" s="3">
        <f t="shared" si="49"/>
        <v>707.14</v>
      </c>
      <c r="H944" s="3" t="s">
        <v>293</v>
      </c>
      <c r="I944" s="1" t="s">
        <v>22</v>
      </c>
      <c r="J944" s="1" t="s">
        <v>23</v>
      </c>
      <c r="K944" s="1" t="s">
        <v>298</v>
      </c>
      <c r="L944" s="1" t="s">
        <v>257</v>
      </c>
      <c r="M944" s="1"/>
      <c r="N944" s="1">
        <f t="shared" si="48"/>
        <v>5</v>
      </c>
      <c r="O944" s="65"/>
    </row>
    <row r="945" spans="1:15" ht="15.75" hidden="1" x14ac:dyDescent="0.25">
      <c r="A945" s="1" t="str">
        <f t="shared" si="47"/>
        <v>443394433950.51CURRENTTRANSFERINDIA</v>
      </c>
      <c r="B945" s="2">
        <v>44339</v>
      </c>
      <c r="C945" s="2">
        <v>44339</v>
      </c>
      <c r="D945" s="3" t="s">
        <v>1143</v>
      </c>
      <c r="E945" s="3">
        <v>-50.51</v>
      </c>
      <c r="F945" s="3">
        <v>1</v>
      </c>
      <c r="G945" s="3">
        <f t="shared" si="49"/>
        <v>50.51</v>
      </c>
      <c r="H945" s="3" t="s">
        <v>293</v>
      </c>
      <c r="I945" s="1" t="s">
        <v>22</v>
      </c>
      <c r="J945" s="1" t="s">
        <v>23</v>
      </c>
      <c r="K945" s="1" t="s">
        <v>298</v>
      </c>
      <c r="L945" s="1" t="s">
        <v>257</v>
      </c>
      <c r="M945" s="1"/>
      <c r="N945" s="1">
        <f t="shared" si="48"/>
        <v>5</v>
      </c>
      <c r="O945" s="65"/>
    </row>
    <row r="946" spans="1:15" ht="15.75" hidden="1" x14ac:dyDescent="0.25">
      <c r="A946" s="1" t="str">
        <f t="shared" si="47"/>
        <v>44339443391.01CURRENTSERVICEBANK</v>
      </c>
      <c r="B946" s="2">
        <v>44339</v>
      </c>
      <c r="C946" s="2">
        <v>44339</v>
      </c>
      <c r="D946" s="3" t="s">
        <v>1144</v>
      </c>
      <c r="E946" s="3">
        <v>-1.01</v>
      </c>
      <c r="F946" s="3">
        <v>1</v>
      </c>
      <c r="G946" s="3">
        <f t="shared" si="49"/>
        <v>1.01</v>
      </c>
      <c r="H946" s="3" t="s">
        <v>293</v>
      </c>
      <c r="I946" s="1" t="s">
        <v>7</v>
      </c>
      <c r="J946" s="1" t="s">
        <v>8</v>
      </c>
      <c r="K946" s="1" t="s">
        <v>298</v>
      </c>
      <c r="L946" s="1" t="s">
        <v>257</v>
      </c>
      <c r="M946" s="1"/>
      <c r="N946" s="1">
        <f t="shared" si="48"/>
        <v>5</v>
      </c>
      <c r="O946" s="65"/>
    </row>
    <row r="947" spans="1:15" ht="15.75" hidden="1" x14ac:dyDescent="0.25">
      <c r="A947" s="1" t="str">
        <f t="shared" si="47"/>
        <v>44339443391.01CURRENTSERVICEBANK</v>
      </c>
      <c r="B947" s="2">
        <v>44339</v>
      </c>
      <c r="C947" s="2">
        <v>44339</v>
      </c>
      <c r="D947" s="3" t="s">
        <v>1145</v>
      </c>
      <c r="E947" s="3">
        <v>-1.01</v>
      </c>
      <c r="F947" s="3">
        <v>1</v>
      </c>
      <c r="G947" s="3">
        <f t="shared" si="49"/>
        <v>1.01</v>
      </c>
      <c r="H947" s="3" t="s">
        <v>293</v>
      </c>
      <c r="I947" s="1" t="s">
        <v>7</v>
      </c>
      <c r="J947" s="1" t="s">
        <v>8</v>
      </c>
      <c r="K947" s="1" t="s">
        <v>298</v>
      </c>
      <c r="L947" s="1" t="s">
        <v>257</v>
      </c>
      <c r="M947" s="1"/>
      <c r="N947" s="1">
        <f t="shared" si="48"/>
        <v>5</v>
      </c>
      <c r="O947" s="65"/>
    </row>
    <row r="948" spans="1:15" ht="15.75" hidden="1" x14ac:dyDescent="0.25">
      <c r="A948" s="1" t="str">
        <f t="shared" si="47"/>
        <v>443394433915CURRENTSERVICEBANK</v>
      </c>
      <c r="B948" s="2">
        <v>44339</v>
      </c>
      <c r="C948" s="2">
        <v>44339</v>
      </c>
      <c r="D948" s="3" t="s">
        <v>1146</v>
      </c>
      <c r="E948" s="3">
        <v>-15</v>
      </c>
      <c r="F948" s="3">
        <v>1</v>
      </c>
      <c r="G948" s="3">
        <f t="shared" si="49"/>
        <v>15</v>
      </c>
      <c r="H948" s="3" t="s">
        <v>293</v>
      </c>
      <c r="I948" s="1" t="s">
        <v>7</v>
      </c>
      <c r="J948" s="1" t="s">
        <v>8</v>
      </c>
      <c r="K948" s="1" t="s">
        <v>298</v>
      </c>
      <c r="L948" s="1" t="s">
        <v>257</v>
      </c>
      <c r="M948" s="1"/>
      <c r="N948" s="1">
        <f t="shared" si="48"/>
        <v>5</v>
      </c>
      <c r="O948" s="65"/>
    </row>
    <row r="949" spans="1:15" ht="15.75" hidden="1" x14ac:dyDescent="0.25">
      <c r="A949" s="1" t="str">
        <f t="shared" si="47"/>
        <v>443394433915CURRENTSERVICEBANK</v>
      </c>
      <c r="B949" s="2">
        <v>44339</v>
      </c>
      <c r="C949" s="2">
        <v>44339</v>
      </c>
      <c r="D949" s="3" t="s">
        <v>1147</v>
      </c>
      <c r="E949" s="3">
        <v>-15</v>
      </c>
      <c r="F949" s="3">
        <v>1</v>
      </c>
      <c r="G949" s="3">
        <f t="shared" si="49"/>
        <v>15</v>
      </c>
      <c r="H949" s="3" t="s">
        <v>293</v>
      </c>
      <c r="I949" s="1" t="s">
        <v>7</v>
      </c>
      <c r="J949" s="1" t="s">
        <v>8</v>
      </c>
      <c r="K949" s="1" t="s">
        <v>298</v>
      </c>
      <c r="L949" s="1" t="s">
        <v>257</v>
      </c>
      <c r="M949" s="1"/>
      <c r="N949" s="1">
        <f t="shared" si="48"/>
        <v>5</v>
      </c>
      <c r="O949" s="65"/>
    </row>
    <row r="950" spans="1:15" ht="15.75" hidden="1" x14ac:dyDescent="0.25">
      <c r="A950" s="1" t="str">
        <f t="shared" si="47"/>
        <v>443404434210MASTER CCTRANSPORTCAREEM</v>
      </c>
      <c r="B950" s="2">
        <v>44340</v>
      </c>
      <c r="C950" s="2">
        <v>44342</v>
      </c>
      <c r="D950" s="3" t="s">
        <v>1153</v>
      </c>
      <c r="E950" s="3">
        <v>10</v>
      </c>
      <c r="F950" s="3">
        <v>1</v>
      </c>
      <c r="G950" s="3">
        <f t="shared" si="49"/>
        <v>10</v>
      </c>
      <c r="H950" s="3" t="s">
        <v>291</v>
      </c>
      <c r="I950" s="1" t="s">
        <v>296</v>
      </c>
      <c r="J950" s="1" t="s">
        <v>297</v>
      </c>
      <c r="K950" s="1" t="s">
        <v>298</v>
      </c>
      <c r="L950" s="1" t="s">
        <v>267</v>
      </c>
      <c r="M950" s="1"/>
      <c r="N950" s="1">
        <f t="shared" si="48"/>
        <v>5</v>
      </c>
      <c r="O950" s="65"/>
    </row>
    <row r="951" spans="1:15" ht="15.75" hidden="1" x14ac:dyDescent="0.25">
      <c r="A951" s="1" t="str">
        <f t="shared" si="47"/>
        <v>44340443428MASTER CCTRANSPORTCAREEM</v>
      </c>
      <c r="B951" s="2">
        <v>44340</v>
      </c>
      <c r="C951" s="2">
        <v>44342</v>
      </c>
      <c r="D951" s="3" t="s">
        <v>1152</v>
      </c>
      <c r="E951" s="3">
        <v>8</v>
      </c>
      <c r="F951" s="3">
        <v>1</v>
      </c>
      <c r="G951" s="3">
        <f t="shared" si="49"/>
        <v>8</v>
      </c>
      <c r="H951" s="3" t="s">
        <v>291</v>
      </c>
      <c r="I951" s="1" t="s">
        <v>296</v>
      </c>
      <c r="J951" s="1" t="s">
        <v>297</v>
      </c>
      <c r="K951" s="1" t="s">
        <v>298</v>
      </c>
      <c r="L951" s="1" t="s">
        <v>267</v>
      </c>
      <c r="M951" s="1"/>
      <c r="N951" s="1">
        <f t="shared" si="48"/>
        <v>5</v>
      </c>
      <c r="O951" s="65"/>
    </row>
    <row r="952" spans="1:15" ht="15.75" hidden="1" x14ac:dyDescent="0.25">
      <c r="A952" s="1" t="str">
        <f t="shared" si="47"/>
        <v>443424434314DINERSGROCERYPICK-N-PACK</v>
      </c>
      <c r="B952" s="2">
        <v>44342</v>
      </c>
      <c r="C952" s="2">
        <v>44343</v>
      </c>
      <c r="D952" s="3" t="s">
        <v>1151</v>
      </c>
      <c r="E952" s="3">
        <v>14</v>
      </c>
      <c r="F952" s="3">
        <v>1</v>
      </c>
      <c r="G952" s="3">
        <f t="shared" si="49"/>
        <v>14</v>
      </c>
      <c r="H952" s="3" t="s">
        <v>266</v>
      </c>
      <c r="I952" s="1" t="s">
        <v>43</v>
      </c>
      <c r="J952" s="1" t="s">
        <v>222</v>
      </c>
      <c r="K952" s="1" t="s">
        <v>298</v>
      </c>
      <c r="L952" s="1" t="s">
        <v>267</v>
      </c>
      <c r="M952" s="1"/>
      <c r="N952" s="1">
        <f t="shared" si="48"/>
        <v>5</v>
      </c>
      <c r="O952" s="87"/>
    </row>
    <row r="953" spans="1:15" ht="15.75" hidden="1" x14ac:dyDescent="0.25">
      <c r="A953" s="1" t="str">
        <f t="shared" si="47"/>
        <v>44343443435617.85MASTER CCCC BILL PAYMENTBANK</v>
      </c>
      <c r="B953" s="2">
        <v>44343</v>
      </c>
      <c r="C953" s="2">
        <v>44343</v>
      </c>
      <c r="D953" s="3" t="s">
        <v>80</v>
      </c>
      <c r="E953" s="3">
        <v>-5617.85</v>
      </c>
      <c r="F953" s="3">
        <v>1</v>
      </c>
      <c r="G953" s="3">
        <f t="shared" si="49"/>
        <v>5617.85</v>
      </c>
      <c r="H953" s="3" t="s">
        <v>291</v>
      </c>
      <c r="I953" s="1" t="s">
        <v>81</v>
      </c>
      <c r="J953" s="1" t="s">
        <v>8</v>
      </c>
      <c r="K953" s="1" t="s">
        <v>300</v>
      </c>
      <c r="L953" s="1" t="s">
        <v>267</v>
      </c>
      <c r="M953" s="1"/>
      <c r="N953" s="1">
        <f t="shared" si="48"/>
        <v>5</v>
      </c>
      <c r="O953" s="65"/>
    </row>
    <row r="954" spans="1:15" ht="15.75" hidden="1" x14ac:dyDescent="0.25">
      <c r="A954" s="1" t="str">
        <f t="shared" si="47"/>
        <v>44343443440DINERSSHOPPINGLULU</v>
      </c>
      <c r="B954" s="2">
        <v>44343</v>
      </c>
      <c r="C954" s="2">
        <v>44344</v>
      </c>
      <c r="D954" s="3" t="s">
        <v>1156</v>
      </c>
      <c r="E954" s="3">
        <v>999</v>
      </c>
      <c r="F954" s="3">
        <v>0</v>
      </c>
      <c r="G954" s="3">
        <f t="shared" si="49"/>
        <v>0</v>
      </c>
      <c r="H954" s="3" t="s">
        <v>266</v>
      </c>
      <c r="I954" s="1" t="s">
        <v>194</v>
      </c>
      <c r="J954" s="1" t="s">
        <v>44</v>
      </c>
      <c r="K954" s="1" t="s">
        <v>298</v>
      </c>
      <c r="L954" s="1" t="s">
        <v>267</v>
      </c>
      <c r="M954" s="1"/>
      <c r="N954" s="1">
        <f t="shared" si="48"/>
        <v>5</v>
      </c>
      <c r="O954" s="87"/>
    </row>
    <row r="955" spans="1:15" ht="15.75" hidden="1" x14ac:dyDescent="0.25">
      <c r="A955" s="1" t="str">
        <f t="shared" si="47"/>
        <v>4434344344333DINERSSHOPPINGLULU</v>
      </c>
      <c r="B955" s="2">
        <v>44343</v>
      </c>
      <c r="C955" s="2">
        <v>44344</v>
      </c>
      <c r="D955" s="3" t="s">
        <v>1161</v>
      </c>
      <c r="E955" s="3">
        <v>333</v>
      </c>
      <c r="F955" s="3">
        <v>1</v>
      </c>
      <c r="G955" s="3">
        <f t="shared" si="49"/>
        <v>333</v>
      </c>
      <c r="H955" s="3" t="s">
        <v>266</v>
      </c>
      <c r="I955" s="1" t="s">
        <v>194</v>
      </c>
      <c r="J955" s="1" t="s">
        <v>44</v>
      </c>
      <c r="K955" s="1" t="s">
        <v>298</v>
      </c>
      <c r="L955" s="1" t="s">
        <v>267</v>
      </c>
      <c r="M955" s="1">
        <v>1</v>
      </c>
      <c r="N955" s="1">
        <f t="shared" si="48"/>
        <v>5</v>
      </c>
      <c r="O955" s="87"/>
    </row>
    <row r="956" spans="1:15" ht="15.75" hidden="1" x14ac:dyDescent="0.25">
      <c r="A956" s="1" t="str">
        <f t="shared" si="47"/>
        <v>443434434316130CURRENTSALARYQATAR AIR</v>
      </c>
      <c r="B956" s="2">
        <v>44343</v>
      </c>
      <c r="C956" s="2">
        <v>44343</v>
      </c>
      <c r="D956" s="3" t="s">
        <v>1150</v>
      </c>
      <c r="E956" s="3">
        <v>16130</v>
      </c>
      <c r="F956" s="3">
        <v>1</v>
      </c>
      <c r="G956" s="3">
        <f t="shared" si="49"/>
        <v>16130</v>
      </c>
      <c r="H956" s="3" t="s">
        <v>293</v>
      </c>
      <c r="I956" s="1" t="s">
        <v>18</v>
      </c>
      <c r="J956" s="1" t="s">
        <v>19</v>
      </c>
      <c r="K956" s="1" t="s">
        <v>300</v>
      </c>
      <c r="L956" s="1" t="s">
        <v>257</v>
      </c>
      <c r="M956" s="1"/>
      <c r="N956" s="1">
        <f t="shared" si="48"/>
        <v>5</v>
      </c>
      <c r="O956" s="65"/>
    </row>
    <row r="957" spans="1:15" ht="15.75" hidden="1" x14ac:dyDescent="0.25">
      <c r="A957" s="1" t="str">
        <f t="shared" si="47"/>
        <v>443434434415DINERSFOODCAFÉ/REST.</v>
      </c>
      <c r="B957" s="2">
        <v>44343</v>
      </c>
      <c r="C957" s="2">
        <v>44344</v>
      </c>
      <c r="D957" s="3" t="s">
        <v>1155</v>
      </c>
      <c r="E957" s="3">
        <v>15</v>
      </c>
      <c r="F957" s="3">
        <v>1</v>
      </c>
      <c r="G957" s="3">
        <f t="shared" si="49"/>
        <v>15</v>
      </c>
      <c r="H957" s="3" t="s">
        <v>266</v>
      </c>
      <c r="I957" s="1" t="s">
        <v>10</v>
      </c>
      <c r="J957" s="1" t="s">
        <v>11</v>
      </c>
      <c r="K957" s="1" t="s">
        <v>298</v>
      </c>
      <c r="L957" s="1" t="s">
        <v>267</v>
      </c>
      <c r="M957" s="1"/>
      <c r="N957" s="1">
        <f t="shared" si="48"/>
        <v>5</v>
      </c>
      <c r="O957" s="87"/>
    </row>
    <row r="958" spans="1:15" ht="15.75" hidden="1" x14ac:dyDescent="0.25">
      <c r="A958" s="1" t="str">
        <f t="shared" si="47"/>
        <v>44343443435617.85CURRENTCC BILL PAYMENTBANK</v>
      </c>
      <c r="B958" s="2">
        <v>44343</v>
      </c>
      <c r="C958" s="2">
        <v>44343</v>
      </c>
      <c r="D958" s="3" t="s">
        <v>1154</v>
      </c>
      <c r="E958" s="3">
        <v>-5617.85</v>
      </c>
      <c r="F958" s="3">
        <v>1</v>
      </c>
      <c r="G958" s="3">
        <f t="shared" si="49"/>
        <v>5617.85</v>
      </c>
      <c r="H958" s="3" t="s">
        <v>293</v>
      </c>
      <c r="I958" s="1" t="s">
        <v>81</v>
      </c>
      <c r="J958" s="1" t="s">
        <v>8</v>
      </c>
      <c r="K958" s="1" t="s">
        <v>298</v>
      </c>
      <c r="L958" s="1" t="s">
        <v>257</v>
      </c>
      <c r="M958" s="1"/>
      <c r="N958" s="1">
        <f t="shared" si="48"/>
        <v>5</v>
      </c>
      <c r="O958" s="65"/>
    </row>
    <row r="959" spans="1:15" ht="15.75" hidden="1" x14ac:dyDescent="0.25">
      <c r="A959" s="1" t="str">
        <f t="shared" si="47"/>
        <v>44343443459MASTER CCTRANSPORTCAREEM</v>
      </c>
      <c r="B959" s="2">
        <v>44343</v>
      </c>
      <c r="C959" s="2">
        <v>44345</v>
      </c>
      <c r="D959" s="3" t="s">
        <v>1158</v>
      </c>
      <c r="E959" s="3">
        <v>9</v>
      </c>
      <c r="F959" s="3">
        <v>1</v>
      </c>
      <c r="G959" s="3">
        <f t="shared" si="49"/>
        <v>9</v>
      </c>
      <c r="H959" s="3" t="s">
        <v>291</v>
      </c>
      <c r="I959" s="1" t="s">
        <v>296</v>
      </c>
      <c r="J959" s="1" t="s">
        <v>297</v>
      </c>
      <c r="K959" s="1" t="s">
        <v>298</v>
      </c>
      <c r="L959" s="1" t="s">
        <v>267</v>
      </c>
      <c r="M959" s="1"/>
      <c r="N959" s="1">
        <f t="shared" si="48"/>
        <v>5</v>
      </c>
      <c r="O959" s="65"/>
    </row>
    <row r="960" spans="1:15" ht="15.75" hidden="1" x14ac:dyDescent="0.25">
      <c r="A960" s="1" t="str">
        <f t="shared" si="47"/>
        <v>443434434518MASTER CCTRANSPORTCAREEM</v>
      </c>
      <c r="B960" s="2">
        <v>44343</v>
      </c>
      <c r="C960" s="2">
        <v>44345</v>
      </c>
      <c r="D960" s="3" t="s">
        <v>1157</v>
      </c>
      <c r="E960" s="3">
        <v>18</v>
      </c>
      <c r="F960" s="3">
        <v>1</v>
      </c>
      <c r="G960" s="3">
        <f t="shared" si="49"/>
        <v>18</v>
      </c>
      <c r="H960" s="3" t="s">
        <v>291</v>
      </c>
      <c r="I960" s="1" t="s">
        <v>296</v>
      </c>
      <c r="J960" s="1" t="s">
        <v>297</v>
      </c>
      <c r="K960" s="1" t="s">
        <v>298</v>
      </c>
      <c r="L960" s="1" t="s">
        <v>267</v>
      </c>
      <c r="M960" s="1"/>
      <c r="N960" s="1">
        <f t="shared" si="48"/>
        <v>5</v>
      </c>
      <c r="O960" s="65"/>
    </row>
    <row r="961" spans="1:15" ht="15.75" hidden="1" x14ac:dyDescent="0.25">
      <c r="A961" s="1" t="str">
        <f t="shared" si="47"/>
        <v>44346443461000CURRENTWITHDRAWSELF</v>
      </c>
      <c r="B961" s="2">
        <v>44346</v>
      </c>
      <c r="C961" s="2">
        <v>44346</v>
      </c>
      <c r="D961" s="3" t="s">
        <v>1166</v>
      </c>
      <c r="E961" s="3">
        <v>-1000</v>
      </c>
      <c r="F961" s="3">
        <v>1</v>
      </c>
      <c r="G961" s="3">
        <f t="shared" si="49"/>
        <v>1000</v>
      </c>
      <c r="H961" s="3" t="s">
        <v>293</v>
      </c>
      <c r="I961" s="1" t="s">
        <v>13</v>
      </c>
      <c r="J961" s="1" t="s">
        <v>14</v>
      </c>
      <c r="K961" s="1" t="s">
        <v>298</v>
      </c>
      <c r="L961" s="1" t="s">
        <v>257</v>
      </c>
      <c r="M961" s="1"/>
      <c r="N961" s="1">
        <f t="shared" si="48"/>
        <v>5</v>
      </c>
      <c r="O961" s="65"/>
    </row>
    <row r="962" spans="1:15" ht="15.75" hidden="1" x14ac:dyDescent="0.25">
      <c r="A962" s="1" t="str">
        <f t="shared" ref="A962:A1025" si="50">B962&amp;C962&amp;G962&amp;H962&amp;I962&amp;J962</f>
        <v>443464434639.25CURRENTGROCERYPICK-N-PACK</v>
      </c>
      <c r="B962" s="2">
        <v>44346</v>
      </c>
      <c r="C962" s="2">
        <v>44346</v>
      </c>
      <c r="D962" s="3" t="s">
        <v>1160</v>
      </c>
      <c r="E962" s="3">
        <v>-39.25</v>
      </c>
      <c r="F962" s="3">
        <v>1</v>
      </c>
      <c r="G962" s="3">
        <f t="shared" si="49"/>
        <v>39.25</v>
      </c>
      <c r="H962" s="3" t="s">
        <v>293</v>
      </c>
      <c r="I962" s="1" t="s">
        <v>43</v>
      </c>
      <c r="J962" s="1" t="s">
        <v>222</v>
      </c>
      <c r="K962" s="1" t="s">
        <v>298</v>
      </c>
      <c r="L962" s="1" t="s">
        <v>257</v>
      </c>
      <c r="M962" s="1"/>
      <c r="N962" s="1">
        <f t="shared" ref="N962:N1025" si="51">MONTH(C962)</f>
        <v>5</v>
      </c>
      <c r="O962" s="65"/>
    </row>
    <row r="963" spans="1:15" ht="15.75" hidden="1" x14ac:dyDescent="0.25">
      <c r="A963" s="1" t="str">
        <f t="shared" si="50"/>
        <v>4434644346375CURRENTCC BILL PAYMENTBANK</v>
      </c>
      <c r="B963" s="2">
        <v>44346</v>
      </c>
      <c r="C963" s="2">
        <v>44346</v>
      </c>
      <c r="D963" s="3" t="s">
        <v>1159</v>
      </c>
      <c r="E963" s="3">
        <v>-375</v>
      </c>
      <c r="F963" s="3">
        <v>1</v>
      </c>
      <c r="G963" s="3">
        <f t="shared" si="49"/>
        <v>375</v>
      </c>
      <c r="H963" s="3" t="s">
        <v>293</v>
      </c>
      <c r="I963" s="1" t="s">
        <v>81</v>
      </c>
      <c r="J963" s="1" t="s">
        <v>8</v>
      </c>
      <c r="K963" s="1" t="s">
        <v>298</v>
      </c>
      <c r="L963" s="1" t="s">
        <v>257</v>
      </c>
      <c r="M963" s="1"/>
      <c r="N963" s="1">
        <f t="shared" si="51"/>
        <v>5</v>
      </c>
      <c r="O963" s="65"/>
    </row>
    <row r="964" spans="1:15" ht="15.75" hidden="1" x14ac:dyDescent="0.25">
      <c r="A964" s="1" t="str">
        <f t="shared" si="50"/>
        <v>4434644346375DINERSCC BILL PAYMENTBANK</v>
      </c>
      <c r="B964" s="2">
        <v>44346</v>
      </c>
      <c r="C964" s="2">
        <v>44346</v>
      </c>
      <c r="D964" s="3" t="s">
        <v>80</v>
      </c>
      <c r="E964" s="3">
        <v>-375</v>
      </c>
      <c r="F964" s="3">
        <v>1</v>
      </c>
      <c r="G964" s="3">
        <f t="shared" si="49"/>
        <v>375</v>
      </c>
      <c r="H964" s="3" t="s">
        <v>266</v>
      </c>
      <c r="I964" s="1" t="s">
        <v>81</v>
      </c>
      <c r="J964" s="1" t="s">
        <v>8</v>
      </c>
      <c r="K964" s="1" t="s">
        <v>300</v>
      </c>
      <c r="L964" s="1" t="s">
        <v>267</v>
      </c>
      <c r="M964" s="1"/>
      <c r="N964" s="1">
        <f t="shared" si="51"/>
        <v>5</v>
      </c>
      <c r="O964" s="87"/>
    </row>
    <row r="965" spans="1:15" ht="15.75" hidden="1" x14ac:dyDescent="0.25">
      <c r="A965" s="1" t="str">
        <f t="shared" si="50"/>
        <v>44348443484CURRENTSERVICEBANK</v>
      </c>
      <c r="B965" s="2">
        <v>44348</v>
      </c>
      <c r="C965" s="2">
        <v>44348</v>
      </c>
      <c r="D965" s="3" t="s">
        <v>1163</v>
      </c>
      <c r="E965" s="3">
        <v>-4</v>
      </c>
      <c r="F965" s="3">
        <v>1</v>
      </c>
      <c r="G965" s="3">
        <f t="shared" si="49"/>
        <v>4</v>
      </c>
      <c r="H965" s="3" t="s">
        <v>293</v>
      </c>
      <c r="I965" s="1" t="s">
        <v>7</v>
      </c>
      <c r="J965" s="1" t="s">
        <v>8</v>
      </c>
      <c r="K965" s="1" t="s">
        <v>298</v>
      </c>
      <c r="L965" s="1" t="s">
        <v>257</v>
      </c>
      <c r="M965" s="1"/>
      <c r="N965" s="1">
        <f t="shared" si="51"/>
        <v>6</v>
      </c>
      <c r="O965" s="65"/>
    </row>
    <row r="966" spans="1:15" ht="15.75" hidden="1" x14ac:dyDescent="0.25">
      <c r="A966" s="1" t="str">
        <f t="shared" si="50"/>
        <v>443484434815CURRENTSERVICEBANK</v>
      </c>
      <c r="B966" s="2">
        <v>44348</v>
      </c>
      <c r="C966" s="2">
        <v>44348</v>
      </c>
      <c r="D966" s="3" t="s">
        <v>1164</v>
      </c>
      <c r="E966" s="3">
        <v>15</v>
      </c>
      <c r="F966" s="3">
        <v>1</v>
      </c>
      <c r="G966" s="3">
        <f t="shared" si="49"/>
        <v>15</v>
      </c>
      <c r="H966" s="3" t="s">
        <v>293</v>
      </c>
      <c r="I966" s="1" t="s">
        <v>7</v>
      </c>
      <c r="J966" s="1" t="s">
        <v>8</v>
      </c>
      <c r="K966" s="1" t="s">
        <v>300</v>
      </c>
      <c r="L966" s="1" t="s">
        <v>257</v>
      </c>
      <c r="M966" s="1"/>
      <c r="N966" s="1">
        <f t="shared" si="51"/>
        <v>6</v>
      </c>
      <c r="O966" s="65"/>
    </row>
    <row r="967" spans="1:15" ht="15.75" hidden="1" x14ac:dyDescent="0.25">
      <c r="A967" s="1" t="str">
        <f t="shared" si="50"/>
        <v>443484434815CURRENTSERVICEBANK</v>
      </c>
      <c r="B967" s="2">
        <v>44348</v>
      </c>
      <c r="C967" s="2">
        <v>44348</v>
      </c>
      <c r="D967" s="3" t="s">
        <v>1165</v>
      </c>
      <c r="E967" s="3">
        <v>15</v>
      </c>
      <c r="F967" s="3">
        <v>1</v>
      </c>
      <c r="G967" s="3">
        <f t="shared" si="49"/>
        <v>15</v>
      </c>
      <c r="H967" s="3" t="s">
        <v>293</v>
      </c>
      <c r="I967" s="1" t="s">
        <v>7</v>
      </c>
      <c r="J967" s="1" t="s">
        <v>8</v>
      </c>
      <c r="K967" s="1" t="s">
        <v>300</v>
      </c>
      <c r="L967" s="1" t="s">
        <v>257</v>
      </c>
      <c r="M967" s="1"/>
      <c r="N967" s="1">
        <f t="shared" si="51"/>
        <v>6</v>
      </c>
      <c r="O967" s="65"/>
    </row>
    <row r="968" spans="1:15" ht="15.75" hidden="1" x14ac:dyDescent="0.25">
      <c r="A968" s="1" t="str">
        <f t="shared" si="50"/>
        <v>44348443484125CURRENTRENTCAP ONE</v>
      </c>
      <c r="B968" s="2">
        <v>44348</v>
      </c>
      <c r="C968" s="2">
        <v>44348</v>
      </c>
      <c r="D968" s="3" t="s">
        <v>1162</v>
      </c>
      <c r="E968" s="3">
        <v>-4125</v>
      </c>
      <c r="F968" s="3">
        <v>1</v>
      </c>
      <c r="G968" s="3">
        <f t="shared" si="49"/>
        <v>4125</v>
      </c>
      <c r="H968" s="3" t="s">
        <v>293</v>
      </c>
      <c r="I968" s="1" t="s">
        <v>83</v>
      </c>
      <c r="J968" s="1" t="s">
        <v>84</v>
      </c>
      <c r="K968" s="1" t="s">
        <v>298</v>
      </c>
      <c r="L968" s="1" t="s">
        <v>257</v>
      </c>
      <c r="M968" s="1"/>
      <c r="N968" s="1">
        <f t="shared" si="51"/>
        <v>6</v>
      </c>
      <c r="O968" s="65"/>
    </row>
    <row r="969" spans="1:15" ht="15.75" hidden="1" x14ac:dyDescent="0.25">
      <c r="A969" s="1" t="str">
        <f t="shared" si="50"/>
        <v>443494435090MASTER CCTELECOMVODAFONE</v>
      </c>
      <c r="B969" s="2">
        <v>44349</v>
      </c>
      <c r="C969" s="2">
        <v>44350</v>
      </c>
      <c r="D969" s="3" t="s">
        <v>1170</v>
      </c>
      <c r="E969" s="3">
        <v>90</v>
      </c>
      <c r="F969" s="3">
        <v>1</v>
      </c>
      <c r="G969" s="3">
        <f t="shared" si="49"/>
        <v>90</v>
      </c>
      <c r="H969" s="3" t="s">
        <v>291</v>
      </c>
      <c r="I969" s="1" t="s">
        <v>58</v>
      </c>
      <c r="J969" s="1" t="s">
        <v>78</v>
      </c>
      <c r="K969" s="1" t="s">
        <v>298</v>
      </c>
      <c r="L969" s="1" t="s">
        <v>267</v>
      </c>
      <c r="M969" s="1"/>
      <c r="N969" s="1">
        <f t="shared" si="51"/>
        <v>6</v>
      </c>
      <c r="O969" s="65"/>
    </row>
    <row r="970" spans="1:15" ht="15.75" hidden="1" x14ac:dyDescent="0.25">
      <c r="A970" s="1" t="str">
        <f t="shared" si="50"/>
        <v>443514435299DINERSSHOPPINGLULU</v>
      </c>
      <c r="B970" s="2">
        <v>44351</v>
      </c>
      <c r="C970" s="2">
        <v>44352</v>
      </c>
      <c r="D970" s="3" t="s">
        <v>1168</v>
      </c>
      <c r="E970" s="3">
        <v>99</v>
      </c>
      <c r="F970" s="3">
        <v>1</v>
      </c>
      <c r="G970" s="3">
        <f t="shared" si="49"/>
        <v>99</v>
      </c>
      <c r="H970" s="3" t="s">
        <v>266</v>
      </c>
      <c r="I970" s="1" t="s">
        <v>194</v>
      </c>
      <c r="J970" s="1" t="s">
        <v>44</v>
      </c>
      <c r="K970" s="1" t="s">
        <v>298</v>
      </c>
      <c r="L970" s="1" t="s">
        <v>267</v>
      </c>
      <c r="M970" s="1"/>
      <c r="N970" s="1">
        <f t="shared" si="51"/>
        <v>6</v>
      </c>
      <c r="O970" s="87"/>
    </row>
    <row r="971" spans="1:15" ht="15.75" hidden="1" x14ac:dyDescent="0.25">
      <c r="A971" s="1" t="str">
        <f t="shared" si="50"/>
        <v>443514435286.05DINERSGROCERYLULU</v>
      </c>
      <c r="B971" s="2">
        <v>44351</v>
      </c>
      <c r="C971" s="2">
        <v>44352</v>
      </c>
      <c r="D971" s="3" t="s">
        <v>1169</v>
      </c>
      <c r="E971" s="3">
        <v>86.05</v>
      </c>
      <c r="F971" s="3">
        <v>1</v>
      </c>
      <c r="G971" s="3">
        <f t="shared" ref="G971:G1034" si="52">ABS(E971)*F971</f>
        <v>86.05</v>
      </c>
      <c r="H971" s="3" t="s">
        <v>266</v>
      </c>
      <c r="I971" s="1" t="s">
        <v>43</v>
      </c>
      <c r="J971" s="1" t="s">
        <v>44</v>
      </c>
      <c r="K971" s="1" t="s">
        <v>298</v>
      </c>
      <c r="L971" s="1" t="s">
        <v>267</v>
      </c>
      <c r="M971" s="1"/>
      <c r="N971" s="1">
        <f t="shared" si="51"/>
        <v>6</v>
      </c>
      <c r="O971" s="87"/>
    </row>
    <row r="972" spans="1:15" ht="15.75" hidden="1" x14ac:dyDescent="0.25">
      <c r="A972" s="1" t="str">
        <f t="shared" si="50"/>
        <v>44353443531250CURRENTSAVINGSELF</v>
      </c>
      <c r="B972" s="2">
        <v>44353</v>
      </c>
      <c r="C972" s="2">
        <v>44353</v>
      </c>
      <c r="D972" s="3" t="s">
        <v>1167</v>
      </c>
      <c r="E972" s="3">
        <v>-1250</v>
      </c>
      <c r="F972" s="3">
        <v>1</v>
      </c>
      <c r="G972" s="3">
        <f t="shared" si="52"/>
        <v>1250</v>
      </c>
      <c r="H972" s="3" t="s">
        <v>293</v>
      </c>
      <c r="I972" s="1" t="s">
        <v>302</v>
      </c>
      <c r="J972" s="1" t="s">
        <v>14</v>
      </c>
      <c r="K972" s="1" t="s">
        <v>298</v>
      </c>
      <c r="L972" s="1" t="s">
        <v>257</v>
      </c>
      <c r="M972" s="1"/>
      <c r="N972" s="1">
        <f t="shared" si="51"/>
        <v>6</v>
      </c>
      <c r="O972" s="65"/>
    </row>
    <row r="973" spans="1:15" ht="15.75" hidden="1" x14ac:dyDescent="0.25">
      <c r="A973" s="1" t="str">
        <f t="shared" si="50"/>
        <v>44353443534000CURRENTSAVINGSELF</v>
      </c>
      <c r="B973" s="2">
        <v>44353</v>
      </c>
      <c r="C973" s="2">
        <v>44353</v>
      </c>
      <c r="D973" s="3" t="s">
        <v>1171</v>
      </c>
      <c r="E973" s="3">
        <v>-4000</v>
      </c>
      <c r="F973" s="3">
        <v>1</v>
      </c>
      <c r="G973" s="3">
        <f t="shared" si="52"/>
        <v>4000</v>
      </c>
      <c r="H973" s="3" t="s">
        <v>293</v>
      </c>
      <c r="I973" s="1" t="s">
        <v>302</v>
      </c>
      <c r="J973" s="1" t="s">
        <v>14</v>
      </c>
      <c r="K973" s="1" t="s">
        <v>298</v>
      </c>
      <c r="L973" s="1" t="s">
        <v>257</v>
      </c>
      <c r="M973" s="1"/>
      <c r="N973" s="1">
        <f t="shared" si="51"/>
        <v>6</v>
      </c>
      <c r="O973" s="65"/>
    </row>
    <row r="974" spans="1:15" ht="15.75" hidden="1" x14ac:dyDescent="0.25">
      <c r="A974" s="1" t="str">
        <f t="shared" si="50"/>
        <v>443554435625MASTER CCTELECOMVODAFONE</v>
      </c>
      <c r="B974" s="2">
        <v>44355</v>
      </c>
      <c r="C974" s="2">
        <v>44356</v>
      </c>
      <c r="D974" s="3" t="s">
        <v>1173</v>
      </c>
      <c r="E974" s="3">
        <v>25</v>
      </c>
      <c r="F974" s="3">
        <v>1</v>
      </c>
      <c r="G974" s="3">
        <f t="shared" si="52"/>
        <v>25</v>
      </c>
      <c r="H974" s="3" t="s">
        <v>291</v>
      </c>
      <c r="I974" s="1" t="s">
        <v>58</v>
      </c>
      <c r="J974" s="1" t="s">
        <v>78</v>
      </c>
      <c r="K974" s="1" t="s">
        <v>298</v>
      </c>
      <c r="L974" s="1" t="s">
        <v>267</v>
      </c>
      <c r="M974" s="1"/>
      <c r="N974" s="1">
        <f t="shared" si="51"/>
        <v>6</v>
      </c>
      <c r="O974" s="65"/>
    </row>
    <row r="975" spans="1:15" ht="15.75" hidden="1" x14ac:dyDescent="0.25">
      <c r="A975" s="1" t="str">
        <f t="shared" si="50"/>
        <v>44357443571269.75CURRENTTRANSFERINDIA</v>
      </c>
      <c r="B975" s="2">
        <v>44357</v>
      </c>
      <c r="C975" s="2">
        <v>44357</v>
      </c>
      <c r="D975" s="3" t="s">
        <v>694</v>
      </c>
      <c r="E975" s="3">
        <v>-1269.75</v>
      </c>
      <c r="F975" s="3">
        <v>1</v>
      </c>
      <c r="G975" s="3">
        <f t="shared" si="52"/>
        <v>1269.75</v>
      </c>
      <c r="H975" s="3" t="s">
        <v>293</v>
      </c>
      <c r="I975" s="1" t="s">
        <v>22</v>
      </c>
      <c r="J975" s="1" t="s">
        <v>23</v>
      </c>
      <c r="K975" s="1" t="s">
        <v>298</v>
      </c>
      <c r="L975" s="1" t="s">
        <v>257</v>
      </c>
      <c r="M975" s="1"/>
      <c r="N975" s="1">
        <f t="shared" si="51"/>
        <v>6</v>
      </c>
      <c r="O975" s="65"/>
    </row>
    <row r="976" spans="1:15" ht="15.75" hidden="1" x14ac:dyDescent="0.25">
      <c r="A976" s="1" t="str">
        <f t="shared" si="50"/>
        <v>443574435830DINERSFOODCAFÉ/REST.</v>
      </c>
      <c r="B976" s="2">
        <v>44357</v>
      </c>
      <c r="C976" s="2">
        <v>44358</v>
      </c>
      <c r="D976" s="3" t="s">
        <v>1172</v>
      </c>
      <c r="E976" s="3">
        <v>30</v>
      </c>
      <c r="F976" s="3">
        <v>1</v>
      </c>
      <c r="G976" s="3">
        <f t="shared" si="52"/>
        <v>30</v>
      </c>
      <c r="H976" s="3" t="s">
        <v>266</v>
      </c>
      <c r="I976" s="1" t="s">
        <v>10</v>
      </c>
      <c r="J976" s="1" t="s">
        <v>11</v>
      </c>
      <c r="K976" s="1" t="s">
        <v>298</v>
      </c>
      <c r="L976" s="1" t="s">
        <v>267</v>
      </c>
      <c r="M976" s="1"/>
      <c r="N976" s="1">
        <f t="shared" si="51"/>
        <v>6</v>
      </c>
      <c r="O976" s="87"/>
    </row>
    <row r="977" spans="1:15" ht="15.75" hidden="1" x14ac:dyDescent="0.25">
      <c r="A977" s="1" t="str">
        <f t="shared" si="50"/>
        <v>443594436040DINERSSHOPPINGMAX</v>
      </c>
      <c r="B977" s="2">
        <v>44359</v>
      </c>
      <c r="C977" s="2">
        <v>44360</v>
      </c>
      <c r="D977" s="3" t="s">
        <v>1180</v>
      </c>
      <c r="E977" s="3">
        <v>40</v>
      </c>
      <c r="F977" s="3">
        <v>1</v>
      </c>
      <c r="G977" s="3">
        <f t="shared" si="52"/>
        <v>40</v>
      </c>
      <c r="H977" s="3" t="s">
        <v>266</v>
      </c>
      <c r="I977" s="1" t="s">
        <v>194</v>
      </c>
      <c r="J977" s="1" t="s">
        <v>776</v>
      </c>
      <c r="K977" s="1" t="s">
        <v>298</v>
      </c>
      <c r="L977" s="1" t="s">
        <v>267</v>
      </c>
      <c r="M977" s="1"/>
      <c r="N977" s="1">
        <f t="shared" si="51"/>
        <v>6</v>
      </c>
      <c r="O977" s="87"/>
    </row>
    <row r="978" spans="1:15" ht="15.75" hidden="1" x14ac:dyDescent="0.25">
      <c r="A978" s="1" t="str">
        <f t="shared" si="50"/>
        <v>443594436215MASTER CCTRANSPORTCAREEM</v>
      </c>
      <c r="B978" s="2">
        <v>44359</v>
      </c>
      <c r="C978" s="2">
        <v>44362</v>
      </c>
      <c r="D978" s="3" t="s">
        <v>1193</v>
      </c>
      <c r="E978" s="3">
        <v>15</v>
      </c>
      <c r="F978" s="3">
        <v>1</v>
      </c>
      <c r="G978" s="3">
        <f t="shared" si="52"/>
        <v>15</v>
      </c>
      <c r="H978" s="3" t="s">
        <v>291</v>
      </c>
      <c r="I978" s="1" t="s">
        <v>296</v>
      </c>
      <c r="J978" s="1" t="s">
        <v>297</v>
      </c>
      <c r="K978" s="1" t="s">
        <v>298</v>
      </c>
      <c r="L978" s="1" t="s">
        <v>267</v>
      </c>
      <c r="M978" s="1"/>
      <c r="N978" s="1">
        <f t="shared" si="51"/>
        <v>6</v>
      </c>
      <c r="O978" s="65"/>
    </row>
    <row r="979" spans="1:15" ht="15.75" hidden="1" x14ac:dyDescent="0.25">
      <c r="A979" s="1" t="str">
        <f t="shared" si="50"/>
        <v>44362443649MASTER CCTRANSPORTCAREEM</v>
      </c>
      <c r="B979" s="2">
        <v>44362</v>
      </c>
      <c r="C979" s="2">
        <v>44364</v>
      </c>
      <c r="D979" s="3" t="s">
        <v>1192</v>
      </c>
      <c r="E979" s="3">
        <v>9</v>
      </c>
      <c r="F979" s="3">
        <v>1</v>
      </c>
      <c r="G979" s="3">
        <f t="shared" si="52"/>
        <v>9</v>
      </c>
      <c r="H979" s="3" t="s">
        <v>291</v>
      </c>
      <c r="I979" s="1" t="s">
        <v>296</v>
      </c>
      <c r="J979" s="1" t="s">
        <v>297</v>
      </c>
      <c r="K979" s="1" t="s">
        <v>298</v>
      </c>
      <c r="L979" s="1" t="s">
        <v>267</v>
      </c>
      <c r="M979" s="1"/>
      <c r="N979" s="1">
        <f t="shared" si="51"/>
        <v>6</v>
      </c>
      <c r="O979" s="65"/>
    </row>
    <row r="980" spans="1:15" ht="15.75" hidden="1" x14ac:dyDescent="0.25">
      <c r="A980" s="1" t="str">
        <f t="shared" si="50"/>
        <v>443624436411MASTER CCTRANSPORTCAREEM</v>
      </c>
      <c r="B980" s="2">
        <v>44362</v>
      </c>
      <c r="C980" s="2">
        <v>44364</v>
      </c>
      <c r="D980" s="3" t="s">
        <v>1191</v>
      </c>
      <c r="E980" s="3">
        <v>11</v>
      </c>
      <c r="F980" s="3">
        <v>1</v>
      </c>
      <c r="G980" s="3">
        <f t="shared" si="52"/>
        <v>11</v>
      </c>
      <c r="H980" s="3" t="s">
        <v>291</v>
      </c>
      <c r="I980" s="1" t="s">
        <v>296</v>
      </c>
      <c r="J980" s="1" t="s">
        <v>297</v>
      </c>
      <c r="K980" s="1" t="s">
        <v>298</v>
      </c>
      <c r="L980" s="1" t="s">
        <v>267</v>
      </c>
      <c r="M980" s="1"/>
      <c r="N980" s="1">
        <f t="shared" si="51"/>
        <v>6</v>
      </c>
      <c r="O980" s="65"/>
    </row>
    <row r="981" spans="1:15" ht="15.75" hidden="1" x14ac:dyDescent="0.25">
      <c r="A981" s="1" t="str">
        <f t="shared" si="50"/>
        <v>443644436950MASTER CCTRANSPORTMETRO</v>
      </c>
      <c r="B981" s="2">
        <v>44364</v>
      </c>
      <c r="C981" s="2">
        <v>44369</v>
      </c>
      <c r="D981" s="3" t="s">
        <v>1190</v>
      </c>
      <c r="E981" s="3">
        <v>50</v>
      </c>
      <c r="F981" s="3">
        <v>1</v>
      </c>
      <c r="G981" s="3">
        <f t="shared" si="52"/>
        <v>50</v>
      </c>
      <c r="H981" s="3" t="s">
        <v>291</v>
      </c>
      <c r="I981" s="1" t="s">
        <v>296</v>
      </c>
      <c r="J981" s="1" t="s">
        <v>759</v>
      </c>
      <c r="K981" s="1" t="s">
        <v>298</v>
      </c>
      <c r="L981" s="1" t="s">
        <v>267</v>
      </c>
      <c r="M981" s="1"/>
      <c r="N981" s="1">
        <f t="shared" si="51"/>
        <v>6</v>
      </c>
      <c r="O981" s="65"/>
    </row>
    <row r="982" spans="1:15" ht="15.75" hidden="1" x14ac:dyDescent="0.25">
      <c r="A982" s="1" t="str">
        <f t="shared" si="50"/>
        <v>443654436716MASTER CCFOODWISHBOX</v>
      </c>
      <c r="B982" s="2">
        <v>44365</v>
      </c>
      <c r="C982" s="2">
        <v>44367</v>
      </c>
      <c r="D982" s="3" t="s">
        <v>1187</v>
      </c>
      <c r="E982" s="3">
        <v>16</v>
      </c>
      <c r="F982" s="3">
        <v>1</v>
      </c>
      <c r="G982" s="3">
        <f t="shared" si="52"/>
        <v>16</v>
      </c>
      <c r="H982" s="3" t="s">
        <v>291</v>
      </c>
      <c r="I982" s="1" t="s">
        <v>10</v>
      </c>
      <c r="J982" s="1" t="s">
        <v>1199</v>
      </c>
      <c r="K982" s="1" t="s">
        <v>298</v>
      </c>
      <c r="L982" s="1" t="s">
        <v>267</v>
      </c>
      <c r="M982" s="1"/>
      <c r="N982" s="1">
        <f t="shared" si="51"/>
        <v>6</v>
      </c>
      <c r="O982" s="65"/>
    </row>
    <row r="983" spans="1:15" ht="15.75" hidden="1" x14ac:dyDescent="0.25">
      <c r="A983" s="1" t="str">
        <f t="shared" si="50"/>
        <v>443654436714MASTER CCGROCERYPICK-N-PACK</v>
      </c>
      <c r="B983" s="2">
        <v>44365</v>
      </c>
      <c r="C983" s="2">
        <v>44367</v>
      </c>
      <c r="D983" s="3" t="s">
        <v>1188</v>
      </c>
      <c r="E983" s="3">
        <v>14</v>
      </c>
      <c r="F983" s="3">
        <v>1</v>
      </c>
      <c r="G983" s="3">
        <f t="shared" si="52"/>
        <v>14</v>
      </c>
      <c r="H983" s="3" t="s">
        <v>291</v>
      </c>
      <c r="I983" s="1" t="s">
        <v>43</v>
      </c>
      <c r="J983" s="1" t="s">
        <v>222</v>
      </c>
      <c r="K983" s="1" t="s">
        <v>298</v>
      </c>
      <c r="L983" s="1" t="s">
        <v>267</v>
      </c>
      <c r="M983" s="1"/>
      <c r="N983" s="1">
        <f t="shared" si="51"/>
        <v>6</v>
      </c>
      <c r="O983" s="65"/>
    </row>
    <row r="984" spans="1:15" ht="15.75" hidden="1" x14ac:dyDescent="0.25">
      <c r="A984" s="1" t="str">
        <f t="shared" si="50"/>
        <v>443654436727MASTER CCTRANSPORTCAREEM</v>
      </c>
      <c r="B984" s="2">
        <v>44365</v>
      </c>
      <c r="C984" s="2">
        <v>44367</v>
      </c>
      <c r="D984" s="3" t="s">
        <v>1189</v>
      </c>
      <c r="E984" s="3">
        <v>27</v>
      </c>
      <c r="F984" s="3">
        <v>1</v>
      </c>
      <c r="G984" s="3">
        <f t="shared" si="52"/>
        <v>27</v>
      </c>
      <c r="H984" s="3" t="s">
        <v>291</v>
      </c>
      <c r="I984" s="1" t="s">
        <v>296</v>
      </c>
      <c r="J984" s="1" t="s">
        <v>297</v>
      </c>
      <c r="K984" s="1" t="s">
        <v>298</v>
      </c>
      <c r="L984" s="1" t="s">
        <v>267</v>
      </c>
      <c r="M984" s="1"/>
      <c r="N984" s="1">
        <f t="shared" si="51"/>
        <v>6</v>
      </c>
      <c r="O984" s="65"/>
    </row>
    <row r="985" spans="1:15" ht="15.75" hidden="1" x14ac:dyDescent="0.25">
      <c r="A985" s="1" t="str">
        <f t="shared" si="50"/>
        <v>443664436734DINERSFOODCAFÉ/REST.</v>
      </c>
      <c r="B985" s="2">
        <v>44366</v>
      </c>
      <c r="C985" s="2">
        <v>44367</v>
      </c>
      <c r="D985" s="3" t="s">
        <v>1179</v>
      </c>
      <c r="E985" s="3">
        <v>34</v>
      </c>
      <c r="F985" s="3">
        <v>1</v>
      </c>
      <c r="G985" s="3">
        <f t="shared" si="52"/>
        <v>34</v>
      </c>
      <c r="H985" s="3" t="s">
        <v>266</v>
      </c>
      <c r="I985" s="1" t="s">
        <v>10</v>
      </c>
      <c r="J985" s="1" t="s">
        <v>11</v>
      </c>
      <c r="K985" s="1" t="s">
        <v>298</v>
      </c>
      <c r="L985" s="1" t="s">
        <v>267</v>
      </c>
      <c r="M985" s="1"/>
      <c r="N985" s="1">
        <f t="shared" si="51"/>
        <v>6</v>
      </c>
      <c r="O985" s="87"/>
    </row>
    <row r="986" spans="1:15" ht="15.75" hidden="1" x14ac:dyDescent="0.25">
      <c r="A986" s="1" t="str">
        <f t="shared" si="50"/>
        <v>44366443694.5MASTER CCGROCERYCARREFOUR</v>
      </c>
      <c r="B986" s="2">
        <v>44366</v>
      </c>
      <c r="C986" s="2">
        <v>44369</v>
      </c>
      <c r="D986" s="3" t="s">
        <v>1185</v>
      </c>
      <c r="E986" s="3">
        <v>4.5</v>
      </c>
      <c r="F986" s="3">
        <v>1</v>
      </c>
      <c r="G986" s="3">
        <f t="shared" si="52"/>
        <v>4.5</v>
      </c>
      <c r="H986" s="3" t="s">
        <v>291</v>
      </c>
      <c r="I986" s="1" t="s">
        <v>43</v>
      </c>
      <c r="J986" s="1" t="s">
        <v>67</v>
      </c>
      <c r="K986" s="1" t="s">
        <v>298</v>
      </c>
      <c r="L986" s="1" t="s">
        <v>267</v>
      </c>
      <c r="M986" s="1"/>
      <c r="N986" s="1">
        <f t="shared" si="51"/>
        <v>6</v>
      </c>
      <c r="O986" s="65"/>
    </row>
    <row r="987" spans="1:15" ht="15.75" hidden="1" x14ac:dyDescent="0.25">
      <c r="A987" s="1" t="str">
        <f t="shared" si="50"/>
        <v>443664436914MASTER CCTRANSPORTCAREEM</v>
      </c>
      <c r="B987" s="2">
        <v>44366</v>
      </c>
      <c r="C987" s="2">
        <v>44369</v>
      </c>
      <c r="D987" s="3" t="s">
        <v>1186</v>
      </c>
      <c r="E987" s="3">
        <v>14</v>
      </c>
      <c r="F987" s="3">
        <v>1</v>
      </c>
      <c r="G987" s="3">
        <f t="shared" si="52"/>
        <v>14</v>
      </c>
      <c r="H987" s="3" t="s">
        <v>291</v>
      </c>
      <c r="I987" s="1" t="s">
        <v>296</v>
      </c>
      <c r="J987" s="1" t="s">
        <v>297</v>
      </c>
      <c r="K987" s="1" t="s">
        <v>298</v>
      </c>
      <c r="L987" s="1" t="s">
        <v>267</v>
      </c>
      <c r="M987" s="1"/>
      <c r="N987" s="1">
        <f t="shared" si="51"/>
        <v>6</v>
      </c>
      <c r="O987" s="65"/>
    </row>
    <row r="988" spans="1:15" ht="15.75" hidden="1" x14ac:dyDescent="0.25">
      <c r="A988" s="1" t="str">
        <f t="shared" si="50"/>
        <v>443674437070MASTER CCFOODQATAR AIR</v>
      </c>
      <c r="B988" s="2">
        <v>44367</v>
      </c>
      <c r="C988" s="2">
        <v>44370</v>
      </c>
      <c r="D988" s="3" t="s">
        <v>1184</v>
      </c>
      <c r="E988" s="3">
        <v>70</v>
      </c>
      <c r="F988" s="3">
        <v>1</v>
      </c>
      <c r="G988" s="3">
        <f t="shared" si="52"/>
        <v>70</v>
      </c>
      <c r="H988" s="3" t="s">
        <v>291</v>
      </c>
      <c r="I988" s="1" t="s">
        <v>10</v>
      </c>
      <c r="J988" s="1" t="s">
        <v>19</v>
      </c>
      <c r="K988" s="1" t="s">
        <v>298</v>
      </c>
      <c r="L988" s="1" t="s">
        <v>267</v>
      </c>
      <c r="M988" s="1"/>
      <c r="N988" s="1">
        <f t="shared" si="51"/>
        <v>6</v>
      </c>
      <c r="O988" s="65"/>
    </row>
    <row r="989" spans="1:15" ht="15.75" hidden="1" x14ac:dyDescent="0.25">
      <c r="A989" s="1" t="str">
        <f t="shared" si="50"/>
        <v>443704437210MASTER CCFOODSIDEWALK</v>
      </c>
      <c r="B989" s="2">
        <v>44370</v>
      </c>
      <c r="C989" s="2">
        <v>44372</v>
      </c>
      <c r="D989" s="3" t="s">
        <v>1183</v>
      </c>
      <c r="E989" s="3">
        <v>10</v>
      </c>
      <c r="F989" s="3">
        <v>1</v>
      </c>
      <c r="G989" s="3">
        <f t="shared" si="52"/>
        <v>10</v>
      </c>
      <c r="H989" s="3" t="s">
        <v>291</v>
      </c>
      <c r="I989" s="1" t="s">
        <v>10</v>
      </c>
      <c r="J989" s="1" t="s">
        <v>1423</v>
      </c>
      <c r="K989" s="1" t="s">
        <v>298</v>
      </c>
      <c r="L989" s="1" t="s">
        <v>267</v>
      </c>
      <c r="M989" s="1"/>
      <c r="N989" s="1">
        <f t="shared" si="51"/>
        <v>6</v>
      </c>
      <c r="O989" s="65"/>
    </row>
    <row r="990" spans="1:15" ht="15.75" hidden="1" x14ac:dyDescent="0.25">
      <c r="A990" s="1" t="str">
        <f t="shared" si="50"/>
        <v>443714437250MASTER CCTELECOMVODAFONE</v>
      </c>
      <c r="B990" s="2">
        <v>44371</v>
      </c>
      <c r="C990" s="2">
        <v>44372</v>
      </c>
      <c r="D990" s="3" t="s">
        <v>1196</v>
      </c>
      <c r="E990" s="3">
        <v>50</v>
      </c>
      <c r="F990" s="3">
        <v>1</v>
      </c>
      <c r="G990" s="3">
        <f t="shared" si="52"/>
        <v>50</v>
      </c>
      <c r="H990" s="3" t="s">
        <v>291</v>
      </c>
      <c r="I990" s="1" t="s">
        <v>58</v>
      </c>
      <c r="J990" s="1" t="s">
        <v>78</v>
      </c>
      <c r="K990" s="1" t="s">
        <v>298</v>
      </c>
      <c r="L990" s="1" t="s">
        <v>267</v>
      </c>
      <c r="M990" s="1"/>
      <c r="N990" s="1">
        <f t="shared" si="51"/>
        <v>6</v>
      </c>
      <c r="O990" s="65"/>
    </row>
    <row r="991" spans="1:15" ht="15.75" hidden="1" x14ac:dyDescent="0.25">
      <c r="A991" s="1" t="str">
        <f t="shared" si="50"/>
        <v>443714437210MASTER CCTELECOMVODAFONE</v>
      </c>
      <c r="B991" s="2">
        <v>44371</v>
      </c>
      <c r="C991" s="2">
        <v>44372</v>
      </c>
      <c r="D991" s="3" t="s">
        <v>1197</v>
      </c>
      <c r="E991" s="3">
        <v>10</v>
      </c>
      <c r="F991" s="3">
        <v>1</v>
      </c>
      <c r="G991" s="3">
        <f t="shared" si="52"/>
        <v>10</v>
      </c>
      <c r="H991" s="3" t="s">
        <v>291</v>
      </c>
      <c r="I991" s="1" t="s">
        <v>58</v>
      </c>
      <c r="J991" s="1" t="s">
        <v>78</v>
      </c>
      <c r="K991" s="1" t="s">
        <v>298</v>
      </c>
      <c r="L991" s="1" t="s">
        <v>267</v>
      </c>
      <c r="M991" s="1"/>
      <c r="N991" s="1">
        <f t="shared" si="51"/>
        <v>6</v>
      </c>
      <c r="O991" s="65"/>
    </row>
    <row r="992" spans="1:15" ht="15.75" hidden="1" x14ac:dyDescent="0.25">
      <c r="A992" s="1" t="str">
        <f t="shared" si="50"/>
        <v>4437144372100MASTER CCTELECOMVODAFONE</v>
      </c>
      <c r="B992" s="2">
        <v>44371</v>
      </c>
      <c r="C992" s="2">
        <v>44372</v>
      </c>
      <c r="D992" s="3" t="s">
        <v>1195</v>
      </c>
      <c r="E992" s="3">
        <v>100</v>
      </c>
      <c r="F992" s="3">
        <v>1</v>
      </c>
      <c r="G992" s="3">
        <f t="shared" si="52"/>
        <v>100</v>
      </c>
      <c r="H992" s="3" t="s">
        <v>291</v>
      </c>
      <c r="I992" s="1" t="s">
        <v>58</v>
      </c>
      <c r="J992" s="1" t="s">
        <v>78</v>
      </c>
      <c r="K992" s="1" t="s">
        <v>298</v>
      </c>
      <c r="L992" s="1" t="s">
        <v>267</v>
      </c>
      <c r="M992" s="1"/>
      <c r="N992" s="1">
        <f t="shared" si="51"/>
        <v>6</v>
      </c>
      <c r="O992" s="65"/>
    </row>
    <row r="993" spans="1:15" ht="15.75" hidden="1" x14ac:dyDescent="0.25">
      <c r="A993" s="1" t="str">
        <f t="shared" si="50"/>
        <v>443714437411.09DINERSTRANSPORTUBER</v>
      </c>
      <c r="B993" s="2">
        <v>44371</v>
      </c>
      <c r="C993" s="2">
        <v>44374</v>
      </c>
      <c r="D993" s="3" t="s">
        <v>1178</v>
      </c>
      <c r="E993" s="3">
        <v>11.09</v>
      </c>
      <c r="F993" s="3">
        <v>1</v>
      </c>
      <c r="G993" s="3">
        <f t="shared" si="52"/>
        <v>11.09</v>
      </c>
      <c r="H993" s="3" t="s">
        <v>266</v>
      </c>
      <c r="I993" s="1" t="s">
        <v>296</v>
      </c>
      <c r="J993" s="1" t="s">
        <v>299</v>
      </c>
      <c r="K993" s="1" t="s">
        <v>298</v>
      </c>
      <c r="L993" s="1" t="s">
        <v>267</v>
      </c>
      <c r="M993" s="1"/>
      <c r="N993" s="1">
        <f t="shared" si="51"/>
        <v>6</v>
      </c>
      <c r="O993" s="87"/>
    </row>
    <row r="994" spans="1:15" ht="15.75" hidden="1" x14ac:dyDescent="0.25">
      <c r="A994" s="1" t="str">
        <f t="shared" si="50"/>
        <v>44371443748.64DINERSTRANSPORTUBER</v>
      </c>
      <c r="B994" s="2">
        <v>44371</v>
      </c>
      <c r="C994" s="2">
        <v>44374</v>
      </c>
      <c r="D994" s="3" t="s">
        <v>1194</v>
      </c>
      <c r="E994" s="3">
        <v>8.64</v>
      </c>
      <c r="F994" s="3">
        <v>1</v>
      </c>
      <c r="G994" s="3">
        <f t="shared" si="52"/>
        <v>8.64</v>
      </c>
      <c r="H994" s="3" t="s">
        <v>266</v>
      </c>
      <c r="I994" s="1" t="s">
        <v>296</v>
      </c>
      <c r="J994" s="1" t="s">
        <v>299</v>
      </c>
      <c r="K994" s="1" t="s">
        <v>298</v>
      </c>
      <c r="L994" s="1" t="s">
        <v>267</v>
      </c>
      <c r="M994" s="1"/>
      <c r="N994" s="1">
        <f t="shared" si="51"/>
        <v>6</v>
      </c>
      <c r="O994" s="87"/>
    </row>
    <row r="995" spans="1:15" ht="15.75" hidden="1" x14ac:dyDescent="0.25">
      <c r="A995" s="1" t="str">
        <f t="shared" si="50"/>
        <v>44371443767MASTER CCFOODCAFÉ/REST.</v>
      </c>
      <c r="B995" s="2">
        <v>44371</v>
      </c>
      <c r="C995" s="2">
        <v>44376</v>
      </c>
      <c r="D995" s="3" t="s">
        <v>1181</v>
      </c>
      <c r="E995" s="3">
        <v>7</v>
      </c>
      <c r="F995" s="3">
        <v>1</v>
      </c>
      <c r="G995" s="3">
        <f t="shared" si="52"/>
        <v>7</v>
      </c>
      <c r="H995" s="3" t="s">
        <v>291</v>
      </c>
      <c r="I995" s="1" t="s">
        <v>10</v>
      </c>
      <c r="J995" s="1" t="s">
        <v>11</v>
      </c>
      <c r="K995" s="1" t="s">
        <v>298</v>
      </c>
      <c r="L995" s="1" t="s">
        <v>267</v>
      </c>
      <c r="M995" s="1"/>
      <c r="N995" s="1">
        <f t="shared" si="51"/>
        <v>6</v>
      </c>
      <c r="O995" s="65"/>
    </row>
    <row r="996" spans="1:15" ht="15.75" hidden="1" x14ac:dyDescent="0.25">
      <c r="A996" s="1" t="str">
        <f t="shared" si="50"/>
        <v>443714437613MASTER CCFOODCAFÉ/REST.</v>
      </c>
      <c r="B996" s="2">
        <v>44371</v>
      </c>
      <c r="C996" s="2">
        <v>44376</v>
      </c>
      <c r="D996" s="3" t="s">
        <v>1182</v>
      </c>
      <c r="E996" s="3">
        <v>13</v>
      </c>
      <c r="F996" s="3">
        <v>1</v>
      </c>
      <c r="G996" s="3">
        <f t="shared" si="52"/>
        <v>13</v>
      </c>
      <c r="H996" s="3" t="s">
        <v>291</v>
      </c>
      <c r="I996" s="1" t="s">
        <v>10</v>
      </c>
      <c r="J996" s="1" t="s">
        <v>11</v>
      </c>
      <c r="K996" s="1" t="s">
        <v>298</v>
      </c>
      <c r="L996" s="1" t="s">
        <v>267</v>
      </c>
      <c r="M996" s="1"/>
      <c r="N996" s="1">
        <f t="shared" si="51"/>
        <v>6</v>
      </c>
      <c r="O996" s="65"/>
    </row>
    <row r="997" spans="1:15" ht="15.75" hidden="1" x14ac:dyDescent="0.25">
      <c r="A997" s="1" t="str">
        <f t="shared" si="50"/>
        <v>443714437466MASTER CCFOODCAFÉ/REST.</v>
      </c>
      <c r="B997" s="2">
        <v>44371</v>
      </c>
      <c r="C997" s="2">
        <v>44374</v>
      </c>
      <c r="D997" s="3" t="s">
        <v>1198</v>
      </c>
      <c r="E997" s="3">
        <v>66</v>
      </c>
      <c r="F997" s="3">
        <v>1</v>
      </c>
      <c r="G997" s="3">
        <f t="shared" si="52"/>
        <v>66</v>
      </c>
      <c r="H997" s="3" t="s">
        <v>291</v>
      </c>
      <c r="I997" s="1" t="s">
        <v>10</v>
      </c>
      <c r="J997" s="1" t="s">
        <v>11</v>
      </c>
      <c r="K997" s="1" t="s">
        <v>298</v>
      </c>
      <c r="L997" s="1" t="s">
        <v>267</v>
      </c>
      <c r="M997" s="1"/>
      <c r="N997" s="1">
        <f t="shared" si="51"/>
        <v>6</v>
      </c>
      <c r="O997" s="65"/>
    </row>
    <row r="998" spans="1:15" ht="15.75" hidden="1" x14ac:dyDescent="0.25">
      <c r="A998" s="1" t="str">
        <f t="shared" si="50"/>
        <v>443724437611.66DINERSTRANSPORTUBER</v>
      </c>
      <c r="B998" s="2">
        <v>44372</v>
      </c>
      <c r="C998" s="2">
        <v>44376</v>
      </c>
      <c r="D998" s="3" t="s">
        <v>1239</v>
      </c>
      <c r="E998" s="3">
        <v>11.66</v>
      </c>
      <c r="F998" s="3">
        <v>1</v>
      </c>
      <c r="G998" s="3">
        <f t="shared" si="52"/>
        <v>11.66</v>
      </c>
      <c r="H998" s="3" t="s">
        <v>266</v>
      </c>
      <c r="I998" s="1" t="s">
        <v>296</v>
      </c>
      <c r="J998" s="1" t="s">
        <v>299</v>
      </c>
      <c r="K998" s="1" t="s">
        <v>298</v>
      </c>
      <c r="L998" s="1" t="s">
        <v>267</v>
      </c>
      <c r="M998" s="1"/>
      <c r="N998" s="1">
        <f t="shared" si="51"/>
        <v>6</v>
      </c>
      <c r="O998" s="87"/>
    </row>
    <row r="999" spans="1:15" ht="15.75" hidden="1" x14ac:dyDescent="0.25">
      <c r="A999" s="1" t="str">
        <f t="shared" si="50"/>
        <v>4437244373114DINERSGROCERYLULU</v>
      </c>
      <c r="B999" s="2">
        <v>44372</v>
      </c>
      <c r="C999" s="2">
        <v>44373</v>
      </c>
      <c r="D999" s="3" t="s">
        <v>1240</v>
      </c>
      <c r="E999" s="3">
        <v>114</v>
      </c>
      <c r="F999" s="3">
        <v>1</v>
      </c>
      <c r="G999" s="3">
        <f t="shared" si="52"/>
        <v>114</v>
      </c>
      <c r="H999" s="3" t="s">
        <v>266</v>
      </c>
      <c r="I999" s="1" t="s">
        <v>43</v>
      </c>
      <c r="J999" s="1" t="s">
        <v>44</v>
      </c>
      <c r="K999" s="1" t="s">
        <v>298</v>
      </c>
      <c r="L999" s="1" t="s">
        <v>267</v>
      </c>
      <c r="M999" s="1"/>
      <c r="N999" s="1">
        <f t="shared" si="51"/>
        <v>6</v>
      </c>
      <c r="O999" s="87"/>
    </row>
    <row r="1000" spans="1:15" ht="15.75" hidden="1" x14ac:dyDescent="0.25">
      <c r="A1000" s="1" t="str">
        <f t="shared" si="50"/>
        <v>443724437377.41DINERSGROCERYLULU</v>
      </c>
      <c r="B1000" s="2">
        <v>44372</v>
      </c>
      <c r="C1000" s="2">
        <v>44373</v>
      </c>
      <c r="D1000" s="3" t="s">
        <v>1241</v>
      </c>
      <c r="E1000" s="3">
        <v>77.41</v>
      </c>
      <c r="F1000" s="3">
        <v>1</v>
      </c>
      <c r="G1000" s="3">
        <f t="shared" si="52"/>
        <v>77.41</v>
      </c>
      <c r="H1000" s="3" t="s">
        <v>266</v>
      </c>
      <c r="I1000" s="1" t="s">
        <v>43</v>
      </c>
      <c r="J1000" s="1" t="s">
        <v>44</v>
      </c>
      <c r="K1000" s="1" t="s">
        <v>298</v>
      </c>
      <c r="L1000" s="1" t="s">
        <v>267</v>
      </c>
      <c r="M1000" s="1"/>
      <c r="N1000" s="1">
        <f t="shared" si="51"/>
        <v>6</v>
      </c>
      <c r="O1000" s="87"/>
    </row>
    <row r="1001" spans="1:15" ht="15.75" hidden="1" x14ac:dyDescent="0.25">
      <c r="A1001" s="1" t="str">
        <f t="shared" si="50"/>
        <v>443724437410MASTER CCTRANSPORTCAREEM</v>
      </c>
      <c r="B1001" s="2">
        <v>44372</v>
      </c>
      <c r="C1001" s="2">
        <v>44374</v>
      </c>
      <c r="D1001" s="3" t="s">
        <v>1245</v>
      </c>
      <c r="E1001" s="3">
        <v>10</v>
      </c>
      <c r="F1001" s="3">
        <v>1</v>
      </c>
      <c r="G1001" s="3">
        <f t="shared" si="52"/>
        <v>10</v>
      </c>
      <c r="H1001" s="3" t="s">
        <v>291</v>
      </c>
      <c r="I1001" s="1" t="s">
        <v>296</v>
      </c>
      <c r="J1001" s="1" t="s">
        <v>297</v>
      </c>
      <c r="K1001" s="1" t="s">
        <v>298</v>
      </c>
      <c r="L1001" s="1" t="s">
        <v>267</v>
      </c>
      <c r="M1001" s="1"/>
      <c r="N1001" s="1">
        <f t="shared" si="51"/>
        <v>6</v>
      </c>
      <c r="O1001" s="65"/>
    </row>
    <row r="1002" spans="1:15" ht="15.75" hidden="1" x14ac:dyDescent="0.25">
      <c r="A1002" s="1" t="str">
        <f t="shared" si="50"/>
        <v>443734437424.75DINERSGROCERYPICK-N-PACK</v>
      </c>
      <c r="B1002" s="2">
        <v>44373</v>
      </c>
      <c r="C1002" s="2">
        <v>44374</v>
      </c>
      <c r="D1002" s="3" t="s">
        <v>1238</v>
      </c>
      <c r="E1002" s="3">
        <v>24.75</v>
      </c>
      <c r="F1002" s="3">
        <v>1</v>
      </c>
      <c r="G1002" s="3">
        <f t="shared" si="52"/>
        <v>24.75</v>
      </c>
      <c r="H1002" s="3" t="s">
        <v>266</v>
      </c>
      <c r="I1002" s="1" t="s">
        <v>43</v>
      </c>
      <c r="J1002" s="1" t="s">
        <v>222</v>
      </c>
      <c r="K1002" s="1" t="s">
        <v>298</v>
      </c>
      <c r="L1002" s="1" t="s">
        <v>267</v>
      </c>
      <c r="M1002" s="1"/>
      <c r="N1002" s="1">
        <f t="shared" si="51"/>
        <v>6</v>
      </c>
      <c r="O1002" s="87"/>
    </row>
    <row r="1003" spans="1:15" ht="15.75" hidden="1" x14ac:dyDescent="0.25">
      <c r="A1003" s="1" t="str">
        <f t="shared" si="50"/>
        <v>443744437750MASTER CCTELECOMOOREDOO</v>
      </c>
      <c r="B1003" s="2">
        <v>44374</v>
      </c>
      <c r="C1003" s="2">
        <v>44377</v>
      </c>
      <c r="D1003" s="3" t="s">
        <v>1244</v>
      </c>
      <c r="E1003" s="3">
        <v>50</v>
      </c>
      <c r="F1003" s="3">
        <v>1</v>
      </c>
      <c r="G1003" s="3">
        <f t="shared" si="52"/>
        <v>50</v>
      </c>
      <c r="H1003" s="3" t="s">
        <v>291</v>
      </c>
      <c r="I1003" s="1" t="s">
        <v>58</v>
      </c>
      <c r="J1003" s="1" t="s">
        <v>59</v>
      </c>
      <c r="K1003" s="1" t="s">
        <v>298</v>
      </c>
      <c r="L1003" s="1" t="s">
        <v>267</v>
      </c>
      <c r="M1003" s="1"/>
      <c r="N1003" s="1">
        <f t="shared" si="51"/>
        <v>6</v>
      </c>
      <c r="O1003" s="65"/>
    </row>
    <row r="1004" spans="1:15" ht="15.75" hidden="1" x14ac:dyDescent="0.25">
      <c r="A1004" s="1" t="str">
        <f t="shared" si="50"/>
        <v>443744437710MASTER CCTELECOMOOREDOO</v>
      </c>
      <c r="B1004" s="2">
        <v>44374</v>
      </c>
      <c r="C1004" s="2">
        <v>44377</v>
      </c>
      <c r="D1004" s="3" t="s">
        <v>1243</v>
      </c>
      <c r="E1004" s="3">
        <v>10</v>
      </c>
      <c r="F1004" s="3">
        <v>1</v>
      </c>
      <c r="G1004" s="3">
        <f t="shared" si="52"/>
        <v>10</v>
      </c>
      <c r="H1004" s="3" t="s">
        <v>291</v>
      </c>
      <c r="I1004" s="1" t="s">
        <v>58</v>
      </c>
      <c r="J1004" s="1" t="s">
        <v>59</v>
      </c>
      <c r="K1004" s="1" t="s">
        <v>298</v>
      </c>
      <c r="L1004" s="1" t="s">
        <v>267</v>
      </c>
      <c r="M1004" s="1"/>
      <c r="N1004" s="1">
        <f t="shared" si="51"/>
        <v>6</v>
      </c>
      <c r="O1004" s="65"/>
    </row>
    <row r="1005" spans="1:15" ht="15.75" hidden="1" x14ac:dyDescent="0.25">
      <c r="A1005" s="1" t="str">
        <f t="shared" si="50"/>
        <v>443744437485CURRENTSHOPPINGIKEA</v>
      </c>
      <c r="B1005" s="2">
        <v>44374</v>
      </c>
      <c r="C1005" s="2">
        <v>44374</v>
      </c>
      <c r="D1005" s="3" t="s">
        <v>1200</v>
      </c>
      <c r="E1005" s="3">
        <v>-85</v>
      </c>
      <c r="F1005" s="3">
        <v>1</v>
      </c>
      <c r="G1005" s="3">
        <f t="shared" si="52"/>
        <v>85</v>
      </c>
      <c r="H1005" s="3" t="s">
        <v>293</v>
      </c>
      <c r="I1005" s="1" t="s">
        <v>194</v>
      </c>
      <c r="J1005" s="1" t="s">
        <v>192</v>
      </c>
      <c r="K1005" s="1" t="s">
        <v>298</v>
      </c>
      <c r="L1005" s="1" t="s">
        <v>257</v>
      </c>
      <c r="M1005" s="1"/>
      <c r="N1005" s="1">
        <f t="shared" si="51"/>
        <v>6</v>
      </c>
      <c r="O1005" s="65"/>
    </row>
    <row r="1006" spans="1:15" ht="15.75" hidden="1" x14ac:dyDescent="0.25">
      <c r="A1006" s="1" t="str">
        <f t="shared" si="50"/>
        <v>4437444374333DINERSSHOPPINGLULU</v>
      </c>
      <c r="B1006" s="2">
        <v>44374</v>
      </c>
      <c r="C1006" s="2">
        <v>44374</v>
      </c>
      <c r="D1006" s="3" t="s">
        <v>1161</v>
      </c>
      <c r="E1006" s="3">
        <v>333</v>
      </c>
      <c r="F1006" s="3">
        <v>1</v>
      </c>
      <c r="G1006" s="3">
        <f t="shared" si="52"/>
        <v>333</v>
      </c>
      <c r="H1006" s="3" t="s">
        <v>266</v>
      </c>
      <c r="I1006" s="1" t="s">
        <v>194</v>
      </c>
      <c r="J1006" s="1" t="s">
        <v>44</v>
      </c>
      <c r="K1006" s="1" t="s">
        <v>298</v>
      </c>
      <c r="L1006" s="1" t="s">
        <v>267</v>
      </c>
      <c r="M1006" s="1">
        <v>1</v>
      </c>
      <c r="N1006" s="1">
        <f t="shared" si="51"/>
        <v>6</v>
      </c>
      <c r="O1006" s="87"/>
    </row>
    <row r="1007" spans="1:15" ht="15.75" hidden="1" x14ac:dyDescent="0.25">
      <c r="A1007" s="1" t="str">
        <f t="shared" si="50"/>
        <v>443754437520503CURRENTSALARYQATAR AIR</v>
      </c>
      <c r="B1007" s="2">
        <v>44375</v>
      </c>
      <c r="C1007" s="2">
        <v>44375</v>
      </c>
      <c r="D1007" s="3" t="s">
        <v>1237</v>
      </c>
      <c r="E1007" s="3">
        <v>20503</v>
      </c>
      <c r="F1007" s="3">
        <v>1</v>
      </c>
      <c r="G1007" s="3">
        <f t="shared" si="52"/>
        <v>20503</v>
      </c>
      <c r="H1007" s="3" t="s">
        <v>293</v>
      </c>
      <c r="I1007" s="1" t="s">
        <v>18</v>
      </c>
      <c r="J1007" s="1" t="s">
        <v>19</v>
      </c>
      <c r="K1007" s="1" t="s">
        <v>300</v>
      </c>
      <c r="L1007" s="1" t="s">
        <v>257</v>
      </c>
      <c r="M1007" s="1"/>
      <c r="N1007" s="1">
        <f t="shared" si="51"/>
        <v>6</v>
      </c>
      <c r="O1007" s="65"/>
    </row>
    <row r="1008" spans="1:15" ht="15.75" hidden="1" x14ac:dyDescent="0.25">
      <c r="A1008" s="1" t="str">
        <f t="shared" si="50"/>
        <v>4437644383100MASTER CCMEDICALHEALTH CENTER</v>
      </c>
      <c r="B1008" s="2">
        <v>44376</v>
      </c>
      <c r="C1008" s="2">
        <v>44383</v>
      </c>
      <c r="D1008" s="3" t="s">
        <v>1242</v>
      </c>
      <c r="E1008" s="3">
        <v>100</v>
      </c>
      <c r="F1008" s="3">
        <v>1</v>
      </c>
      <c r="G1008" s="3">
        <f t="shared" si="52"/>
        <v>100</v>
      </c>
      <c r="H1008" s="3" t="s">
        <v>291</v>
      </c>
      <c r="I1008" s="1" t="s">
        <v>301</v>
      </c>
      <c r="J1008" s="1" t="s">
        <v>159</v>
      </c>
      <c r="K1008" s="1" t="s">
        <v>298</v>
      </c>
      <c r="L1008" s="1" t="s">
        <v>267</v>
      </c>
      <c r="M1008" s="1"/>
      <c r="N1008" s="1">
        <f t="shared" si="51"/>
        <v>7</v>
      </c>
      <c r="O1008" s="65"/>
    </row>
    <row r="1009" spans="1:15" ht="15.75" hidden="1" x14ac:dyDescent="0.25">
      <c r="A1009" s="1" t="str">
        <f t="shared" si="50"/>
        <v>443764437650CURRENTFOODCAFÉ/REST.</v>
      </c>
      <c r="B1009" s="2">
        <v>44376</v>
      </c>
      <c r="C1009" s="2">
        <v>44376</v>
      </c>
      <c r="D1009" s="3" t="s">
        <v>1235</v>
      </c>
      <c r="E1009" s="3">
        <v>-50</v>
      </c>
      <c r="F1009" s="3">
        <v>1</v>
      </c>
      <c r="G1009" s="3">
        <f t="shared" si="52"/>
        <v>50</v>
      </c>
      <c r="H1009" s="3" t="s">
        <v>293</v>
      </c>
      <c r="I1009" s="1" t="s">
        <v>10</v>
      </c>
      <c r="J1009" s="1" t="s">
        <v>11</v>
      </c>
      <c r="K1009" s="1" t="s">
        <v>298</v>
      </c>
      <c r="L1009" s="1" t="s">
        <v>257</v>
      </c>
      <c r="M1009" s="1"/>
      <c r="N1009" s="1">
        <f t="shared" si="51"/>
        <v>6</v>
      </c>
      <c r="O1009" s="65"/>
    </row>
    <row r="1010" spans="1:15" ht="15.75" hidden="1" x14ac:dyDescent="0.25">
      <c r="A1010" s="1" t="str">
        <f t="shared" si="50"/>
        <v>443764437631CURRENTFOODCAFÉ/REST.</v>
      </c>
      <c r="B1010" s="2">
        <v>44376</v>
      </c>
      <c r="C1010" s="2">
        <v>44376</v>
      </c>
      <c r="D1010" s="3" t="s">
        <v>1236</v>
      </c>
      <c r="E1010" s="3">
        <v>-31</v>
      </c>
      <c r="F1010" s="3">
        <v>1</v>
      </c>
      <c r="G1010" s="3">
        <f t="shared" si="52"/>
        <v>31</v>
      </c>
      <c r="H1010" s="3" t="s">
        <v>293</v>
      </c>
      <c r="I1010" s="1" t="s">
        <v>10</v>
      </c>
      <c r="J1010" s="1" t="s">
        <v>11</v>
      </c>
      <c r="K1010" s="1" t="s">
        <v>298</v>
      </c>
      <c r="L1010" s="1" t="s">
        <v>257</v>
      </c>
      <c r="M1010" s="1"/>
      <c r="N1010" s="1">
        <f t="shared" si="51"/>
        <v>6</v>
      </c>
      <c r="O1010" s="65"/>
    </row>
    <row r="1011" spans="1:15" ht="15.75" hidden="1" x14ac:dyDescent="0.25">
      <c r="A1011" s="1" t="str">
        <f t="shared" si="50"/>
        <v>44376443761611.1CURRENTCC BILL PAYMENTBANK</v>
      </c>
      <c r="B1011" s="2">
        <v>44376</v>
      </c>
      <c r="C1011" s="2">
        <v>44376</v>
      </c>
      <c r="D1011" s="3" t="s">
        <v>1246</v>
      </c>
      <c r="E1011" s="3">
        <v>-1611.1</v>
      </c>
      <c r="F1011" s="3">
        <v>1</v>
      </c>
      <c r="G1011" s="3">
        <f t="shared" si="52"/>
        <v>1611.1</v>
      </c>
      <c r="H1011" s="3" t="s">
        <v>293</v>
      </c>
      <c r="I1011" s="1" t="s">
        <v>81</v>
      </c>
      <c r="J1011" s="1" t="s">
        <v>8</v>
      </c>
      <c r="K1011" s="1" t="s">
        <v>298</v>
      </c>
      <c r="L1011" s="1" t="s">
        <v>257</v>
      </c>
      <c r="M1011" s="1"/>
      <c r="N1011" s="1">
        <f t="shared" si="51"/>
        <v>6</v>
      </c>
      <c r="O1011" s="65"/>
    </row>
    <row r="1012" spans="1:15" ht="15.75" hidden="1" x14ac:dyDescent="0.25">
      <c r="A1012" s="1" t="str">
        <f t="shared" si="50"/>
        <v>44376443761611.1DINERSCC BILL PAYMENTBANK</v>
      </c>
      <c r="B1012" s="2">
        <v>44376</v>
      </c>
      <c r="C1012" s="2">
        <v>44376</v>
      </c>
      <c r="D1012" s="3" t="s">
        <v>80</v>
      </c>
      <c r="E1012" s="3">
        <v>-1611.1</v>
      </c>
      <c r="F1012" s="3">
        <v>1</v>
      </c>
      <c r="G1012" s="3">
        <f t="shared" si="52"/>
        <v>1611.1</v>
      </c>
      <c r="H1012" s="3" t="s">
        <v>266</v>
      </c>
      <c r="I1012" s="1" t="s">
        <v>81</v>
      </c>
      <c r="J1012" s="1" t="s">
        <v>8</v>
      </c>
      <c r="K1012" s="1" t="s">
        <v>300</v>
      </c>
      <c r="L1012" s="1" t="s">
        <v>267</v>
      </c>
      <c r="M1012" s="1"/>
      <c r="N1012" s="1">
        <f t="shared" si="51"/>
        <v>6</v>
      </c>
      <c r="O1012" s="87"/>
    </row>
    <row r="1013" spans="1:15" ht="15.75" hidden="1" x14ac:dyDescent="0.25">
      <c r="A1013" s="1" t="str">
        <f t="shared" si="50"/>
        <v>44378443837MASTER CCMEDICALHEALTH CENTER</v>
      </c>
      <c r="B1013" s="2">
        <v>44378</v>
      </c>
      <c r="C1013" s="2">
        <v>44383</v>
      </c>
      <c r="D1013" s="3" t="s">
        <v>1254</v>
      </c>
      <c r="E1013" s="3">
        <v>7</v>
      </c>
      <c r="F1013" s="3">
        <v>1</v>
      </c>
      <c r="G1013" s="3">
        <f t="shared" si="52"/>
        <v>7</v>
      </c>
      <c r="H1013" s="3" t="s">
        <v>291</v>
      </c>
      <c r="I1013" s="1" t="s">
        <v>301</v>
      </c>
      <c r="J1013" s="1" t="s">
        <v>159</v>
      </c>
      <c r="K1013" s="1" t="s">
        <v>298</v>
      </c>
      <c r="L1013" s="1" t="s">
        <v>267</v>
      </c>
      <c r="M1013" s="1"/>
      <c r="N1013" s="1">
        <f t="shared" si="51"/>
        <v>7</v>
      </c>
      <c r="O1013" s="65"/>
    </row>
    <row r="1014" spans="1:15" ht="15.75" hidden="1" x14ac:dyDescent="0.25">
      <c r="A1014" s="1" t="str">
        <f t="shared" si="50"/>
        <v>443784438011MASTER CCTRANSPORTCAREEM</v>
      </c>
      <c r="B1014" s="2">
        <v>44378</v>
      </c>
      <c r="C1014" s="2">
        <v>44380</v>
      </c>
      <c r="D1014" s="3" t="s">
        <v>1253</v>
      </c>
      <c r="E1014" s="3">
        <v>11</v>
      </c>
      <c r="F1014" s="3">
        <v>1</v>
      </c>
      <c r="G1014" s="3">
        <f t="shared" si="52"/>
        <v>11</v>
      </c>
      <c r="H1014" s="3" t="s">
        <v>291</v>
      </c>
      <c r="I1014" s="1" t="s">
        <v>296</v>
      </c>
      <c r="J1014" s="1" t="s">
        <v>297</v>
      </c>
      <c r="K1014" s="1" t="s">
        <v>298</v>
      </c>
      <c r="L1014" s="1" t="s">
        <v>267</v>
      </c>
      <c r="M1014" s="1"/>
      <c r="N1014" s="1">
        <f t="shared" si="51"/>
        <v>7</v>
      </c>
      <c r="O1014" s="65"/>
    </row>
    <row r="1015" spans="1:15" ht="15.75" hidden="1" x14ac:dyDescent="0.25">
      <c r="A1015" s="1" t="str">
        <f t="shared" si="50"/>
        <v>443794438315.19DINERSTRANSPORTUBER</v>
      </c>
      <c r="B1015" s="2">
        <v>44379</v>
      </c>
      <c r="C1015" s="2">
        <v>44383</v>
      </c>
      <c r="D1015" s="3" t="s">
        <v>1274</v>
      </c>
      <c r="E1015" s="3">
        <v>15.19</v>
      </c>
      <c r="F1015" s="3">
        <v>1</v>
      </c>
      <c r="G1015" s="3">
        <f t="shared" si="52"/>
        <v>15.19</v>
      </c>
      <c r="H1015" s="3" t="s">
        <v>266</v>
      </c>
      <c r="I1015" s="1" t="s">
        <v>296</v>
      </c>
      <c r="J1015" s="1" t="s">
        <v>299</v>
      </c>
      <c r="K1015" s="1" t="s">
        <v>298</v>
      </c>
      <c r="L1015" s="1" t="s">
        <v>267</v>
      </c>
      <c r="M1015" s="1"/>
      <c r="N1015" s="1">
        <f t="shared" si="51"/>
        <v>7</v>
      </c>
      <c r="O1015" s="87"/>
    </row>
    <row r="1016" spans="1:15" ht="15.75" hidden="1" x14ac:dyDescent="0.25">
      <c r="A1016" s="1" t="str">
        <f t="shared" si="50"/>
        <v>44379443838.15DINERSTRANSPORTUBER</v>
      </c>
      <c r="B1016" s="2">
        <v>44379</v>
      </c>
      <c r="C1016" s="2">
        <v>44383</v>
      </c>
      <c r="D1016" s="3" t="s">
        <v>1275</v>
      </c>
      <c r="E1016" s="3">
        <v>8.15</v>
      </c>
      <c r="F1016" s="3">
        <v>1</v>
      </c>
      <c r="G1016" s="3">
        <f t="shared" si="52"/>
        <v>8.15</v>
      </c>
      <c r="H1016" s="3" t="s">
        <v>266</v>
      </c>
      <c r="I1016" s="1" t="s">
        <v>296</v>
      </c>
      <c r="J1016" s="1" t="s">
        <v>299</v>
      </c>
      <c r="K1016" s="1" t="s">
        <v>298</v>
      </c>
      <c r="L1016" s="1" t="s">
        <v>267</v>
      </c>
      <c r="M1016" s="1"/>
      <c r="N1016" s="1">
        <f t="shared" si="51"/>
        <v>7</v>
      </c>
      <c r="O1016" s="87"/>
    </row>
    <row r="1017" spans="1:15" ht="15.75" hidden="1" x14ac:dyDescent="0.25">
      <c r="A1017" s="1" t="str">
        <f t="shared" si="50"/>
        <v>443794438016.5DINERSGROCERYPICK-N-PACK</v>
      </c>
      <c r="B1017" s="2">
        <v>44379</v>
      </c>
      <c r="C1017" s="2">
        <v>44380</v>
      </c>
      <c r="D1017" s="3" t="s">
        <v>1250</v>
      </c>
      <c r="E1017" s="3">
        <v>16.5</v>
      </c>
      <c r="F1017" s="3">
        <v>1</v>
      </c>
      <c r="G1017" s="3">
        <f t="shared" si="52"/>
        <v>16.5</v>
      </c>
      <c r="H1017" s="3" t="s">
        <v>266</v>
      </c>
      <c r="I1017" s="1" t="s">
        <v>43</v>
      </c>
      <c r="J1017" s="1" t="s">
        <v>222</v>
      </c>
      <c r="K1017" s="1" t="s">
        <v>298</v>
      </c>
      <c r="L1017" s="1" t="s">
        <v>267</v>
      </c>
      <c r="M1017" s="1"/>
      <c r="N1017" s="1">
        <f t="shared" si="51"/>
        <v>7</v>
      </c>
      <c r="O1017" s="87"/>
    </row>
    <row r="1018" spans="1:15" ht="15.75" hidden="1" x14ac:dyDescent="0.25">
      <c r="A1018" s="1" t="str">
        <f t="shared" si="50"/>
        <v>4437944380368.5DINERSFOODCAFÉ/REST.</v>
      </c>
      <c r="B1018" s="2">
        <v>44379</v>
      </c>
      <c r="C1018" s="2">
        <v>44380</v>
      </c>
      <c r="D1018" s="3" t="s">
        <v>1251</v>
      </c>
      <c r="E1018" s="3">
        <v>368.5</v>
      </c>
      <c r="F1018" s="3">
        <v>1</v>
      </c>
      <c r="G1018" s="3">
        <f t="shared" si="52"/>
        <v>368.5</v>
      </c>
      <c r="H1018" s="3" t="s">
        <v>266</v>
      </c>
      <c r="I1018" s="1" t="s">
        <v>10</v>
      </c>
      <c r="J1018" s="1" t="s">
        <v>11</v>
      </c>
      <c r="K1018" s="1" t="s">
        <v>298</v>
      </c>
      <c r="L1018" s="1" t="s">
        <v>267</v>
      </c>
      <c r="M1018" s="1"/>
      <c r="N1018" s="1">
        <f t="shared" si="51"/>
        <v>7</v>
      </c>
      <c r="O1018" s="87"/>
    </row>
    <row r="1019" spans="1:15" ht="15.75" hidden="1" x14ac:dyDescent="0.25">
      <c r="A1019" s="1" t="str">
        <f t="shared" si="50"/>
        <v>44379443819MASTER CCTRANSPORTCAREEM</v>
      </c>
      <c r="B1019" s="2">
        <v>44379</v>
      </c>
      <c r="C1019" s="2">
        <v>44381</v>
      </c>
      <c r="D1019" s="3" t="s">
        <v>1252</v>
      </c>
      <c r="E1019" s="3">
        <v>9</v>
      </c>
      <c r="F1019" s="3">
        <v>1</v>
      </c>
      <c r="G1019" s="3">
        <f t="shared" si="52"/>
        <v>9</v>
      </c>
      <c r="H1019" s="3" t="s">
        <v>291</v>
      </c>
      <c r="I1019" s="1" t="s">
        <v>296</v>
      </c>
      <c r="J1019" s="1" t="s">
        <v>297</v>
      </c>
      <c r="K1019" s="1" t="s">
        <v>298</v>
      </c>
      <c r="L1019" s="1" t="s">
        <v>267</v>
      </c>
      <c r="M1019" s="1"/>
      <c r="N1019" s="1">
        <f t="shared" si="51"/>
        <v>7</v>
      </c>
      <c r="O1019" s="65"/>
    </row>
    <row r="1020" spans="1:15" ht="15.75" hidden="1" x14ac:dyDescent="0.25">
      <c r="A1020" s="1" t="str">
        <f t="shared" si="50"/>
        <v>443804438318MASTER CCFOODFINGERTIPS</v>
      </c>
      <c r="B1020" s="2">
        <v>44380</v>
      </c>
      <c r="C1020" s="2">
        <v>44383</v>
      </c>
      <c r="D1020" s="3" t="s">
        <v>1263</v>
      </c>
      <c r="E1020" s="3">
        <v>18</v>
      </c>
      <c r="F1020" s="3">
        <v>1</v>
      </c>
      <c r="G1020" s="3">
        <f t="shared" si="52"/>
        <v>18</v>
      </c>
      <c r="H1020" s="3" t="s">
        <v>291</v>
      </c>
      <c r="I1020" s="1" t="s">
        <v>10</v>
      </c>
      <c r="J1020" s="1" t="s">
        <v>1422</v>
      </c>
      <c r="K1020" s="1" t="s">
        <v>298</v>
      </c>
      <c r="L1020" s="1" t="s">
        <v>267</v>
      </c>
      <c r="M1020" s="1"/>
      <c r="N1020" s="1">
        <f t="shared" si="51"/>
        <v>7</v>
      </c>
      <c r="O1020" s="65"/>
    </row>
    <row r="1021" spans="1:15" ht="15.75" hidden="1" x14ac:dyDescent="0.25">
      <c r="A1021" s="1" t="str">
        <f t="shared" si="50"/>
        <v>443814438342MASTER CCSHOPPINGQDF</v>
      </c>
      <c r="B1021" s="2">
        <v>44381</v>
      </c>
      <c r="C1021" s="2">
        <v>44383</v>
      </c>
      <c r="D1021" s="3" t="s">
        <v>1262</v>
      </c>
      <c r="E1021" s="3">
        <v>42</v>
      </c>
      <c r="F1021" s="3">
        <v>1</v>
      </c>
      <c r="G1021" s="3">
        <f t="shared" si="52"/>
        <v>42</v>
      </c>
      <c r="H1021" s="3" t="s">
        <v>291</v>
      </c>
      <c r="I1021" s="1" t="s">
        <v>194</v>
      </c>
      <c r="J1021" s="1" t="s">
        <v>2900</v>
      </c>
      <c r="K1021" s="1" t="s">
        <v>298</v>
      </c>
      <c r="L1021" s="1" t="s">
        <v>267</v>
      </c>
      <c r="M1021" s="1"/>
      <c r="N1021" s="1">
        <f t="shared" si="51"/>
        <v>7</v>
      </c>
      <c r="O1021" s="65"/>
    </row>
    <row r="1022" spans="1:15" ht="15.75" hidden="1" x14ac:dyDescent="0.25">
      <c r="A1022" s="1" t="str">
        <f t="shared" si="50"/>
        <v>44381443814CURRENTSERVICEBANK</v>
      </c>
      <c r="B1022" s="2">
        <v>44381</v>
      </c>
      <c r="C1022" s="2">
        <v>44381</v>
      </c>
      <c r="D1022" s="3" t="s">
        <v>1248</v>
      </c>
      <c r="E1022" s="3">
        <v>-4</v>
      </c>
      <c r="F1022" s="3">
        <v>1</v>
      </c>
      <c r="G1022" s="3">
        <f t="shared" si="52"/>
        <v>4</v>
      </c>
      <c r="H1022" s="3" t="s">
        <v>293</v>
      </c>
      <c r="I1022" s="1" t="s">
        <v>7</v>
      </c>
      <c r="J1022" s="1" t="s">
        <v>8</v>
      </c>
      <c r="K1022" s="1" t="s">
        <v>298</v>
      </c>
      <c r="L1022" s="1" t="s">
        <v>257</v>
      </c>
      <c r="M1022" s="1"/>
      <c r="N1022" s="1">
        <f t="shared" si="51"/>
        <v>7</v>
      </c>
      <c r="O1022" s="65"/>
    </row>
    <row r="1023" spans="1:15" ht="15.75" hidden="1" x14ac:dyDescent="0.25">
      <c r="A1023" s="1" t="str">
        <f t="shared" si="50"/>
        <v>44381443814125CURRENTRENTCAP ONE</v>
      </c>
      <c r="B1023" s="2">
        <v>44381</v>
      </c>
      <c r="C1023" s="2">
        <v>44381</v>
      </c>
      <c r="D1023" s="3" t="s">
        <v>1247</v>
      </c>
      <c r="E1023" s="3">
        <v>-4125</v>
      </c>
      <c r="F1023" s="3">
        <v>1</v>
      </c>
      <c r="G1023" s="3">
        <f t="shared" si="52"/>
        <v>4125</v>
      </c>
      <c r="H1023" s="3" t="s">
        <v>293</v>
      </c>
      <c r="I1023" s="1" t="s">
        <v>83</v>
      </c>
      <c r="J1023" s="1" t="s">
        <v>84</v>
      </c>
      <c r="K1023" s="1" t="s">
        <v>298</v>
      </c>
      <c r="L1023" s="1" t="s">
        <v>257</v>
      </c>
      <c r="M1023" s="1"/>
      <c r="N1023" s="1">
        <f t="shared" si="51"/>
        <v>7</v>
      </c>
      <c r="O1023" s="65"/>
    </row>
    <row r="1024" spans="1:15" ht="15.75" hidden="1" x14ac:dyDescent="0.25">
      <c r="A1024" s="1" t="str">
        <f t="shared" si="50"/>
        <v>443814438196.5CURRENTFOODAKSHIT</v>
      </c>
      <c r="B1024" s="2">
        <v>44381</v>
      </c>
      <c r="C1024" s="2">
        <v>44381</v>
      </c>
      <c r="D1024" s="3" t="s">
        <v>1249</v>
      </c>
      <c r="E1024" s="3">
        <v>96.5</v>
      </c>
      <c r="F1024" s="3">
        <v>1</v>
      </c>
      <c r="G1024" s="3">
        <f t="shared" si="52"/>
        <v>96.5</v>
      </c>
      <c r="H1024" s="3" t="s">
        <v>293</v>
      </c>
      <c r="I1024" s="1" t="s">
        <v>10</v>
      </c>
      <c r="J1024" s="1" t="s">
        <v>879</v>
      </c>
      <c r="K1024" s="1" t="s">
        <v>300</v>
      </c>
      <c r="L1024" s="1" t="s">
        <v>257</v>
      </c>
      <c r="M1024" s="1"/>
      <c r="N1024" s="1">
        <f t="shared" si="51"/>
        <v>7</v>
      </c>
      <c r="O1024" s="65"/>
    </row>
    <row r="1025" spans="1:15" ht="15.75" hidden="1" x14ac:dyDescent="0.25">
      <c r="A1025" s="1" t="str">
        <f t="shared" si="50"/>
        <v>44382443821250CURRENTSAVINGSELF</v>
      </c>
      <c r="B1025" s="2">
        <v>44382</v>
      </c>
      <c r="C1025" s="2">
        <v>44382</v>
      </c>
      <c r="D1025" s="3" t="s">
        <v>1167</v>
      </c>
      <c r="E1025" s="3">
        <v>-1250</v>
      </c>
      <c r="F1025" s="3">
        <v>1</v>
      </c>
      <c r="G1025" s="3">
        <f t="shared" si="52"/>
        <v>1250</v>
      </c>
      <c r="H1025" s="3" t="s">
        <v>293</v>
      </c>
      <c r="I1025" s="1" t="s">
        <v>302</v>
      </c>
      <c r="J1025" s="1" t="s">
        <v>14</v>
      </c>
      <c r="K1025" s="1" t="s">
        <v>298</v>
      </c>
      <c r="L1025" s="1" t="s">
        <v>257</v>
      </c>
      <c r="M1025" s="1"/>
      <c r="N1025" s="1">
        <f t="shared" si="51"/>
        <v>7</v>
      </c>
      <c r="O1025" s="65"/>
    </row>
    <row r="1026" spans="1:15" ht="15.75" hidden="1" x14ac:dyDescent="0.25">
      <c r="A1026" s="1" t="str">
        <f t="shared" ref="A1026:A1089" si="53">B1026&amp;C1026&amp;G1026&amp;H1026&amp;I1026&amp;J1026</f>
        <v>4438344383177CURRENTFOODDINESH</v>
      </c>
      <c r="B1026" s="2">
        <v>44383</v>
      </c>
      <c r="C1026" s="2">
        <v>44383</v>
      </c>
      <c r="D1026" s="3" t="s">
        <v>1258</v>
      </c>
      <c r="E1026" s="3">
        <v>177</v>
      </c>
      <c r="F1026" s="3">
        <v>1</v>
      </c>
      <c r="G1026" s="3">
        <f t="shared" si="52"/>
        <v>177</v>
      </c>
      <c r="H1026" s="3" t="s">
        <v>293</v>
      </c>
      <c r="I1026" s="1" t="s">
        <v>10</v>
      </c>
      <c r="J1026" s="1" t="s">
        <v>1259</v>
      </c>
      <c r="K1026" s="1" t="s">
        <v>300</v>
      </c>
      <c r="L1026" s="1" t="s">
        <v>257</v>
      </c>
      <c r="M1026" s="1"/>
      <c r="N1026" s="1">
        <f t="shared" ref="N1026:N1089" si="54">MONTH(C1026)</f>
        <v>7</v>
      </c>
      <c r="O1026" s="65"/>
    </row>
    <row r="1027" spans="1:15" ht="15.75" hidden="1" x14ac:dyDescent="0.25">
      <c r="A1027" s="1" t="str">
        <f t="shared" si="53"/>
        <v>4438444387100MASTER CCFOODQATAR AIR</v>
      </c>
      <c r="B1027" s="2">
        <v>44384</v>
      </c>
      <c r="C1027" s="2">
        <v>44387</v>
      </c>
      <c r="D1027" s="3" t="s">
        <v>1261</v>
      </c>
      <c r="E1027" s="3">
        <v>100</v>
      </c>
      <c r="F1027" s="3">
        <v>1</v>
      </c>
      <c r="G1027" s="3">
        <f t="shared" si="52"/>
        <v>100</v>
      </c>
      <c r="H1027" s="3" t="s">
        <v>291</v>
      </c>
      <c r="I1027" s="1" t="s">
        <v>10</v>
      </c>
      <c r="J1027" s="1" t="s">
        <v>19</v>
      </c>
      <c r="K1027" s="1" t="s">
        <v>298</v>
      </c>
      <c r="L1027" s="1" t="s">
        <v>267</v>
      </c>
      <c r="M1027" s="1"/>
      <c r="N1027" s="1">
        <f t="shared" si="54"/>
        <v>7</v>
      </c>
      <c r="O1027" s="65"/>
    </row>
    <row r="1028" spans="1:15" ht="15.75" hidden="1" x14ac:dyDescent="0.25">
      <c r="A1028" s="1" t="str">
        <f t="shared" si="53"/>
        <v>4438444387100MASTER CCTRANSPORTCAREEM</v>
      </c>
      <c r="B1028" s="2">
        <v>44384</v>
      </c>
      <c r="C1028" s="2">
        <v>44387</v>
      </c>
      <c r="D1028" s="3" t="s">
        <v>1260</v>
      </c>
      <c r="E1028" s="3">
        <v>100</v>
      </c>
      <c r="F1028" s="3">
        <v>1</v>
      </c>
      <c r="G1028" s="3">
        <f t="shared" si="52"/>
        <v>100</v>
      </c>
      <c r="H1028" s="3" t="s">
        <v>291</v>
      </c>
      <c r="I1028" s="1" t="s">
        <v>296</v>
      </c>
      <c r="J1028" s="1" t="s">
        <v>297</v>
      </c>
      <c r="K1028" s="1" t="s">
        <v>298</v>
      </c>
      <c r="L1028" s="1" t="s">
        <v>267</v>
      </c>
      <c r="M1028" s="1"/>
      <c r="N1028" s="1">
        <f t="shared" si="54"/>
        <v>7</v>
      </c>
      <c r="O1028" s="65"/>
    </row>
    <row r="1029" spans="1:15" ht="15.75" hidden="1" x14ac:dyDescent="0.25">
      <c r="A1029" s="1" t="str">
        <f t="shared" si="53"/>
        <v>4438444384494.3CURRENTTRANSFERINDIA</v>
      </c>
      <c r="B1029" s="2">
        <v>44384</v>
      </c>
      <c r="C1029" s="2">
        <v>44384</v>
      </c>
      <c r="D1029" s="3" t="s">
        <v>1255</v>
      </c>
      <c r="E1029" s="3">
        <v>-494.3</v>
      </c>
      <c r="F1029" s="3">
        <v>1</v>
      </c>
      <c r="G1029" s="3">
        <f t="shared" si="52"/>
        <v>494.3</v>
      </c>
      <c r="H1029" s="3" t="s">
        <v>293</v>
      </c>
      <c r="I1029" s="1" t="s">
        <v>22</v>
      </c>
      <c r="J1029" s="1" t="s">
        <v>23</v>
      </c>
      <c r="K1029" s="1" t="s">
        <v>298</v>
      </c>
      <c r="L1029" s="1" t="s">
        <v>257</v>
      </c>
      <c r="M1029" s="1"/>
      <c r="N1029" s="1">
        <f t="shared" si="54"/>
        <v>7</v>
      </c>
      <c r="O1029" s="65"/>
    </row>
    <row r="1030" spans="1:15" ht="15.75" hidden="1" x14ac:dyDescent="0.25">
      <c r="A1030" s="1" t="str">
        <f t="shared" si="53"/>
        <v>44384443840.99CURRENTSERVICEBANK</v>
      </c>
      <c r="B1030" s="2">
        <v>44384</v>
      </c>
      <c r="C1030" s="2">
        <v>44384</v>
      </c>
      <c r="D1030" s="3" t="s">
        <v>1256</v>
      </c>
      <c r="E1030" s="3">
        <v>-0.99</v>
      </c>
      <c r="F1030" s="3">
        <v>1</v>
      </c>
      <c r="G1030" s="3">
        <f t="shared" si="52"/>
        <v>0.99</v>
      </c>
      <c r="H1030" s="3" t="s">
        <v>293</v>
      </c>
      <c r="I1030" s="1" t="s">
        <v>7</v>
      </c>
      <c r="J1030" s="1" t="s">
        <v>8</v>
      </c>
      <c r="K1030" s="1" t="s">
        <v>298</v>
      </c>
      <c r="L1030" s="1" t="s">
        <v>257</v>
      </c>
      <c r="M1030" s="1"/>
      <c r="N1030" s="1">
        <f t="shared" si="54"/>
        <v>7</v>
      </c>
      <c r="O1030" s="65"/>
    </row>
    <row r="1031" spans="1:15" ht="15.75" hidden="1" x14ac:dyDescent="0.25">
      <c r="A1031" s="1" t="str">
        <f t="shared" si="53"/>
        <v>443844438415CURRENTSERVICEBANK</v>
      </c>
      <c r="B1031" s="2">
        <v>44384</v>
      </c>
      <c r="C1031" s="2">
        <v>44384</v>
      </c>
      <c r="D1031" s="3" t="s">
        <v>1257</v>
      </c>
      <c r="E1031" s="3">
        <v>-15</v>
      </c>
      <c r="F1031" s="3">
        <v>1</v>
      </c>
      <c r="G1031" s="3">
        <f t="shared" si="52"/>
        <v>15</v>
      </c>
      <c r="H1031" s="3" t="s">
        <v>293</v>
      </c>
      <c r="I1031" s="1" t="s">
        <v>7</v>
      </c>
      <c r="J1031" s="1" t="s">
        <v>8</v>
      </c>
      <c r="K1031" s="1" t="s">
        <v>298</v>
      </c>
      <c r="L1031" s="1" t="s">
        <v>257</v>
      </c>
      <c r="M1031" s="1"/>
      <c r="N1031" s="1">
        <f t="shared" si="54"/>
        <v>7</v>
      </c>
      <c r="O1031" s="65"/>
    </row>
    <row r="1032" spans="1:15" ht="15.75" hidden="1" x14ac:dyDescent="0.25">
      <c r="A1032" s="1" t="str">
        <f t="shared" si="53"/>
        <v>44385443852232.45CURRENTTRANSFERINDIA</v>
      </c>
      <c r="B1032" s="2">
        <v>44385</v>
      </c>
      <c r="C1032" s="2">
        <v>44385</v>
      </c>
      <c r="D1032" s="3" t="s">
        <v>1265</v>
      </c>
      <c r="E1032" s="3">
        <v>-2232.4499999999998</v>
      </c>
      <c r="F1032" s="3">
        <v>1</v>
      </c>
      <c r="G1032" s="3">
        <f t="shared" si="52"/>
        <v>2232.4499999999998</v>
      </c>
      <c r="H1032" s="3" t="s">
        <v>293</v>
      </c>
      <c r="I1032" s="1" t="s">
        <v>22</v>
      </c>
      <c r="J1032" s="1" t="s">
        <v>23</v>
      </c>
      <c r="K1032" s="1" t="s">
        <v>298</v>
      </c>
      <c r="L1032" s="1" t="s">
        <v>257</v>
      </c>
      <c r="M1032" s="1"/>
      <c r="N1032" s="1">
        <f t="shared" si="54"/>
        <v>7</v>
      </c>
      <c r="O1032" s="65"/>
    </row>
    <row r="1033" spans="1:15" ht="15.75" hidden="1" x14ac:dyDescent="0.25">
      <c r="A1033" s="1" t="str">
        <f t="shared" si="53"/>
        <v>44385443850.99CURRENTSERVICEBANK</v>
      </c>
      <c r="B1033" s="2">
        <v>44385</v>
      </c>
      <c r="C1033" s="2">
        <v>44385</v>
      </c>
      <c r="D1033" s="3" t="s">
        <v>1266</v>
      </c>
      <c r="E1033" s="3">
        <v>-0.99</v>
      </c>
      <c r="F1033" s="3">
        <v>1</v>
      </c>
      <c r="G1033" s="3">
        <f t="shared" si="52"/>
        <v>0.99</v>
      </c>
      <c r="H1033" s="3" t="s">
        <v>293</v>
      </c>
      <c r="I1033" s="1" t="s">
        <v>7</v>
      </c>
      <c r="J1033" s="1" t="s">
        <v>8</v>
      </c>
      <c r="K1033" s="1" t="s">
        <v>298</v>
      </c>
      <c r="L1033" s="1" t="s">
        <v>257</v>
      </c>
      <c r="M1033" s="1"/>
      <c r="N1033" s="1">
        <f t="shared" si="54"/>
        <v>7</v>
      </c>
      <c r="O1033" s="65"/>
    </row>
    <row r="1034" spans="1:15" ht="15.75" hidden="1" x14ac:dyDescent="0.25">
      <c r="A1034" s="1" t="str">
        <f t="shared" si="53"/>
        <v>443854438515CURRENTSERVICEBANK</v>
      </c>
      <c r="B1034" s="2">
        <v>44385</v>
      </c>
      <c r="C1034" s="2">
        <v>44385</v>
      </c>
      <c r="D1034" s="3" t="s">
        <v>1267</v>
      </c>
      <c r="E1034" s="3">
        <v>-15</v>
      </c>
      <c r="F1034" s="3">
        <v>1</v>
      </c>
      <c r="G1034" s="3">
        <f t="shared" si="52"/>
        <v>15</v>
      </c>
      <c r="H1034" s="3" t="s">
        <v>293</v>
      </c>
      <c r="I1034" s="1" t="s">
        <v>7</v>
      </c>
      <c r="J1034" s="1" t="s">
        <v>8</v>
      </c>
      <c r="K1034" s="1" t="s">
        <v>298</v>
      </c>
      <c r="L1034" s="1" t="s">
        <v>257</v>
      </c>
      <c r="M1034" s="1"/>
      <c r="N1034" s="1">
        <f t="shared" si="54"/>
        <v>7</v>
      </c>
      <c r="O1034" s="65"/>
    </row>
    <row r="1035" spans="1:15" ht="15.75" hidden="1" x14ac:dyDescent="0.25">
      <c r="A1035" s="1" t="str">
        <f t="shared" si="53"/>
        <v>44385443856500CURRENTSAVINGSELF</v>
      </c>
      <c r="B1035" s="2">
        <v>44385</v>
      </c>
      <c r="C1035" s="2">
        <v>44385</v>
      </c>
      <c r="D1035" s="3" t="s">
        <v>1264</v>
      </c>
      <c r="E1035" s="3">
        <v>6500</v>
      </c>
      <c r="F1035" s="3">
        <v>1</v>
      </c>
      <c r="G1035" s="3">
        <f t="shared" ref="G1035:G1098" si="55">ABS(E1035)*F1035</f>
        <v>6500</v>
      </c>
      <c r="H1035" s="3" t="s">
        <v>293</v>
      </c>
      <c r="I1035" s="1" t="s">
        <v>302</v>
      </c>
      <c r="J1035" s="1" t="s">
        <v>14</v>
      </c>
      <c r="K1035" s="1" t="s">
        <v>298</v>
      </c>
      <c r="L1035" s="1" t="s">
        <v>257</v>
      </c>
      <c r="M1035" s="1"/>
      <c r="N1035" s="1">
        <f t="shared" si="54"/>
        <v>7</v>
      </c>
      <c r="O1035" s="65"/>
    </row>
    <row r="1036" spans="1:15" ht="15.75" hidden="1" x14ac:dyDescent="0.25">
      <c r="A1036" s="1" t="str">
        <f t="shared" si="53"/>
        <v>443854438815MASTER CCFOODFINGERTIPS</v>
      </c>
      <c r="B1036" s="2">
        <v>44385</v>
      </c>
      <c r="C1036" s="2">
        <v>44388</v>
      </c>
      <c r="D1036" s="3" t="s">
        <v>1280</v>
      </c>
      <c r="E1036" s="3">
        <v>15</v>
      </c>
      <c r="F1036" s="3">
        <v>1</v>
      </c>
      <c r="G1036" s="3">
        <f t="shared" si="55"/>
        <v>15</v>
      </c>
      <c r="H1036" s="3" t="s">
        <v>291</v>
      </c>
      <c r="I1036" s="1" t="s">
        <v>10</v>
      </c>
      <c r="J1036" s="1" t="s">
        <v>1422</v>
      </c>
      <c r="K1036" s="1" t="s">
        <v>298</v>
      </c>
      <c r="L1036" s="1" t="s">
        <v>267</v>
      </c>
      <c r="M1036" s="1"/>
      <c r="N1036" s="1">
        <f t="shared" si="54"/>
        <v>7</v>
      </c>
      <c r="O1036" s="65"/>
    </row>
    <row r="1037" spans="1:15" ht="15.75" hidden="1" x14ac:dyDescent="0.25">
      <c r="A1037" s="1" t="str">
        <f t="shared" si="53"/>
        <v>443864439010.85DINERSTRANSPORTUBER</v>
      </c>
      <c r="B1037" s="2">
        <v>44386</v>
      </c>
      <c r="C1037" s="2">
        <v>44390</v>
      </c>
      <c r="D1037" s="3" t="s">
        <v>1271</v>
      </c>
      <c r="E1037" s="3">
        <v>10.85</v>
      </c>
      <c r="F1037" s="3">
        <v>1</v>
      </c>
      <c r="G1037" s="3">
        <f t="shared" si="55"/>
        <v>10.85</v>
      </c>
      <c r="H1037" s="3" t="s">
        <v>266</v>
      </c>
      <c r="I1037" s="1" t="s">
        <v>296</v>
      </c>
      <c r="J1037" s="1" t="s">
        <v>299</v>
      </c>
      <c r="K1037" s="1" t="s">
        <v>298</v>
      </c>
      <c r="L1037" s="1" t="s">
        <v>267</v>
      </c>
      <c r="M1037" s="1"/>
      <c r="N1037" s="1">
        <f t="shared" si="54"/>
        <v>7</v>
      </c>
      <c r="O1037" s="87"/>
    </row>
    <row r="1038" spans="1:15" ht="15.75" hidden="1" x14ac:dyDescent="0.25">
      <c r="A1038" s="1" t="str">
        <f t="shared" si="53"/>
        <v>443864438758DINERSGROCERYLULU</v>
      </c>
      <c r="B1038" s="2">
        <v>44386</v>
      </c>
      <c r="C1038" s="2">
        <v>44387</v>
      </c>
      <c r="D1038" s="3" t="s">
        <v>1272</v>
      </c>
      <c r="E1038" s="3">
        <v>58</v>
      </c>
      <c r="F1038" s="3">
        <v>1</v>
      </c>
      <c r="G1038" s="3">
        <f t="shared" si="55"/>
        <v>58</v>
      </c>
      <c r="H1038" s="3" t="s">
        <v>266</v>
      </c>
      <c r="I1038" s="1" t="s">
        <v>43</v>
      </c>
      <c r="J1038" s="1" t="s">
        <v>44</v>
      </c>
      <c r="K1038" s="1" t="s">
        <v>298</v>
      </c>
      <c r="L1038" s="1" t="s">
        <v>267</v>
      </c>
      <c r="M1038" s="1"/>
      <c r="N1038" s="1">
        <f t="shared" si="54"/>
        <v>7</v>
      </c>
      <c r="O1038" s="87"/>
    </row>
    <row r="1039" spans="1:15" ht="15.75" hidden="1" x14ac:dyDescent="0.25">
      <c r="A1039" s="1" t="str">
        <f t="shared" si="53"/>
        <v>4438644387203.98DINERSGROCERYLULU</v>
      </c>
      <c r="B1039" s="2">
        <v>44386</v>
      </c>
      <c r="C1039" s="2">
        <v>44387</v>
      </c>
      <c r="D1039" s="3" t="s">
        <v>1273</v>
      </c>
      <c r="E1039" s="3">
        <v>203.98</v>
      </c>
      <c r="F1039" s="3">
        <v>1</v>
      </c>
      <c r="G1039" s="3">
        <f t="shared" si="55"/>
        <v>203.98</v>
      </c>
      <c r="H1039" s="3" t="s">
        <v>266</v>
      </c>
      <c r="I1039" s="1" t="s">
        <v>43</v>
      </c>
      <c r="J1039" s="1" t="s">
        <v>44</v>
      </c>
      <c r="K1039" s="1" t="s">
        <v>298</v>
      </c>
      <c r="L1039" s="1" t="s">
        <v>267</v>
      </c>
      <c r="M1039" s="1"/>
      <c r="N1039" s="1">
        <f t="shared" si="54"/>
        <v>7</v>
      </c>
      <c r="O1039" s="87"/>
    </row>
    <row r="1040" spans="1:15" ht="15.75" hidden="1" x14ac:dyDescent="0.25">
      <c r="A1040" s="1" t="str">
        <f t="shared" si="53"/>
        <v>443864438810MASTER CCTRANSPORTCAREEM</v>
      </c>
      <c r="B1040" s="2">
        <v>44386</v>
      </c>
      <c r="C1040" s="2">
        <v>44388</v>
      </c>
      <c r="D1040" s="3" t="s">
        <v>1279</v>
      </c>
      <c r="E1040" s="3">
        <v>10</v>
      </c>
      <c r="F1040" s="3">
        <v>1</v>
      </c>
      <c r="G1040" s="3">
        <f t="shared" si="55"/>
        <v>10</v>
      </c>
      <c r="H1040" s="3" t="s">
        <v>291</v>
      </c>
      <c r="I1040" s="1" t="s">
        <v>296</v>
      </c>
      <c r="J1040" s="1" t="s">
        <v>297</v>
      </c>
      <c r="K1040" s="1" t="s">
        <v>298</v>
      </c>
      <c r="L1040" s="1" t="s">
        <v>267</v>
      </c>
      <c r="M1040" s="1"/>
      <c r="N1040" s="1">
        <f t="shared" si="54"/>
        <v>7</v>
      </c>
      <c r="O1040" s="65"/>
    </row>
    <row r="1041" spans="1:15" ht="15.75" hidden="1" x14ac:dyDescent="0.25">
      <c r="A1041" s="1" t="str">
        <f t="shared" si="53"/>
        <v>443884439026.06DINERSTRANSPORTUBER</v>
      </c>
      <c r="B1041" s="2">
        <v>44388</v>
      </c>
      <c r="C1041" s="2">
        <v>44390</v>
      </c>
      <c r="D1041" s="3" t="s">
        <v>1269</v>
      </c>
      <c r="E1041" s="3">
        <v>26.06</v>
      </c>
      <c r="F1041" s="3">
        <v>1</v>
      </c>
      <c r="G1041" s="3">
        <f t="shared" si="55"/>
        <v>26.06</v>
      </c>
      <c r="H1041" s="3" t="s">
        <v>266</v>
      </c>
      <c r="I1041" s="1" t="s">
        <v>296</v>
      </c>
      <c r="J1041" s="1" t="s">
        <v>299</v>
      </c>
      <c r="K1041" s="1" t="s">
        <v>298</v>
      </c>
      <c r="L1041" s="1" t="s">
        <v>267</v>
      </c>
      <c r="M1041" s="1"/>
      <c r="N1041" s="1">
        <f t="shared" si="54"/>
        <v>7</v>
      </c>
      <c r="O1041" s="87"/>
    </row>
    <row r="1042" spans="1:15" ht="15.75" hidden="1" x14ac:dyDescent="0.25">
      <c r="A1042" s="1" t="str">
        <f t="shared" si="53"/>
        <v>443884439023.14DINERSTRANSPORTUBER</v>
      </c>
      <c r="B1042" s="2">
        <v>44388</v>
      </c>
      <c r="C1042" s="2">
        <v>44390</v>
      </c>
      <c r="D1042" s="3" t="s">
        <v>1270</v>
      </c>
      <c r="E1042" s="3">
        <v>23.14</v>
      </c>
      <c r="F1042" s="3">
        <v>1</v>
      </c>
      <c r="G1042" s="3">
        <f t="shared" si="55"/>
        <v>23.14</v>
      </c>
      <c r="H1042" s="3" t="s">
        <v>266</v>
      </c>
      <c r="I1042" s="1" t="s">
        <v>296</v>
      </c>
      <c r="J1042" s="1" t="s">
        <v>299</v>
      </c>
      <c r="K1042" s="1" t="s">
        <v>298</v>
      </c>
      <c r="L1042" s="1" t="s">
        <v>267</v>
      </c>
      <c r="M1042" s="1"/>
      <c r="N1042" s="1">
        <f t="shared" si="54"/>
        <v>7</v>
      </c>
      <c r="O1042" s="87"/>
    </row>
    <row r="1043" spans="1:15" ht="15.75" hidden="1" x14ac:dyDescent="0.25">
      <c r="A1043" s="1" t="str">
        <f t="shared" si="53"/>
        <v>44388443881244CURRENTTRANSFERINDIA</v>
      </c>
      <c r="B1043" s="2">
        <v>44388</v>
      </c>
      <c r="C1043" s="2">
        <v>44388</v>
      </c>
      <c r="D1043" s="3" t="s">
        <v>694</v>
      </c>
      <c r="E1043" s="3">
        <v>-1244</v>
      </c>
      <c r="F1043" s="3">
        <v>1</v>
      </c>
      <c r="G1043" s="3">
        <f t="shared" si="55"/>
        <v>1244</v>
      </c>
      <c r="H1043" s="3" t="s">
        <v>293</v>
      </c>
      <c r="I1043" s="1" t="s">
        <v>22</v>
      </c>
      <c r="J1043" s="1" t="s">
        <v>23</v>
      </c>
      <c r="K1043" s="1" t="s">
        <v>298</v>
      </c>
      <c r="L1043" s="1" t="s">
        <v>257</v>
      </c>
      <c r="M1043" s="1"/>
      <c r="N1043" s="1">
        <f t="shared" si="54"/>
        <v>7</v>
      </c>
      <c r="O1043" s="65"/>
    </row>
    <row r="1044" spans="1:15" ht="15.75" hidden="1" x14ac:dyDescent="0.25">
      <c r="A1044" s="1" t="str">
        <f t="shared" si="53"/>
        <v>4439244397300MASTER CCTRAVELSIDRA</v>
      </c>
      <c r="B1044" s="2">
        <v>44392</v>
      </c>
      <c r="C1044" s="2">
        <v>44397</v>
      </c>
      <c r="D1044" s="3" t="s">
        <v>1278</v>
      </c>
      <c r="E1044" s="3">
        <v>300</v>
      </c>
      <c r="F1044" s="3">
        <v>1</v>
      </c>
      <c r="G1044" s="3">
        <f t="shared" si="55"/>
        <v>300</v>
      </c>
      <c r="H1044" s="3" t="s">
        <v>291</v>
      </c>
      <c r="I1044" s="1" t="s">
        <v>393</v>
      </c>
      <c r="J1044" s="1" t="s">
        <v>1281</v>
      </c>
      <c r="K1044" s="1" t="s">
        <v>298</v>
      </c>
      <c r="L1044" s="1" t="s">
        <v>267</v>
      </c>
      <c r="M1044" s="1"/>
      <c r="N1044" s="1">
        <f t="shared" si="54"/>
        <v>7</v>
      </c>
      <c r="O1044" s="65"/>
    </row>
    <row r="1045" spans="1:15" ht="15.75" hidden="1" x14ac:dyDescent="0.25">
      <c r="A1045" s="1" t="str">
        <f t="shared" si="53"/>
        <v>443924440220.38DINERSTRANSPORTUBER</v>
      </c>
      <c r="B1045" s="2">
        <v>44392</v>
      </c>
      <c r="C1045" s="2">
        <v>44402</v>
      </c>
      <c r="D1045" s="3" t="s">
        <v>1294</v>
      </c>
      <c r="E1045" s="3">
        <v>20.38</v>
      </c>
      <c r="F1045" s="3">
        <v>1</v>
      </c>
      <c r="G1045" s="3">
        <f t="shared" si="55"/>
        <v>20.38</v>
      </c>
      <c r="H1045" s="3" t="s">
        <v>266</v>
      </c>
      <c r="I1045" s="1" t="s">
        <v>296</v>
      </c>
      <c r="J1045" s="1" t="s">
        <v>299</v>
      </c>
      <c r="K1045" s="1" t="s">
        <v>298</v>
      </c>
      <c r="L1045" s="1" t="s">
        <v>267</v>
      </c>
      <c r="M1045" s="1"/>
      <c r="N1045" s="1">
        <f t="shared" si="54"/>
        <v>7</v>
      </c>
      <c r="O1045" s="87"/>
    </row>
    <row r="1046" spans="1:15" ht="15.75" hidden="1" x14ac:dyDescent="0.25">
      <c r="A1046" s="1" t="str">
        <f t="shared" si="53"/>
        <v>443924439317DINERSGROCERYPICK-N-PACK</v>
      </c>
      <c r="B1046" s="2">
        <v>44392</v>
      </c>
      <c r="C1046" s="2">
        <v>44393</v>
      </c>
      <c r="D1046" s="3" t="s">
        <v>1268</v>
      </c>
      <c r="E1046" s="3">
        <v>17</v>
      </c>
      <c r="F1046" s="3">
        <v>1</v>
      </c>
      <c r="G1046" s="3">
        <f t="shared" si="55"/>
        <v>17</v>
      </c>
      <c r="H1046" s="3" t="s">
        <v>266</v>
      </c>
      <c r="I1046" s="1" t="s">
        <v>43</v>
      </c>
      <c r="J1046" s="1" t="s">
        <v>222</v>
      </c>
      <c r="K1046" s="1" t="s">
        <v>298</v>
      </c>
      <c r="L1046" s="1" t="s">
        <v>267</v>
      </c>
      <c r="M1046" s="1"/>
      <c r="N1046" s="1">
        <f t="shared" si="54"/>
        <v>7</v>
      </c>
      <c r="O1046" s="87"/>
    </row>
    <row r="1047" spans="1:15" ht="15.75" hidden="1" x14ac:dyDescent="0.25">
      <c r="A1047" s="1" t="str">
        <f t="shared" si="53"/>
        <v>444004440426.37DINERSTRANSPORTUBER</v>
      </c>
      <c r="B1047" s="2">
        <v>44400</v>
      </c>
      <c r="C1047" s="2">
        <v>44404</v>
      </c>
      <c r="D1047" s="3" t="s">
        <v>1293</v>
      </c>
      <c r="E1047" s="3">
        <v>26.37</v>
      </c>
      <c r="F1047" s="3">
        <v>1</v>
      </c>
      <c r="G1047" s="3">
        <f t="shared" si="55"/>
        <v>26.37</v>
      </c>
      <c r="H1047" s="3" t="s">
        <v>266</v>
      </c>
      <c r="I1047" s="1" t="s">
        <v>296</v>
      </c>
      <c r="J1047" s="1" t="s">
        <v>299</v>
      </c>
      <c r="K1047" s="1" t="s">
        <v>298</v>
      </c>
      <c r="L1047" s="1" t="s">
        <v>267</v>
      </c>
      <c r="M1047" s="1"/>
      <c r="N1047" s="1">
        <f t="shared" si="54"/>
        <v>7</v>
      </c>
      <c r="O1047" s="87"/>
    </row>
    <row r="1048" spans="1:15" ht="15.75" hidden="1" x14ac:dyDescent="0.25">
      <c r="A1048" s="1" t="str">
        <f t="shared" si="53"/>
        <v>444004440415MASTER CCFOODFINGERTIPS</v>
      </c>
      <c r="B1048" s="2">
        <v>44400</v>
      </c>
      <c r="C1048" s="2">
        <v>44404</v>
      </c>
      <c r="D1048" s="3" t="s">
        <v>1277</v>
      </c>
      <c r="E1048" s="3">
        <v>15</v>
      </c>
      <c r="F1048" s="3">
        <v>1</v>
      </c>
      <c r="G1048" s="3">
        <f t="shared" si="55"/>
        <v>15</v>
      </c>
      <c r="H1048" s="3" t="s">
        <v>291</v>
      </c>
      <c r="I1048" s="1" t="s">
        <v>10</v>
      </c>
      <c r="J1048" s="1" t="s">
        <v>1422</v>
      </c>
      <c r="K1048" s="1" t="s">
        <v>298</v>
      </c>
      <c r="L1048" s="1" t="s">
        <v>267</v>
      </c>
      <c r="M1048" s="1"/>
      <c r="N1048" s="1">
        <f t="shared" si="54"/>
        <v>7</v>
      </c>
      <c r="O1048" s="65"/>
    </row>
    <row r="1049" spans="1:15" ht="15.75" hidden="1" x14ac:dyDescent="0.25">
      <c r="A1049" s="1" t="str">
        <f t="shared" si="53"/>
        <v>4440144404100MASTER CCTELECOMOOREDOO</v>
      </c>
      <c r="B1049" s="2">
        <v>44401</v>
      </c>
      <c r="C1049" s="2">
        <v>44404</v>
      </c>
      <c r="D1049" s="3" t="s">
        <v>1276</v>
      </c>
      <c r="E1049" s="3">
        <v>100</v>
      </c>
      <c r="F1049" s="3">
        <v>1</v>
      </c>
      <c r="G1049" s="3">
        <f t="shared" si="55"/>
        <v>100</v>
      </c>
      <c r="H1049" s="3" t="s">
        <v>291</v>
      </c>
      <c r="I1049" s="1" t="s">
        <v>58</v>
      </c>
      <c r="J1049" s="1" t="s">
        <v>59</v>
      </c>
      <c r="K1049" s="1" t="s">
        <v>298</v>
      </c>
      <c r="L1049" s="1" t="s">
        <v>267</v>
      </c>
      <c r="M1049" s="1"/>
      <c r="N1049" s="1">
        <f t="shared" si="54"/>
        <v>7</v>
      </c>
      <c r="O1049" s="65"/>
    </row>
    <row r="1050" spans="1:15" ht="15.75" hidden="1" x14ac:dyDescent="0.25">
      <c r="A1050" s="1" t="str">
        <f t="shared" si="53"/>
        <v>444024440418MASTER CCTRANSPORTCAREEM</v>
      </c>
      <c r="B1050" s="2">
        <v>44402</v>
      </c>
      <c r="C1050" s="2">
        <v>44404</v>
      </c>
      <c r="D1050" s="3" t="s">
        <v>1296</v>
      </c>
      <c r="E1050" s="3">
        <v>18</v>
      </c>
      <c r="F1050" s="3">
        <v>1</v>
      </c>
      <c r="G1050" s="3">
        <f t="shared" si="55"/>
        <v>18</v>
      </c>
      <c r="H1050" s="3" t="s">
        <v>291</v>
      </c>
      <c r="I1050" s="1" t="s">
        <v>296</v>
      </c>
      <c r="J1050" s="1" t="s">
        <v>297</v>
      </c>
      <c r="K1050" s="1" t="s">
        <v>298</v>
      </c>
      <c r="L1050" s="1" t="s">
        <v>267</v>
      </c>
      <c r="M1050" s="1"/>
      <c r="N1050" s="1">
        <f t="shared" si="54"/>
        <v>7</v>
      </c>
      <c r="O1050" s="65"/>
    </row>
    <row r="1051" spans="1:15" ht="15.75" hidden="1" x14ac:dyDescent="0.25">
      <c r="A1051" s="1" t="str">
        <f t="shared" si="53"/>
        <v>4440344405300MASTER CCTRAVELHEALTH CENTER</v>
      </c>
      <c r="B1051" s="2">
        <v>44403</v>
      </c>
      <c r="C1051" s="2">
        <v>44405</v>
      </c>
      <c r="D1051" s="3" t="s">
        <v>1295</v>
      </c>
      <c r="E1051" s="3">
        <v>300</v>
      </c>
      <c r="F1051" s="3">
        <v>1</v>
      </c>
      <c r="G1051" s="3">
        <f t="shared" si="55"/>
        <v>300</v>
      </c>
      <c r="H1051" s="3" t="s">
        <v>291</v>
      </c>
      <c r="I1051" s="1" t="s">
        <v>393</v>
      </c>
      <c r="J1051" s="1" t="s">
        <v>159</v>
      </c>
      <c r="K1051" s="1" t="s">
        <v>298</v>
      </c>
      <c r="L1051" s="1" t="s">
        <v>267</v>
      </c>
      <c r="M1051" s="1"/>
      <c r="N1051" s="1">
        <f t="shared" si="54"/>
        <v>7</v>
      </c>
      <c r="O1051" s="65"/>
    </row>
    <row r="1052" spans="1:15" ht="15.75" hidden="1" x14ac:dyDescent="0.25">
      <c r="A1052" s="1" t="str">
        <f t="shared" si="53"/>
        <v>444034440513.26DINERSTRANSPORTUBER</v>
      </c>
      <c r="B1052" s="2">
        <v>44403</v>
      </c>
      <c r="C1052" s="2">
        <v>44405</v>
      </c>
      <c r="D1052" s="3" t="s">
        <v>1290</v>
      </c>
      <c r="E1052" s="3">
        <v>13.26</v>
      </c>
      <c r="F1052" s="3">
        <v>1</v>
      </c>
      <c r="G1052" s="3">
        <f t="shared" si="55"/>
        <v>13.26</v>
      </c>
      <c r="H1052" s="3" t="s">
        <v>266</v>
      </c>
      <c r="I1052" s="1" t="s">
        <v>296</v>
      </c>
      <c r="J1052" s="1" t="s">
        <v>299</v>
      </c>
      <c r="K1052" s="1" t="s">
        <v>298</v>
      </c>
      <c r="L1052" s="1" t="s">
        <v>267</v>
      </c>
      <c r="M1052" s="1"/>
      <c r="N1052" s="1">
        <f t="shared" si="54"/>
        <v>7</v>
      </c>
      <c r="O1052" s="87"/>
    </row>
    <row r="1053" spans="1:15" ht="15.75" hidden="1" x14ac:dyDescent="0.25">
      <c r="A1053" s="1" t="str">
        <f t="shared" si="53"/>
        <v>44403444058DINERSTRANSPORTUBER</v>
      </c>
      <c r="B1053" s="2">
        <v>44403</v>
      </c>
      <c r="C1053" s="2">
        <v>44405</v>
      </c>
      <c r="D1053" s="3" t="s">
        <v>1291</v>
      </c>
      <c r="E1053" s="3">
        <v>8</v>
      </c>
      <c r="F1053" s="3">
        <v>1</v>
      </c>
      <c r="G1053" s="3">
        <f t="shared" si="55"/>
        <v>8</v>
      </c>
      <c r="H1053" s="3" t="s">
        <v>266</v>
      </c>
      <c r="I1053" s="1" t="s">
        <v>296</v>
      </c>
      <c r="J1053" s="1" t="s">
        <v>299</v>
      </c>
      <c r="K1053" s="1" t="s">
        <v>298</v>
      </c>
      <c r="L1053" s="1" t="s">
        <v>267</v>
      </c>
      <c r="M1053" s="1"/>
      <c r="N1053" s="1">
        <f t="shared" si="54"/>
        <v>7</v>
      </c>
      <c r="O1053" s="87"/>
    </row>
    <row r="1054" spans="1:15" ht="15.75" hidden="1" x14ac:dyDescent="0.25">
      <c r="A1054" s="1" t="str">
        <f t="shared" si="53"/>
        <v>444044440417.95DINERSTRANSPORTUBER</v>
      </c>
      <c r="B1054" s="2">
        <v>44404</v>
      </c>
      <c r="C1054" s="2">
        <v>44404</v>
      </c>
      <c r="D1054" s="3" t="s">
        <v>1292</v>
      </c>
      <c r="E1054" s="3">
        <v>17.95</v>
      </c>
      <c r="F1054" s="3">
        <v>1</v>
      </c>
      <c r="G1054" s="3">
        <f t="shared" si="55"/>
        <v>17.95</v>
      </c>
      <c r="H1054" s="3" t="s">
        <v>266</v>
      </c>
      <c r="I1054" s="1" t="s">
        <v>296</v>
      </c>
      <c r="J1054" s="1" t="s">
        <v>299</v>
      </c>
      <c r="K1054" s="1" t="s">
        <v>298</v>
      </c>
      <c r="L1054" s="1" t="s">
        <v>267</v>
      </c>
      <c r="M1054" s="1"/>
      <c r="N1054" s="1">
        <f t="shared" si="54"/>
        <v>7</v>
      </c>
      <c r="O1054" s="87"/>
    </row>
    <row r="1055" spans="1:15" ht="15.75" hidden="1" x14ac:dyDescent="0.25">
      <c r="A1055" s="1" t="str">
        <f t="shared" si="53"/>
        <v>444044440617.7DINERSTRANSPORTUBER</v>
      </c>
      <c r="B1055" s="2">
        <v>44404</v>
      </c>
      <c r="C1055" s="2">
        <v>44406</v>
      </c>
      <c r="D1055" s="3" t="s">
        <v>1288</v>
      </c>
      <c r="E1055" s="3">
        <v>17.7</v>
      </c>
      <c r="F1055" s="3">
        <v>1</v>
      </c>
      <c r="G1055" s="3">
        <f t="shared" si="55"/>
        <v>17.7</v>
      </c>
      <c r="H1055" s="3" t="s">
        <v>266</v>
      </c>
      <c r="I1055" s="1" t="s">
        <v>296</v>
      </c>
      <c r="J1055" s="1" t="s">
        <v>299</v>
      </c>
      <c r="K1055" s="1" t="s">
        <v>298</v>
      </c>
      <c r="L1055" s="1" t="s">
        <v>267</v>
      </c>
      <c r="M1055" s="1"/>
      <c r="N1055" s="1">
        <f t="shared" si="54"/>
        <v>7</v>
      </c>
      <c r="O1055" s="87"/>
    </row>
    <row r="1056" spans="1:15" ht="15.75" hidden="1" x14ac:dyDescent="0.25">
      <c r="A1056" s="1" t="str">
        <f t="shared" si="53"/>
        <v>444044440619.09DINERSTRANSPORTUBER</v>
      </c>
      <c r="B1056" s="2">
        <v>44404</v>
      </c>
      <c r="C1056" s="2">
        <v>44406</v>
      </c>
      <c r="D1056" s="3" t="s">
        <v>1289</v>
      </c>
      <c r="E1056" s="3">
        <v>19.09</v>
      </c>
      <c r="F1056" s="3">
        <v>1</v>
      </c>
      <c r="G1056" s="3">
        <f t="shared" si="55"/>
        <v>19.09</v>
      </c>
      <c r="H1056" s="3" t="s">
        <v>266</v>
      </c>
      <c r="I1056" s="1" t="s">
        <v>296</v>
      </c>
      <c r="J1056" s="1" t="s">
        <v>299</v>
      </c>
      <c r="K1056" s="1" t="s">
        <v>298</v>
      </c>
      <c r="L1056" s="1" t="s">
        <v>267</v>
      </c>
      <c r="M1056" s="1"/>
      <c r="N1056" s="1">
        <f t="shared" si="54"/>
        <v>7</v>
      </c>
      <c r="O1056" s="87"/>
    </row>
    <row r="1057" spans="1:15" ht="15.75" hidden="1" x14ac:dyDescent="0.25">
      <c r="A1057" s="1" t="str">
        <f t="shared" si="53"/>
        <v>4440444404333DINERSSHOPPINGLULU</v>
      </c>
      <c r="B1057" s="2">
        <v>44404</v>
      </c>
      <c r="C1057" s="2">
        <v>44404</v>
      </c>
      <c r="D1057" s="3" t="s">
        <v>1161</v>
      </c>
      <c r="E1057" s="3">
        <v>333</v>
      </c>
      <c r="F1057" s="3">
        <v>1</v>
      </c>
      <c r="G1057" s="3">
        <f t="shared" si="55"/>
        <v>333</v>
      </c>
      <c r="H1057" s="3" t="s">
        <v>266</v>
      </c>
      <c r="I1057" s="1" t="s">
        <v>194</v>
      </c>
      <c r="J1057" s="1" t="s">
        <v>44</v>
      </c>
      <c r="K1057" s="1" t="s">
        <v>298</v>
      </c>
      <c r="L1057" s="1" t="s">
        <v>267</v>
      </c>
      <c r="M1057" s="1">
        <v>1</v>
      </c>
      <c r="N1057" s="1">
        <f t="shared" si="54"/>
        <v>7</v>
      </c>
      <c r="O1057" s="87"/>
    </row>
    <row r="1058" spans="1:15" ht="15.75" hidden="1" x14ac:dyDescent="0.25">
      <c r="A1058" s="1" t="str">
        <f t="shared" si="53"/>
        <v>444054440518484CURRENTSALARYQATAR AIR</v>
      </c>
      <c r="B1058" s="2">
        <v>44405</v>
      </c>
      <c r="C1058" s="2">
        <v>44405</v>
      </c>
      <c r="D1058" s="3" t="s">
        <v>1284</v>
      </c>
      <c r="E1058" s="3">
        <v>18484</v>
      </c>
      <c r="F1058" s="3">
        <v>1</v>
      </c>
      <c r="G1058" s="3">
        <f t="shared" si="55"/>
        <v>18484</v>
      </c>
      <c r="H1058" s="3" t="s">
        <v>293</v>
      </c>
      <c r="I1058" s="1" t="s">
        <v>18</v>
      </c>
      <c r="J1058" s="1" t="s">
        <v>19</v>
      </c>
      <c r="K1058" s="1" t="s">
        <v>300</v>
      </c>
      <c r="L1058" s="1" t="s">
        <v>257</v>
      </c>
      <c r="M1058" s="1"/>
      <c r="N1058" s="1">
        <f t="shared" si="54"/>
        <v>7</v>
      </c>
      <c r="O1058" s="65"/>
    </row>
    <row r="1059" spans="1:15" ht="15.75" hidden="1" x14ac:dyDescent="0.25">
      <c r="A1059" s="1" t="str">
        <f t="shared" si="53"/>
        <v>444064440915.51DINERSTRANSPORTUBER</v>
      </c>
      <c r="B1059" s="2">
        <v>44406</v>
      </c>
      <c r="C1059" s="2">
        <v>44409</v>
      </c>
      <c r="D1059" s="3" t="s">
        <v>1286</v>
      </c>
      <c r="E1059" s="3">
        <v>15.51</v>
      </c>
      <c r="F1059" s="3">
        <v>1</v>
      </c>
      <c r="G1059" s="3">
        <f t="shared" si="55"/>
        <v>15.51</v>
      </c>
      <c r="H1059" s="3" t="s">
        <v>266</v>
      </c>
      <c r="I1059" s="1" t="s">
        <v>296</v>
      </c>
      <c r="J1059" s="1" t="s">
        <v>299</v>
      </c>
      <c r="K1059" s="1" t="s">
        <v>298</v>
      </c>
      <c r="L1059" s="1" t="s">
        <v>267</v>
      </c>
      <c r="M1059" s="1"/>
      <c r="N1059" s="1">
        <f t="shared" si="54"/>
        <v>8</v>
      </c>
      <c r="O1059" s="87"/>
    </row>
    <row r="1060" spans="1:15" ht="15.75" hidden="1" x14ac:dyDescent="0.25">
      <c r="A1060" s="1" t="str">
        <f t="shared" si="53"/>
        <v>444064440914.12DINERSTRANSPORTUBER</v>
      </c>
      <c r="B1060" s="2">
        <v>44406</v>
      </c>
      <c r="C1060" s="2">
        <v>44409</v>
      </c>
      <c r="D1060" s="3" t="s">
        <v>1287</v>
      </c>
      <c r="E1060" s="3">
        <v>14.12</v>
      </c>
      <c r="F1060" s="3">
        <v>1</v>
      </c>
      <c r="G1060" s="3">
        <f t="shared" si="55"/>
        <v>14.12</v>
      </c>
      <c r="H1060" s="3" t="s">
        <v>266</v>
      </c>
      <c r="I1060" s="1" t="s">
        <v>296</v>
      </c>
      <c r="J1060" s="1" t="s">
        <v>299</v>
      </c>
      <c r="K1060" s="1" t="s">
        <v>298</v>
      </c>
      <c r="L1060" s="1" t="s">
        <v>267</v>
      </c>
      <c r="M1060" s="1"/>
      <c r="N1060" s="1">
        <f t="shared" si="54"/>
        <v>8</v>
      </c>
      <c r="O1060" s="87"/>
    </row>
    <row r="1061" spans="1:15" ht="15.75" hidden="1" x14ac:dyDescent="0.25">
      <c r="A1061" s="1" t="str">
        <f t="shared" si="53"/>
        <v>44406444062000CURRENTSAVINGOTHER</v>
      </c>
      <c r="B1061" s="2">
        <v>44406</v>
      </c>
      <c r="C1061" s="2">
        <v>44406</v>
      </c>
      <c r="D1061" s="3" t="s">
        <v>1282</v>
      </c>
      <c r="E1061" s="3">
        <v>2000</v>
      </c>
      <c r="F1061" s="3">
        <v>1</v>
      </c>
      <c r="G1061" s="3">
        <f t="shared" si="55"/>
        <v>2000</v>
      </c>
      <c r="H1061" s="3" t="s">
        <v>293</v>
      </c>
      <c r="I1061" s="1" t="s">
        <v>302</v>
      </c>
      <c r="J1061" s="1" t="s">
        <v>1285</v>
      </c>
      <c r="K1061" s="1" t="s">
        <v>300</v>
      </c>
      <c r="L1061" s="1" t="s">
        <v>257</v>
      </c>
      <c r="M1061" s="1"/>
      <c r="N1061" s="1">
        <f t="shared" si="54"/>
        <v>7</v>
      </c>
      <c r="O1061" s="65"/>
    </row>
    <row r="1062" spans="1:15" ht="15.75" hidden="1" x14ac:dyDescent="0.25">
      <c r="A1062" s="1" t="str">
        <f t="shared" si="53"/>
        <v>4440644406500CURRENTSAVINGOTHER</v>
      </c>
      <c r="B1062" s="2">
        <v>44406</v>
      </c>
      <c r="C1062" s="2">
        <v>44406</v>
      </c>
      <c r="D1062" s="3" t="s">
        <v>1283</v>
      </c>
      <c r="E1062" s="3">
        <v>500</v>
      </c>
      <c r="F1062" s="3">
        <v>1</v>
      </c>
      <c r="G1062" s="3">
        <f t="shared" si="55"/>
        <v>500</v>
      </c>
      <c r="H1062" s="3" t="s">
        <v>293</v>
      </c>
      <c r="I1062" s="1" t="s">
        <v>302</v>
      </c>
      <c r="J1062" s="1" t="s">
        <v>1285</v>
      </c>
      <c r="K1062" s="1" t="s">
        <v>300</v>
      </c>
      <c r="L1062" s="1" t="s">
        <v>257</v>
      </c>
      <c r="M1062" s="1"/>
      <c r="N1062" s="1">
        <f t="shared" si="54"/>
        <v>7</v>
      </c>
      <c r="O1062" s="65"/>
    </row>
    <row r="1063" spans="1:15" ht="15.75" hidden="1" x14ac:dyDescent="0.25">
      <c r="A1063" s="1" t="str">
        <f t="shared" si="53"/>
        <v>44407444072277.83DINERSCC BILL PAYMENTBANK</v>
      </c>
      <c r="B1063" s="2">
        <v>44407</v>
      </c>
      <c r="C1063" s="2">
        <v>44407</v>
      </c>
      <c r="D1063" s="3" t="s">
        <v>80</v>
      </c>
      <c r="E1063" s="3">
        <v>-2277.83</v>
      </c>
      <c r="F1063" s="3">
        <v>1</v>
      </c>
      <c r="G1063" s="3">
        <f t="shared" si="55"/>
        <v>2277.83</v>
      </c>
      <c r="H1063" s="3" t="s">
        <v>266</v>
      </c>
      <c r="I1063" s="1" t="s">
        <v>81</v>
      </c>
      <c r="J1063" s="1" t="s">
        <v>8</v>
      </c>
      <c r="K1063" s="1" t="s">
        <v>300</v>
      </c>
      <c r="L1063" s="1" t="s">
        <v>267</v>
      </c>
      <c r="M1063" s="1"/>
      <c r="N1063" s="1">
        <f t="shared" si="54"/>
        <v>7</v>
      </c>
      <c r="O1063" s="87"/>
    </row>
    <row r="1064" spans="1:15" ht="15.75" hidden="1" x14ac:dyDescent="0.25">
      <c r="A1064" s="1" t="str">
        <f t="shared" si="53"/>
        <v>44408444082277.83CURRENTCC BILL PAYMENTBANK</v>
      </c>
      <c r="B1064" s="2">
        <v>44408</v>
      </c>
      <c r="C1064" s="2">
        <v>44408</v>
      </c>
      <c r="D1064" s="3" t="s">
        <v>1297</v>
      </c>
      <c r="E1064" s="3">
        <v>-2277.83</v>
      </c>
      <c r="F1064" s="3">
        <v>1</v>
      </c>
      <c r="G1064" s="3">
        <f t="shared" si="55"/>
        <v>2277.83</v>
      </c>
      <c r="H1064" s="3" t="s">
        <v>293</v>
      </c>
      <c r="I1064" s="1" t="s">
        <v>81</v>
      </c>
      <c r="J1064" s="1" t="s">
        <v>8</v>
      </c>
      <c r="K1064" s="1" t="s">
        <v>298</v>
      </c>
      <c r="L1064" s="1" t="s">
        <v>257</v>
      </c>
      <c r="M1064" s="1"/>
      <c r="N1064" s="1">
        <f t="shared" si="54"/>
        <v>7</v>
      </c>
      <c r="O1064" s="65"/>
    </row>
    <row r="1065" spans="1:15" ht="15.75" hidden="1" x14ac:dyDescent="0.25">
      <c r="A1065" s="1" t="str">
        <f t="shared" si="53"/>
        <v>444094440915CURRENTSERVICEBANK</v>
      </c>
      <c r="B1065" s="2">
        <v>44409</v>
      </c>
      <c r="C1065" s="2">
        <v>44409</v>
      </c>
      <c r="D1065" s="3" t="s">
        <v>1301</v>
      </c>
      <c r="E1065" s="3">
        <v>15</v>
      </c>
      <c r="F1065" s="3">
        <v>1</v>
      </c>
      <c r="G1065" s="3">
        <f t="shared" si="55"/>
        <v>15</v>
      </c>
      <c r="H1065" s="3" t="s">
        <v>293</v>
      </c>
      <c r="I1065" s="1" t="s">
        <v>7</v>
      </c>
      <c r="J1065" s="1" t="s">
        <v>8</v>
      </c>
      <c r="K1065" s="1" t="s">
        <v>300</v>
      </c>
      <c r="L1065" s="1" t="s">
        <v>257</v>
      </c>
      <c r="M1065" s="1"/>
      <c r="N1065" s="1">
        <f t="shared" si="54"/>
        <v>8</v>
      </c>
      <c r="O1065" s="65"/>
    </row>
    <row r="1066" spans="1:15" ht="15.75" hidden="1" x14ac:dyDescent="0.25">
      <c r="A1066" s="1" t="str">
        <f t="shared" si="53"/>
        <v>444094440915CURRENTSERVICEBANK</v>
      </c>
      <c r="B1066" s="2">
        <v>44409</v>
      </c>
      <c r="C1066" s="2">
        <v>44409</v>
      </c>
      <c r="D1066" s="3" t="s">
        <v>1300</v>
      </c>
      <c r="E1066" s="3">
        <v>15</v>
      </c>
      <c r="F1066" s="3">
        <v>1</v>
      </c>
      <c r="G1066" s="3">
        <f t="shared" si="55"/>
        <v>15</v>
      </c>
      <c r="H1066" s="3" t="s">
        <v>293</v>
      </c>
      <c r="I1066" s="1" t="s">
        <v>7</v>
      </c>
      <c r="J1066" s="1" t="s">
        <v>8</v>
      </c>
      <c r="K1066" s="1" t="s">
        <v>300</v>
      </c>
      <c r="L1066" s="1" t="s">
        <v>257</v>
      </c>
      <c r="M1066" s="1"/>
      <c r="N1066" s="1">
        <f t="shared" si="54"/>
        <v>8</v>
      </c>
      <c r="O1066" s="65"/>
    </row>
    <row r="1067" spans="1:15" ht="15.75" hidden="1" x14ac:dyDescent="0.25">
      <c r="A1067" s="1" t="str">
        <f t="shared" si="53"/>
        <v>44410444104CURRENTSERVICEBANK</v>
      </c>
      <c r="B1067" s="2">
        <v>44410</v>
      </c>
      <c r="C1067" s="2">
        <v>44410</v>
      </c>
      <c r="D1067" s="3" t="s">
        <v>1299</v>
      </c>
      <c r="E1067" s="3">
        <v>-4</v>
      </c>
      <c r="F1067" s="3">
        <v>1</v>
      </c>
      <c r="G1067" s="3">
        <f t="shared" si="55"/>
        <v>4</v>
      </c>
      <c r="H1067" s="3" t="s">
        <v>293</v>
      </c>
      <c r="I1067" s="1" t="s">
        <v>7</v>
      </c>
      <c r="J1067" s="1" t="s">
        <v>8</v>
      </c>
      <c r="K1067" s="1" t="s">
        <v>298</v>
      </c>
      <c r="L1067" s="1" t="s">
        <v>257</v>
      </c>
      <c r="M1067" s="1"/>
      <c r="N1067" s="1">
        <f t="shared" si="54"/>
        <v>8</v>
      </c>
      <c r="O1067" s="65"/>
    </row>
    <row r="1068" spans="1:15" ht="15.75" hidden="1" x14ac:dyDescent="0.25">
      <c r="A1068" s="1" t="str">
        <f t="shared" si="53"/>
        <v>44410444104375CURRENTRENTCAP ONE</v>
      </c>
      <c r="B1068" s="2">
        <v>44410</v>
      </c>
      <c r="C1068" s="2">
        <v>44410</v>
      </c>
      <c r="D1068" s="3" t="s">
        <v>1298</v>
      </c>
      <c r="E1068" s="3">
        <v>-4375</v>
      </c>
      <c r="F1068" s="3">
        <v>1</v>
      </c>
      <c r="G1068" s="3">
        <f t="shared" si="55"/>
        <v>4375</v>
      </c>
      <c r="H1068" s="3" t="s">
        <v>293</v>
      </c>
      <c r="I1068" s="1" t="s">
        <v>83</v>
      </c>
      <c r="J1068" s="1" t="s">
        <v>84</v>
      </c>
      <c r="K1068" s="1" t="s">
        <v>298</v>
      </c>
      <c r="L1068" s="1" t="s">
        <v>257</v>
      </c>
      <c r="M1068" s="1"/>
      <c r="N1068" s="1">
        <f t="shared" si="54"/>
        <v>8</v>
      </c>
      <c r="O1068" s="65"/>
    </row>
    <row r="1069" spans="1:15" ht="15.75" hidden="1" x14ac:dyDescent="0.25">
      <c r="A1069" s="1" t="str">
        <f t="shared" si="53"/>
        <v>4441244414124MASTER CCFOODQATAR AIR</v>
      </c>
      <c r="B1069" s="2">
        <v>44412</v>
      </c>
      <c r="C1069" s="2">
        <v>44414</v>
      </c>
      <c r="D1069" s="3" t="s">
        <v>1317</v>
      </c>
      <c r="E1069" s="3">
        <v>124</v>
      </c>
      <c r="F1069" s="3">
        <v>1</v>
      </c>
      <c r="G1069" s="3">
        <f t="shared" si="55"/>
        <v>124</v>
      </c>
      <c r="H1069" s="3" t="s">
        <v>291</v>
      </c>
      <c r="I1069" s="1" t="s">
        <v>10</v>
      </c>
      <c r="J1069" s="1" t="s">
        <v>19</v>
      </c>
      <c r="K1069" s="1" t="s">
        <v>298</v>
      </c>
      <c r="L1069" s="1" t="s">
        <v>267</v>
      </c>
      <c r="M1069" s="1"/>
      <c r="N1069" s="1">
        <f t="shared" si="54"/>
        <v>8</v>
      </c>
      <c r="O1069" s="65"/>
    </row>
    <row r="1070" spans="1:15" ht="15.75" hidden="1" x14ac:dyDescent="0.25">
      <c r="A1070" s="1" t="str">
        <f t="shared" si="53"/>
        <v>44412444168DINERSTRANSPORTUBER</v>
      </c>
      <c r="B1070" s="2">
        <v>44412</v>
      </c>
      <c r="C1070" s="2">
        <v>44416</v>
      </c>
      <c r="D1070" s="3" t="s">
        <v>1306</v>
      </c>
      <c r="E1070" s="3">
        <v>8</v>
      </c>
      <c r="F1070" s="3">
        <v>1</v>
      </c>
      <c r="G1070" s="3">
        <f t="shared" si="55"/>
        <v>8</v>
      </c>
      <c r="H1070" s="3" t="s">
        <v>266</v>
      </c>
      <c r="I1070" s="1" t="s">
        <v>296</v>
      </c>
      <c r="J1070" s="1" t="s">
        <v>299</v>
      </c>
      <c r="K1070" s="1" t="s">
        <v>298</v>
      </c>
      <c r="L1070" s="1" t="s">
        <v>267</v>
      </c>
      <c r="M1070" s="1"/>
      <c r="N1070" s="1">
        <f t="shared" si="54"/>
        <v>8</v>
      </c>
      <c r="O1070" s="87"/>
    </row>
    <row r="1071" spans="1:15" ht="15.75" hidden="1" x14ac:dyDescent="0.25">
      <c r="A1071" s="1" t="str">
        <f t="shared" si="53"/>
        <v>444134441820MASTER CCTELECOMOOREDOO</v>
      </c>
      <c r="B1071" s="2">
        <v>44413</v>
      </c>
      <c r="C1071" s="2">
        <v>44418</v>
      </c>
      <c r="D1071" s="3" t="s">
        <v>1314</v>
      </c>
      <c r="E1071" s="3">
        <v>20</v>
      </c>
      <c r="F1071" s="3">
        <v>1</v>
      </c>
      <c r="G1071" s="3">
        <f t="shared" si="55"/>
        <v>20</v>
      </c>
      <c r="H1071" s="3" t="s">
        <v>291</v>
      </c>
      <c r="I1071" s="1" t="s">
        <v>58</v>
      </c>
      <c r="J1071" s="1" t="s">
        <v>59</v>
      </c>
      <c r="K1071" s="1" t="s">
        <v>298</v>
      </c>
      <c r="L1071" s="1" t="s">
        <v>267</v>
      </c>
      <c r="M1071" s="1"/>
      <c r="N1071" s="1">
        <f t="shared" si="54"/>
        <v>8</v>
      </c>
      <c r="O1071" s="65"/>
    </row>
    <row r="1072" spans="1:15" ht="15.75" hidden="1" x14ac:dyDescent="0.25">
      <c r="A1072" s="1" t="str">
        <f t="shared" si="53"/>
        <v>444134441617.72DINERSTRANSPORTUBER</v>
      </c>
      <c r="B1072" s="2">
        <v>44413</v>
      </c>
      <c r="C1072" s="2">
        <v>44416</v>
      </c>
      <c r="D1072" s="3" t="s">
        <v>1305</v>
      </c>
      <c r="E1072" s="3">
        <v>17.72</v>
      </c>
      <c r="F1072" s="3">
        <v>1</v>
      </c>
      <c r="G1072" s="3">
        <f t="shared" si="55"/>
        <v>17.72</v>
      </c>
      <c r="H1072" s="3" t="s">
        <v>266</v>
      </c>
      <c r="I1072" s="1" t="s">
        <v>296</v>
      </c>
      <c r="J1072" s="1" t="s">
        <v>299</v>
      </c>
      <c r="K1072" s="1" t="s">
        <v>298</v>
      </c>
      <c r="L1072" s="1" t="s">
        <v>267</v>
      </c>
      <c r="M1072" s="1"/>
      <c r="N1072" s="1">
        <f t="shared" si="54"/>
        <v>8</v>
      </c>
      <c r="O1072" s="87"/>
    </row>
    <row r="1073" spans="1:15" ht="15.75" hidden="1" x14ac:dyDescent="0.25">
      <c r="A1073" s="1" t="str">
        <f t="shared" si="53"/>
        <v>44413444131250CURRENTSAVINGSELF</v>
      </c>
      <c r="B1073" s="2">
        <v>44413</v>
      </c>
      <c r="C1073" s="2">
        <v>44413</v>
      </c>
      <c r="D1073" s="3" t="s">
        <v>1167</v>
      </c>
      <c r="E1073" s="3">
        <v>-1250</v>
      </c>
      <c r="F1073" s="3">
        <v>1</v>
      </c>
      <c r="G1073" s="3">
        <f t="shared" si="55"/>
        <v>1250</v>
      </c>
      <c r="H1073" s="3" t="s">
        <v>293</v>
      </c>
      <c r="I1073" s="1" t="s">
        <v>302</v>
      </c>
      <c r="J1073" s="1" t="s">
        <v>14</v>
      </c>
      <c r="K1073" s="1" t="s">
        <v>298</v>
      </c>
      <c r="L1073" s="1" t="s">
        <v>257</v>
      </c>
      <c r="M1073" s="1"/>
      <c r="N1073" s="1">
        <f t="shared" si="54"/>
        <v>8</v>
      </c>
      <c r="O1073" s="65"/>
    </row>
    <row r="1074" spans="1:15" ht="15.75" hidden="1" x14ac:dyDescent="0.25">
      <c r="A1074" s="1" t="str">
        <f t="shared" si="53"/>
        <v>444134441625MASTER CCFOODFINGERTIPS</v>
      </c>
      <c r="B1074" s="2">
        <v>44413</v>
      </c>
      <c r="C1074" s="2">
        <v>44416</v>
      </c>
      <c r="D1074" s="3" t="s">
        <v>1316</v>
      </c>
      <c r="E1074" s="3">
        <v>25</v>
      </c>
      <c r="F1074" s="3">
        <v>1</v>
      </c>
      <c r="G1074" s="3">
        <f t="shared" si="55"/>
        <v>25</v>
      </c>
      <c r="H1074" s="3" t="s">
        <v>291</v>
      </c>
      <c r="I1074" s="1" t="s">
        <v>10</v>
      </c>
      <c r="J1074" s="1" t="s">
        <v>1422</v>
      </c>
      <c r="K1074" s="1" t="s">
        <v>298</v>
      </c>
      <c r="L1074" s="1" t="s">
        <v>267</v>
      </c>
      <c r="M1074" s="1"/>
      <c r="N1074" s="1">
        <f t="shared" si="54"/>
        <v>8</v>
      </c>
      <c r="O1074" s="65"/>
    </row>
    <row r="1075" spans="1:15" ht="15.75" hidden="1" x14ac:dyDescent="0.25">
      <c r="A1075" s="1" t="str">
        <f t="shared" si="53"/>
        <v>444134441516MASTER CCTRANSPORTCAREEM</v>
      </c>
      <c r="B1075" s="2">
        <v>44413</v>
      </c>
      <c r="C1075" s="2">
        <v>44415</v>
      </c>
      <c r="D1075" s="3" t="s">
        <v>1315</v>
      </c>
      <c r="E1075" s="3">
        <v>16</v>
      </c>
      <c r="F1075" s="3">
        <v>1</v>
      </c>
      <c r="G1075" s="3">
        <f t="shared" si="55"/>
        <v>16</v>
      </c>
      <c r="H1075" s="3" t="s">
        <v>291</v>
      </c>
      <c r="I1075" s="1" t="s">
        <v>296</v>
      </c>
      <c r="J1075" s="1" t="s">
        <v>297</v>
      </c>
      <c r="K1075" s="1" t="s">
        <v>298</v>
      </c>
      <c r="L1075" s="1" t="s">
        <v>267</v>
      </c>
      <c r="M1075" s="1"/>
      <c r="N1075" s="1">
        <f t="shared" si="54"/>
        <v>8</v>
      </c>
      <c r="O1075" s="65"/>
    </row>
    <row r="1076" spans="1:15" ht="15.75" hidden="1" x14ac:dyDescent="0.25">
      <c r="A1076" s="1" t="str">
        <f t="shared" si="53"/>
        <v>444144441535MASTER CCFOODCAFÉ/REST.</v>
      </c>
      <c r="B1076" s="2">
        <v>44414</v>
      </c>
      <c r="C1076" s="2">
        <v>44415</v>
      </c>
      <c r="D1076" s="3" t="s">
        <v>1312</v>
      </c>
      <c r="E1076" s="3">
        <v>35</v>
      </c>
      <c r="F1076" s="3">
        <v>1</v>
      </c>
      <c r="G1076" s="3">
        <f t="shared" si="55"/>
        <v>35</v>
      </c>
      <c r="H1076" s="3" t="s">
        <v>291</v>
      </c>
      <c r="I1076" s="1" t="s">
        <v>10</v>
      </c>
      <c r="J1076" s="1" t="s">
        <v>11</v>
      </c>
      <c r="K1076" s="1" t="s">
        <v>298</v>
      </c>
      <c r="L1076" s="1" t="s">
        <v>267</v>
      </c>
      <c r="M1076" s="1"/>
      <c r="N1076" s="1">
        <f t="shared" si="54"/>
        <v>8</v>
      </c>
      <c r="O1076" s="65"/>
    </row>
    <row r="1077" spans="1:15" ht="15.75" hidden="1" x14ac:dyDescent="0.25">
      <c r="A1077" s="1" t="str">
        <f t="shared" si="53"/>
        <v>444144441822.29DINERSTRANSPORTUBER</v>
      </c>
      <c r="B1077" s="2">
        <v>44414</v>
      </c>
      <c r="C1077" s="2">
        <v>44418</v>
      </c>
      <c r="D1077" s="3" t="s">
        <v>1304</v>
      </c>
      <c r="E1077" s="3">
        <v>22.29</v>
      </c>
      <c r="F1077" s="3">
        <v>1</v>
      </c>
      <c r="G1077" s="3">
        <f t="shared" si="55"/>
        <v>22.29</v>
      </c>
      <c r="H1077" s="3" t="s">
        <v>266</v>
      </c>
      <c r="I1077" s="1" t="s">
        <v>296</v>
      </c>
      <c r="J1077" s="1" t="s">
        <v>299</v>
      </c>
      <c r="K1077" s="1" t="s">
        <v>298</v>
      </c>
      <c r="L1077" s="1" t="s">
        <v>267</v>
      </c>
      <c r="M1077" s="1"/>
      <c r="N1077" s="1">
        <f t="shared" si="54"/>
        <v>8</v>
      </c>
      <c r="O1077" s="87"/>
    </row>
    <row r="1078" spans="1:15" ht="15.75" hidden="1" x14ac:dyDescent="0.25">
      <c r="A1078" s="1" t="str">
        <f t="shared" si="53"/>
        <v>444144441617MASTER CCFOODFINGERTIPS</v>
      </c>
      <c r="B1078" s="2">
        <v>44414</v>
      </c>
      <c r="C1078" s="2">
        <v>44416</v>
      </c>
      <c r="D1078" s="3" t="s">
        <v>1313</v>
      </c>
      <c r="E1078" s="3">
        <v>17</v>
      </c>
      <c r="F1078" s="3">
        <v>1</v>
      </c>
      <c r="G1078" s="3">
        <f t="shared" si="55"/>
        <v>17</v>
      </c>
      <c r="H1078" s="3" t="s">
        <v>291</v>
      </c>
      <c r="I1078" s="1" t="s">
        <v>10</v>
      </c>
      <c r="J1078" s="1" t="s">
        <v>1422</v>
      </c>
      <c r="K1078" s="1" t="s">
        <v>298</v>
      </c>
      <c r="L1078" s="1" t="s">
        <v>267</v>
      </c>
      <c r="M1078" s="1"/>
      <c r="N1078" s="1">
        <f t="shared" si="54"/>
        <v>8</v>
      </c>
      <c r="O1078" s="65"/>
    </row>
    <row r="1079" spans="1:15" ht="15.75" hidden="1" x14ac:dyDescent="0.25">
      <c r="A1079" s="1" t="str">
        <f t="shared" si="53"/>
        <v>444154441630.29MASTER CCGROCERYLULU</v>
      </c>
      <c r="B1079" s="2">
        <v>44415</v>
      </c>
      <c r="C1079" s="2">
        <v>44416</v>
      </c>
      <c r="D1079" s="3" t="s">
        <v>1311</v>
      </c>
      <c r="E1079" s="3">
        <v>30.29</v>
      </c>
      <c r="F1079" s="3">
        <v>1</v>
      </c>
      <c r="G1079" s="3">
        <f t="shared" si="55"/>
        <v>30.29</v>
      </c>
      <c r="H1079" s="3" t="s">
        <v>291</v>
      </c>
      <c r="I1079" s="1" t="s">
        <v>43</v>
      </c>
      <c r="J1079" s="1" t="s">
        <v>44</v>
      </c>
      <c r="K1079" s="1" t="s">
        <v>298</v>
      </c>
      <c r="L1079" s="1" t="s">
        <v>267</v>
      </c>
      <c r="M1079" s="1"/>
      <c r="N1079" s="1">
        <f t="shared" si="54"/>
        <v>8</v>
      </c>
      <c r="O1079" s="65"/>
    </row>
    <row r="1080" spans="1:15" ht="15.75" hidden="1" x14ac:dyDescent="0.25">
      <c r="A1080" s="1" t="str">
        <f t="shared" si="53"/>
        <v>444154441810MASTER CCTRANSPORTCAREEM</v>
      </c>
      <c r="B1080" s="2">
        <v>44415</v>
      </c>
      <c r="C1080" s="2">
        <v>44418</v>
      </c>
      <c r="D1080" s="3" t="s">
        <v>1310</v>
      </c>
      <c r="E1080" s="3">
        <v>10</v>
      </c>
      <c r="F1080" s="3">
        <v>1</v>
      </c>
      <c r="G1080" s="3">
        <f t="shared" si="55"/>
        <v>10</v>
      </c>
      <c r="H1080" s="3" t="s">
        <v>291</v>
      </c>
      <c r="I1080" s="1" t="s">
        <v>296</v>
      </c>
      <c r="J1080" s="1" t="s">
        <v>297</v>
      </c>
      <c r="K1080" s="1" t="s">
        <v>298</v>
      </c>
      <c r="L1080" s="1" t="s">
        <v>267</v>
      </c>
      <c r="M1080" s="1"/>
      <c r="N1080" s="1">
        <f t="shared" si="54"/>
        <v>8</v>
      </c>
      <c r="O1080" s="65"/>
    </row>
    <row r="1081" spans="1:15" ht="15.75" hidden="1" x14ac:dyDescent="0.25">
      <c r="A1081" s="1" t="str">
        <f t="shared" si="53"/>
        <v>44416444188.04DINERSTRANSPORTUBER</v>
      </c>
      <c r="B1081" s="2">
        <v>44416</v>
      </c>
      <c r="C1081" s="2">
        <v>44418</v>
      </c>
      <c r="D1081" s="3" t="s">
        <v>1303</v>
      </c>
      <c r="E1081" s="3">
        <v>8.0399999999999991</v>
      </c>
      <c r="F1081" s="3">
        <v>1</v>
      </c>
      <c r="G1081" s="3">
        <f t="shared" si="55"/>
        <v>8.0399999999999991</v>
      </c>
      <c r="H1081" s="3" t="s">
        <v>266</v>
      </c>
      <c r="I1081" s="1" t="s">
        <v>296</v>
      </c>
      <c r="J1081" s="1" t="s">
        <v>299</v>
      </c>
      <c r="K1081" s="1" t="s">
        <v>298</v>
      </c>
      <c r="L1081" s="1" t="s">
        <v>267</v>
      </c>
      <c r="M1081" s="1"/>
      <c r="N1081" s="1">
        <f t="shared" si="54"/>
        <v>8</v>
      </c>
      <c r="O1081" s="87"/>
    </row>
    <row r="1082" spans="1:15" ht="15.75" hidden="1" x14ac:dyDescent="0.25">
      <c r="A1082" s="1" t="str">
        <f t="shared" si="53"/>
        <v>444174441711000CURRENTSAVINGSELF</v>
      </c>
      <c r="B1082" s="2">
        <v>44417</v>
      </c>
      <c r="C1082" s="2">
        <v>44417</v>
      </c>
      <c r="D1082" s="3" t="s">
        <v>1302</v>
      </c>
      <c r="E1082" s="3">
        <v>-11000</v>
      </c>
      <c r="F1082" s="3">
        <v>1</v>
      </c>
      <c r="G1082" s="3">
        <f t="shared" si="55"/>
        <v>11000</v>
      </c>
      <c r="H1082" s="3" t="s">
        <v>293</v>
      </c>
      <c r="I1082" s="1" t="s">
        <v>302</v>
      </c>
      <c r="J1082" s="1" t="s">
        <v>14</v>
      </c>
      <c r="K1082" s="1" t="s">
        <v>298</v>
      </c>
      <c r="L1082" s="1" t="s">
        <v>257</v>
      </c>
      <c r="M1082" s="1"/>
      <c r="N1082" s="1">
        <f t="shared" si="54"/>
        <v>8</v>
      </c>
      <c r="O1082" s="65"/>
    </row>
    <row r="1083" spans="1:15" ht="15.75" hidden="1" x14ac:dyDescent="0.25">
      <c r="A1083" s="1" t="str">
        <f t="shared" si="53"/>
        <v>44418444181247CURRENTTRANSFERINDIA</v>
      </c>
      <c r="B1083" s="2">
        <v>44418</v>
      </c>
      <c r="C1083" s="2">
        <v>44418</v>
      </c>
      <c r="D1083" s="3" t="s">
        <v>694</v>
      </c>
      <c r="E1083" s="3">
        <v>-1247</v>
      </c>
      <c r="F1083" s="3">
        <v>1</v>
      </c>
      <c r="G1083" s="3">
        <f t="shared" si="55"/>
        <v>1247</v>
      </c>
      <c r="H1083" s="3" t="s">
        <v>293</v>
      </c>
      <c r="I1083" s="1" t="s">
        <v>22</v>
      </c>
      <c r="J1083" s="1" t="s">
        <v>23</v>
      </c>
      <c r="K1083" s="1" t="s">
        <v>298</v>
      </c>
      <c r="L1083" s="1" t="s">
        <v>257</v>
      </c>
      <c r="M1083" s="1"/>
      <c r="N1083" s="1">
        <f t="shared" si="54"/>
        <v>8</v>
      </c>
      <c r="O1083" s="65"/>
    </row>
    <row r="1084" spans="1:15" ht="15.75" hidden="1" x14ac:dyDescent="0.25">
      <c r="A1084" s="1" t="str">
        <f t="shared" si="53"/>
        <v>444194442123MASTER CCFOODSIDEWALK</v>
      </c>
      <c r="B1084" s="2">
        <v>44419</v>
      </c>
      <c r="C1084" s="2">
        <v>44421</v>
      </c>
      <c r="D1084" s="3" t="s">
        <v>1309</v>
      </c>
      <c r="E1084" s="3">
        <v>23</v>
      </c>
      <c r="F1084" s="3">
        <v>1</v>
      </c>
      <c r="G1084" s="3">
        <f t="shared" si="55"/>
        <v>23</v>
      </c>
      <c r="H1084" s="3" t="s">
        <v>291</v>
      </c>
      <c r="I1084" s="1" t="s">
        <v>10</v>
      </c>
      <c r="J1084" s="1" t="s">
        <v>1423</v>
      </c>
      <c r="K1084" s="1" t="s">
        <v>298</v>
      </c>
      <c r="L1084" s="1" t="s">
        <v>267</v>
      </c>
      <c r="M1084" s="1"/>
      <c r="N1084" s="1">
        <f t="shared" si="54"/>
        <v>8</v>
      </c>
      <c r="O1084" s="65"/>
    </row>
    <row r="1085" spans="1:15" ht="15.75" hidden="1" x14ac:dyDescent="0.25">
      <c r="A1085" s="1" t="str">
        <f t="shared" si="53"/>
        <v>444204442323MASTER CCFOODSIDEWALK</v>
      </c>
      <c r="B1085" s="2">
        <v>44420</v>
      </c>
      <c r="C1085" s="2">
        <v>44423</v>
      </c>
      <c r="D1085" s="3" t="s">
        <v>1308</v>
      </c>
      <c r="E1085" s="3">
        <v>23</v>
      </c>
      <c r="F1085" s="3">
        <v>1</v>
      </c>
      <c r="G1085" s="3">
        <f t="shared" si="55"/>
        <v>23</v>
      </c>
      <c r="H1085" s="3" t="s">
        <v>291</v>
      </c>
      <c r="I1085" s="1" t="s">
        <v>10</v>
      </c>
      <c r="J1085" s="1" t="s">
        <v>1423</v>
      </c>
      <c r="K1085" s="1" t="s">
        <v>298</v>
      </c>
      <c r="L1085" s="1" t="s">
        <v>267</v>
      </c>
      <c r="M1085" s="1"/>
      <c r="N1085" s="1">
        <f t="shared" si="54"/>
        <v>8</v>
      </c>
      <c r="O1085" s="65"/>
    </row>
    <row r="1086" spans="1:15" ht="15.75" hidden="1" x14ac:dyDescent="0.25">
      <c r="A1086" s="1" t="str">
        <f t="shared" si="53"/>
        <v>444214442415MASTER CCFOODFINGERTIPS</v>
      </c>
      <c r="B1086" s="2">
        <v>44421</v>
      </c>
      <c r="C1086" s="2">
        <v>44424</v>
      </c>
      <c r="D1086" s="3" t="s">
        <v>1307</v>
      </c>
      <c r="E1086" s="3">
        <v>15</v>
      </c>
      <c r="F1086" s="3">
        <v>1</v>
      </c>
      <c r="G1086" s="3">
        <f t="shared" si="55"/>
        <v>15</v>
      </c>
      <c r="H1086" s="3" t="s">
        <v>291</v>
      </c>
      <c r="I1086" s="1" t="s">
        <v>10</v>
      </c>
      <c r="J1086" s="1" t="s">
        <v>1422</v>
      </c>
      <c r="K1086" s="1" t="s">
        <v>298</v>
      </c>
      <c r="L1086" s="1" t="s">
        <v>267</v>
      </c>
      <c r="M1086" s="1"/>
      <c r="N1086" s="1">
        <f t="shared" si="54"/>
        <v>8</v>
      </c>
      <c r="O1086" s="65"/>
    </row>
    <row r="1087" spans="1:15" ht="15.75" hidden="1" x14ac:dyDescent="0.25">
      <c r="A1087" s="1" t="str">
        <f t="shared" si="53"/>
        <v>444224442515MASTER CCFOODFINGERTIPS</v>
      </c>
      <c r="B1087" s="2">
        <v>44422</v>
      </c>
      <c r="C1087" s="2">
        <v>44425</v>
      </c>
      <c r="D1087" s="3" t="s">
        <v>1366</v>
      </c>
      <c r="E1087" s="3">
        <v>15</v>
      </c>
      <c r="F1087" s="3">
        <v>1</v>
      </c>
      <c r="G1087" s="3">
        <f t="shared" si="55"/>
        <v>15</v>
      </c>
      <c r="H1087" s="3" t="s">
        <v>291</v>
      </c>
      <c r="I1087" s="1" t="s">
        <v>10</v>
      </c>
      <c r="J1087" s="1" t="s">
        <v>1422</v>
      </c>
      <c r="K1087" s="1" t="s">
        <v>298</v>
      </c>
      <c r="L1087" s="1" t="s">
        <v>267</v>
      </c>
      <c r="M1087" s="1"/>
      <c r="N1087" s="1">
        <f t="shared" si="54"/>
        <v>8</v>
      </c>
      <c r="O1087" s="65"/>
    </row>
    <row r="1088" spans="1:15" ht="15.75" hidden="1" x14ac:dyDescent="0.25">
      <c r="A1088" s="1" t="str">
        <f t="shared" si="53"/>
        <v>44423444257MASTER CCFOODQATAR AIR</v>
      </c>
      <c r="B1088" s="2">
        <v>44423</v>
      </c>
      <c r="C1088" s="2">
        <v>44425</v>
      </c>
      <c r="D1088" s="3" t="s">
        <v>1364</v>
      </c>
      <c r="E1088" s="3">
        <v>7</v>
      </c>
      <c r="F1088" s="3">
        <v>1</v>
      </c>
      <c r="G1088" s="3">
        <f t="shared" si="55"/>
        <v>7</v>
      </c>
      <c r="H1088" s="3" t="s">
        <v>291</v>
      </c>
      <c r="I1088" s="1" t="s">
        <v>10</v>
      </c>
      <c r="J1088" s="1" t="s">
        <v>19</v>
      </c>
      <c r="K1088" s="1" t="s">
        <v>298</v>
      </c>
      <c r="L1088" s="1" t="s">
        <v>267</v>
      </c>
      <c r="M1088" s="1"/>
      <c r="N1088" s="1">
        <f t="shared" si="54"/>
        <v>8</v>
      </c>
      <c r="O1088" s="65"/>
    </row>
    <row r="1089" spans="1:15" ht="15.75" hidden="1" x14ac:dyDescent="0.25">
      <c r="A1089" s="1" t="str">
        <f t="shared" si="53"/>
        <v>4442344425100MASTER CCFOODQATAR AIR</v>
      </c>
      <c r="B1089" s="2">
        <v>44423</v>
      </c>
      <c r="C1089" s="2">
        <v>44425</v>
      </c>
      <c r="D1089" s="3" t="s">
        <v>1365</v>
      </c>
      <c r="E1089" s="3">
        <v>100</v>
      </c>
      <c r="F1089" s="3">
        <v>1</v>
      </c>
      <c r="G1089" s="3">
        <f t="shared" si="55"/>
        <v>100</v>
      </c>
      <c r="H1089" s="3" t="s">
        <v>291</v>
      </c>
      <c r="I1089" s="1" t="s">
        <v>10</v>
      </c>
      <c r="J1089" s="1" t="s">
        <v>19</v>
      </c>
      <c r="K1089" s="1" t="s">
        <v>298</v>
      </c>
      <c r="L1089" s="1" t="s">
        <v>267</v>
      </c>
      <c r="M1089" s="1"/>
      <c r="N1089" s="1">
        <f t="shared" si="54"/>
        <v>8</v>
      </c>
      <c r="O1089" s="65"/>
    </row>
    <row r="1090" spans="1:15" ht="15.75" hidden="1" x14ac:dyDescent="0.25">
      <c r="A1090" s="1" t="str">
        <f t="shared" ref="A1090:A1153" si="56">B1090&amp;C1090&amp;G1090&amp;H1090&amp;I1090&amp;J1090</f>
        <v>444234442517MASTER CCFOODQATAR AIR</v>
      </c>
      <c r="B1090" s="2">
        <v>44423</v>
      </c>
      <c r="C1090" s="2">
        <v>44425</v>
      </c>
      <c r="D1090" s="3" t="s">
        <v>1363</v>
      </c>
      <c r="E1090" s="3">
        <v>17</v>
      </c>
      <c r="F1090" s="3">
        <v>1</v>
      </c>
      <c r="G1090" s="3">
        <f t="shared" si="55"/>
        <v>17</v>
      </c>
      <c r="H1090" s="3" t="s">
        <v>291</v>
      </c>
      <c r="I1090" s="1" t="s">
        <v>10</v>
      </c>
      <c r="J1090" s="1" t="s">
        <v>19</v>
      </c>
      <c r="K1090" s="1" t="s">
        <v>298</v>
      </c>
      <c r="L1090" s="1" t="s">
        <v>267</v>
      </c>
      <c r="M1090" s="1"/>
      <c r="N1090" s="1">
        <f t="shared" ref="N1090:N1153" si="57">MONTH(C1090)</f>
        <v>8</v>
      </c>
      <c r="O1090" s="65"/>
    </row>
    <row r="1091" spans="1:15" ht="15.75" hidden="1" x14ac:dyDescent="0.25">
      <c r="A1091" s="1" t="str">
        <f t="shared" si="56"/>
        <v>44423444258DINERSTRANSPORTUBER</v>
      </c>
      <c r="B1091" s="2">
        <v>44423</v>
      </c>
      <c r="C1091" s="2">
        <v>44425</v>
      </c>
      <c r="D1091" s="3" t="s">
        <v>1348</v>
      </c>
      <c r="E1091" s="3">
        <v>8</v>
      </c>
      <c r="F1091" s="3">
        <v>1</v>
      </c>
      <c r="G1091" s="3">
        <f t="shared" si="55"/>
        <v>8</v>
      </c>
      <c r="H1091" s="3" t="s">
        <v>266</v>
      </c>
      <c r="I1091" s="1" t="s">
        <v>296</v>
      </c>
      <c r="J1091" s="1" t="s">
        <v>299</v>
      </c>
      <c r="K1091" s="1" t="s">
        <v>298</v>
      </c>
      <c r="L1091" s="1" t="s">
        <v>267</v>
      </c>
      <c r="M1091" s="1"/>
      <c r="N1091" s="1">
        <f t="shared" si="57"/>
        <v>8</v>
      </c>
      <c r="O1091" s="87"/>
    </row>
    <row r="1092" spans="1:15" ht="15.75" hidden="1" x14ac:dyDescent="0.25">
      <c r="A1092" s="1" t="str">
        <f t="shared" si="56"/>
        <v>4442444426100MASTER CCTRANSPORTMETRO</v>
      </c>
      <c r="B1092" s="2">
        <v>44424</v>
      </c>
      <c r="C1092" s="2">
        <v>44426</v>
      </c>
      <c r="D1092" s="3" t="s">
        <v>1362</v>
      </c>
      <c r="E1092" s="3">
        <v>100</v>
      </c>
      <c r="F1092" s="3">
        <v>1</v>
      </c>
      <c r="G1092" s="3">
        <f t="shared" si="55"/>
        <v>100</v>
      </c>
      <c r="H1092" s="3" t="s">
        <v>291</v>
      </c>
      <c r="I1092" s="1" t="s">
        <v>296</v>
      </c>
      <c r="J1092" s="1" t="s">
        <v>759</v>
      </c>
      <c r="K1092" s="1" t="s">
        <v>298</v>
      </c>
      <c r="L1092" s="1" t="s">
        <v>267</v>
      </c>
      <c r="M1092" s="1"/>
      <c r="N1092" s="1">
        <f t="shared" si="57"/>
        <v>8</v>
      </c>
      <c r="O1092" s="65"/>
    </row>
    <row r="1093" spans="1:15" ht="15.75" hidden="1" x14ac:dyDescent="0.25">
      <c r="A1093" s="1" t="str">
        <f t="shared" si="56"/>
        <v>44424444268.07DINERSTRANSPORTUBER</v>
      </c>
      <c r="B1093" s="2">
        <v>44424</v>
      </c>
      <c r="C1093" s="2">
        <v>44426</v>
      </c>
      <c r="D1093" s="3" t="s">
        <v>1346</v>
      </c>
      <c r="E1093" s="3">
        <v>8.07</v>
      </c>
      <c r="F1093" s="3">
        <v>1</v>
      </c>
      <c r="G1093" s="3">
        <f t="shared" si="55"/>
        <v>8.07</v>
      </c>
      <c r="H1093" s="3" t="s">
        <v>266</v>
      </c>
      <c r="I1093" s="1" t="s">
        <v>296</v>
      </c>
      <c r="J1093" s="1" t="s">
        <v>299</v>
      </c>
      <c r="K1093" s="1" t="s">
        <v>298</v>
      </c>
      <c r="L1093" s="1" t="s">
        <v>267</v>
      </c>
      <c r="M1093" s="1"/>
      <c r="N1093" s="1">
        <f t="shared" si="57"/>
        <v>8</v>
      </c>
      <c r="O1093" s="87"/>
    </row>
    <row r="1094" spans="1:15" ht="15.75" hidden="1" x14ac:dyDescent="0.25">
      <c r="A1094" s="1" t="str">
        <f t="shared" si="56"/>
        <v>44424444268DINERSTRANSPORTUBER</v>
      </c>
      <c r="B1094" s="2">
        <v>44424</v>
      </c>
      <c r="C1094" s="2">
        <v>44426</v>
      </c>
      <c r="D1094" s="3" t="s">
        <v>1347</v>
      </c>
      <c r="E1094" s="3">
        <v>8</v>
      </c>
      <c r="F1094" s="3">
        <v>1</v>
      </c>
      <c r="G1094" s="3">
        <f t="shared" si="55"/>
        <v>8</v>
      </c>
      <c r="H1094" s="3" t="s">
        <v>266</v>
      </c>
      <c r="I1094" s="1" t="s">
        <v>296</v>
      </c>
      <c r="J1094" s="1" t="s">
        <v>299</v>
      </c>
      <c r="K1094" s="1" t="s">
        <v>298</v>
      </c>
      <c r="L1094" s="1" t="s">
        <v>267</v>
      </c>
      <c r="M1094" s="1"/>
      <c r="N1094" s="1">
        <f t="shared" si="57"/>
        <v>8</v>
      </c>
      <c r="O1094" s="87"/>
    </row>
    <row r="1095" spans="1:15" ht="15.75" hidden="1" x14ac:dyDescent="0.25">
      <c r="A1095" s="1" t="str">
        <f t="shared" si="56"/>
        <v>44424444494000CURRENTRENTEZDAN</v>
      </c>
      <c r="B1095" s="2">
        <v>44424</v>
      </c>
      <c r="C1095" s="2">
        <v>44449</v>
      </c>
      <c r="D1095" s="3" t="s">
        <v>1338</v>
      </c>
      <c r="E1095" s="3">
        <v>-4000</v>
      </c>
      <c r="F1095" s="3">
        <v>1</v>
      </c>
      <c r="G1095" s="3">
        <f t="shared" si="55"/>
        <v>4000</v>
      </c>
      <c r="H1095" s="3" t="s">
        <v>293</v>
      </c>
      <c r="I1095" s="1" t="s">
        <v>83</v>
      </c>
      <c r="J1095" s="1" t="s">
        <v>1339</v>
      </c>
      <c r="K1095" s="1" t="s">
        <v>298</v>
      </c>
      <c r="L1095" s="1" t="s">
        <v>257</v>
      </c>
      <c r="M1095" s="1"/>
      <c r="N1095" s="1">
        <f t="shared" si="57"/>
        <v>9</v>
      </c>
      <c r="O1095" s="65" t="s">
        <v>1421</v>
      </c>
    </row>
    <row r="1096" spans="1:15" ht="15.75" hidden="1" x14ac:dyDescent="0.25">
      <c r="A1096" s="1" t="str">
        <f t="shared" si="56"/>
        <v>444254442750MASTER CCTELECOMOOREDOO</v>
      </c>
      <c r="B1096" s="2">
        <v>44425</v>
      </c>
      <c r="C1096" s="2">
        <v>44427</v>
      </c>
      <c r="D1096" s="3" t="s">
        <v>1358</v>
      </c>
      <c r="E1096" s="3">
        <v>50</v>
      </c>
      <c r="F1096" s="3">
        <v>1</v>
      </c>
      <c r="G1096" s="3">
        <f t="shared" si="55"/>
        <v>50</v>
      </c>
      <c r="H1096" s="3" t="s">
        <v>291</v>
      </c>
      <c r="I1096" s="1" t="s">
        <v>58</v>
      </c>
      <c r="J1096" s="1" t="s">
        <v>59</v>
      </c>
      <c r="K1096" s="1" t="s">
        <v>298</v>
      </c>
      <c r="L1096" s="1" t="s">
        <v>267</v>
      </c>
      <c r="M1096" s="1"/>
      <c r="N1096" s="1">
        <f t="shared" si="57"/>
        <v>8</v>
      </c>
      <c r="O1096" s="65"/>
    </row>
    <row r="1097" spans="1:15" ht="15.75" hidden="1" x14ac:dyDescent="0.25">
      <c r="A1097" s="1" t="str">
        <f t="shared" si="56"/>
        <v>444254442720MASTER CCTELECOMOOREDOO</v>
      </c>
      <c r="B1097" s="2">
        <v>44425</v>
      </c>
      <c r="C1097" s="2">
        <v>44427</v>
      </c>
      <c r="D1097" s="3" t="s">
        <v>1359</v>
      </c>
      <c r="E1097" s="3">
        <v>20</v>
      </c>
      <c r="F1097" s="3">
        <v>1</v>
      </c>
      <c r="G1097" s="3">
        <f t="shared" si="55"/>
        <v>20</v>
      </c>
      <c r="H1097" s="3" t="s">
        <v>291</v>
      </c>
      <c r="I1097" s="1" t="s">
        <v>58</v>
      </c>
      <c r="J1097" s="1" t="s">
        <v>59</v>
      </c>
      <c r="K1097" s="1" t="s">
        <v>298</v>
      </c>
      <c r="L1097" s="1" t="s">
        <v>267</v>
      </c>
      <c r="M1097" s="1"/>
      <c r="N1097" s="1">
        <f t="shared" si="57"/>
        <v>8</v>
      </c>
      <c r="O1097" s="65"/>
    </row>
    <row r="1098" spans="1:15" ht="15.75" hidden="1" x14ac:dyDescent="0.25">
      <c r="A1098" s="1" t="str">
        <f t="shared" si="56"/>
        <v>444254442719MASTER CCFOODSIDEWALK</v>
      </c>
      <c r="B1098" s="2">
        <v>44425</v>
      </c>
      <c r="C1098" s="2">
        <v>44427</v>
      </c>
      <c r="D1098" s="3" t="s">
        <v>1360</v>
      </c>
      <c r="E1098" s="3">
        <v>19</v>
      </c>
      <c r="F1098" s="3">
        <v>1</v>
      </c>
      <c r="G1098" s="3">
        <f t="shared" si="55"/>
        <v>19</v>
      </c>
      <c r="H1098" s="3" t="s">
        <v>291</v>
      </c>
      <c r="I1098" s="1" t="s">
        <v>10</v>
      </c>
      <c r="J1098" s="1" t="s">
        <v>1423</v>
      </c>
      <c r="K1098" s="1" t="s">
        <v>298</v>
      </c>
      <c r="L1098" s="1" t="s">
        <v>267</v>
      </c>
      <c r="M1098" s="1"/>
      <c r="N1098" s="1">
        <f t="shared" si="57"/>
        <v>8</v>
      </c>
      <c r="O1098" s="65"/>
    </row>
    <row r="1099" spans="1:15" ht="15.75" hidden="1" x14ac:dyDescent="0.25">
      <c r="A1099" s="1" t="str">
        <f t="shared" si="56"/>
        <v>444254442718MASTER CCFOODFINGERTIPS</v>
      </c>
      <c r="B1099" s="2">
        <v>44425</v>
      </c>
      <c r="C1099" s="2">
        <v>44427</v>
      </c>
      <c r="D1099" s="3" t="s">
        <v>1361</v>
      </c>
      <c r="E1099" s="3">
        <v>18</v>
      </c>
      <c r="F1099" s="3">
        <v>1</v>
      </c>
      <c r="G1099" s="3">
        <f t="shared" ref="G1099:G1162" si="58">ABS(E1099)*F1099</f>
        <v>18</v>
      </c>
      <c r="H1099" s="3" t="s">
        <v>291</v>
      </c>
      <c r="I1099" s="1" t="s">
        <v>10</v>
      </c>
      <c r="J1099" s="1" t="s">
        <v>1422</v>
      </c>
      <c r="K1099" s="1" t="s">
        <v>298</v>
      </c>
      <c r="L1099" s="1" t="s">
        <v>267</v>
      </c>
      <c r="M1099" s="1"/>
      <c r="N1099" s="1">
        <f t="shared" si="57"/>
        <v>8</v>
      </c>
      <c r="O1099" s="65"/>
    </row>
    <row r="1100" spans="1:15" ht="15.75" hidden="1" x14ac:dyDescent="0.25">
      <c r="A1100" s="1" t="str">
        <f t="shared" si="56"/>
        <v>444274442915MASTER CCTRANSPORTCAREEM</v>
      </c>
      <c r="B1100" s="2">
        <v>44427</v>
      </c>
      <c r="C1100" s="2">
        <v>44429</v>
      </c>
      <c r="D1100" s="3" t="s">
        <v>1356</v>
      </c>
      <c r="E1100" s="3">
        <v>15</v>
      </c>
      <c r="F1100" s="3">
        <v>1</v>
      </c>
      <c r="G1100" s="3">
        <f t="shared" si="58"/>
        <v>15</v>
      </c>
      <c r="H1100" s="3" t="s">
        <v>291</v>
      </c>
      <c r="I1100" s="1" t="s">
        <v>296</v>
      </c>
      <c r="J1100" s="1" t="s">
        <v>297</v>
      </c>
      <c r="K1100" s="1" t="s">
        <v>298</v>
      </c>
      <c r="L1100" s="1" t="s">
        <v>267</v>
      </c>
      <c r="M1100" s="1"/>
      <c r="N1100" s="1">
        <f t="shared" si="57"/>
        <v>8</v>
      </c>
      <c r="O1100" s="65"/>
    </row>
    <row r="1101" spans="1:15" ht="15.75" hidden="1" x14ac:dyDescent="0.25">
      <c r="A1101" s="1" t="str">
        <f t="shared" si="56"/>
        <v>444274442913MASTER CCTRANSPORTCAREEM</v>
      </c>
      <c r="B1101" s="2">
        <v>44427</v>
      </c>
      <c r="C1101" s="2">
        <v>44429</v>
      </c>
      <c r="D1101" s="3" t="s">
        <v>1357</v>
      </c>
      <c r="E1101" s="3">
        <v>13</v>
      </c>
      <c r="F1101" s="3">
        <v>1</v>
      </c>
      <c r="G1101" s="3">
        <f t="shared" si="58"/>
        <v>13</v>
      </c>
      <c r="H1101" s="3" t="s">
        <v>291</v>
      </c>
      <c r="I1101" s="1" t="s">
        <v>296</v>
      </c>
      <c r="J1101" s="1" t="s">
        <v>297</v>
      </c>
      <c r="K1101" s="1" t="s">
        <v>298</v>
      </c>
      <c r="L1101" s="1" t="s">
        <v>267</v>
      </c>
      <c r="M1101" s="1"/>
      <c r="N1101" s="1">
        <f t="shared" si="57"/>
        <v>8</v>
      </c>
      <c r="O1101" s="65"/>
    </row>
    <row r="1102" spans="1:15" ht="15.75" hidden="1" x14ac:dyDescent="0.25">
      <c r="A1102" s="1" t="str">
        <f t="shared" si="56"/>
        <v>444274443211MASTER CCFOODCAFÉ/REST.</v>
      </c>
      <c r="B1102" s="2">
        <v>44427</v>
      </c>
      <c r="C1102" s="2">
        <v>44432</v>
      </c>
      <c r="D1102" s="3" t="s">
        <v>1355</v>
      </c>
      <c r="E1102" s="3">
        <v>11</v>
      </c>
      <c r="F1102" s="3">
        <v>1</v>
      </c>
      <c r="G1102" s="3">
        <f t="shared" si="58"/>
        <v>11</v>
      </c>
      <c r="H1102" s="3" t="s">
        <v>291</v>
      </c>
      <c r="I1102" s="1" t="s">
        <v>10</v>
      </c>
      <c r="J1102" s="1" t="s">
        <v>11</v>
      </c>
      <c r="K1102" s="1" t="s">
        <v>298</v>
      </c>
      <c r="L1102" s="1" t="s">
        <v>267</v>
      </c>
      <c r="M1102" s="1"/>
      <c r="N1102" s="1">
        <f t="shared" si="57"/>
        <v>8</v>
      </c>
      <c r="O1102" s="65"/>
    </row>
    <row r="1103" spans="1:15" ht="15.75" hidden="1" x14ac:dyDescent="0.25">
      <c r="A1103" s="1" t="str">
        <f t="shared" si="56"/>
        <v>444284443226.61DINERSTRANSPORTUBER</v>
      </c>
      <c r="B1103" s="2">
        <v>44428</v>
      </c>
      <c r="C1103" s="2">
        <v>44432</v>
      </c>
      <c r="D1103" s="3" t="s">
        <v>1343</v>
      </c>
      <c r="E1103" s="3">
        <v>26.61</v>
      </c>
      <c r="F1103" s="3">
        <v>1</v>
      </c>
      <c r="G1103" s="3">
        <f t="shared" si="58"/>
        <v>26.61</v>
      </c>
      <c r="H1103" s="3" t="s">
        <v>266</v>
      </c>
      <c r="I1103" s="1" t="s">
        <v>296</v>
      </c>
      <c r="J1103" s="1" t="s">
        <v>299</v>
      </c>
      <c r="K1103" s="1" t="s">
        <v>298</v>
      </c>
      <c r="L1103" s="1" t="s">
        <v>267</v>
      </c>
      <c r="M1103" s="1"/>
      <c r="N1103" s="1">
        <f t="shared" si="57"/>
        <v>8</v>
      </c>
      <c r="O1103" s="87"/>
    </row>
    <row r="1104" spans="1:15" ht="15.75" hidden="1" x14ac:dyDescent="0.25">
      <c r="A1104" s="1" t="str">
        <f t="shared" si="56"/>
        <v>444284443228.08DINERSTRANSPORTUBER</v>
      </c>
      <c r="B1104" s="2">
        <v>44428</v>
      </c>
      <c r="C1104" s="2">
        <v>44432</v>
      </c>
      <c r="D1104" s="3" t="s">
        <v>1344</v>
      </c>
      <c r="E1104" s="3">
        <v>28.08</v>
      </c>
      <c r="F1104" s="3">
        <v>1</v>
      </c>
      <c r="G1104" s="3">
        <f t="shared" si="58"/>
        <v>28.08</v>
      </c>
      <c r="H1104" s="3" t="s">
        <v>266</v>
      </c>
      <c r="I1104" s="1" t="s">
        <v>296</v>
      </c>
      <c r="J1104" s="1" t="s">
        <v>299</v>
      </c>
      <c r="K1104" s="1" t="s">
        <v>298</v>
      </c>
      <c r="L1104" s="1" t="s">
        <v>267</v>
      </c>
      <c r="M1104" s="1"/>
      <c r="N1104" s="1">
        <f t="shared" si="57"/>
        <v>8</v>
      </c>
      <c r="O1104" s="87"/>
    </row>
    <row r="1105" spans="1:15" ht="15.75" hidden="1" x14ac:dyDescent="0.25">
      <c r="A1105" s="1" t="str">
        <f t="shared" si="56"/>
        <v>444284442920.25DINERSGROCERYPICK-N-PACK</v>
      </c>
      <c r="B1105" s="2">
        <v>44428</v>
      </c>
      <c r="C1105" s="2">
        <v>44429</v>
      </c>
      <c r="D1105" s="3" t="s">
        <v>1345</v>
      </c>
      <c r="E1105" s="3">
        <v>20.25</v>
      </c>
      <c r="F1105" s="3">
        <v>1</v>
      </c>
      <c r="G1105" s="3">
        <f t="shared" si="58"/>
        <v>20.25</v>
      </c>
      <c r="H1105" s="3" t="s">
        <v>266</v>
      </c>
      <c r="I1105" s="1" t="s">
        <v>43</v>
      </c>
      <c r="J1105" s="1" t="s">
        <v>222</v>
      </c>
      <c r="K1105" s="1" t="s">
        <v>298</v>
      </c>
      <c r="L1105" s="1" t="s">
        <v>267</v>
      </c>
      <c r="M1105" s="1"/>
      <c r="N1105" s="1">
        <f t="shared" si="57"/>
        <v>8</v>
      </c>
      <c r="O1105" s="87"/>
    </row>
    <row r="1106" spans="1:15" ht="15.75" hidden="1" x14ac:dyDescent="0.25">
      <c r="A1106" s="1" t="str">
        <f t="shared" si="56"/>
        <v>444304443223MASTER CCFOODWISHBOX</v>
      </c>
      <c r="B1106" s="2">
        <v>44430</v>
      </c>
      <c r="C1106" s="2">
        <v>44432</v>
      </c>
      <c r="D1106" s="3" t="s">
        <v>1354</v>
      </c>
      <c r="E1106" s="3">
        <v>23</v>
      </c>
      <c r="F1106" s="3">
        <v>1</v>
      </c>
      <c r="G1106" s="3">
        <f t="shared" si="58"/>
        <v>23</v>
      </c>
      <c r="H1106" s="3" t="s">
        <v>291</v>
      </c>
      <c r="I1106" s="1" t="s">
        <v>10</v>
      </c>
      <c r="J1106" s="1" t="s">
        <v>1199</v>
      </c>
      <c r="K1106" s="1" t="s">
        <v>298</v>
      </c>
      <c r="L1106" s="1" t="s">
        <v>267</v>
      </c>
      <c r="M1106" s="1"/>
      <c r="N1106" s="1">
        <f t="shared" si="57"/>
        <v>8</v>
      </c>
      <c r="O1106" s="65"/>
    </row>
    <row r="1107" spans="1:15" ht="15.75" hidden="1" x14ac:dyDescent="0.25">
      <c r="A1107" s="1" t="str">
        <f t="shared" si="56"/>
        <v>444304443313MASTER CCFOODSIDEWALK</v>
      </c>
      <c r="B1107" s="2">
        <v>44430</v>
      </c>
      <c r="C1107" s="2">
        <v>44433</v>
      </c>
      <c r="D1107" s="3" t="s">
        <v>1353</v>
      </c>
      <c r="E1107" s="3">
        <v>13</v>
      </c>
      <c r="F1107" s="3">
        <v>1</v>
      </c>
      <c r="G1107" s="3">
        <f t="shared" si="58"/>
        <v>13</v>
      </c>
      <c r="H1107" s="3" t="s">
        <v>291</v>
      </c>
      <c r="I1107" s="1" t="s">
        <v>10</v>
      </c>
      <c r="J1107" s="1" t="s">
        <v>1423</v>
      </c>
      <c r="K1107" s="1" t="s">
        <v>298</v>
      </c>
      <c r="L1107" s="1" t="s">
        <v>267</v>
      </c>
      <c r="M1107" s="1"/>
      <c r="N1107" s="1">
        <f t="shared" si="57"/>
        <v>8</v>
      </c>
      <c r="O1107" s="65"/>
    </row>
    <row r="1108" spans="1:15" ht="15.75" hidden="1" x14ac:dyDescent="0.25">
      <c r="A1108" s="1" t="str">
        <f t="shared" si="56"/>
        <v>44431444339.13DINERSTRANSPORTUBER</v>
      </c>
      <c r="B1108" s="2">
        <v>44431</v>
      </c>
      <c r="C1108" s="2">
        <v>44433</v>
      </c>
      <c r="D1108" s="3" t="s">
        <v>1342</v>
      </c>
      <c r="E1108" s="3">
        <v>9.1300000000000008</v>
      </c>
      <c r="F1108" s="3">
        <v>1</v>
      </c>
      <c r="G1108" s="3">
        <f t="shared" si="58"/>
        <v>9.1300000000000008</v>
      </c>
      <c r="H1108" s="3" t="s">
        <v>266</v>
      </c>
      <c r="I1108" s="1" t="s">
        <v>296</v>
      </c>
      <c r="J1108" s="1" t="s">
        <v>299</v>
      </c>
      <c r="K1108" s="1" t="s">
        <v>298</v>
      </c>
      <c r="L1108" s="1" t="s">
        <v>267</v>
      </c>
      <c r="M1108" s="1"/>
      <c r="N1108" s="1">
        <f t="shared" si="57"/>
        <v>8</v>
      </c>
      <c r="O1108" s="87"/>
    </row>
    <row r="1109" spans="1:15" ht="15.75" hidden="1" x14ac:dyDescent="0.25">
      <c r="A1109" s="1" t="str">
        <f t="shared" si="56"/>
        <v>44431444315100SAVINGTRANSFERBANK</v>
      </c>
      <c r="B1109" s="2">
        <v>44431</v>
      </c>
      <c r="C1109" s="2">
        <v>44431</v>
      </c>
      <c r="D1109" s="3" t="s">
        <v>1340</v>
      </c>
      <c r="E1109" s="3">
        <v>-5100</v>
      </c>
      <c r="F1109" s="3">
        <v>1</v>
      </c>
      <c r="G1109" s="3">
        <f t="shared" si="58"/>
        <v>5100</v>
      </c>
      <c r="H1109" s="3" t="s">
        <v>302</v>
      </c>
      <c r="I1109" s="1" t="s">
        <v>22</v>
      </c>
      <c r="J1109" s="1" t="s">
        <v>8</v>
      </c>
      <c r="K1109" s="1" t="s">
        <v>22</v>
      </c>
      <c r="L1109" s="1" t="s">
        <v>257</v>
      </c>
      <c r="M1109" s="1"/>
      <c r="N1109" s="1">
        <f t="shared" si="57"/>
        <v>8</v>
      </c>
      <c r="O1109" s="65"/>
    </row>
    <row r="1110" spans="1:15" ht="15.75" hidden="1" x14ac:dyDescent="0.25">
      <c r="A1110" s="1" t="str">
        <f t="shared" si="56"/>
        <v>44431444315100SAVINGTRANSFERARTI</v>
      </c>
      <c r="B1110" s="2">
        <v>44431</v>
      </c>
      <c r="C1110" s="2">
        <v>44431</v>
      </c>
      <c r="D1110" s="3" t="s">
        <v>1337</v>
      </c>
      <c r="E1110" s="3">
        <v>5100</v>
      </c>
      <c r="F1110" s="3">
        <v>1</v>
      </c>
      <c r="G1110" s="3">
        <f t="shared" si="58"/>
        <v>5100</v>
      </c>
      <c r="H1110" s="3" t="s">
        <v>302</v>
      </c>
      <c r="I1110" s="1" t="s">
        <v>22</v>
      </c>
      <c r="J1110" s="1" t="s">
        <v>453</v>
      </c>
      <c r="K1110" s="1" t="s">
        <v>22</v>
      </c>
      <c r="L1110" s="1" t="s">
        <v>257</v>
      </c>
      <c r="M1110" s="1"/>
      <c r="N1110" s="1">
        <f t="shared" si="57"/>
        <v>8</v>
      </c>
      <c r="O1110" s="65"/>
    </row>
    <row r="1111" spans="1:15" ht="15.75" hidden="1" x14ac:dyDescent="0.25">
      <c r="A1111" s="1" t="str">
        <f t="shared" si="56"/>
        <v>444344443720MASTER CCFOODWISHBOX</v>
      </c>
      <c r="B1111" s="2">
        <v>44434</v>
      </c>
      <c r="C1111" s="2">
        <v>44437</v>
      </c>
      <c r="D1111" s="3" t="s">
        <v>1352</v>
      </c>
      <c r="E1111" s="3">
        <v>20</v>
      </c>
      <c r="F1111" s="3">
        <v>1</v>
      </c>
      <c r="G1111" s="3">
        <f t="shared" si="58"/>
        <v>20</v>
      </c>
      <c r="H1111" s="3" t="s">
        <v>291</v>
      </c>
      <c r="I1111" s="1" t="s">
        <v>10</v>
      </c>
      <c r="J1111" s="1" t="s">
        <v>1199</v>
      </c>
      <c r="K1111" s="1" t="s">
        <v>298</v>
      </c>
      <c r="L1111" s="1" t="s">
        <v>267</v>
      </c>
      <c r="M1111" s="1"/>
      <c r="N1111" s="1">
        <f t="shared" si="57"/>
        <v>8</v>
      </c>
      <c r="O1111" s="65"/>
    </row>
    <row r="1112" spans="1:15" ht="15.75" hidden="1" x14ac:dyDescent="0.25">
      <c r="A1112" s="1" t="str">
        <f t="shared" si="56"/>
        <v>444344443917MASTER CCFOODQATAR AIR</v>
      </c>
      <c r="B1112" s="2">
        <v>44434</v>
      </c>
      <c r="C1112" s="2">
        <v>44439</v>
      </c>
      <c r="D1112" s="3" t="s">
        <v>1350</v>
      </c>
      <c r="E1112" s="3">
        <v>17</v>
      </c>
      <c r="F1112" s="3">
        <v>1</v>
      </c>
      <c r="G1112" s="3">
        <f t="shared" si="58"/>
        <v>17</v>
      </c>
      <c r="H1112" s="3" t="s">
        <v>291</v>
      </c>
      <c r="I1112" s="1" t="s">
        <v>10</v>
      </c>
      <c r="J1112" s="1" t="s">
        <v>19</v>
      </c>
      <c r="K1112" s="1" t="s">
        <v>298</v>
      </c>
      <c r="L1112" s="1" t="s">
        <v>267</v>
      </c>
      <c r="M1112" s="1"/>
      <c r="N1112" s="1">
        <f t="shared" si="57"/>
        <v>8</v>
      </c>
      <c r="O1112" s="65"/>
    </row>
    <row r="1113" spans="1:15" ht="15.75" hidden="1" x14ac:dyDescent="0.25">
      <c r="A1113" s="1" t="str">
        <f t="shared" si="56"/>
        <v>444344443917MASTER CCFOODQATAR AIR</v>
      </c>
      <c r="B1113" s="2">
        <v>44434</v>
      </c>
      <c r="C1113" s="2">
        <v>44439</v>
      </c>
      <c r="D1113" s="3" t="s">
        <v>1351</v>
      </c>
      <c r="E1113" s="3">
        <v>17</v>
      </c>
      <c r="F1113" s="3">
        <v>1</v>
      </c>
      <c r="G1113" s="3">
        <f t="shared" si="58"/>
        <v>17</v>
      </c>
      <c r="H1113" s="3" t="s">
        <v>291</v>
      </c>
      <c r="I1113" s="1" t="s">
        <v>10</v>
      </c>
      <c r="J1113" s="1" t="s">
        <v>19</v>
      </c>
      <c r="K1113" s="1" t="s">
        <v>298</v>
      </c>
      <c r="L1113" s="1" t="s">
        <v>267</v>
      </c>
      <c r="M1113" s="1"/>
      <c r="N1113" s="1">
        <f t="shared" si="57"/>
        <v>8</v>
      </c>
      <c r="O1113" s="65"/>
    </row>
    <row r="1114" spans="1:15" ht="15.75" hidden="1" x14ac:dyDescent="0.25">
      <c r="A1114" s="1" t="str">
        <f t="shared" si="56"/>
        <v>444354443717MASTER CCFOODWISHBOX</v>
      </c>
      <c r="B1114" s="2">
        <v>44435</v>
      </c>
      <c r="C1114" s="2">
        <v>44437</v>
      </c>
      <c r="D1114" s="3" t="s">
        <v>1349</v>
      </c>
      <c r="E1114" s="3">
        <v>17</v>
      </c>
      <c r="F1114" s="3">
        <v>1</v>
      </c>
      <c r="G1114" s="3">
        <f t="shared" si="58"/>
        <v>17</v>
      </c>
      <c r="H1114" s="3" t="s">
        <v>291</v>
      </c>
      <c r="I1114" s="1" t="s">
        <v>10</v>
      </c>
      <c r="J1114" s="1" t="s">
        <v>1199</v>
      </c>
      <c r="K1114" s="1" t="s">
        <v>298</v>
      </c>
      <c r="L1114" s="1" t="s">
        <v>267</v>
      </c>
      <c r="M1114" s="1"/>
      <c r="N1114" s="1">
        <f t="shared" si="57"/>
        <v>8</v>
      </c>
      <c r="O1114" s="65"/>
    </row>
    <row r="1115" spans="1:15" ht="15.75" hidden="1" x14ac:dyDescent="0.25">
      <c r="A1115" s="1" t="str">
        <f t="shared" si="56"/>
        <v>444354443715MASTER CCFOODWISHBOX</v>
      </c>
      <c r="B1115" s="2">
        <v>44435</v>
      </c>
      <c r="C1115" s="2">
        <v>44437</v>
      </c>
      <c r="D1115" s="3" t="s">
        <v>1373</v>
      </c>
      <c r="E1115" s="3">
        <v>15</v>
      </c>
      <c r="F1115" s="3">
        <v>1</v>
      </c>
      <c r="G1115" s="3">
        <f t="shared" si="58"/>
        <v>15</v>
      </c>
      <c r="H1115" s="3" t="s">
        <v>291</v>
      </c>
      <c r="I1115" s="1" t="s">
        <v>10</v>
      </c>
      <c r="J1115" s="1" t="s">
        <v>1199</v>
      </c>
      <c r="K1115" s="1" t="s">
        <v>298</v>
      </c>
      <c r="L1115" s="1" t="s">
        <v>267</v>
      </c>
      <c r="M1115" s="1"/>
      <c r="N1115" s="1">
        <f t="shared" si="57"/>
        <v>8</v>
      </c>
      <c r="O1115" s="65"/>
    </row>
    <row r="1116" spans="1:15" ht="15.75" hidden="1" x14ac:dyDescent="0.25">
      <c r="A1116" s="1" t="str">
        <f t="shared" si="56"/>
        <v>444354444814.75DINERSGROCERYPICK-N-PACK</v>
      </c>
      <c r="B1116" s="2">
        <v>44435</v>
      </c>
      <c r="C1116" s="2">
        <v>44448</v>
      </c>
      <c r="D1116" s="3" t="s">
        <v>1341</v>
      </c>
      <c r="E1116" s="3">
        <v>14.75</v>
      </c>
      <c r="F1116" s="3">
        <v>1</v>
      </c>
      <c r="G1116" s="3">
        <f t="shared" si="58"/>
        <v>14.75</v>
      </c>
      <c r="H1116" s="3" t="s">
        <v>266</v>
      </c>
      <c r="I1116" s="1" t="s">
        <v>43</v>
      </c>
      <c r="J1116" s="1" t="s">
        <v>222</v>
      </c>
      <c r="K1116" s="1" t="s">
        <v>298</v>
      </c>
      <c r="L1116" s="1" t="s">
        <v>267</v>
      </c>
      <c r="M1116" s="1"/>
      <c r="N1116" s="1">
        <f t="shared" si="57"/>
        <v>9</v>
      </c>
      <c r="O1116" s="87"/>
    </row>
    <row r="1117" spans="1:15" ht="15.75" hidden="1" x14ac:dyDescent="0.25">
      <c r="A1117" s="1" t="str">
        <f t="shared" si="56"/>
        <v>444364443919MASTER CCFOODWISHBOX</v>
      </c>
      <c r="B1117" s="2">
        <v>44436</v>
      </c>
      <c r="C1117" s="2">
        <v>44439</v>
      </c>
      <c r="D1117" s="3" t="s">
        <v>1372</v>
      </c>
      <c r="E1117" s="3">
        <v>19</v>
      </c>
      <c r="F1117" s="3">
        <v>1</v>
      </c>
      <c r="G1117" s="3">
        <f t="shared" si="58"/>
        <v>19</v>
      </c>
      <c r="H1117" s="3" t="s">
        <v>291</v>
      </c>
      <c r="I1117" s="1" t="s">
        <v>10</v>
      </c>
      <c r="J1117" s="1" t="s">
        <v>1199</v>
      </c>
      <c r="K1117" s="1" t="s">
        <v>298</v>
      </c>
      <c r="L1117" s="1" t="s">
        <v>267</v>
      </c>
      <c r="M1117" s="1"/>
      <c r="N1117" s="1">
        <f t="shared" si="57"/>
        <v>8</v>
      </c>
      <c r="O1117" s="65"/>
    </row>
    <row r="1118" spans="1:15" ht="15.75" hidden="1" x14ac:dyDescent="0.25">
      <c r="A1118" s="1" t="str">
        <f t="shared" si="56"/>
        <v>4443744439105MASTER CCFOODQATAR AIR</v>
      </c>
      <c r="B1118" s="2">
        <v>44437</v>
      </c>
      <c r="C1118" s="2">
        <v>44439</v>
      </c>
      <c r="D1118" s="3" t="s">
        <v>1369</v>
      </c>
      <c r="E1118" s="3">
        <v>105</v>
      </c>
      <c r="F1118" s="3">
        <v>1</v>
      </c>
      <c r="G1118" s="3">
        <f t="shared" si="58"/>
        <v>105</v>
      </c>
      <c r="H1118" s="3" t="s">
        <v>291</v>
      </c>
      <c r="I1118" s="1" t="s">
        <v>10</v>
      </c>
      <c r="J1118" s="1" t="s">
        <v>19</v>
      </c>
      <c r="K1118" s="1" t="s">
        <v>298</v>
      </c>
      <c r="L1118" s="1" t="s">
        <v>267</v>
      </c>
      <c r="M1118" s="1"/>
      <c r="N1118" s="1">
        <f t="shared" si="57"/>
        <v>8</v>
      </c>
      <c r="O1118" s="65"/>
    </row>
    <row r="1119" spans="1:15" ht="15.75" hidden="1" x14ac:dyDescent="0.25">
      <c r="A1119" s="1" t="str">
        <f t="shared" si="56"/>
        <v>444374443910MASTER CCTELECOMOOREDOO</v>
      </c>
      <c r="B1119" s="2">
        <v>44437</v>
      </c>
      <c r="C1119" s="2">
        <v>44439</v>
      </c>
      <c r="D1119" s="3" t="s">
        <v>1371</v>
      </c>
      <c r="E1119" s="3">
        <v>10</v>
      </c>
      <c r="F1119" s="3">
        <v>1</v>
      </c>
      <c r="G1119" s="3">
        <f t="shared" si="58"/>
        <v>10</v>
      </c>
      <c r="H1119" s="3" t="s">
        <v>291</v>
      </c>
      <c r="I1119" s="1" t="s">
        <v>58</v>
      </c>
      <c r="J1119" s="1" t="s">
        <v>59</v>
      </c>
      <c r="K1119" s="1" t="s">
        <v>298</v>
      </c>
      <c r="L1119" s="1" t="s">
        <v>267</v>
      </c>
      <c r="M1119" s="1"/>
      <c r="N1119" s="1">
        <f t="shared" si="57"/>
        <v>8</v>
      </c>
      <c r="O1119" s="65"/>
    </row>
    <row r="1120" spans="1:15" ht="15.75" hidden="1" x14ac:dyDescent="0.25">
      <c r="A1120" s="1" t="str">
        <f t="shared" si="56"/>
        <v>444374443950MASTER CCTELECOMOOREDOO</v>
      </c>
      <c r="B1120" s="2">
        <v>44437</v>
      </c>
      <c r="C1120" s="2">
        <v>44439</v>
      </c>
      <c r="D1120" s="3" t="s">
        <v>1370</v>
      </c>
      <c r="E1120" s="3">
        <v>50</v>
      </c>
      <c r="F1120" s="3">
        <v>1</v>
      </c>
      <c r="G1120" s="3">
        <f t="shared" si="58"/>
        <v>50</v>
      </c>
      <c r="H1120" s="3" t="s">
        <v>291</v>
      </c>
      <c r="I1120" s="1" t="s">
        <v>58</v>
      </c>
      <c r="J1120" s="1" t="s">
        <v>59</v>
      </c>
      <c r="K1120" s="1" t="s">
        <v>298</v>
      </c>
      <c r="L1120" s="1" t="s">
        <v>267</v>
      </c>
      <c r="M1120" s="1"/>
      <c r="N1120" s="1">
        <f t="shared" si="57"/>
        <v>8</v>
      </c>
      <c r="O1120" s="65"/>
    </row>
    <row r="1121" spans="1:15" ht="15.75" hidden="1" x14ac:dyDescent="0.25">
      <c r="A1121" s="1" t="str">
        <f t="shared" si="56"/>
        <v>444374443718779CURRENTSALARYQATAR AIR</v>
      </c>
      <c r="B1121" s="2">
        <v>44437</v>
      </c>
      <c r="C1121" s="2">
        <v>44437</v>
      </c>
      <c r="D1121" s="3" t="s">
        <v>1368</v>
      </c>
      <c r="E1121" s="3">
        <v>18779</v>
      </c>
      <c r="F1121" s="3">
        <v>1</v>
      </c>
      <c r="G1121" s="3">
        <f t="shared" si="58"/>
        <v>18779</v>
      </c>
      <c r="H1121" s="3" t="s">
        <v>293</v>
      </c>
      <c r="I1121" s="1" t="s">
        <v>18</v>
      </c>
      <c r="J1121" s="1" t="s">
        <v>19</v>
      </c>
      <c r="K1121" s="1" t="s">
        <v>300</v>
      </c>
      <c r="L1121" s="1" t="s">
        <v>257</v>
      </c>
      <c r="M1121" s="1"/>
      <c r="N1121" s="1">
        <f t="shared" si="57"/>
        <v>8</v>
      </c>
      <c r="O1121" s="65"/>
    </row>
    <row r="1122" spans="1:15" ht="15.75" hidden="1" x14ac:dyDescent="0.25">
      <c r="A1122" s="1" t="str">
        <f t="shared" si="56"/>
        <v>44437444371208.15CURRENTCC BILL PAYMENTBANK</v>
      </c>
      <c r="B1122" s="2">
        <v>44437</v>
      </c>
      <c r="C1122" s="2">
        <v>44437</v>
      </c>
      <c r="D1122" s="3" t="s">
        <v>1375</v>
      </c>
      <c r="E1122" s="3">
        <v>-1208.1500000000001</v>
      </c>
      <c r="F1122" s="3">
        <v>1</v>
      </c>
      <c r="G1122" s="3">
        <f t="shared" si="58"/>
        <v>1208.1500000000001</v>
      </c>
      <c r="H1122" s="3" t="s">
        <v>293</v>
      </c>
      <c r="I1122" s="1" t="s">
        <v>81</v>
      </c>
      <c r="J1122" s="1" t="s">
        <v>8</v>
      </c>
      <c r="K1122" s="1" t="s">
        <v>298</v>
      </c>
      <c r="L1122" s="1" t="s">
        <v>257</v>
      </c>
      <c r="M1122" s="1"/>
      <c r="N1122" s="1">
        <f t="shared" si="57"/>
        <v>8</v>
      </c>
      <c r="O1122" s="65"/>
    </row>
    <row r="1123" spans="1:15" ht="15.75" hidden="1" x14ac:dyDescent="0.25">
      <c r="A1123" s="1" t="str">
        <f t="shared" si="56"/>
        <v>44437444381208.15DINERSCC BILL PAYMENTBANK</v>
      </c>
      <c r="B1123" s="2">
        <v>44437</v>
      </c>
      <c r="C1123" s="2">
        <v>44438</v>
      </c>
      <c r="D1123" s="3" t="s">
        <v>80</v>
      </c>
      <c r="E1123" s="3">
        <v>-1208.1500000000001</v>
      </c>
      <c r="F1123" s="3">
        <v>1</v>
      </c>
      <c r="G1123" s="3">
        <f t="shared" si="58"/>
        <v>1208.1500000000001</v>
      </c>
      <c r="H1123" s="3" t="s">
        <v>266</v>
      </c>
      <c r="I1123" s="1" t="s">
        <v>81</v>
      </c>
      <c r="J1123" s="1" t="s">
        <v>8</v>
      </c>
      <c r="K1123" s="1" t="s">
        <v>300</v>
      </c>
      <c r="L1123" s="1" t="s">
        <v>267</v>
      </c>
      <c r="M1123" s="1"/>
      <c r="N1123" s="1">
        <f t="shared" si="57"/>
        <v>8</v>
      </c>
      <c r="O1123" s="87"/>
    </row>
    <row r="1124" spans="1:15" ht="15.75" hidden="1" x14ac:dyDescent="0.25">
      <c r="A1124" s="1" t="str">
        <f t="shared" si="56"/>
        <v>444394444280MASTER CCFOODCAFÉ/REST.</v>
      </c>
      <c r="B1124" s="2">
        <v>44439</v>
      </c>
      <c r="C1124" s="2">
        <v>44442</v>
      </c>
      <c r="D1124" s="3" t="s">
        <v>1378</v>
      </c>
      <c r="E1124" s="3">
        <v>80</v>
      </c>
      <c r="F1124" s="3">
        <v>1</v>
      </c>
      <c r="G1124" s="3">
        <f t="shared" si="58"/>
        <v>80</v>
      </c>
      <c r="H1124" s="3" t="s">
        <v>291</v>
      </c>
      <c r="I1124" s="1" t="s">
        <v>10</v>
      </c>
      <c r="J1124" s="1" t="s">
        <v>11</v>
      </c>
      <c r="K1124" s="1" t="s">
        <v>298</v>
      </c>
      <c r="L1124" s="1" t="s">
        <v>267</v>
      </c>
      <c r="M1124" s="1"/>
      <c r="N1124" s="1">
        <f t="shared" si="57"/>
        <v>9</v>
      </c>
      <c r="O1124" s="65"/>
    </row>
    <row r="1125" spans="1:15" ht="15.75" hidden="1" x14ac:dyDescent="0.25">
      <c r="A1125" s="1" t="str">
        <f t="shared" si="56"/>
        <v>444404444224.5MASTER CCGROCERYONE STOP</v>
      </c>
      <c r="B1125" s="2">
        <v>44440</v>
      </c>
      <c r="C1125" s="2">
        <v>44442</v>
      </c>
      <c r="D1125" s="3" t="s">
        <v>1377</v>
      </c>
      <c r="E1125" s="3">
        <v>24.5</v>
      </c>
      <c r="F1125" s="3">
        <v>1</v>
      </c>
      <c r="G1125" s="3">
        <f t="shared" si="58"/>
        <v>24.5</v>
      </c>
      <c r="H1125" s="3" t="s">
        <v>291</v>
      </c>
      <c r="I1125" s="1" t="s">
        <v>43</v>
      </c>
      <c r="J1125" s="1" t="s">
        <v>1379</v>
      </c>
      <c r="K1125" s="1" t="s">
        <v>298</v>
      </c>
      <c r="L1125" s="1" t="s">
        <v>267</v>
      </c>
      <c r="M1125" s="1"/>
      <c r="N1125" s="1">
        <f t="shared" si="57"/>
        <v>9</v>
      </c>
      <c r="O1125" s="65"/>
    </row>
    <row r="1126" spans="1:15" ht="15.75" hidden="1" x14ac:dyDescent="0.25">
      <c r="A1126" s="1" t="str">
        <f t="shared" si="56"/>
        <v>444414444415MASTER CCFOODWISHBOX</v>
      </c>
      <c r="B1126" s="2">
        <v>44441</v>
      </c>
      <c r="C1126" s="2">
        <v>44444</v>
      </c>
      <c r="D1126" s="3" t="s">
        <v>1376</v>
      </c>
      <c r="E1126" s="3">
        <v>15</v>
      </c>
      <c r="F1126" s="3">
        <v>1</v>
      </c>
      <c r="G1126" s="3">
        <f t="shared" si="58"/>
        <v>15</v>
      </c>
      <c r="H1126" s="3" t="s">
        <v>291</v>
      </c>
      <c r="I1126" s="1" t="s">
        <v>10</v>
      </c>
      <c r="J1126" s="1" t="s">
        <v>1199</v>
      </c>
      <c r="K1126" s="1" t="s">
        <v>298</v>
      </c>
      <c r="L1126" s="1" t="s">
        <v>267</v>
      </c>
      <c r="M1126" s="1"/>
      <c r="N1126" s="1">
        <f t="shared" si="57"/>
        <v>9</v>
      </c>
      <c r="O1126" s="65"/>
    </row>
    <row r="1127" spans="1:15" ht="15.75" hidden="1" x14ac:dyDescent="0.25">
      <c r="A1127" s="1" t="str">
        <f t="shared" si="56"/>
        <v>44441444412000CURRENTRENTSELF</v>
      </c>
      <c r="B1127" s="2">
        <v>44441</v>
      </c>
      <c r="C1127" s="2">
        <v>44441</v>
      </c>
      <c r="D1127" s="3" t="s">
        <v>1374</v>
      </c>
      <c r="E1127" s="3">
        <v>-2000</v>
      </c>
      <c r="F1127" s="3">
        <v>1</v>
      </c>
      <c r="G1127" s="3">
        <f t="shared" si="58"/>
        <v>2000</v>
      </c>
      <c r="H1127" s="3" t="s">
        <v>293</v>
      </c>
      <c r="I1127" s="1" t="s">
        <v>83</v>
      </c>
      <c r="J1127" s="1" t="s">
        <v>14</v>
      </c>
      <c r="K1127" s="1" t="s">
        <v>298</v>
      </c>
      <c r="L1127" s="1" t="s">
        <v>257</v>
      </c>
      <c r="M1127" s="1"/>
      <c r="N1127" s="1">
        <f t="shared" si="57"/>
        <v>9</v>
      </c>
      <c r="O1127" s="65" t="s">
        <v>1386</v>
      </c>
    </row>
    <row r="1128" spans="1:15" ht="15.75" hidden="1" x14ac:dyDescent="0.25">
      <c r="A1128" s="1" t="str">
        <f t="shared" si="56"/>
        <v>444414444246DINERSGROCERYTOTAL FRESH</v>
      </c>
      <c r="B1128" s="2">
        <v>44441</v>
      </c>
      <c r="C1128" s="2">
        <v>44442</v>
      </c>
      <c r="D1128" s="3" t="s">
        <v>1393</v>
      </c>
      <c r="E1128" s="3">
        <v>46</v>
      </c>
      <c r="F1128" s="3">
        <v>1</v>
      </c>
      <c r="G1128" s="3">
        <f t="shared" si="58"/>
        <v>46</v>
      </c>
      <c r="H1128" s="3" t="s">
        <v>266</v>
      </c>
      <c r="I1128" s="1" t="s">
        <v>43</v>
      </c>
      <c r="J1128" s="1" t="s">
        <v>1394</v>
      </c>
      <c r="K1128" s="1" t="s">
        <v>298</v>
      </c>
      <c r="L1128" s="1" t="s">
        <v>267</v>
      </c>
      <c r="M1128" s="1"/>
      <c r="N1128" s="1">
        <f t="shared" si="57"/>
        <v>9</v>
      </c>
      <c r="O1128" s="87"/>
    </row>
    <row r="1129" spans="1:15" ht="15.75" hidden="1" x14ac:dyDescent="0.25">
      <c r="A1129" s="1" t="str">
        <f t="shared" si="56"/>
        <v>444424444420MASTER CCFOODWISHBOX</v>
      </c>
      <c r="B1129" s="2">
        <v>44442</v>
      </c>
      <c r="C1129" s="2">
        <v>44444</v>
      </c>
      <c r="D1129" s="3" t="s">
        <v>1400</v>
      </c>
      <c r="E1129" s="3">
        <v>20</v>
      </c>
      <c r="F1129" s="3">
        <v>1</v>
      </c>
      <c r="G1129" s="3">
        <f t="shared" si="58"/>
        <v>20</v>
      </c>
      <c r="H1129" s="3" t="s">
        <v>291</v>
      </c>
      <c r="I1129" s="1" t="s">
        <v>10</v>
      </c>
      <c r="J1129" s="1" t="s">
        <v>1199</v>
      </c>
      <c r="K1129" s="1" t="s">
        <v>298</v>
      </c>
      <c r="L1129" s="1" t="s">
        <v>267</v>
      </c>
      <c r="M1129" s="1"/>
      <c r="N1129" s="1">
        <f t="shared" si="57"/>
        <v>9</v>
      </c>
      <c r="O1129" s="65"/>
    </row>
    <row r="1130" spans="1:15" ht="15.75" hidden="1" x14ac:dyDescent="0.25">
      <c r="A1130" s="1" t="str">
        <f t="shared" si="56"/>
        <v>44442444468.8DINERSTRANSPORTUBER</v>
      </c>
      <c r="B1130" s="2">
        <v>44442</v>
      </c>
      <c r="C1130" s="2">
        <v>44446</v>
      </c>
      <c r="D1130" s="3" t="s">
        <v>1390</v>
      </c>
      <c r="E1130" s="3">
        <v>8.8000000000000007</v>
      </c>
      <c r="F1130" s="3">
        <v>1</v>
      </c>
      <c r="G1130" s="3">
        <f t="shared" si="58"/>
        <v>8.8000000000000007</v>
      </c>
      <c r="H1130" s="3" t="s">
        <v>266</v>
      </c>
      <c r="I1130" s="1" t="s">
        <v>296</v>
      </c>
      <c r="J1130" s="1" t="s">
        <v>299</v>
      </c>
      <c r="K1130" s="1" t="s">
        <v>298</v>
      </c>
      <c r="L1130" s="1" t="s">
        <v>267</v>
      </c>
      <c r="M1130" s="1"/>
      <c r="N1130" s="1">
        <f t="shared" si="57"/>
        <v>9</v>
      </c>
      <c r="O1130" s="87"/>
    </row>
    <row r="1131" spans="1:15" ht="15.75" hidden="1" x14ac:dyDescent="0.25">
      <c r="A1131" s="1" t="str">
        <f t="shared" si="56"/>
        <v>44442444469.51DINERSTRANSPORTUBER</v>
      </c>
      <c r="B1131" s="2">
        <v>44442</v>
      </c>
      <c r="C1131" s="2">
        <v>44446</v>
      </c>
      <c r="D1131" s="3" t="s">
        <v>1391</v>
      </c>
      <c r="E1131" s="3">
        <v>9.51</v>
      </c>
      <c r="F1131" s="3">
        <v>1</v>
      </c>
      <c r="G1131" s="3">
        <f t="shared" si="58"/>
        <v>9.51</v>
      </c>
      <c r="H1131" s="3" t="s">
        <v>266</v>
      </c>
      <c r="I1131" s="1" t="s">
        <v>296</v>
      </c>
      <c r="J1131" s="1" t="s">
        <v>299</v>
      </c>
      <c r="K1131" s="1" t="s">
        <v>298</v>
      </c>
      <c r="L1131" s="1" t="s">
        <v>267</v>
      </c>
      <c r="M1131" s="1"/>
      <c r="N1131" s="1">
        <f t="shared" si="57"/>
        <v>9</v>
      </c>
      <c r="O1131" s="87"/>
    </row>
    <row r="1132" spans="1:15" ht="15.75" hidden="1" x14ac:dyDescent="0.25">
      <c r="A1132" s="1" t="str">
        <f t="shared" si="56"/>
        <v>444424444352.25DINERSGROCERYLULU</v>
      </c>
      <c r="B1132" s="2">
        <v>44442</v>
      </c>
      <c r="C1132" s="2">
        <v>44443</v>
      </c>
      <c r="D1132" s="3" t="s">
        <v>1392</v>
      </c>
      <c r="E1132" s="3">
        <v>52.25</v>
      </c>
      <c r="F1132" s="3">
        <v>1</v>
      </c>
      <c r="G1132" s="3">
        <f t="shared" si="58"/>
        <v>52.25</v>
      </c>
      <c r="H1132" s="3" t="s">
        <v>266</v>
      </c>
      <c r="I1132" s="1" t="s">
        <v>43</v>
      </c>
      <c r="J1132" s="1" t="s">
        <v>44</v>
      </c>
      <c r="K1132" s="1" t="s">
        <v>298</v>
      </c>
      <c r="L1132" s="1" t="s">
        <v>267</v>
      </c>
      <c r="M1132" s="1"/>
      <c r="N1132" s="1">
        <f t="shared" si="57"/>
        <v>9</v>
      </c>
      <c r="O1132" s="87"/>
    </row>
    <row r="1133" spans="1:15" ht="15.75" hidden="1" x14ac:dyDescent="0.25">
      <c r="A1133" s="1" t="str">
        <f t="shared" si="56"/>
        <v>444434444629MASTER CCFOODWISHBOX</v>
      </c>
      <c r="B1133" s="2">
        <v>44443</v>
      </c>
      <c r="C1133" s="2">
        <v>44446</v>
      </c>
      <c r="D1133" s="3" t="s">
        <v>1399</v>
      </c>
      <c r="E1133" s="3">
        <v>29</v>
      </c>
      <c r="F1133" s="3">
        <v>1</v>
      </c>
      <c r="G1133" s="3">
        <f t="shared" si="58"/>
        <v>29</v>
      </c>
      <c r="H1133" s="3" t="s">
        <v>291</v>
      </c>
      <c r="I1133" s="1" t="s">
        <v>10</v>
      </c>
      <c r="J1133" s="1" t="s">
        <v>1199</v>
      </c>
      <c r="K1133" s="1" t="s">
        <v>298</v>
      </c>
      <c r="L1133" s="1" t="s">
        <v>267</v>
      </c>
      <c r="M1133" s="1"/>
      <c r="N1133" s="1">
        <f t="shared" si="57"/>
        <v>9</v>
      </c>
      <c r="O1133" s="65"/>
    </row>
    <row r="1134" spans="1:15" ht="15.75" hidden="1" x14ac:dyDescent="0.25">
      <c r="A1134" s="1" t="str">
        <f t="shared" si="56"/>
        <v>444444444618MASTER CCFOODWISHBOX</v>
      </c>
      <c r="B1134" s="2">
        <v>44444</v>
      </c>
      <c r="C1134" s="2">
        <v>44446</v>
      </c>
      <c r="D1134" s="3" t="s">
        <v>1398</v>
      </c>
      <c r="E1134" s="3">
        <v>18</v>
      </c>
      <c r="F1134" s="3">
        <v>1</v>
      </c>
      <c r="G1134" s="3">
        <f t="shared" si="58"/>
        <v>18</v>
      </c>
      <c r="H1134" s="3" t="s">
        <v>291</v>
      </c>
      <c r="I1134" s="1" t="s">
        <v>10</v>
      </c>
      <c r="J1134" s="1" t="s">
        <v>1199</v>
      </c>
      <c r="K1134" s="1" t="s">
        <v>298</v>
      </c>
      <c r="L1134" s="1" t="s">
        <v>267</v>
      </c>
      <c r="M1134" s="1"/>
      <c r="N1134" s="1">
        <f t="shared" si="57"/>
        <v>9</v>
      </c>
      <c r="O1134" s="65"/>
    </row>
    <row r="1135" spans="1:15" ht="15.75" hidden="1" x14ac:dyDescent="0.25">
      <c r="A1135" s="1" t="str">
        <f t="shared" si="56"/>
        <v>44444444441250CURRENTSAVINGSELF</v>
      </c>
      <c r="B1135" s="2">
        <v>44444</v>
      </c>
      <c r="C1135" s="2">
        <v>44444</v>
      </c>
      <c r="D1135" s="3" t="s">
        <v>1167</v>
      </c>
      <c r="E1135" s="3">
        <v>-1250</v>
      </c>
      <c r="F1135" s="3">
        <v>1</v>
      </c>
      <c r="G1135" s="3">
        <f t="shared" si="58"/>
        <v>1250</v>
      </c>
      <c r="H1135" s="3" t="s">
        <v>293</v>
      </c>
      <c r="I1135" s="1" t="s">
        <v>302</v>
      </c>
      <c r="J1135" s="1" t="s">
        <v>14</v>
      </c>
      <c r="K1135" s="1" t="s">
        <v>298</v>
      </c>
      <c r="L1135" s="1" t="s">
        <v>257</v>
      </c>
      <c r="M1135" s="1"/>
      <c r="N1135" s="1">
        <f t="shared" si="57"/>
        <v>9</v>
      </c>
      <c r="O1135" s="65"/>
    </row>
    <row r="1136" spans="1:15" ht="15.75" hidden="1" x14ac:dyDescent="0.25">
      <c r="A1136" s="1" t="str">
        <f t="shared" si="56"/>
        <v>44444444442000CURRENTRENTSELF</v>
      </c>
      <c r="B1136" s="2">
        <v>44444</v>
      </c>
      <c r="C1136" s="2">
        <v>44444</v>
      </c>
      <c r="D1136" s="3" t="s">
        <v>1385</v>
      </c>
      <c r="E1136" s="3">
        <v>-2000</v>
      </c>
      <c r="F1136" s="3">
        <v>1</v>
      </c>
      <c r="G1136" s="3">
        <f t="shared" si="58"/>
        <v>2000</v>
      </c>
      <c r="H1136" s="3" t="s">
        <v>293</v>
      </c>
      <c r="I1136" s="1" t="s">
        <v>83</v>
      </c>
      <c r="J1136" s="1" t="s">
        <v>14</v>
      </c>
      <c r="K1136" s="1" t="s">
        <v>298</v>
      </c>
      <c r="L1136" s="1" t="s">
        <v>257</v>
      </c>
      <c r="M1136" s="1"/>
      <c r="N1136" s="1">
        <f t="shared" si="57"/>
        <v>9</v>
      </c>
      <c r="O1136" s="65" t="s">
        <v>1386</v>
      </c>
    </row>
    <row r="1137" spans="1:15" ht="15.75" hidden="1" x14ac:dyDescent="0.25">
      <c r="A1137" s="1" t="str">
        <f t="shared" si="56"/>
        <v>444474444918MASTER CCFOODWISHBOX</v>
      </c>
      <c r="B1137" s="2">
        <v>44447</v>
      </c>
      <c r="C1137" s="2">
        <v>44449</v>
      </c>
      <c r="D1137" s="3" t="s">
        <v>1397</v>
      </c>
      <c r="E1137" s="3">
        <v>18</v>
      </c>
      <c r="F1137" s="3">
        <v>1</v>
      </c>
      <c r="G1137" s="3">
        <f t="shared" si="58"/>
        <v>18</v>
      </c>
      <c r="H1137" s="3" t="s">
        <v>291</v>
      </c>
      <c r="I1137" s="1" t="s">
        <v>10</v>
      </c>
      <c r="J1137" s="1" t="s">
        <v>1199</v>
      </c>
      <c r="K1137" s="1" t="s">
        <v>298</v>
      </c>
      <c r="L1137" s="1" t="s">
        <v>267</v>
      </c>
      <c r="M1137" s="1"/>
      <c r="N1137" s="1">
        <f t="shared" si="57"/>
        <v>9</v>
      </c>
      <c r="O1137" s="65"/>
    </row>
    <row r="1138" spans="1:15" ht="15.75" hidden="1" x14ac:dyDescent="0.25">
      <c r="A1138" s="1" t="str">
        <f t="shared" si="56"/>
        <v>444474444926MASTER CCFOODSIDEWALK</v>
      </c>
      <c r="B1138" s="2">
        <v>44447</v>
      </c>
      <c r="C1138" s="2">
        <v>44449</v>
      </c>
      <c r="D1138" s="3" t="s">
        <v>1396</v>
      </c>
      <c r="E1138" s="3">
        <v>26</v>
      </c>
      <c r="F1138" s="3">
        <v>1</v>
      </c>
      <c r="G1138" s="3">
        <f t="shared" si="58"/>
        <v>26</v>
      </c>
      <c r="H1138" s="3" t="s">
        <v>291</v>
      </c>
      <c r="I1138" s="1" t="s">
        <v>10</v>
      </c>
      <c r="J1138" s="1" t="s">
        <v>1423</v>
      </c>
      <c r="K1138" s="1" t="s">
        <v>298</v>
      </c>
      <c r="L1138" s="1" t="s">
        <v>267</v>
      </c>
      <c r="M1138" s="1"/>
      <c r="N1138" s="1">
        <f t="shared" si="57"/>
        <v>9</v>
      </c>
      <c r="O1138" s="65"/>
    </row>
    <row r="1139" spans="1:15" ht="15.75" hidden="1" x14ac:dyDescent="0.25">
      <c r="A1139" s="1" t="str">
        <f t="shared" si="56"/>
        <v>444474445121.57DINERSTRANSPORTUBER</v>
      </c>
      <c r="B1139" s="2">
        <v>44447</v>
      </c>
      <c r="C1139" s="2">
        <v>44451</v>
      </c>
      <c r="D1139" s="3" t="s">
        <v>1388</v>
      </c>
      <c r="E1139" s="3">
        <v>21.57</v>
      </c>
      <c r="F1139" s="3">
        <v>1</v>
      </c>
      <c r="G1139" s="3">
        <f t="shared" si="58"/>
        <v>21.57</v>
      </c>
      <c r="H1139" s="3" t="s">
        <v>266</v>
      </c>
      <c r="I1139" s="1" t="s">
        <v>296</v>
      </c>
      <c r="J1139" s="1" t="s">
        <v>299</v>
      </c>
      <c r="K1139" s="1" t="s">
        <v>298</v>
      </c>
      <c r="L1139" s="1" t="s">
        <v>267</v>
      </c>
      <c r="M1139" s="1"/>
      <c r="N1139" s="1">
        <f t="shared" si="57"/>
        <v>9</v>
      </c>
      <c r="O1139" s="87"/>
    </row>
    <row r="1140" spans="1:15" ht="15.75" hidden="1" x14ac:dyDescent="0.25">
      <c r="A1140" s="1" t="str">
        <f t="shared" si="56"/>
        <v>444474445121.75DINERSTRANSPORTUBER</v>
      </c>
      <c r="B1140" s="2">
        <v>44447</v>
      </c>
      <c r="C1140" s="2">
        <v>44451</v>
      </c>
      <c r="D1140" s="3" t="s">
        <v>1389</v>
      </c>
      <c r="E1140" s="3">
        <v>21.75</v>
      </c>
      <c r="F1140" s="3">
        <v>1</v>
      </c>
      <c r="G1140" s="3">
        <f t="shared" si="58"/>
        <v>21.75</v>
      </c>
      <c r="H1140" s="3" t="s">
        <v>266</v>
      </c>
      <c r="I1140" s="1" t="s">
        <v>296</v>
      </c>
      <c r="J1140" s="1" t="s">
        <v>299</v>
      </c>
      <c r="K1140" s="1" t="s">
        <v>298</v>
      </c>
      <c r="L1140" s="1" t="s">
        <v>267</v>
      </c>
      <c r="M1140" s="1"/>
      <c r="N1140" s="1">
        <f t="shared" si="57"/>
        <v>9</v>
      </c>
      <c r="O1140" s="87"/>
    </row>
    <row r="1141" spans="1:15" ht="15.75" hidden="1" x14ac:dyDescent="0.25">
      <c r="A1141" s="1" t="str">
        <f t="shared" si="56"/>
        <v>444484445120MASTER CCFOODWISHBOX</v>
      </c>
      <c r="B1141" s="2">
        <v>44448</v>
      </c>
      <c r="C1141" s="2">
        <v>44451</v>
      </c>
      <c r="D1141" s="3" t="s">
        <v>1395</v>
      </c>
      <c r="E1141" s="3">
        <v>20</v>
      </c>
      <c r="F1141" s="3">
        <v>1</v>
      </c>
      <c r="G1141" s="3">
        <f t="shared" si="58"/>
        <v>20</v>
      </c>
      <c r="H1141" s="3" t="s">
        <v>291</v>
      </c>
      <c r="I1141" s="1" t="s">
        <v>10</v>
      </c>
      <c r="J1141" s="1" t="s">
        <v>1199</v>
      </c>
      <c r="K1141" s="1" t="s">
        <v>298</v>
      </c>
      <c r="L1141" s="1" t="s">
        <v>267</v>
      </c>
      <c r="M1141" s="1"/>
      <c r="N1141" s="1">
        <f t="shared" si="57"/>
        <v>9</v>
      </c>
      <c r="O1141" s="65"/>
    </row>
    <row r="1142" spans="1:15" ht="15.75" hidden="1" x14ac:dyDescent="0.25">
      <c r="A1142" s="1" t="str">
        <f t="shared" si="56"/>
        <v>444484444916.25DINERSGROCERYTOTAL FRESH</v>
      </c>
      <c r="B1142" s="2">
        <v>44448</v>
      </c>
      <c r="C1142" s="2">
        <v>44449</v>
      </c>
      <c r="D1142" s="3" t="s">
        <v>1387</v>
      </c>
      <c r="E1142" s="3">
        <v>16.25</v>
      </c>
      <c r="F1142" s="3">
        <v>1</v>
      </c>
      <c r="G1142" s="3">
        <f t="shared" si="58"/>
        <v>16.25</v>
      </c>
      <c r="H1142" s="3" t="s">
        <v>266</v>
      </c>
      <c r="I1142" s="1" t="s">
        <v>43</v>
      </c>
      <c r="J1142" s="1" t="s">
        <v>1394</v>
      </c>
      <c r="K1142" s="1" t="s">
        <v>298</v>
      </c>
      <c r="L1142" s="1" t="s">
        <v>267</v>
      </c>
      <c r="M1142" s="1"/>
      <c r="N1142" s="1">
        <f t="shared" si="57"/>
        <v>9</v>
      </c>
      <c r="O1142" s="87"/>
    </row>
    <row r="1143" spans="1:15" ht="15.75" hidden="1" x14ac:dyDescent="0.25">
      <c r="A1143" s="1" t="str">
        <f t="shared" si="56"/>
        <v>444494445123MASTER CCFOODWISHBOX</v>
      </c>
      <c r="B1143" s="2">
        <v>44449</v>
      </c>
      <c r="C1143" s="2">
        <v>44451</v>
      </c>
      <c r="D1143" s="3" t="s">
        <v>1416</v>
      </c>
      <c r="E1143" s="3">
        <v>23</v>
      </c>
      <c r="F1143" s="3">
        <v>1</v>
      </c>
      <c r="G1143" s="3">
        <f t="shared" si="58"/>
        <v>23</v>
      </c>
      <c r="H1143" s="3" t="s">
        <v>291</v>
      </c>
      <c r="I1143" s="1" t="s">
        <v>10</v>
      </c>
      <c r="J1143" s="1" t="s">
        <v>1199</v>
      </c>
      <c r="K1143" s="1" t="s">
        <v>298</v>
      </c>
      <c r="L1143" s="1" t="s">
        <v>267</v>
      </c>
      <c r="M1143" s="1"/>
      <c r="N1143" s="1">
        <f t="shared" si="57"/>
        <v>9</v>
      </c>
      <c r="O1143" s="65"/>
    </row>
    <row r="1144" spans="1:15" ht="15.75" hidden="1" x14ac:dyDescent="0.25">
      <c r="A1144" s="1" t="str">
        <f t="shared" si="56"/>
        <v>444494445314.46DINERSTRANSPORTUBER</v>
      </c>
      <c r="B1144" s="2">
        <v>44449</v>
      </c>
      <c r="C1144" s="2">
        <v>44453</v>
      </c>
      <c r="D1144" s="3" t="s">
        <v>1410</v>
      </c>
      <c r="E1144" s="3">
        <v>14.46</v>
      </c>
      <c r="F1144" s="3">
        <v>1</v>
      </c>
      <c r="G1144" s="3">
        <f t="shared" si="58"/>
        <v>14.46</v>
      </c>
      <c r="H1144" s="3" t="s">
        <v>266</v>
      </c>
      <c r="I1144" s="1" t="s">
        <v>296</v>
      </c>
      <c r="J1144" s="1" t="s">
        <v>299</v>
      </c>
      <c r="K1144" s="1" t="s">
        <v>298</v>
      </c>
      <c r="L1144" s="1" t="s">
        <v>267</v>
      </c>
      <c r="M1144" s="1"/>
      <c r="N1144" s="1">
        <f t="shared" si="57"/>
        <v>9</v>
      </c>
      <c r="O1144" s="87"/>
    </row>
    <row r="1145" spans="1:15" ht="15.75" hidden="1" x14ac:dyDescent="0.25">
      <c r="A1145" s="1" t="str">
        <f t="shared" si="56"/>
        <v>444494445316.21DINERSTRANSPORTUBER</v>
      </c>
      <c r="B1145" s="2">
        <v>44449</v>
      </c>
      <c r="C1145" s="2">
        <v>44453</v>
      </c>
      <c r="D1145" s="3" t="s">
        <v>1411</v>
      </c>
      <c r="E1145" s="3">
        <v>16.21</v>
      </c>
      <c r="F1145" s="3">
        <v>1</v>
      </c>
      <c r="G1145" s="3">
        <f t="shared" si="58"/>
        <v>16.21</v>
      </c>
      <c r="H1145" s="3" t="s">
        <v>266</v>
      </c>
      <c r="I1145" s="1" t="s">
        <v>296</v>
      </c>
      <c r="J1145" s="1" t="s">
        <v>299</v>
      </c>
      <c r="K1145" s="1" t="s">
        <v>298</v>
      </c>
      <c r="L1145" s="1" t="s">
        <v>267</v>
      </c>
      <c r="M1145" s="1"/>
      <c r="N1145" s="1">
        <f t="shared" si="57"/>
        <v>9</v>
      </c>
      <c r="O1145" s="87"/>
    </row>
    <row r="1146" spans="1:15" ht="15.75" hidden="1" x14ac:dyDescent="0.25">
      <c r="A1146" s="1" t="str">
        <f t="shared" si="56"/>
        <v>4444944450241DINERSSHOPPINGLULU</v>
      </c>
      <c r="B1146" s="2">
        <v>44449</v>
      </c>
      <c r="C1146" s="2">
        <v>44450</v>
      </c>
      <c r="D1146" s="3" t="s">
        <v>1412</v>
      </c>
      <c r="E1146" s="3">
        <v>241</v>
      </c>
      <c r="F1146" s="3">
        <v>1</v>
      </c>
      <c r="G1146" s="3">
        <f t="shared" si="58"/>
        <v>241</v>
      </c>
      <c r="H1146" s="3" t="s">
        <v>266</v>
      </c>
      <c r="I1146" s="1" t="s">
        <v>194</v>
      </c>
      <c r="J1146" s="1" t="s">
        <v>44</v>
      </c>
      <c r="K1146" s="1" t="s">
        <v>298</v>
      </c>
      <c r="L1146" s="1" t="s">
        <v>267</v>
      </c>
      <c r="M1146" s="1"/>
      <c r="N1146" s="1">
        <f t="shared" si="57"/>
        <v>9</v>
      </c>
      <c r="O1146" s="87"/>
    </row>
    <row r="1147" spans="1:15" ht="15.75" hidden="1" x14ac:dyDescent="0.25">
      <c r="A1147" s="1" t="str">
        <f t="shared" si="56"/>
        <v>444494445086.5DINERSGROCERYLULU</v>
      </c>
      <c r="B1147" s="2">
        <v>44449</v>
      </c>
      <c r="C1147" s="2">
        <v>44450</v>
      </c>
      <c r="D1147" s="3" t="s">
        <v>1413</v>
      </c>
      <c r="E1147" s="3">
        <v>86.5</v>
      </c>
      <c r="F1147" s="3">
        <v>1</v>
      </c>
      <c r="G1147" s="3">
        <f t="shared" si="58"/>
        <v>86.5</v>
      </c>
      <c r="H1147" s="3" t="s">
        <v>266</v>
      </c>
      <c r="I1147" s="1" t="s">
        <v>43</v>
      </c>
      <c r="J1147" s="1" t="s">
        <v>44</v>
      </c>
      <c r="K1147" s="1" t="s">
        <v>298</v>
      </c>
      <c r="L1147" s="1" t="s">
        <v>267</v>
      </c>
      <c r="M1147" s="1"/>
      <c r="N1147" s="1">
        <f t="shared" si="57"/>
        <v>9</v>
      </c>
      <c r="O1147" s="87"/>
    </row>
    <row r="1148" spans="1:15" ht="15.75" hidden="1" x14ac:dyDescent="0.25">
      <c r="A1148" s="1" t="str">
        <f t="shared" si="56"/>
        <v>444504445331.82MASTER CCGROCERYONE STOP</v>
      </c>
      <c r="B1148" s="2">
        <v>44450</v>
      </c>
      <c r="C1148" s="2">
        <v>44453</v>
      </c>
      <c r="D1148" s="3" t="s">
        <v>1415</v>
      </c>
      <c r="E1148" s="3">
        <v>31.82</v>
      </c>
      <c r="F1148" s="3">
        <v>1</v>
      </c>
      <c r="G1148" s="3">
        <f t="shared" si="58"/>
        <v>31.82</v>
      </c>
      <c r="H1148" s="3" t="s">
        <v>291</v>
      </c>
      <c r="I1148" s="1" t="s">
        <v>43</v>
      </c>
      <c r="J1148" s="1" t="s">
        <v>1379</v>
      </c>
      <c r="K1148" s="1" t="s">
        <v>298</v>
      </c>
      <c r="L1148" s="1" t="s">
        <v>267</v>
      </c>
      <c r="M1148" s="1"/>
      <c r="N1148" s="1">
        <f t="shared" si="57"/>
        <v>9</v>
      </c>
      <c r="O1148" s="65"/>
    </row>
    <row r="1149" spans="1:15" ht="15.75" hidden="1" x14ac:dyDescent="0.25">
      <c r="A1149" s="1" t="str">
        <f t="shared" si="56"/>
        <v>444504445322.53DINERSTRANSPORTUBER</v>
      </c>
      <c r="B1149" s="2">
        <v>44450</v>
      </c>
      <c r="C1149" s="2">
        <v>44453</v>
      </c>
      <c r="D1149" s="3" t="s">
        <v>1405</v>
      </c>
      <c r="E1149" s="3">
        <v>22.53</v>
      </c>
      <c r="F1149" s="3">
        <v>1</v>
      </c>
      <c r="G1149" s="3">
        <f t="shared" si="58"/>
        <v>22.53</v>
      </c>
      <c r="H1149" s="3" t="s">
        <v>266</v>
      </c>
      <c r="I1149" s="1" t="s">
        <v>296</v>
      </c>
      <c r="J1149" s="1" t="s">
        <v>299</v>
      </c>
      <c r="K1149" s="1" t="s">
        <v>298</v>
      </c>
      <c r="L1149" s="1" t="s">
        <v>267</v>
      </c>
      <c r="M1149" s="1"/>
      <c r="N1149" s="1">
        <f t="shared" si="57"/>
        <v>9</v>
      </c>
      <c r="O1149" s="87"/>
    </row>
    <row r="1150" spans="1:15" ht="15.75" hidden="1" x14ac:dyDescent="0.25">
      <c r="A1150" s="1" t="str">
        <f t="shared" si="56"/>
        <v>444504445322.62DINERSTRANSPORTUBER</v>
      </c>
      <c r="B1150" s="2">
        <v>44450</v>
      </c>
      <c r="C1150" s="2">
        <v>44453</v>
      </c>
      <c r="D1150" s="3" t="s">
        <v>1406</v>
      </c>
      <c r="E1150" s="3">
        <v>22.62</v>
      </c>
      <c r="F1150" s="3">
        <v>1</v>
      </c>
      <c r="G1150" s="3">
        <f t="shared" si="58"/>
        <v>22.62</v>
      </c>
      <c r="H1150" s="3" t="s">
        <v>266</v>
      </c>
      <c r="I1150" s="1" t="s">
        <v>296</v>
      </c>
      <c r="J1150" s="1" t="s">
        <v>299</v>
      </c>
      <c r="K1150" s="1" t="s">
        <v>298</v>
      </c>
      <c r="L1150" s="1" t="s">
        <v>267</v>
      </c>
      <c r="M1150" s="1"/>
      <c r="N1150" s="1">
        <f t="shared" si="57"/>
        <v>9</v>
      </c>
      <c r="O1150" s="87"/>
    </row>
    <row r="1151" spans="1:15" ht="15.75" hidden="1" x14ac:dyDescent="0.25">
      <c r="A1151" s="1" t="str">
        <f t="shared" si="56"/>
        <v>444504445342.32DINERSTRANSPORTUBER</v>
      </c>
      <c r="B1151" s="2">
        <v>44450</v>
      </c>
      <c r="C1151" s="2">
        <v>44453</v>
      </c>
      <c r="D1151" s="3" t="s">
        <v>1407</v>
      </c>
      <c r="E1151" s="3">
        <v>42.32</v>
      </c>
      <c r="F1151" s="3">
        <v>1</v>
      </c>
      <c r="G1151" s="3">
        <f t="shared" si="58"/>
        <v>42.32</v>
      </c>
      <c r="H1151" s="3" t="s">
        <v>266</v>
      </c>
      <c r="I1151" s="1" t="s">
        <v>296</v>
      </c>
      <c r="J1151" s="1" t="s">
        <v>299</v>
      </c>
      <c r="K1151" s="1" t="s">
        <v>298</v>
      </c>
      <c r="L1151" s="1" t="s">
        <v>267</v>
      </c>
      <c r="M1151" s="1"/>
      <c r="N1151" s="1">
        <f t="shared" si="57"/>
        <v>9</v>
      </c>
      <c r="O1151" s="87"/>
    </row>
    <row r="1152" spans="1:15" ht="15.75" hidden="1" x14ac:dyDescent="0.25">
      <c r="A1152" s="1" t="str">
        <f t="shared" si="56"/>
        <v>4445044451750DINERSRENTIKEA</v>
      </c>
      <c r="B1152" s="2">
        <v>44450</v>
      </c>
      <c r="C1152" s="2">
        <v>44451</v>
      </c>
      <c r="D1152" s="3" t="s">
        <v>1409</v>
      </c>
      <c r="E1152" s="3">
        <v>750</v>
      </c>
      <c r="F1152" s="3">
        <v>1</v>
      </c>
      <c r="G1152" s="3">
        <f t="shared" si="58"/>
        <v>750</v>
      </c>
      <c r="H1152" s="3" t="s">
        <v>266</v>
      </c>
      <c r="I1152" s="1" t="s">
        <v>83</v>
      </c>
      <c r="J1152" s="1" t="s">
        <v>192</v>
      </c>
      <c r="K1152" s="1" t="s">
        <v>298</v>
      </c>
      <c r="L1152" s="1" t="s">
        <v>267</v>
      </c>
      <c r="M1152" s="1"/>
      <c r="N1152" s="1">
        <f t="shared" si="57"/>
        <v>9</v>
      </c>
      <c r="O1152" s="87"/>
    </row>
    <row r="1153" spans="1:15" ht="15.75" hidden="1" x14ac:dyDescent="0.25">
      <c r="A1153" s="1" t="str">
        <f t="shared" si="56"/>
        <v>444504445124DINERSGROCERYTOTAL FRESH</v>
      </c>
      <c r="B1153" s="2">
        <v>44450</v>
      </c>
      <c r="C1153" s="2">
        <v>44451</v>
      </c>
      <c r="D1153" s="3" t="s">
        <v>1408</v>
      </c>
      <c r="E1153" s="3">
        <v>24</v>
      </c>
      <c r="F1153" s="3">
        <v>1</v>
      </c>
      <c r="G1153" s="3">
        <f t="shared" si="58"/>
        <v>24</v>
      </c>
      <c r="H1153" s="3" t="s">
        <v>266</v>
      </c>
      <c r="I1153" s="1" t="s">
        <v>43</v>
      </c>
      <c r="J1153" s="1" t="s">
        <v>1394</v>
      </c>
      <c r="K1153" s="1" t="s">
        <v>298</v>
      </c>
      <c r="L1153" s="1" t="s">
        <v>267</v>
      </c>
      <c r="M1153" s="1"/>
      <c r="N1153" s="1">
        <f t="shared" si="57"/>
        <v>9</v>
      </c>
      <c r="O1153" s="87"/>
    </row>
    <row r="1154" spans="1:15" ht="15.75" hidden="1" x14ac:dyDescent="0.25">
      <c r="A1154" s="1" t="str">
        <f t="shared" ref="A1154:A1217" si="59">B1154&amp;C1154&amp;G1154&amp;H1154&amp;I1154&amp;J1154</f>
        <v>444514445418MASTER CCFOODWISHBOX</v>
      </c>
      <c r="B1154" s="2">
        <v>44451</v>
      </c>
      <c r="C1154" s="2">
        <v>44454</v>
      </c>
      <c r="D1154" s="3" t="s">
        <v>1414</v>
      </c>
      <c r="E1154" s="3">
        <v>18</v>
      </c>
      <c r="F1154" s="3">
        <v>1</v>
      </c>
      <c r="G1154" s="3">
        <f t="shared" si="58"/>
        <v>18</v>
      </c>
      <c r="H1154" s="3" t="s">
        <v>291</v>
      </c>
      <c r="I1154" s="1" t="s">
        <v>10</v>
      </c>
      <c r="J1154" s="1" t="s">
        <v>1199</v>
      </c>
      <c r="K1154" s="1" t="s">
        <v>298</v>
      </c>
      <c r="L1154" s="1" t="s">
        <v>267</v>
      </c>
      <c r="M1154" s="1"/>
      <c r="N1154" s="1">
        <f t="shared" ref="N1154:N1217" si="60">MONTH(C1154)</f>
        <v>9</v>
      </c>
      <c r="O1154" s="65"/>
    </row>
    <row r="1155" spans="1:15" ht="15.75" hidden="1" x14ac:dyDescent="0.25">
      <c r="A1155" s="1" t="str">
        <f t="shared" si="59"/>
        <v>44451444548DINERSTRANSPORTUBER</v>
      </c>
      <c r="B1155" s="2">
        <v>44451</v>
      </c>
      <c r="C1155" s="2">
        <v>44454</v>
      </c>
      <c r="D1155" s="3" t="s">
        <v>1402</v>
      </c>
      <c r="E1155" s="3">
        <v>8</v>
      </c>
      <c r="F1155" s="3">
        <v>1</v>
      </c>
      <c r="G1155" s="3">
        <f t="shared" si="58"/>
        <v>8</v>
      </c>
      <c r="H1155" s="3" t="s">
        <v>266</v>
      </c>
      <c r="I1155" s="1" t="s">
        <v>296</v>
      </c>
      <c r="J1155" s="1" t="s">
        <v>299</v>
      </c>
      <c r="K1155" s="1" t="s">
        <v>298</v>
      </c>
      <c r="L1155" s="1" t="s">
        <v>267</v>
      </c>
      <c r="M1155" s="1"/>
      <c r="N1155" s="1">
        <f t="shared" si="60"/>
        <v>9</v>
      </c>
      <c r="O1155" s="87"/>
    </row>
    <row r="1156" spans="1:15" ht="15.75" hidden="1" x14ac:dyDescent="0.25">
      <c r="A1156" s="1" t="str">
        <f t="shared" si="59"/>
        <v>444514445418.69DINERSTRANSPORTUBER</v>
      </c>
      <c r="B1156" s="2">
        <v>44451</v>
      </c>
      <c r="C1156" s="2">
        <v>44454</v>
      </c>
      <c r="D1156" s="3" t="s">
        <v>1403</v>
      </c>
      <c r="E1156" s="3">
        <v>18.690000000000001</v>
      </c>
      <c r="F1156" s="3">
        <v>1</v>
      </c>
      <c r="G1156" s="3">
        <f t="shared" si="58"/>
        <v>18.690000000000001</v>
      </c>
      <c r="H1156" s="3" t="s">
        <v>266</v>
      </c>
      <c r="I1156" s="1" t="s">
        <v>296</v>
      </c>
      <c r="J1156" s="1" t="s">
        <v>299</v>
      </c>
      <c r="K1156" s="1" t="s">
        <v>298</v>
      </c>
      <c r="L1156" s="1" t="s">
        <v>267</v>
      </c>
      <c r="M1156" s="1"/>
      <c r="N1156" s="1">
        <f t="shared" si="60"/>
        <v>9</v>
      </c>
      <c r="O1156" s="87"/>
    </row>
    <row r="1157" spans="1:15" ht="15.75" hidden="1" x14ac:dyDescent="0.25">
      <c r="A1157" s="1" t="str">
        <f t="shared" si="59"/>
        <v>444514445429.4DINERSTRANSPORTUBER</v>
      </c>
      <c r="B1157" s="2">
        <v>44451</v>
      </c>
      <c r="C1157" s="2">
        <v>44454</v>
      </c>
      <c r="D1157" s="3" t="s">
        <v>1404</v>
      </c>
      <c r="E1157" s="3">
        <v>29.4</v>
      </c>
      <c r="F1157" s="3">
        <v>1</v>
      </c>
      <c r="G1157" s="3">
        <f t="shared" si="58"/>
        <v>29.4</v>
      </c>
      <c r="H1157" s="3" t="s">
        <v>266</v>
      </c>
      <c r="I1157" s="1" t="s">
        <v>296</v>
      </c>
      <c r="J1157" s="1" t="s">
        <v>299</v>
      </c>
      <c r="K1157" s="1" t="s">
        <v>298</v>
      </c>
      <c r="L1157" s="1" t="s">
        <v>267</v>
      </c>
      <c r="M1157" s="1"/>
      <c r="N1157" s="1">
        <f t="shared" si="60"/>
        <v>9</v>
      </c>
      <c r="O1157" s="87"/>
    </row>
    <row r="1158" spans="1:15" ht="15.75" hidden="1" x14ac:dyDescent="0.25">
      <c r="A1158" s="1" t="str">
        <f t="shared" si="59"/>
        <v>44451444511254.5CURRENTTRANSFERINDIA</v>
      </c>
      <c r="B1158" s="2">
        <v>44451</v>
      </c>
      <c r="C1158" s="2">
        <v>44451</v>
      </c>
      <c r="D1158" s="3" t="s">
        <v>694</v>
      </c>
      <c r="E1158" s="3">
        <v>-1254.5</v>
      </c>
      <c r="F1158" s="3">
        <v>1</v>
      </c>
      <c r="G1158" s="3">
        <f t="shared" si="58"/>
        <v>1254.5</v>
      </c>
      <c r="H1158" s="3" t="s">
        <v>293</v>
      </c>
      <c r="I1158" s="1" t="s">
        <v>22</v>
      </c>
      <c r="J1158" s="1" t="s">
        <v>23</v>
      </c>
      <c r="K1158" s="1" t="s">
        <v>298</v>
      </c>
      <c r="L1158" s="1" t="s">
        <v>257</v>
      </c>
      <c r="M1158" s="1"/>
      <c r="N1158" s="1">
        <f t="shared" si="60"/>
        <v>9</v>
      </c>
      <c r="O1158" s="65"/>
    </row>
    <row r="1159" spans="1:15" ht="15.75" hidden="1" x14ac:dyDescent="0.25">
      <c r="A1159" s="1" t="str">
        <f t="shared" si="59"/>
        <v>444534445513.2DINERSTRANSPORTUBER</v>
      </c>
      <c r="B1159" s="2">
        <v>44453</v>
      </c>
      <c r="C1159" s="2">
        <v>44455</v>
      </c>
      <c r="D1159" s="3" t="s">
        <v>1401</v>
      </c>
      <c r="E1159" s="3">
        <v>13.2</v>
      </c>
      <c r="F1159" s="3">
        <v>1</v>
      </c>
      <c r="G1159" s="3">
        <f t="shared" si="58"/>
        <v>13.2</v>
      </c>
      <c r="H1159" s="3" t="s">
        <v>266</v>
      </c>
      <c r="I1159" s="1" t="s">
        <v>296</v>
      </c>
      <c r="J1159" s="1" t="s">
        <v>299</v>
      </c>
      <c r="K1159" s="1" t="s">
        <v>298</v>
      </c>
      <c r="L1159" s="1" t="s">
        <v>267</v>
      </c>
      <c r="M1159" s="1"/>
      <c r="N1159" s="1">
        <f t="shared" si="60"/>
        <v>9</v>
      </c>
      <c r="O1159" s="87"/>
    </row>
    <row r="1160" spans="1:15" ht="15.75" hidden="1" x14ac:dyDescent="0.25">
      <c r="A1160" s="1" t="str">
        <f t="shared" si="59"/>
        <v>444544445618MASTER CCFOODWISHBOX</v>
      </c>
      <c r="B1160" s="2">
        <v>44454</v>
      </c>
      <c r="C1160" s="2">
        <v>44456</v>
      </c>
      <c r="D1160" s="3" t="s">
        <v>1419</v>
      </c>
      <c r="E1160" s="3">
        <v>18</v>
      </c>
      <c r="F1160" s="3">
        <v>1</v>
      </c>
      <c r="G1160" s="3">
        <f t="shared" si="58"/>
        <v>18</v>
      </c>
      <c r="H1160" s="3" t="s">
        <v>291</v>
      </c>
      <c r="I1160" s="1" t="s">
        <v>10</v>
      </c>
      <c r="J1160" s="1" t="s">
        <v>1199</v>
      </c>
      <c r="K1160" s="1" t="s">
        <v>298</v>
      </c>
      <c r="L1160" s="1" t="s">
        <v>267</v>
      </c>
      <c r="M1160" s="1"/>
      <c r="N1160" s="1">
        <f t="shared" si="60"/>
        <v>9</v>
      </c>
      <c r="O1160" s="65"/>
    </row>
    <row r="1161" spans="1:15" ht="15.75" hidden="1" x14ac:dyDescent="0.25">
      <c r="A1161" s="1" t="str">
        <f t="shared" si="59"/>
        <v>44454444544000CURRENTRENTEZDAN</v>
      </c>
      <c r="B1161" s="2">
        <v>44454</v>
      </c>
      <c r="C1161" s="2">
        <v>44454</v>
      </c>
      <c r="D1161" s="3" t="s">
        <v>1417</v>
      </c>
      <c r="E1161" s="3">
        <v>-4000</v>
      </c>
      <c r="F1161" s="3">
        <v>1</v>
      </c>
      <c r="G1161" s="3">
        <f t="shared" si="58"/>
        <v>4000</v>
      </c>
      <c r="H1161" s="3" t="s">
        <v>293</v>
      </c>
      <c r="I1161" s="1" t="s">
        <v>83</v>
      </c>
      <c r="J1161" s="1" t="s">
        <v>1339</v>
      </c>
      <c r="K1161" s="1" t="s">
        <v>298</v>
      </c>
      <c r="L1161" s="1" t="s">
        <v>257</v>
      </c>
      <c r="M1161" s="1"/>
      <c r="N1161" s="1">
        <f t="shared" si="60"/>
        <v>9</v>
      </c>
      <c r="O1161" s="65"/>
    </row>
    <row r="1162" spans="1:15" ht="15.75" hidden="1" x14ac:dyDescent="0.25">
      <c r="A1162" s="1" t="str">
        <f t="shared" si="59"/>
        <v>444554446024MASTER CCFOODQATAR AIR</v>
      </c>
      <c r="B1162" s="2">
        <v>44455</v>
      </c>
      <c r="C1162" s="2">
        <v>44460</v>
      </c>
      <c r="D1162" s="3" t="s">
        <v>1418</v>
      </c>
      <c r="E1162" s="3">
        <v>24</v>
      </c>
      <c r="F1162" s="3">
        <v>1</v>
      </c>
      <c r="G1162" s="3">
        <f t="shared" si="58"/>
        <v>24</v>
      </c>
      <c r="H1162" s="3" t="s">
        <v>291</v>
      </c>
      <c r="I1162" s="1" t="s">
        <v>10</v>
      </c>
      <c r="J1162" s="1" t="s">
        <v>19</v>
      </c>
      <c r="K1162" s="1" t="s">
        <v>298</v>
      </c>
      <c r="L1162" s="1" t="s">
        <v>267</v>
      </c>
      <c r="M1162" s="1"/>
      <c r="N1162" s="1">
        <f t="shared" si="60"/>
        <v>9</v>
      </c>
      <c r="O1162" s="65"/>
    </row>
    <row r="1163" spans="1:15" ht="15.75" hidden="1" x14ac:dyDescent="0.25">
      <c r="A1163" s="1" t="str">
        <f t="shared" si="59"/>
        <v>444564446012.46DINERSTRANSPORTUBER</v>
      </c>
      <c r="B1163" s="2">
        <v>44456</v>
      </c>
      <c r="C1163" s="2">
        <v>44460</v>
      </c>
      <c r="D1163" s="3" t="s">
        <v>1441</v>
      </c>
      <c r="E1163" s="3">
        <v>12.46</v>
      </c>
      <c r="F1163" s="3">
        <v>1</v>
      </c>
      <c r="G1163" s="3">
        <f t="shared" ref="G1163:G1226" si="61">ABS(E1163)*F1163</f>
        <v>12.46</v>
      </c>
      <c r="H1163" s="3" t="s">
        <v>266</v>
      </c>
      <c r="I1163" s="1" t="s">
        <v>296</v>
      </c>
      <c r="J1163" s="1" t="s">
        <v>299</v>
      </c>
      <c r="K1163" s="1" t="s">
        <v>298</v>
      </c>
      <c r="L1163" s="1" t="s">
        <v>267</v>
      </c>
      <c r="M1163" s="1"/>
      <c r="N1163" s="1">
        <f t="shared" si="60"/>
        <v>9</v>
      </c>
      <c r="O1163" s="87"/>
    </row>
    <row r="1164" spans="1:15" ht="15.75" hidden="1" x14ac:dyDescent="0.25">
      <c r="A1164" s="1" t="str">
        <f t="shared" si="59"/>
        <v>444564445720DINERSFOODCAFÉ/REST.</v>
      </c>
      <c r="B1164" s="2">
        <v>44456</v>
      </c>
      <c r="C1164" s="2">
        <v>44457</v>
      </c>
      <c r="D1164" s="3" t="s">
        <v>1442</v>
      </c>
      <c r="E1164" s="3">
        <v>20</v>
      </c>
      <c r="F1164" s="3">
        <v>1</v>
      </c>
      <c r="G1164" s="3">
        <f t="shared" si="61"/>
        <v>20</v>
      </c>
      <c r="H1164" s="3" t="s">
        <v>266</v>
      </c>
      <c r="I1164" s="1" t="s">
        <v>10</v>
      </c>
      <c r="J1164" s="1" t="s">
        <v>11</v>
      </c>
      <c r="K1164" s="1" t="s">
        <v>298</v>
      </c>
      <c r="L1164" s="1" t="s">
        <v>267</v>
      </c>
      <c r="M1164" s="1"/>
      <c r="N1164" s="1">
        <f t="shared" si="60"/>
        <v>9</v>
      </c>
      <c r="O1164" s="87"/>
    </row>
    <row r="1165" spans="1:15" ht="15.75" hidden="1" x14ac:dyDescent="0.25">
      <c r="A1165" s="1" t="str">
        <f t="shared" si="59"/>
        <v>444574446010MASTER CCTELECOMOOREDOO</v>
      </c>
      <c r="B1165" s="2">
        <v>44457</v>
      </c>
      <c r="C1165" s="2">
        <v>44460</v>
      </c>
      <c r="D1165" s="3" t="s">
        <v>1452</v>
      </c>
      <c r="E1165" s="3">
        <v>10</v>
      </c>
      <c r="F1165" s="3">
        <v>1</v>
      </c>
      <c r="G1165" s="3">
        <f t="shared" si="61"/>
        <v>10</v>
      </c>
      <c r="H1165" s="3" t="s">
        <v>291</v>
      </c>
      <c r="I1165" s="1" t="s">
        <v>58</v>
      </c>
      <c r="J1165" s="1" t="s">
        <v>59</v>
      </c>
      <c r="K1165" s="1" t="s">
        <v>298</v>
      </c>
      <c r="L1165" s="1" t="s">
        <v>267</v>
      </c>
      <c r="M1165" s="1"/>
      <c r="N1165" s="1">
        <f t="shared" si="60"/>
        <v>9</v>
      </c>
      <c r="O1165" s="65"/>
    </row>
    <row r="1166" spans="1:15" ht="15.75" hidden="1" x14ac:dyDescent="0.25">
      <c r="A1166" s="1" t="str">
        <f t="shared" si="59"/>
        <v>444574446050MASTER CCTELECOMOOREDOO</v>
      </c>
      <c r="B1166" s="2">
        <v>44457</v>
      </c>
      <c r="C1166" s="2">
        <v>44460</v>
      </c>
      <c r="D1166" s="3" t="s">
        <v>1451</v>
      </c>
      <c r="E1166" s="3">
        <v>50</v>
      </c>
      <c r="F1166" s="3">
        <v>1</v>
      </c>
      <c r="G1166" s="3">
        <f t="shared" si="61"/>
        <v>50</v>
      </c>
      <c r="H1166" s="3" t="s">
        <v>291</v>
      </c>
      <c r="I1166" s="1" t="s">
        <v>58</v>
      </c>
      <c r="J1166" s="1" t="s">
        <v>59</v>
      </c>
      <c r="K1166" s="1" t="s">
        <v>298</v>
      </c>
      <c r="L1166" s="1" t="s">
        <v>267</v>
      </c>
      <c r="M1166" s="1"/>
      <c r="N1166" s="1">
        <f t="shared" si="60"/>
        <v>9</v>
      </c>
      <c r="O1166" s="65"/>
    </row>
    <row r="1167" spans="1:15" ht="15.75" hidden="1" x14ac:dyDescent="0.25">
      <c r="A1167" s="1" t="str">
        <f t="shared" si="59"/>
        <v>444574445813.5DINERSGROCERYTOTAL FRESH</v>
      </c>
      <c r="B1167" s="2">
        <v>44457</v>
      </c>
      <c r="C1167" s="2">
        <v>44458</v>
      </c>
      <c r="D1167" s="3" t="s">
        <v>1440</v>
      </c>
      <c r="E1167" s="3">
        <v>13.5</v>
      </c>
      <c r="F1167" s="3">
        <v>1</v>
      </c>
      <c r="G1167" s="3">
        <f t="shared" si="61"/>
        <v>13.5</v>
      </c>
      <c r="H1167" s="3" t="s">
        <v>266</v>
      </c>
      <c r="I1167" s="1" t="s">
        <v>43</v>
      </c>
      <c r="J1167" s="1" t="s">
        <v>1394</v>
      </c>
      <c r="K1167" s="1" t="s">
        <v>298</v>
      </c>
      <c r="L1167" s="1" t="s">
        <v>267</v>
      </c>
      <c r="M1167" s="1"/>
      <c r="N1167" s="1">
        <f t="shared" si="60"/>
        <v>9</v>
      </c>
      <c r="O1167" s="87"/>
    </row>
    <row r="1168" spans="1:15" ht="15.75" hidden="1" x14ac:dyDescent="0.25">
      <c r="A1168" s="1" t="str">
        <f t="shared" si="59"/>
        <v>444584446021MASTER CCFOODQATAR AIR</v>
      </c>
      <c r="B1168" s="2">
        <v>44458</v>
      </c>
      <c r="C1168" s="2">
        <v>44460</v>
      </c>
      <c r="D1168" s="3" t="s">
        <v>1450</v>
      </c>
      <c r="E1168" s="3">
        <v>21</v>
      </c>
      <c r="F1168" s="3">
        <v>1</v>
      </c>
      <c r="G1168" s="3">
        <f t="shared" si="61"/>
        <v>21</v>
      </c>
      <c r="H1168" s="3" t="s">
        <v>291</v>
      </c>
      <c r="I1168" s="1" t="s">
        <v>10</v>
      </c>
      <c r="J1168" s="1" t="s">
        <v>19</v>
      </c>
      <c r="K1168" s="1" t="s">
        <v>298</v>
      </c>
      <c r="L1168" s="1" t="s">
        <v>267</v>
      </c>
      <c r="M1168" s="1"/>
      <c r="N1168" s="1">
        <f t="shared" si="60"/>
        <v>9</v>
      </c>
      <c r="O1168" s="65"/>
    </row>
    <row r="1169" spans="1:15" ht="15.75" hidden="1" x14ac:dyDescent="0.25">
      <c r="A1169" s="1" t="str">
        <f t="shared" si="59"/>
        <v>4445844458910CURRENTTRAVELQATAR AIR</v>
      </c>
      <c r="B1169" s="2">
        <v>44458</v>
      </c>
      <c r="C1169" s="2">
        <v>44458</v>
      </c>
      <c r="D1169" s="3" t="s">
        <v>1466</v>
      </c>
      <c r="E1169" s="3">
        <v>910</v>
      </c>
      <c r="F1169" s="3">
        <v>1</v>
      </c>
      <c r="G1169" s="3">
        <f t="shared" si="61"/>
        <v>910</v>
      </c>
      <c r="H1169" s="3" t="s">
        <v>293</v>
      </c>
      <c r="I1169" s="1" t="s">
        <v>393</v>
      </c>
      <c r="J1169" s="1" t="s">
        <v>19</v>
      </c>
      <c r="K1169" s="1" t="s">
        <v>298</v>
      </c>
      <c r="L1169" s="1" t="s">
        <v>257</v>
      </c>
      <c r="M1169" s="1"/>
      <c r="N1169" s="1">
        <f t="shared" si="60"/>
        <v>9</v>
      </c>
      <c r="O1169" s="65"/>
    </row>
    <row r="1170" spans="1:15" ht="15.75" hidden="1" x14ac:dyDescent="0.25">
      <c r="A1170" s="1" t="str">
        <f t="shared" si="59"/>
        <v>44458444584000CURRENTRENTCAP ONE</v>
      </c>
      <c r="B1170" s="2">
        <v>44458</v>
      </c>
      <c r="C1170" s="2">
        <v>44458</v>
      </c>
      <c r="D1170" s="3" t="s">
        <v>1420</v>
      </c>
      <c r="E1170" s="3">
        <v>4000</v>
      </c>
      <c r="F1170" s="3">
        <v>1</v>
      </c>
      <c r="G1170" s="3">
        <f t="shared" si="61"/>
        <v>4000</v>
      </c>
      <c r="H1170" s="3" t="s">
        <v>293</v>
      </c>
      <c r="I1170" s="1" t="s">
        <v>83</v>
      </c>
      <c r="J1170" s="1" t="s">
        <v>84</v>
      </c>
      <c r="K1170" s="1" t="s">
        <v>300</v>
      </c>
      <c r="L1170" s="1" t="s">
        <v>257</v>
      </c>
      <c r="M1170" s="1"/>
      <c r="N1170" s="1">
        <f t="shared" si="60"/>
        <v>9</v>
      </c>
      <c r="O1170" s="65"/>
    </row>
    <row r="1171" spans="1:15" ht="15.75" hidden="1" x14ac:dyDescent="0.25">
      <c r="A1171" s="1" t="str">
        <f t="shared" si="59"/>
        <v>4445944491879MASTER CCTRAVELQATAR AIR</v>
      </c>
      <c r="B1171" s="2">
        <v>44459</v>
      </c>
      <c r="C1171" s="2">
        <v>44491</v>
      </c>
      <c r="D1171" s="3" t="s">
        <v>1503</v>
      </c>
      <c r="E1171" s="3">
        <v>-879</v>
      </c>
      <c r="F1171" s="3">
        <v>1</v>
      </c>
      <c r="G1171" s="3">
        <f t="shared" si="61"/>
        <v>879</v>
      </c>
      <c r="H1171" s="3" t="s">
        <v>291</v>
      </c>
      <c r="I1171" s="1" t="s">
        <v>393</v>
      </c>
      <c r="J1171" s="1" t="s">
        <v>19</v>
      </c>
      <c r="K1171" s="1" t="s">
        <v>300</v>
      </c>
      <c r="L1171" s="1" t="s">
        <v>267</v>
      </c>
      <c r="M1171" s="1"/>
      <c r="N1171" s="1">
        <f t="shared" si="60"/>
        <v>10</v>
      </c>
      <c r="O1171" s="65"/>
    </row>
    <row r="1172" spans="1:15" ht="15.75" hidden="1" x14ac:dyDescent="0.25">
      <c r="A1172" s="1" t="str">
        <f t="shared" si="59"/>
        <v>44459444912243MASTER CCTRAVELQATAR AIR</v>
      </c>
      <c r="B1172" s="2">
        <v>44459</v>
      </c>
      <c r="C1172" s="2">
        <v>44491</v>
      </c>
      <c r="D1172" s="3" t="s">
        <v>1502</v>
      </c>
      <c r="E1172" s="3">
        <v>-2243</v>
      </c>
      <c r="F1172" s="3">
        <v>1</v>
      </c>
      <c r="G1172" s="3">
        <f t="shared" si="61"/>
        <v>2243</v>
      </c>
      <c r="H1172" s="3" t="s">
        <v>291</v>
      </c>
      <c r="I1172" s="1" t="s">
        <v>393</v>
      </c>
      <c r="J1172" s="1" t="s">
        <v>19</v>
      </c>
      <c r="K1172" s="1" t="s">
        <v>300</v>
      </c>
      <c r="L1172" s="1" t="s">
        <v>267</v>
      </c>
      <c r="M1172" s="1"/>
      <c r="N1172" s="1">
        <f t="shared" si="60"/>
        <v>10</v>
      </c>
      <c r="O1172" s="65"/>
    </row>
    <row r="1173" spans="1:15" ht="15.75" hidden="1" x14ac:dyDescent="0.25">
      <c r="A1173" s="1" t="str">
        <f t="shared" si="59"/>
        <v>44459444613831MASTER CCTRAVELQATAR AIR</v>
      </c>
      <c r="B1173" s="2">
        <v>44459</v>
      </c>
      <c r="C1173" s="2">
        <v>44461</v>
      </c>
      <c r="D1173" s="3" t="s">
        <v>1448</v>
      </c>
      <c r="E1173" s="3">
        <v>3831</v>
      </c>
      <c r="F1173" s="3">
        <v>1</v>
      </c>
      <c r="G1173" s="3">
        <f t="shared" si="61"/>
        <v>3831</v>
      </c>
      <c r="H1173" s="3" t="s">
        <v>291</v>
      </c>
      <c r="I1173" s="1" t="s">
        <v>393</v>
      </c>
      <c r="J1173" s="1" t="s">
        <v>19</v>
      </c>
      <c r="K1173" s="1" t="s">
        <v>298</v>
      </c>
      <c r="L1173" s="1" t="s">
        <v>267</v>
      </c>
      <c r="M1173" s="1"/>
      <c r="N1173" s="1">
        <f t="shared" si="60"/>
        <v>9</v>
      </c>
      <c r="O1173" s="65"/>
    </row>
    <row r="1174" spans="1:15" ht="15.75" hidden="1" x14ac:dyDescent="0.25">
      <c r="A1174" s="1" t="str">
        <f t="shared" si="59"/>
        <v>4445944461879MASTER CCTRAVELQATAR AIR</v>
      </c>
      <c r="B1174" s="2">
        <v>44459</v>
      </c>
      <c r="C1174" s="2">
        <v>44461</v>
      </c>
      <c r="D1174" s="3" t="s">
        <v>1449</v>
      </c>
      <c r="E1174" s="3">
        <v>879</v>
      </c>
      <c r="F1174" s="3">
        <v>1</v>
      </c>
      <c r="G1174" s="3">
        <f t="shared" si="61"/>
        <v>879</v>
      </c>
      <c r="H1174" s="3" t="s">
        <v>291</v>
      </c>
      <c r="I1174" s="1" t="s">
        <v>393</v>
      </c>
      <c r="J1174" s="1" t="s">
        <v>19</v>
      </c>
      <c r="K1174" s="1" t="s">
        <v>298</v>
      </c>
      <c r="L1174" s="1" t="s">
        <v>267</v>
      </c>
      <c r="M1174" s="1"/>
      <c r="N1174" s="1">
        <f t="shared" si="60"/>
        <v>9</v>
      </c>
      <c r="O1174" s="65"/>
    </row>
    <row r="1175" spans="1:15" ht="15.75" hidden="1" x14ac:dyDescent="0.25">
      <c r="A1175" s="1" t="str">
        <f t="shared" si="59"/>
        <v>4446044463114MASTER CCFOODQATAR AIR</v>
      </c>
      <c r="B1175" s="2">
        <v>44460</v>
      </c>
      <c r="C1175" s="2">
        <v>44463</v>
      </c>
      <c r="D1175" s="3" t="s">
        <v>1447</v>
      </c>
      <c r="E1175" s="3">
        <v>114</v>
      </c>
      <c r="F1175" s="3">
        <v>1</v>
      </c>
      <c r="G1175" s="3">
        <f t="shared" si="61"/>
        <v>114</v>
      </c>
      <c r="H1175" s="3" t="s">
        <v>291</v>
      </c>
      <c r="I1175" s="1" t="s">
        <v>10</v>
      </c>
      <c r="J1175" s="1" t="s">
        <v>19</v>
      </c>
      <c r="K1175" s="1" t="s">
        <v>298</v>
      </c>
      <c r="L1175" s="1" t="s">
        <v>267</v>
      </c>
      <c r="M1175" s="1"/>
      <c r="N1175" s="1">
        <f t="shared" si="60"/>
        <v>9</v>
      </c>
      <c r="O1175" s="65"/>
    </row>
    <row r="1176" spans="1:15" ht="15.75" hidden="1" x14ac:dyDescent="0.25">
      <c r="A1176" s="1" t="str">
        <f t="shared" si="59"/>
        <v>444614446725MASTER CCFOODWISHBOX</v>
      </c>
      <c r="B1176" s="2">
        <v>44461</v>
      </c>
      <c r="C1176" s="2">
        <v>44467</v>
      </c>
      <c r="D1176" s="3" t="s">
        <v>1446</v>
      </c>
      <c r="E1176" s="3">
        <v>25</v>
      </c>
      <c r="F1176" s="3">
        <v>1</v>
      </c>
      <c r="G1176" s="3">
        <f t="shared" si="61"/>
        <v>25</v>
      </c>
      <c r="H1176" s="3" t="s">
        <v>291</v>
      </c>
      <c r="I1176" s="1" t="s">
        <v>10</v>
      </c>
      <c r="J1176" s="1" t="s">
        <v>1199</v>
      </c>
      <c r="K1176" s="1" t="s">
        <v>298</v>
      </c>
      <c r="L1176" s="1" t="s">
        <v>267</v>
      </c>
      <c r="M1176" s="1"/>
      <c r="N1176" s="1">
        <f t="shared" si="60"/>
        <v>9</v>
      </c>
      <c r="O1176" s="65"/>
    </row>
    <row r="1177" spans="1:15" ht="15.75" hidden="1" x14ac:dyDescent="0.25">
      <c r="A1177" s="1" t="str">
        <f t="shared" si="59"/>
        <v>444624446724MASTER CCFOODWISHBOX</v>
      </c>
      <c r="B1177" s="2">
        <v>44462</v>
      </c>
      <c r="C1177" s="2">
        <v>44467</v>
      </c>
      <c r="D1177" s="3" t="s">
        <v>1445</v>
      </c>
      <c r="E1177" s="3">
        <v>24</v>
      </c>
      <c r="F1177" s="3">
        <v>1</v>
      </c>
      <c r="G1177" s="3">
        <f t="shared" si="61"/>
        <v>24</v>
      </c>
      <c r="H1177" s="3" t="s">
        <v>291</v>
      </c>
      <c r="I1177" s="1" t="s">
        <v>10</v>
      </c>
      <c r="J1177" s="1" t="s">
        <v>1199</v>
      </c>
      <c r="K1177" s="1" t="s">
        <v>298</v>
      </c>
      <c r="L1177" s="1" t="s">
        <v>267</v>
      </c>
      <c r="M1177" s="1"/>
      <c r="N1177" s="1">
        <f t="shared" si="60"/>
        <v>9</v>
      </c>
      <c r="O1177" s="65"/>
    </row>
    <row r="1178" spans="1:15" ht="15.75" hidden="1" x14ac:dyDescent="0.25">
      <c r="A1178" s="1" t="str">
        <f t="shared" si="59"/>
        <v>444634446722MASTER CCFOODCAFÉ/REST.</v>
      </c>
      <c r="B1178" s="2">
        <v>44463</v>
      </c>
      <c r="C1178" s="2">
        <v>44467</v>
      </c>
      <c r="D1178" s="3" t="s">
        <v>1444</v>
      </c>
      <c r="E1178" s="3">
        <v>22</v>
      </c>
      <c r="F1178" s="3">
        <v>1</v>
      </c>
      <c r="G1178" s="3">
        <f t="shared" si="61"/>
        <v>22</v>
      </c>
      <c r="H1178" s="3" t="s">
        <v>291</v>
      </c>
      <c r="I1178" s="1" t="s">
        <v>10</v>
      </c>
      <c r="J1178" s="1" t="s">
        <v>11</v>
      </c>
      <c r="K1178" s="1" t="s">
        <v>298</v>
      </c>
      <c r="L1178" s="1" t="s">
        <v>267</v>
      </c>
      <c r="M1178" s="1"/>
      <c r="N1178" s="1">
        <f t="shared" si="60"/>
        <v>9</v>
      </c>
      <c r="O1178" s="65"/>
    </row>
    <row r="1179" spans="1:15" ht="15.75" hidden="1" x14ac:dyDescent="0.25">
      <c r="A1179" s="1" t="str">
        <f t="shared" si="59"/>
        <v>444634446712.05DINERSTRANSPORTUBER</v>
      </c>
      <c r="B1179" s="2">
        <v>44463</v>
      </c>
      <c r="C1179" s="2">
        <v>44467</v>
      </c>
      <c r="D1179" s="3" t="s">
        <v>1439</v>
      </c>
      <c r="E1179" s="3">
        <v>12.05</v>
      </c>
      <c r="F1179" s="3">
        <v>1</v>
      </c>
      <c r="G1179" s="3">
        <f t="shared" si="61"/>
        <v>12.05</v>
      </c>
      <c r="H1179" s="3" t="s">
        <v>266</v>
      </c>
      <c r="I1179" s="1" t="s">
        <v>296</v>
      </c>
      <c r="J1179" s="1" t="s">
        <v>299</v>
      </c>
      <c r="K1179" s="1" t="s">
        <v>298</v>
      </c>
      <c r="L1179" s="1" t="s">
        <v>267</v>
      </c>
      <c r="M1179" s="1"/>
      <c r="N1179" s="1">
        <f t="shared" si="60"/>
        <v>9</v>
      </c>
      <c r="O1179" s="87"/>
    </row>
    <row r="1180" spans="1:15" ht="15.75" hidden="1" x14ac:dyDescent="0.25">
      <c r="A1180" s="1" t="str">
        <f t="shared" si="59"/>
        <v>444644446712MASTER CCGROCERYONE STOP</v>
      </c>
      <c r="B1180" s="2">
        <v>44464</v>
      </c>
      <c r="C1180" s="2">
        <v>44467</v>
      </c>
      <c r="D1180" s="3" t="s">
        <v>1443</v>
      </c>
      <c r="E1180" s="3">
        <v>12</v>
      </c>
      <c r="F1180" s="3">
        <v>1</v>
      </c>
      <c r="G1180" s="3">
        <f t="shared" si="61"/>
        <v>12</v>
      </c>
      <c r="H1180" s="3" t="s">
        <v>291</v>
      </c>
      <c r="I1180" s="1" t="s">
        <v>43</v>
      </c>
      <c r="J1180" s="1" t="s">
        <v>1379</v>
      </c>
      <c r="K1180" s="1" t="s">
        <v>298</v>
      </c>
      <c r="L1180" s="1" t="s">
        <v>267</v>
      </c>
      <c r="M1180" s="1"/>
      <c r="N1180" s="1">
        <f t="shared" si="60"/>
        <v>9</v>
      </c>
      <c r="O1180" s="65"/>
    </row>
    <row r="1181" spans="1:15" ht="15.75" hidden="1" x14ac:dyDescent="0.25">
      <c r="A1181" s="1" t="str">
        <f t="shared" si="59"/>
        <v>44464444678DINERSTRANSPORTUBER</v>
      </c>
      <c r="B1181" s="2">
        <v>44464</v>
      </c>
      <c r="C1181" s="2">
        <v>44467</v>
      </c>
      <c r="D1181" s="3" t="s">
        <v>1435</v>
      </c>
      <c r="E1181" s="3">
        <v>8</v>
      </c>
      <c r="F1181" s="3">
        <v>1</v>
      </c>
      <c r="G1181" s="3">
        <f t="shared" si="61"/>
        <v>8</v>
      </c>
      <c r="H1181" s="3" t="s">
        <v>266</v>
      </c>
      <c r="I1181" s="1" t="s">
        <v>296</v>
      </c>
      <c r="J1181" s="1" t="s">
        <v>299</v>
      </c>
      <c r="K1181" s="1" t="s">
        <v>298</v>
      </c>
      <c r="L1181" s="1" t="s">
        <v>267</v>
      </c>
      <c r="M1181" s="1"/>
      <c r="N1181" s="1">
        <f t="shared" si="60"/>
        <v>9</v>
      </c>
      <c r="O1181" s="87"/>
    </row>
    <row r="1182" spans="1:15" ht="15.75" hidden="1" x14ac:dyDescent="0.25">
      <c r="A1182" s="1" t="str">
        <f t="shared" si="59"/>
        <v>4446444465144.65DINERSGROCERYLULU</v>
      </c>
      <c r="B1182" s="2">
        <v>44464</v>
      </c>
      <c r="C1182" s="2">
        <v>44465</v>
      </c>
      <c r="D1182" s="3" t="s">
        <v>1436</v>
      </c>
      <c r="E1182" s="3">
        <v>144.65</v>
      </c>
      <c r="F1182" s="3">
        <v>1</v>
      </c>
      <c r="G1182" s="3">
        <f t="shared" si="61"/>
        <v>144.65</v>
      </c>
      <c r="H1182" s="3" t="s">
        <v>266</v>
      </c>
      <c r="I1182" s="1" t="s">
        <v>43</v>
      </c>
      <c r="J1182" s="1" t="s">
        <v>44</v>
      </c>
      <c r="K1182" s="1" t="s">
        <v>298</v>
      </c>
      <c r="L1182" s="1" t="s">
        <v>267</v>
      </c>
      <c r="M1182" s="1"/>
      <c r="N1182" s="1">
        <f t="shared" si="60"/>
        <v>9</v>
      </c>
      <c r="O1182" s="87"/>
    </row>
    <row r="1183" spans="1:15" ht="15.75" hidden="1" x14ac:dyDescent="0.25">
      <c r="A1183" s="1" t="str">
        <f t="shared" si="59"/>
        <v>444644446520DINERSGROCERYLULU</v>
      </c>
      <c r="B1183" s="2">
        <v>44464</v>
      </c>
      <c r="C1183" s="2">
        <v>44465</v>
      </c>
      <c r="D1183" s="3" t="s">
        <v>1437</v>
      </c>
      <c r="E1183" s="3">
        <v>20</v>
      </c>
      <c r="F1183" s="3">
        <v>1</v>
      </c>
      <c r="G1183" s="3">
        <f t="shared" si="61"/>
        <v>20</v>
      </c>
      <c r="H1183" s="3" t="s">
        <v>266</v>
      </c>
      <c r="I1183" s="1" t="s">
        <v>43</v>
      </c>
      <c r="J1183" s="1" t="s">
        <v>44</v>
      </c>
      <c r="K1183" s="1" t="s">
        <v>298</v>
      </c>
      <c r="L1183" s="1" t="s">
        <v>267</v>
      </c>
      <c r="M1183" s="1"/>
      <c r="N1183" s="1">
        <f t="shared" si="60"/>
        <v>9</v>
      </c>
      <c r="O1183" s="87"/>
    </row>
    <row r="1184" spans="1:15" ht="15.75" hidden="1" x14ac:dyDescent="0.25">
      <c r="A1184" s="1" t="str">
        <f t="shared" si="59"/>
        <v>444644446523.5DINERSGROCERYTOTAL FRESH</v>
      </c>
      <c r="B1184" s="2">
        <v>44464</v>
      </c>
      <c r="C1184" s="2">
        <v>44465</v>
      </c>
      <c r="D1184" s="3" t="s">
        <v>1438</v>
      </c>
      <c r="E1184" s="3">
        <v>23.5</v>
      </c>
      <c r="F1184" s="3">
        <v>1</v>
      </c>
      <c r="G1184" s="3">
        <f t="shared" si="61"/>
        <v>23.5</v>
      </c>
      <c r="H1184" s="3" t="s">
        <v>266</v>
      </c>
      <c r="I1184" s="1" t="s">
        <v>43</v>
      </c>
      <c r="J1184" s="1" t="s">
        <v>1394</v>
      </c>
      <c r="K1184" s="1" t="s">
        <v>298</v>
      </c>
      <c r="L1184" s="1" t="s">
        <v>267</v>
      </c>
      <c r="M1184" s="1"/>
      <c r="N1184" s="1">
        <f t="shared" si="60"/>
        <v>9</v>
      </c>
      <c r="O1184" s="87"/>
    </row>
    <row r="1185" spans="1:15" ht="15.75" hidden="1" x14ac:dyDescent="0.25">
      <c r="A1185" s="1" t="str">
        <f t="shared" si="59"/>
        <v>444664446912.33DINERSTRANSPORTUBER</v>
      </c>
      <c r="B1185" s="2">
        <v>44466</v>
      </c>
      <c r="C1185" s="2">
        <v>44469</v>
      </c>
      <c r="D1185" s="3" t="s">
        <v>1434</v>
      </c>
      <c r="E1185" s="3">
        <v>12.33</v>
      </c>
      <c r="F1185" s="3">
        <v>1</v>
      </c>
      <c r="G1185" s="3">
        <f t="shared" si="61"/>
        <v>12.33</v>
      </c>
      <c r="H1185" s="3" t="s">
        <v>266</v>
      </c>
      <c r="I1185" s="1" t="s">
        <v>296</v>
      </c>
      <c r="J1185" s="1" t="s">
        <v>299</v>
      </c>
      <c r="K1185" s="1" t="s">
        <v>298</v>
      </c>
      <c r="L1185" s="1" t="s">
        <v>267</v>
      </c>
      <c r="M1185" s="1"/>
      <c r="N1185" s="1">
        <f t="shared" si="60"/>
        <v>9</v>
      </c>
      <c r="O1185" s="87"/>
    </row>
    <row r="1186" spans="1:15" ht="15.75" hidden="1" x14ac:dyDescent="0.25">
      <c r="A1186" s="1" t="str">
        <f t="shared" si="59"/>
        <v>444674446718639CURRENTSALARYQATAR AIR</v>
      </c>
      <c r="B1186" s="2">
        <v>44467</v>
      </c>
      <c r="C1186" s="2">
        <v>44467</v>
      </c>
      <c r="D1186" s="3" t="s">
        <v>1433</v>
      </c>
      <c r="E1186" s="3">
        <v>18639</v>
      </c>
      <c r="F1186" s="3">
        <v>1</v>
      </c>
      <c r="G1186" s="3">
        <f t="shared" si="61"/>
        <v>18639</v>
      </c>
      <c r="H1186" s="3" t="s">
        <v>293</v>
      </c>
      <c r="I1186" s="1" t="s">
        <v>18</v>
      </c>
      <c r="J1186" s="1" t="s">
        <v>19</v>
      </c>
      <c r="K1186" s="1" t="s">
        <v>300</v>
      </c>
      <c r="L1186" s="1" t="s">
        <v>257</v>
      </c>
      <c r="M1186" s="1"/>
      <c r="N1186" s="1">
        <f t="shared" si="60"/>
        <v>9</v>
      </c>
      <c r="O1186" s="65"/>
    </row>
    <row r="1187" spans="1:15" ht="15.75" hidden="1" x14ac:dyDescent="0.25">
      <c r="A1187" s="1" t="str">
        <f t="shared" si="59"/>
        <v>444674446727CURRENTFOODQATAR AIR</v>
      </c>
      <c r="B1187" s="2">
        <v>44467</v>
      </c>
      <c r="C1187" s="2">
        <v>44467</v>
      </c>
      <c r="D1187" s="3" t="s">
        <v>1432</v>
      </c>
      <c r="E1187" s="3">
        <v>-27</v>
      </c>
      <c r="F1187" s="3">
        <v>1</v>
      </c>
      <c r="G1187" s="3">
        <f t="shared" si="61"/>
        <v>27</v>
      </c>
      <c r="H1187" s="3" t="s">
        <v>293</v>
      </c>
      <c r="I1187" s="1" t="s">
        <v>10</v>
      </c>
      <c r="J1187" s="1" t="s">
        <v>19</v>
      </c>
      <c r="K1187" s="1" t="s">
        <v>298</v>
      </c>
      <c r="L1187" s="1" t="s">
        <v>257</v>
      </c>
      <c r="M1187" s="1"/>
      <c r="N1187" s="1">
        <f t="shared" si="60"/>
        <v>9</v>
      </c>
      <c r="O1187" s="65"/>
    </row>
    <row r="1188" spans="1:15" ht="15.75" hidden="1" x14ac:dyDescent="0.25">
      <c r="A1188" s="1" t="str">
        <f t="shared" si="59"/>
        <v>4446844468100CURRENTTRANSPORTMETRO</v>
      </c>
      <c r="B1188" s="2">
        <v>44468</v>
      </c>
      <c r="C1188" s="2">
        <v>44468</v>
      </c>
      <c r="D1188" s="3" t="s">
        <v>1455</v>
      </c>
      <c r="E1188" s="3">
        <v>-100</v>
      </c>
      <c r="F1188" s="3">
        <v>1</v>
      </c>
      <c r="G1188" s="3">
        <f t="shared" si="61"/>
        <v>100</v>
      </c>
      <c r="H1188" s="3" t="s">
        <v>293</v>
      </c>
      <c r="I1188" s="1" t="s">
        <v>296</v>
      </c>
      <c r="J1188" s="1" t="s">
        <v>759</v>
      </c>
      <c r="K1188" s="1" t="s">
        <v>298</v>
      </c>
      <c r="L1188" s="1" t="s">
        <v>257</v>
      </c>
      <c r="M1188" s="1"/>
      <c r="N1188" s="1">
        <f t="shared" si="60"/>
        <v>9</v>
      </c>
      <c r="O1188" s="65"/>
    </row>
    <row r="1189" spans="1:15" ht="15.75" hidden="1" x14ac:dyDescent="0.25">
      <c r="A1189" s="1" t="str">
        <f t="shared" si="59"/>
        <v>44468444687084.81CURRENTCC BILL PAYMENTBANK</v>
      </c>
      <c r="B1189" s="2">
        <v>44468</v>
      </c>
      <c r="C1189" s="2">
        <v>44468</v>
      </c>
      <c r="D1189" s="3" t="s">
        <v>1456</v>
      </c>
      <c r="E1189" s="3">
        <v>-7084.81</v>
      </c>
      <c r="F1189" s="3">
        <v>1</v>
      </c>
      <c r="G1189" s="3">
        <f t="shared" si="61"/>
        <v>7084.81</v>
      </c>
      <c r="H1189" s="3" t="s">
        <v>293</v>
      </c>
      <c r="I1189" s="1" t="s">
        <v>81</v>
      </c>
      <c r="J1189" s="1" t="s">
        <v>8</v>
      </c>
      <c r="K1189" s="1" t="s">
        <v>298</v>
      </c>
      <c r="L1189" s="1" t="s">
        <v>257</v>
      </c>
      <c r="M1189" s="1"/>
      <c r="N1189" s="1">
        <f t="shared" si="60"/>
        <v>9</v>
      </c>
      <c r="O1189" s="65"/>
    </row>
    <row r="1190" spans="1:15" ht="15.75" hidden="1" x14ac:dyDescent="0.25">
      <c r="A1190" s="1" t="str">
        <f t="shared" si="59"/>
        <v>44468444697084.81DINERSCC BILL PAYMENTBANK</v>
      </c>
      <c r="B1190" s="2">
        <v>44468</v>
      </c>
      <c r="C1190" s="2">
        <v>44469</v>
      </c>
      <c r="D1190" s="3" t="s">
        <v>80</v>
      </c>
      <c r="E1190" s="3">
        <v>-7084.81</v>
      </c>
      <c r="F1190" s="3">
        <v>1</v>
      </c>
      <c r="G1190" s="3">
        <f t="shared" si="61"/>
        <v>7084.81</v>
      </c>
      <c r="H1190" s="3" t="s">
        <v>266</v>
      </c>
      <c r="I1190" s="1" t="s">
        <v>81</v>
      </c>
      <c r="J1190" s="1" t="s">
        <v>8</v>
      </c>
      <c r="K1190" s="1" t="s">
        <v>300</v>
      </c>
      <c r="L1190" s="1" t="s">
        <v>267</v>
      </c>
      <c r="M1190" s="1"/>
      <c r="N1190" s="1">
        <f t="shared" si="60"/>
        <v>9</v>
      </c>
      <c r="O1190" s="87"/>
    </row>
    <row r="1191" spans="1:15" ht="15.75" hidden="1" x14ac:dyDescent="0.25">
      <c r="A1191" s="1" t="str">
        <f t="shared" si="59"/>
        <v>444694447220.77DINERSTRANSPORTUBER</v>
      </c>
      <c r="B1191" s="2">
        <v>44469</v>
      </c>
      <c r="C1191" s="2">
        <v>44472</v>
      </c>
      <c r="D1191" s="3" t="s">
        <v>1457</v>
      </c>
      <c r="E1191" s="3">
        <v>20.77</v>
      </c>
      <c r="F1191" s="3">
        <v>1</v>
      </c>
      <c r="G1191" s="3">
        <f t="shared" si="61"/>
        <v>20.77</v>
      </c>
      <c r="H1191" s="3" t="s">
        <v>266</v>
      </c>
      <c r="I1191" s="1" t="s">
        <v>296</v>
      </c>
      <c r="J1191" s="1" t="s">
        <v>299</v>
      </c>
      <c r="K1191" s="1" t="s">
        <v>298</v>
      </c>
      <c r="L1191" s="1" t="s">
        <v>267</v>
      </c>
      <c r="M1191" s="1"/>
      <c r="N1191" s="1">
        <f t="shared" si="60"/>
        <v>10</v>
      </c>
      <c r="O1191" s="87"/>
    </row>
    <row r="1192" spans="1:15" ht="15.75" hidden="1" x14ac:dyDescent="0.25">
      <c r="A1192" s="1" t="str">
        <f t="shared" si="59"/>
        <v>444694446936CURRENTFOODCAFÉ/REST.</v>
      </c>
      <c r="B1192" s="2">
        <v>44469</v>
      </c>
      <c r="C1192" s="2">
        <v>44469</v>
      </c>
      <c r="D1192" s="3" t="s">
        <v>1454</v>
      </c>
      <c r="E1192" s="3">
        <v>-36</v>
      </c>
      <c r="F1192" s="3">
        <v>1</v>
      </c>
      <c r="G1192" s="3">
        <f t="shared" si="61"/>
        <v>36</v>
      </c>
      <c r="H1192" s="3" t="s">
        <v>293</v>
      </c>
      <c r="I1192" s="1" t="s">
        <v>10</v>
      </c>
      <c r="J1192" s="1" t="s">
        <v>11</v>
      </c>
      <c r="K1192" s="1" t="s">
        <v>298</v>
      </c>
      <c r="L1192" s="1" t="s">
        <v>257</v>
      </c>
      <c r="M1192" s="1"/>
      <c r="N1192" s="1">
        <f t="shared" si="60"/>
        <v>9</v>
      </c>
      <c r="O1192" s="65"/>
    </row>
    <row r="1193" spans="1:15" ht="15.75" hidden="1" x14ac:dyDescent="0.25">
      <c r="A1193" s="1" t="str">
        <f t="shared" si="59"/>
        <v>444714447421MASTER CCFOODWISHBOX</v>
      </c>
      <c r="B1193" s="2">
        <v>44471</v>
      </c>
      <c r="C1193" s="2">
        <v>44474</v>
      </c>
      <c r="D1193" s="3" t="s">
        <v>1465</v>
      </c>
      <c r="E1193" s="3">
        <v>21</v>
      </c>
      <c r="F1193" s="3">
        <v>1</v>
      </c>
      <c r="G1193" s="3">
        <f t="shared" si="61"/>
        <v>21</v>
      </c>
      <c r="H1193" s="3" t="s">
        <v>291</v>
      </c>
      <c r="I1193" s="1" t="s">
        <v>10</v>
      </c>
      <c r="J1193" s="1" t="s">
        <v>1199</v>
      </c>
      <c r="K1193" s="1" t="s">
        <v>298</v>
      </c>
      <c r="L1193" s="1" t="s">
        <v>267</v>
      </c>
      <c r="M1193" s="1"/>
      <c r="N1193" s="1">
        <f t="shared" si="60"/>
        <v>10</v>
      </c>
      <c r="O1193" s="65"/>
    </row>
    <row r="1194" spans="1:15" ht="15.75" hidden="1" x14ac:dyDescent="0.25">
      <c r="A1194" s="1" t="str">
        <f t="shared" si="59"/>
        <v>44472444721000CURRENTSAVINGARTI</v>
      </c>
      <c r="B1194" s="2">
        <v>44472</v>
      </c>
      <c r="C1194" s="2">
        <v>44472</v>
      </c>
      <c r="D1194" s="3" t="s">
        <v>1453</v>
      </c>
      <c r="E1194" s="3">
        <v>-1000</v>
      </c>
      <c r="F1194" s="3">
        <v>1</v>
      </c>
      <c r="G1194" s="3">
        <f t="shared" si="61"/>
        <v>1000</v>
      </c>
      <c r="H1194" s="3" t="s">
        <v>293</v>
      </c>
      <c r="I1194" s="1" t="s">
        <v>302</v>
      </c>
      <c r="J1194" s="1" t="s">
        <v>453</v>
      </c>
      <c r="K1194" s="1" t="s">
        <v>298</v>
      </c>
      <c r="L1194" s="1" t="s">
        <v>257</v>
      </c>
      <c r="M1194" s="1"/>
      <c r="N1194" s="1">
        <f t="shared" si="60"/>
        <v>10</v>
      </c>
      <c r="O1194" s="65"/>
    </row>
    <row r="1195" spans="1:15" ht="15.75" hidden="1" x14ac:dyDescent="0.25">
      <c r="A1195" s="1" t="str">
        <f t="shared" si="59"/>
        <v>444734447529MASTER CCFOODWISHBOX</v>
      </c>
      <c r="B1195" s="2">
        <v>44473</v>
      </c>
      <c r="C1195" s="2">
        <v>44475</v>
      </c>
      <c r="D1195" s="3" t="s">
        <v>1464</v>
      </c>
      <c r="E1195" s="3">
        <v>29</v>
      </c>
      <c r="F1195" s="3">
        <v>1</v>
      </c>
      <c r="G1195" s="3">
        <f t="shared" si="61"/>
        <v>29</v>
      </c>
      <c r="H1195" s="3" t="s">
        <v>291</v>
      </c>
      <c r="I1195" s="1" t="s">
        <v>10</v>
      </c>
      <c r="J1195" s="1" t="s">
        <v>1199</v>
      </c>
      <c r="K1195" s="1" t="s">
        <v>298</v>
      </c>
      <c r="L1195" s="1" t="s">
        <v>267</v>
      </c>
      <c r="M1195" s="1"/>
      <c r="N1195" s="1">
        <f t="shared" si="60"/>
        <v>10</v>
      </c>
      <c r="O1195" s="65"/>
    </row>
    <row r="1196" spans="1:15" ht="15.75" hidden="1" x14ac:dyDescent="0.25">
      <c r="A1196" s="1" t="str">
        <f t="shared" si="59"/>
        <v>4447344476110MASTER CCFOODQATAR AIR</v>
      </c>
      <c r="B1196" s="2">
        <v>44473</v>
      </c>
      <c r="C1196" s="2">
        <v>44476</v>
      </c>
      <c r="D1196" s="3" t="s">
        <v>1463</v>
      </c>
      <c r="E1196" s="3">
        <v>110</v>
      </c>
      <c r="F1196" s="3">
        <v>1</v>
      </c>
      <c r="G1196" s="3">
        <f t="shared" si="61"/>
        <v>110</v>
      </c>
      <c r="H1196" s="3" t="s">
        <v>291</v>
      </c>
      <c r="I1196" s="1" t="s">
        <v>10</v>
      </c>
      <c r="J1196" s="1" t="s">
        <v>19</v>
      </c>
      <c r="K1196" s="1" t="s">
        <v>298</v>
      </c>
      <c r="L1196" s="1" t="s">
        <v>267</v>
      </c>
      <c r="M1196" s="1"/>
      <c r="N1196" s="1">
        <f t="shared" si="60"/>
        <v>10</v>
      </c>
      <c r="O1196" s="65"/>
    </row>
    <row r="1197" spans="1:15" ht="15.75" hidden="1" x14ac:dyDescent="0.25">
      <c r="A1197" s="1" t="str">
        <f t="shared" si="59"/>
        <v>444744447630MASTER CCFOODWISHBOX</v>
      </c>
      <c r="B1197" s="2">
        <v>44474</v>
      </c>
      <c r="C1197" s="2">
        <v>44476</v>
      </c>
      <c r="D1197" s="3" t="s">
        <v>1462</v>
      </c>
      <c r="E1197" s="3">
        <v>30</v>
      </c>
      <c r="F1197" s="3">
        <v>1</v>
      </c>
      <c r="G1197" s="3">
        <f t="shared" si="61"/>
        <v>30</v>
      </c>
      <c r="H1197" s="3" t="s">
        <v>291</v>
      </c>
      <c r="I1197" s="1" t="s">
        <v>10</v>
      </c>
      <c r="J1197" s="1" t="s">
        <v>1199</v>
      </c>
      <c r="K1197" s="1" t="s">
        <v>298</v>
      </c>
      <c r="L1197" s="1" t="s">
        <v>267</v>
      </c>
      <c r="M1197" s="1"/>
      <c r="N1197" s="1">
        <f t="shared" si="60"/>
        <v>10</v>
      </c>
      <c r="O1197" s="65"/>
    </row>
    <row r="1198" spans="1:15" ht="15.75" hidden="1" x14ac:dyDescent="0.25">
      <c r="A1198" s="1" t="str">
        <f t="shared" si="59"/>
        <v>444744447717.25MASTER CCGROCERYTOTAL FRESH</v>
      </c>
      <c r="B1198" s="2">
        <v>44474</v>
      </c>
      <c r="C1198" s="2">
        <v>44477</v>
      </c>
      <c r="D1198" s="3" t="s">
        <v>1461</v>
      </c>
      <c r="E1198" s="3">
        <v>17.25</v>
      </c>
      <c r="F1198" s="3">
        <v>1</v>
      </c>
      <c r="G1198" s="3">
        <f t="shared" si="61"/>
        <v>17.25</v>
      </c>
      <c r="H1198" s="3" t="s">
        <v>291</v>
      </c>
      <c r="I1198" s="1" t="s">
        <v>43</v>
      </c>
      <c r="J1198" s="1" t="s">
        <v>1394</v>
      </c>
      <c r="K1198" s="1" t="s">
        <v>298</v>
      </c>
      <c r="L1198" s="1" t="s">
        <v>267</v>
      </c>
      <c r="M1198" s="1"/>
      <c r="N1198" s="1">
        <f t="shared" si="60"/>
        <v>10</v>
      </c>
      <c r="O1198" s="65"/>
    </row>
    <row r="1199" spans="1:15" ht="15.75" hidden="1" x14ac:dyDescent="0.25">
      <c r="A1199" s="1" t="str">
        <f t="shared" si="59"/>
        <v>44474444741250CURRENTSAVINGSELF</v>
      </c>
      <c r="B1199" s="2">
        <v>44474</v>
      </c>
      <c r="C1199" s="2">
        <v>44474</v>
      </c>
      <c r="D1199" s="3" t="s">
        <v>1167</v>
      </c>
      <c r="E1199" s="3">
        <v>-1250</v>
      </c>
      <c r="F1199" s="3">
        <v>1</v>
      </c>
      <c r="G1199" s="3">
        <f t="shared" si="61"/>
        <v>1250</v>
      </c>
      <c r="H1199" s="3" t="s">
        <v>293</v>
      </c>
      <c r="I1199" s="1" t="s">
        <v>302</v>
      </c>
      <c r="J1199" s="1" t="s">
        <v>14</v>
      </c>
      <c r="K1199" s="1" t="s">
        <v>298</v>
      </c>
      <c r="L1199" s="1" t="s">
        <v>257</v>
      </c>
      <c r="M1199" s="1"/>
      <c r="N1199" s="1">
        <f t="shared" si="60"/>
        <v>10</v>
      </c>
      <c r="O1199" s="65"/>
    </row>
    <row r="1200" spans="1:15" ht="15.75" hidden="1" x14ac:dyDescent="0.25">
      <c r="A1200" s="1" t="str">
        <f t="shared" si="59"/>
        <v>444764448160MASTER CCTELECOMOOREDOO</v>
      </c>
      <c r="B1200" s="2">
        <v>44476</v>
      </c>
      <c r="C1200" s="2">
        <v>44481</v>
      </c>
      <c r="D1200" s="3" t="s">
        <v>1458</v>
      </c>
      <c r="E1200" s="3">
        <v>60</v>
      </c>
      <c r="F1200" s="3">
        <v>1</v>
      </c>
      <c r="G1200" s="3">
        <f t="shared" si="61"/>
        <v>60</v>
      </c>
      <c r="H1200" s="3" t="s">
        <v>291</v>
      </c>
      <c r="I1200" s="1" t="s">
        <v>58</v>
      </c>
      <c r="J1200" s="1" t="s">
        <v>59</v>
      </c>
      <c r="K1200" s="1" t="s">
        <v>298</v>
      </c>
      <c r="L1200" s="1" t="s">
        <v>267</v>
      </c>
      <c r="M1200" s="1"/>
      <c r="N1200" s="1">
        <f t="shared" si="60"/>
        <v>10</v>
      </c>
      <c r="O1200" s="65"/>
    </row>
    <row r="1201" spans="1:15" ht="15.75" hidden="1" x14ac:dyDescent="0.25">
      <c r="A1201" s="1" t="str">
        <f t="shared" si="59"/>
        <v>444764448120MASTER CCTELECOMOOREDOO</v>
      </c>
      <c r="B1201" s="2">
        <v>44476</v>
      </c>
      <c r="C1201" s="2">
        <v>44481</v>
      </c>
      <c r="D1201" s="3" t="s">
        <v>1459</v>
      </c>
      <c r="E1201" s="3">
        <v>20</v>
      </c>
      <c r="F1201" s="3">
        <v>1</v>
      </c>
      <c r="G1201" s="3">
        <f t="shared" si="61"/>
        <v>20</v>
      </c>
      <c r="H1201" s="3" t="s">
        <v>291</v>
      </c>
      <c r="I1201" s="1" t="s">
        <v>58</v>
      </c>
      <c r="J1201" s="1" t="s">
        <v>59</v>
      </c>
      <c r="K1201" s="1" t="s">
        <v>298</v>
      </c>
      <c r="L1201" s="1" t="s">
        <v>267</v>
      </c>
      <c r="M1201" s="1"/>
      <c r="N1201" s="1">
        <f t="shared" si="60"/>
        <v>10</v>
      </c>
      <c r="O1201" s="65"/>
    </row>
    <row r="1202" spans="1:15" ht="15.75" hidden="1" x14ac:dyDescent="0.25">
      <c r="A1202" s="1" t="str">
        <f t="shared" si="59"/>
        <v>444764447920MASTER CCFOODFINGERTIPS</v>
      </c>
      <c r="B1202" s="2">
        <v>44476</v>
      </c>
      <c r="C1202" s="2">
        <v>44479</v>
      </c>
      <c r="D1202" s="3" t="s">
        <v>1460</v>
      </c>
      <c r="E1202" s="3">
        <v>20</v>
      </c>
      <c r="F1202" s="3">
        <v>1</v>
      </c>
      <c r="G1202" s="3">
        <f t="shared" si="61"/>
        <v>20</v>
      </c>
      <c r="H1202" s="3" t="s">
        <v>291</v>
      </c>
      <c r="I1202" s="1" t="s">
        <v>10</v>
      </c>
      <c r="J1202" s="1" t="s">
        <v>1422</v>
      </c>
      <c r="K1202" s="1" t="s">
        <v>298</v>
      </c>
      <c r="L1202" s="1" t="s">
        <v>267</v>
      </c>
      <c r="M1202" s="1"/>
      <c r="N1202" s="1">
        <f t="shared" si="60"/>
        <v>10</v>
      </c>
      <c r="O1202" s="65"/>
    </row>
    <row r="1203" spans="1:15" ht="15.75" hidden="1" x14ac:dyDescent="0.25">
      <c r="A1203" s="1" t="str">
        <f t="shared" si="59"/>
        <v>444784448120MASTER CCFOODWISHBOX</v>
      </c>
      <c r="B1203" s="2">
        <v>44478</v>
      </c>
      <c r="C1203" s="2">
        <v>44481</v>
      </c>
      <c r="D1203" s="3" t="s">
        <v>1489</v>
      </c>
      <c r="E1203" s="3">
        <v>20</v>
      </c>
      <c r="F1203" s="3">
        <v>1</v>
      </c>
      <c r="G1203" s="3">
        <f t="shared" si="61"/>
        <v>20</v>
      </c>
      <c r="H1203" s="3" t="s">
        <v>291</v>
      </c>
      <c r="I1203" s="1" t="s">
        <v>10</v>
      </c>
      <c r="J1203" s="1" t="s">
        <v>1199</v>
      </c>
      <c r="K1203" s="1" t="s">
        <v>298</v>
      </c>
      <c r="L1203" s="1" t="s">
        <v>267</v>
      </c>
      <c r="M1203" s="1"/>
      <c r="N1203" s="1">
        <f t="shared" si="60"/>
        <v>10</v>
      </c>
      <c r="O1203" s="65"/>
    </row>
    <row r="1204" spans="1:15" ht="15.75" hidden="1" x14ac:dyDescent="0.25">
      <c r="A1204" s="1" t="str">
        <f t="shared" si="59"/>
        <v>444784447922.29DINERSGROCERYLULU</v>
      </c>
      <c r="B1204" s="2">
        <v>44478</v>
      </c>
      <c r="C1204" s="2">
        <v>44479</v>
      </c>
      <c r="D1204" s="3" t="s">
        <v>1479</v>
      </c>
      <c r="E1204" s="3">
        <v>22.29</v>
      </c>
      <c r="F1204" s="3">
        <v>1</v>
      </c>
      <c r="G1204" s="3">
        <f t="shared" si="61"/>
        <v>22.29</v>
      </c>
      <c r="H1204" s="3" t="s">
        <v>266</v>
      </c>
      <c r="I1204" s="1" t="s">
        <v>43</v>
      </c>
      <c r="J1204" s="1" t="s">
        <v>44</v>
      </c>
      <c r="K1204" s="1" t="s">
        <v>298</v>
      </c>
      <c r="L1204" s="1" t="s">
        <v>267</v>
      </c>
      <c r="M1204" s="1"/>
      <c r="N1204" s="1">
        <f t="shared" si="60"/>
        <v>10</v>
      </c>
      <c r="O1204" s="87"/>
    </row>
    <row r="1205" spans="1:15" ht="15.75" hidden="1" x14ac:dyDescent="0.25">
      <c r="A1205" s="1" t="str">
        <f t="shared" si="59"/>
        <v>444794448130MASTER CCFOODQATAR AIR</v>
      </c>
      <c r="B1205" s="2">
        <v>44479</v>
      </c>
      <c r="C1205" s="2">
        <v>44481</v>
      </c>
      <c r="D1205" s="3" t="s">
        <v>1488</v>
      </c>
      <c r="E1205" s="3">
        <v>30</v>
      </c>
      <c r="F1205" s="3">
        <v>1</v>
      </c>
      <c r="G1205" s="3">
        <f t="shared" si="61"/>
        <v>30</v>
      </c>
      <c r="H1205" s="3" t="s">
        <v>291</v>
      </c>
      <c r="I1205" s="1" t="s">
        <v>10</v>
      </c>
      <c r="J1205" s="1" t="s">
        <v>19</v>
      </c>
      <c r="K1205" s="1" t="s">
        <v>298</v>
      </c>
      <c r="L1205" s="1" t="s">
        <v>267</v>
      </c>
      <c r="M1205" s="1"/>
      <c r="N1205" s="1">
        <f t="shared" si="60"/>
        <v>10</v>
      </c>
      <c r="O1205" s="65"/>
    </row>
    <row r="1206" spans="1:15" ht="15.75" hidden="1" x14ac:dyDescent="0.25">
      <c r="A1206" s="1" t="str">
        <f t="shared" si="59"/>
        <v>44479444791237.5CURRENTTRANSFERINDIA</v>
      </c>
      <c r="B1206" s="2">
        <v>44479</v>
      </c>
      <c r="C1206" s="2">
        <v>44479</v>
      </c>
      <c r="D1206" s="3" t="s">
        <v>694</v>
      </c>
      <c r="E1206" s="3">
        <v>-1237.5</v>
      </c>
      <c r="F1206" s="3">
        <v>1</v>
      </c>
      <c r="G1206" s="3">
        <f t="shared" si="61"/>
        <v>1237.5</v>
      </c>
      <c r="H1206" s="3" t="s">
        <v>293</v>
      </c>
      <c r="I1206" s="1" t="s">
        <v>22</v>
      </c>
      <c r="J1206" s="1" t="s">
        <v>23</v>
      </c>
      <c r="K1206" s="1" t="s">
        <v>298</v>
      </c>
      <c r="L1206" s="1" t="s">
        <v>257</v>
      </c>
      <c r="M1206" s="1"/>
      <c r="N1206" s="1">
        <f t="shared" si="60"/>
        <v>10</v>
      </c>
      <c r="O1206" s="65"/>
    </row>
    <row r="1207" spans="1:15" ht="15.75" hidden="1" x14ac:dyDescent="0.25">
      <c r="A1207" s="1" t="str">
        <f t="shared" si="59"/>
        <v>44479444799852CURRENTTRANSFERINDIA</v>
      </c>
      <c r="B1207" s="2">
        <v>44479</v>
      </c>
      <c r="C1207" s="2">
        <v>44479</v>
      </c>
      <c r="D1207" s="3" t="s">
        <v>1467</v>
      </c>
      <c r="E1207" s="3">
        <v>-9852</v>
      </c>
      <c r="F1207" s="3">
        <v>1</v>
      </c>
      <c r="G1207" s="3">
        <f t="shared" si="61"/>
        <v>9852</v>
      </c>
      <c r="H1207" s="3" t="s">
        <v>293</v>
      </c>
      <c r="I1207" s="1" t="s">
        <v>22</v>
      </c>
      <c r="J1207" s="1" t="s">
        <v>23</v>
      </c>
      <c r="K1207" s="1" t="s">
        <v>298</v>
      </c>
      <c r="L1207" s="1" t="s">
        <v>257</v>
      </c>
      <c r="M1207" s="1"/>
      <c r="N1207" s="1">
        <f t="shared" si="60"/>
        <v>10</v>
      </c>
      <c r="O1207" s="65"/>
    </row>
    <row r="1208" spans="1:15" ht="15.75" hidden="1" x14ac:dyDescent="0.25">
      <c r="A1208" s="1" t="str">
        <f t="shared" si="59"/>
        <v>44479444790.99CURRENTSERVICEBANK</v>
      </c>
      <c r="B1208" s="2">
        <v>44479</v>
      </c>
      <c r="C1208" s="2">
        <v>44479</v>
      </c>
      <c r="D1208" s="3" t="s">
        <v>1468</v>
      </c>
      <c r="E1208" s="3">
        <v>-0.99</v>
      </c>
      <c r="F1208" s="3">
        <v>1</v>
      </c>
      <c r="G1208" s="3">
        <f t="shared" si="61"/>
        <v>0.99</v>
      </c>
      <c r="H1208" s="3" t="s">
        <v>293</v>
      </c>
      <c r="I1208" s="1" t="s">
        <v>7</v>
      </c>
      <c r="J1208" s="1" t="s">
        <v>8</v>
      </c>
      <c r="K1208" s="1" t="s">
        <v>298</v>
      </c>
      <c r="L1208" s="1" t="s">
        <v>257</v>
      </c>
      <c r="M1208" s="1"/>
      <c r="N1208" s="1">
        <f t="shared" si="60"/>
        <v>10</v>
      </c>
      <c r="O1208" s="65"/>
    </row>
    <row r="1209" spans="1:15" ht="15.75" hidden="1" x14ac:dyDescent="0.25">
      <c r="A1209" s="1" t="str">
        <f t="shared" si="59"/>
        <v>444794447915CURRENTSERVICEBANK</v>
      </c>
      <c r="B1209" s="2">
        <v>44479</v>
      </c>
      <c r="C1209" s="2">
        <v>44479</v>
      </c>
      <c r="D1209" s="3" t="s">
        <v>1469</v>
      </c>
      <c r="E1209" s="3">
        <v>-15</v>
      </c>
      <c r="F1209" s="3">
        <v>1</v>
      </c>
      <c r="G1209" s="3">
        <f t="shared" si="61"/>
        <v>15</v>
      </c>
      <c r="H1209" s="3" t="s">
        <v>293</v>
      </c>
      <c r="I1209" s="1" t="s">
        <v>7</v>
      </c>
      <c r="J1209" s="1" t="s">
        <v>8</v>
      </c>
      <c r="K1209" s="1" t="s">
        <v>298</v>
      </c>
      <c r="L1209" s="1" t="s">
        <v>257</v>
      </c>
      <c r="M1209" s="1"/>
      <c r="N1209" s="1">
        <f t="shared" si="60"/>
        <v>10</v>
      </c>
      <c r="O1209" s="65"/>
    </row>
    <row r="1210" spans="1:15" ht="15.75" hidden="1" x14ac:dyDescent="0.25">
      <c r="A1210" s="1" t="str">
        <f t="shared" si="59"/>
        <v>444804448216MASTER CCFOODWISHBOX</v>
      </c>
      <c r="B1210" s="2">
        <v>44480</v>
      </c>
      <c r="C1210" s="2">
        <v>44482</v>
      </c>
      <c r="D1210" s="3" t="s">
        <v>1487</v>
      </c>
      <c r="E1210" s="3">
        <v>16</v>
      </c>
      <c r="F1210" s="3">
        <v>1</v>
      </c>
      <c r="G1210" s="3">
        <f t="shared" si="61"/>
        <v>16</v>
      </c>
      <c r="H1210" s="3" t="s">
        <v>291</v>
      </c>
      <c r="I1210" s="1" t="s">
        <v>10</v>
      </c>
      <c r="J1210" s="1" t="s">
        <v>1199</v>
      </c>
      <c r="K1210" s="1" t="s">
        <v>298</v>
      </c>
      <c r="L1210" s="1" t="s">
        <v>267</v>
      </c>
      <c r="M1210" s="1"/>
      <c r="N1210" s="1">
        <f t="shared" si="60"/>
        <v>10</v>
      </c>
      <c r="O1210" s="65"/>
    </row>
    <row r="1211" spans="1:15" ht="15.75" hidden="1" x14ac:dyDescent="0.25">
      <c r="A1211" s="1" t="str">
        <f t="shared" si="59"/>
        <v>444814448218.75DINERSGROCERYTOTAL FRESH</v>
      </c>
      <c r="B1211" s="2">
        <v>44481</v>
      </c>
      <c r="C1211" s="2">
        <v>44482</v>
      </c>
      <c r="D1211" s="3" t="s">
        <v>1478</v>
      </c>
      <c r="E1211" s="3">
        <v>18.75</v>
      </c>
      <c r="F1211" s="3">
        <v>1</v>
      </c>
      <c r="G1211" s="3">
        <f t="shared" si="61"/>
        <v>18.75</v>
      </c>
      <c r="H1211" s="3" t="s">
        <v>266</v>
      </c>
      <c r="I1211" s="1" t="s">
        <v>43</v>
      </c>
      <c r="J1211" s="1" t="s">
        <v>1394</v>
      </c>
      <c r="K1211" s="1" t="s">
        <v>298</v>
      </c>
      <c r="L1211" s="1" t="s">
        <v>267</v>
      </c>
      <c r="M1211" s="1"/>
      <c r="N1211" s="1">
        <f t="shared" si="60"/>
        <v>10</v>
      </c>
      <c r="O1211" s="87"/>
    </row>
    <row r="1212" spans="1:15" ht="15.75" hidden="1" x14ac:dyDescent="0.25">
      <c r="A1212" s="1" t="str">
        <f t="shared" si="59"/>
        <v>444824448424MASTER CCFOODFINGERTIPS</v>
      </c>
      <c r="B1212" s="2">
        <v>44482</v>
      </c>
      <c r="C1212" s="2">
        <v>44484</v>
      </c>
      <c r="D1212" s="3" t="s">
        <v>1486</v>
      </c>
      <c r="E1212" s="3">
        <v>24</v>
      </c>
      <c r="F1212" s="3">
        <v>1</v>
      </c>
      <c r="G1212" s="3">
        <f t="shared" si="61"/>
        <v>24</v>
      </c>
      <c r="H1212" s="3" t="s">
        <v>291</v>
      </c>
      <c r="I1212" s="1" t="s">
        <v>10</v>
      </c>
      <c r="J1212" s="1" t="s">
        <v>1422</v>
      </c>
      <c r="K1212" s="1" t="s">
        <v>298</v>
      </c>
      <c r="L1212" s="1" t="s">
        <v>267</v>
      </c>
      <c r="M1212" s="1"/>
      <c r="N1212" s="1">
        <f t="shared" si="60"/>
        <v>10</v>
      </c>
      <c r="O1212" s="65"/>
    </row>
    <row r="1213" spans="1:15" ht="15.75" hidden="1" x14ac:dyDescent="0.25">
      <c r="A1213" s="1" t="str">
        <f t="shared" si="59"/>
        <v>444834448415.5DINERSGROCERYTOTAL FRESH</v>
      </c>
      <c r="B1213" s="2">
        <v>44483</v>
      </c>
      <c r="C1213" s="2">
        <v>44484</v>
      </c>
      <c r="D1213" s="3" t="s">
        <v>1477</v>
      </c>
      <c r="E1213" s="3">
        <v>15.5</v>
      </c>
      <c r="F1213" s="3">
        <v>1</v>
      </c>
      <c r="G1213" s="3">
        <f t="shared" si="61"/>
        <v>15.5</v>
      </c>
      <c r="H1213" s="3" t="s">
        <v>266</v>
      </c>
      <c r="I1213" s="1" t="s">
        <v>43</v>
      </c>
      <c r="J1213" s="1" t="s">
        <v>1394</v>
      </c>
      <c r="K1213" s="1" t="s">
        <v>298</v>
      </c>
      <c r="L1213" s="1" t="s">
        <v>267</v>
      </c>
      <c r="M1213" s="1"/>
      <c r="N1213" s="1">
        <f t="shared" si="60"/>
        <v>10</v>
      </c>
      <c r="O1213" s="87"/>
    </row>
    <row r="1214" spans="1:15" ht="15.75" hidden="1" x14ac:dyDescent="0.25">
      <c r="A1214" s="1" t="str">
        <f t="shared" si="59"/>
        <v>444844448524DINERSFOODCAFÉ/REST.</v>
      </c>
      <c r="B1214" s="2">
        <v>44484</v>
      </c>
      <c r="C1214" s="2">
        <v>44485</v>
      </c>
      <c r="D1214" s="3" t="s">
        <v>1475</v>
      </c>
      <c r="E1214" s="3">
        <v>24</v>
      </c>
      <c r="F1214" s="3">
        <v>1</v>
      </c>
      <c r="G1214" s="3">
        <f t="shared" si="61"/>
        <v>24</v>
      </c>
      <c r="H1214" s="3" t="s">
        <v>266</v>
      </c>
      <c r="I1214" s="1" t="s">
        <v>10</v>
      </c>
      <c r="J1214" s="1" t="s">
        <v>11</v>
      </c>
      <c r="K1214" s="1" t="s">
        <v>298</v>
      </c>
      <c r="L1214" s="1" t="s">
        <v>267</v>
      </c>
      <c r="M1214" s="1"/>
      <c r="N1214" s="1">
        <f t="shared" si="60"/>
        <v>10</v>
      </c>
      <c r="O1214" s="87"/>
    </row>
    <row r="1215" spans="1:15" ht="15.75" hidden="1" x14ac:dyDescent="0.25">
      <c r="A1215" s="1" t="str">
        <f t="shared" si="59"/>
        <v>4448444485129DINERSFOODCAFÉ/REST.</v>
      </c>
      <c r="B1215" s="2">
        <v>44484</v>
      </c>
      <c r="C1215" s="2">
        <v>44485</v>
      </c>
      <c r="D1215" s="3" t="s">
        <v>1476</v>
      </c>
      <c r="E1215" s="3">
        <v>129</v>
      </c>
      <c r="F1215" s="3">
        <v>1</v>
      </c>
      <c r="G1215" s="3">
        <f t="shared" si="61"/>
        <v>129</v>
      </c>
      <c r="H1215" s="3" t="s">
        <v>266</v>
      </c>
      <c r="I1215" s="1" t="s">
        <v>10</v>
      </c>
      <c r="J1215" s="1" t="s">
        <v>11</v>
      </c>
      <c r="K1215" s="1" t="s">
        <v>298</v>
      </c>
      <c r="L1215" s="1" t="s">
        <v>267</v>
      </c>
      <c r="M1215" s="1"/>
      <c r="N1215" s="1">
        <f t="shared" si="60"/>
        <v>10</v>
      </c>
      <c r="O1215" s="87"/>
    </row>
    <row r="1216" spans="1:15" ht="15.75" hidden="1" x14ac:dyDescent="0.25">
      <c r="A1216" s="1" t="str">
        <f t="shared" si="59"/>
        <v>4448444487485MASTER CCTRAVELVISTARA</v>
      </c>
      <c r="B1216" s="2">
        <v>44484</v>
      </c>
      <c r="C1216" s="2">
        <v>44487</v>
      </c>
      <c r="D1216" s="3" t="s">
        <v>1485</v>
      </c>
      <c r="E1216" s="3">
        <v>485</v>
      </c>
      <c r="F1216" s="3">
        <v>1</v>
      </c>
      <c r="G1216" s="3">
        <f t="shared" si="61"/>
        <v>485</v>
      </c>
      <c r="H1216" s="3" t="s">
        <v>291</v>
      </c>
      <c r="I1216" s="1" t="s">
        <v>393</v>
      </c>
      <c r="J1216" s="1" t="s">
        <v>1490</v>
      </c>
      <c r="K1216" s="1" t="s">
        <v>298</v>
      </c>
      <c r="L1216" s="1" t="s">
        <v>267</v>
      </c>
      <c r="M1216" s="1"/>
      <c r="N1216" s="1">
        <f t="shared" si="60"/>
        <v>10</v>
      </c>
      <c r="O1216" s="65"/>
    </row>
    <row r="1217" spans="1:15" ht="15.75" hidden="1" x14ac:dyDescent="0.25">
      <c r="A1217" s="1" t="str">
        <f t="shared" si="59"/>
        <v>444854448823.92DINERSTRANSPORTUBER</v>
      </c>
      <c r="B1217" s="2">
        <v>44485</v>
      </c>
      <c r="C1217" s="2">
        <v>44488</v>
      </c>
      <c r="D1217" s="3" t="s">
        <v>1473</v>
      </c>
      <c r="E1217" s="3">
        <v>23.92</v>
      </c>
      <c r="F1217" s="3">
        <v>1</v>
      </c>
      <c r="G1217" s="3">
        <f t="shared" si="61"/>
        <v>23.92</v>
      </c>
      <c r="H1217" s="3" t="s">
        <v>266</v>
      </c>
      <c r="I1217" s="1" t="s">
        <v>296</v>
      </c>
      <c r="J1217" s="1" t="s">
        <v>299</v>
      </c>
      <c r="K1217" s="1" t="s">
        <v>298</v>
      </c>
      <c r="L1217" s="1" t="s">
        <v>267</v>
      </c>
      <c r="M1217" s="1"/>
      <c r="N1217" s="1">
        <f t="shared" si="60"/>
        <v>10</v>
      </c>
      <c r="O1217" s="87"/>
    </row>
    <row r="1218" spans="1:15" ht="15.75" hidden="1" x14ac:dyDescent="0.25">
      <c r="A1218" s="1" t="str">
        <f t="shared" ref="A1218:A1281" si="62">B1218&amp;C1218&amp;G1218&amp;H1218&amp;I1218&amp;J1218</f>
        <v>444854448824.9DINERSTRANSPORTUBER</v>
      </c>
      <c r="B1218" s="2">
        <v>44485</v>
      </c>
      <c r="C1218" s="2">
        <v>44488</v>
      </c>
      <c r="D1218" s="3" t="s">
        <v>1474</v>
      </c>
      <c r="E1218" s="3">
        <v>24.9</v>
      </c>
      <c r="F1218" s="3">
        <v>1</v>
      </c>
      <c r="G1218" s="3">
        <f t="shared" si="61"/>
        <v>24.9</v>
      </c>
      <c r="H1218" s="3" t="s">
        <v>266</v>
      </c>
      <c r="I1218" s="1" t="s">
        <v>296</v>
      </c>
      <c r="J1218" s="1" t="s">
        <v>299</v>
      </c>
      <c r="K1218" s="1" t="s">
        <v>298</v>
      </c>
      <c r="L1218" s="1" t="s">
        <v>267</v>
      </c>
      <c r="M1218" s="1"/>
      <c r="N1218" s="1">
        <f t="shared" ref="N1218:N1281" si="63">MONTH(C1218)</f>
        <v>10</v>
      </c>
      <c r="O1218" s="87"/>
    </row>
    <row r="1219" spans="1:15" ht="15.75" hidden="1" x14ac:dyDescent="0.25">
      <c r="A1219" s="1" t="str">
        <f t="shared" si="62"/>
        <v>444854448830MASTER CCFOODCAFÉ/REST.</v>
      </c>
      <c r="B1219" s="2">
        <v>44485</v>
      </c>
      <c r="C1219" s="2">
        <v>44488</v>
      </c>
      <c r="D1219" s="3" t="s">
        <v>1484</v>
      </c>
      <c r="E1219" s="3">
        <v>30</v>
      </c>
      <c r="F1219" s="3">
        <v>1</v>
      </c>
      <c r="G1219" s="3">
        <f t="shared" si="61"/>
        <v>30</v>
      </c>
      <c r="H1219" s="3" t="s">
        <v>291</v>
      </c>
      <c r="I1219" s="1" t="s">
        <v>10</v>
      </c>
      <c r="J1219" s="1" t="s">
        <v>11</v>
      </c>
      <c r="K1219" s="1" t="s">
        <v>298</v>
      </c>
      <c r="L1219" s="1" t="s">
        <v>267</v>
      </c>
      <c r="M1219" s="1"/>
      <c r="N1219" s="1">
        <f t="shared" si="63"/>
        <v>10</v>
      </c>
      <c r="O1219" s="65"/>
    </row>
    <row r="1220" spans="1:15" ht="15.75" hidden="1" x14ac:dyDescent="0.25">
      <c r="A1220" s="1" t="str">
        <f t="shared" si="62"/>
        <v>444864448820MASTER CCFOODFINGERTIPS</v>
      </c>
      <c r="B1220" s="2">
        <v>44486</v>
      </c>
      <c r="C1220" s="2">
        <v>44488</v>
      </c>
      <c r="D1220" s="3" t="s">
        <v>1483</v>
      </c>
      <c r="E1220" s="3">
        <v>20</v>
      </c>
      <c r="F1220" s="3">
        <v>1</v>
      </c>
      <c r="G1220" s="3">
        <f t="shared" si="61"/>
        <v>20</v>
      </c>
      <c r="H1220" s="3" t="s">
        <v>291</v>
      </c>
      <c r="I1220" s="1" t="s">
        <v>10</v>
      </c>
      <c r="J1220" s="1" t="s">
        <v>1422</v>
      </c>
      <c r="K1220" s="1" t="s">
        <v>298</v>
      </c>
      <c r="L1220" s="1" t="s">
        <v>267</v>
      </c>
      <c r="M1220" s="1"/>
      <c r="N1220" s="1">
        <f t="shared" si="63"/>
        <v>10</v>
      </c>
      <c r="O1220" s="65"/>
    </row>
    <row r="1221" spans="1:15" ht="15.75" hidden="1" x14ac:dyDescent="0.25">
      <c r="A1221" s="1" t="str">
        <f t="shared" si="62"/>
        <v>44486444864000CURRENTRENTEZDAN</v>
      </c>
      <c r="B1221" s="2">
        <v>44486</v>
      </c>
      <c r="C1221" s="2">
        <v>44486</v>
      </c>
      <c r="D1221" s="3" t="s">
        <v>1470</v>
      </c>
      <c r="E1221" s="3">
        <v>-4000</v>
      </c>
      <c r="F1221" s="3">
        <v>1</v>
      </c>
      <c r="G1221" s="3">
        <f t="shared" si="61"/>
        <v>4000</v>
      </c>
      <c r="H1221" s="3" t="s">
        <v>293</v>
      </c>
      <c r="I1221" s="1" t="s">
        <v>83</v>
      </c>
      <c r="J1221" s="1" t="s">
        <v>1339</v>
      </c>
      <c r="K1221" s="1" t="s">
        <v>298</v>
      </c>
      <c r="L1221" s="1" t="s">
        <v>257</v>
      </c>
      <c r="M1221" s="1"/>
      <c r="N1221" s="1">
        <f t="shared" si="63"/>
        <v>10</v>
      </c>
      <c r="O1221" s="65"/>
    </row>
    <row r="1222" spans="1:15" ht="15.75" hidden="1" x14ac:dyDescent="0.25">
      <c r="A1222" s="1" t="str">
        <f t="shared" si="62"/>
        <v>4448644486576CURRENTPARTYCAFÉ/REST.</v>
      </c>
      <c r="B1222" s="2">
        <v>44486</v>
      </c>
      <c r="C1222" s="2">
        <v>44486</v>
      </c>
      <c r="D1222" s="3" t="s">
        <v>1471</v>
      </c>
      <c r="E1222" s="3">
        <v>-576</v>
      </c>
      <c r="F1222" s="3">
        <v>1</v>
      </c>
      <c r="G1222" s="3">
        <f t="shared" si="61"/>
        <v>576</v>
      </c>
      <c r="H1222" s="3" t="s">
        <v>293</v>
      </c>
      <c r="I1222" s="1" t="s">
        <v>1472</v>
      </c>
      <c r="J1222" s="1" t="s">
        <v>11</v>
      </c>
      <c r="K1222" s="1" t="s">
        <v>298</v>
      </c>
      <c r="L1222" s="1" t="s">
        <v>257</v>
      </c>
      <c r="M1222" s="1"/>
      <c r="N1222" s="1">
        <f t="shared" si="63"/>
        <v>10</v>
      </c>
      <c r="O1222" s="65"/>
    </row>
    <row r="1223" spans="1:15" ht="15.75" hidden="1" x14ac:dyDescent="0.25">
      <c r="A1223" s="1" t="str">
        <f t="shared" si="62"/>
        <v>4448744490100MASTER CCFOODQATAR AIR</v>
      </c>
      <c r="B1223" s="2">
        <v>44487</v>
      </c>
      <c r="C1223" s="2">
        <v>44490</v>
      </c>
      <c r="D1223" s="3" t="s">
        <v>1482</v>
      </c>
      <c r="E1223" s="3">
        <v>100</v>
      </c>
      <c r="F1223" s="3">
        <v>1</v>
      </c>
      <c r="G1223" s="3">
        <f t="shared" si="61"/>
        <v>100</v>
      </c>
      <c r="H1223" s="3" t="s">
        <v>291</v>
      </c>
      <c r="I1223" s="1" t="s">
        <v>10</v>
      </c>
      <c r="J1223" s="1" t="s">
        <v>19</v>
      </c>
      <c r="K1223" s="1" t="s">
        <v>298</v>
      </c>
      <c r="L1223" s="1" t="s">
        <v>267</v>
      </c>
      <c r="M1223" s="1"/>
      <c r="N1223" s="1">
        <f t="shared" si="63"/>
        <v>10</v>
      </c>
      <c r="O1223" s="65"/>
    </row>
    <row r="1224" spans="1:15" ht="15.75" hidden="1" x14ac:dyDescent="0.25">
      <c r="A1224" s="1" t="str">
        <f t="shared" si="62"/>
        <v>44487444902MASTER CCFOODCAFÉ/REST.</v>
      </c>
      <c r="B1224" s="2">
        <v>44487</v>
      </c>
      <c r="C1224" s="2">
        <v>44490</v>
      </c>
      <c r="D1224" s="3" t="s">
        <v>1481</v>
      </c>
      <c r="E1224" s="3">
        <v>2</v>
      </c>
      <c r="F1224" s="3">
        <v>1</v>
      </c>
      <c r="G1224" s="3">
        <f t="shared" si="61"/>
        <v>2</v>
      </c>
      <c r="H1224" s="3" t="s">
        <v>291</v>
      </c>
      <c r="I1224" s="1" t="s">
        <v>10</v>
      </c>
      <c r="J1224" s="1" t="s">
        <v>11</v>
      </c>
      <c r="K1224" s="1" t="s">
        <v>298</v>
      </c>
      <c r="L1224" s="1" t="s">
        <v>267</v>
      </c>
      <c r="M1224" s="1"/>
      <c r="N1224" s="1">
        <f t="shared" si="63"/>
        <v>10</v>
      </c>
      <c r="O1224" s="65"/>
    </row>
    <row r="1225" spans="1:15" ht="15.75" hidden="1" x14ac:dyDescent="0.25">
      <c r="A1225" s="1" t="str">
        <f t="shared" si="62"/>
        <v>444884448915MASTER CCFOODCAFÉ/REST.</v>
      </c>
      <c r="B1225" s="2">
        <v>44488</v>
      </c>
      <c r="C1225" s="2">
        <v>44489</v>
      </c>
      <c r="D1225" s="3" t="s">
        <v>1480</v>
      </c>
      <c r="E1225" s="3">
        <v>15</v>
      </c>
      <c r="F1225" s="3">
        <v>1</v>
      </c>
      <c r="G1225" s="3">
        <f t="shared" si="61"/>
        <v>15</v>
      </c>
      <c r="H1225" s="3" t="s">
        <v>291</v>
      </c>
      <c r="I1225" s="1" t="s">
        <v>10</v>
      </c>
      <c r="J1225" s="1" t="s">
        <v>11</v>
      </c>
      <c r="K1225" s="1" t="s">
        <v>298</v>
      </c>
      <c r="L1225" s="1" t="s">
        <v>267</v>
      </c>
      <c r="M1225" s="1"/>
      <c r="N1225" s="1">
        <f t="shared" si="63"/>
        <v>10</v>
      </c>
      <c r="O1225" s="65"/>
    </row>
    <row r="1226" spans="1:15" ht="15.75" hidden="1" x14ac:dyDescent="0.25">
      <c r="A1226" s="1" t="str">
        <f t="shared" si="62"/>
        <v>444894449026MASTER CCMEDICALNASEEM AL</v>
      </c>
      <c r="B1226" s="2">
        <v>44489</v>
      </c>
      <c r="C1226" s="2">
        <v>44490</v>
      </c>
      <c r="D1226" s="3" t="s">
        <v>1500</v>
      </c>
      <c r="E1226" s="3">
        <v>26</v>
      </c>
      <c r="F1226" s="3">
        <v>1</v>
      </c>
      <c r="G1226" s="3">
        <f t="shared" si="61"/>
        <v>26</v>
      </c>
      <c r="H1226" s="3" t="s">
        <v>291</v>
      </c>
      <c r="I1226" s="1" t="s">
        <v>301</v>
      </c>
      <c r="J1226" s="1" t="s">
        <v>1000</v>
      </c>
      <c r="K1226" s="1" t="s">
        <v>298</v>
      </c>
      <c r="L1226" s="1" t="s">
        <v>267</v>
      </c>
      <c r="M1226" s="1"/>
      <c r="N1226" s="1">
        <f t="shared" si="63"/>
        <v>10</v>
      </c>
      <c r="O1226" s="65"/>
    </row>
    <row r="1227" spans="1:15" ht="15.75" hidden="1" x14ac:dyDescent="0.25">
      <c r="A1227" s="1" t="str">
        <f t="shared" si="62"/>
        <v>444894449021.95MASTER CCMEDICALNASEEM AL</v>
      </c>
      <c r="B1227" s="2">
        <v>44489</v>
      </c>
      <c r="C1227" s="2">
        <v>44490</v>
      </c>
      <c r="D1227" s="3" t="s">
        <v>1498</v>
      </c>
      <c r="E1227" s="3">
        <v>21.95</v>
      </c>
      <c r="F1227" s="3">
        <v>1</v>
      </c>
      <c r="G1227" s="3">
        <f t="shared" ref="G1227:G1290" si="64">ABS(E1227)*F1227</f>
        <v>21.95</v>
      </c>
      <c r="H1227" s="3" t="s">
        <v>291</v>
      </c>
      <c r="I1227" s="1" t="s">
        <v>301</v>
      </c>
      <c r="J1227" s="1" t="s">
        <v>1000</v>
      </c>
      <c r="K1227" s="1" t="s">
        <v>298</v>
      </c>
      <c r="L1227" s="1" t="s">
        <v>267</v>
      </c>
      <c r="M1227" s="1"/>
      <c r="N1227" s="1">
        <f t="shared" si="63"/>
        <v>10</v>
      </c>
      <c r="O1227" s="65"/>
    </row>
    <row r="1228" spans="1:15" ht="15.75" hidden="1" x14ac:dyDescent="0.25">
      <c r="A1228" s="1" t="str">
        <f t="shared" si="62"/>
        <v>444894449617MASTER CCFOODFINGERTIPS</v>
      </c>
      <c r="B1228" s="2">
        <v>44489</v>
      </c>
      <c r="C1228" s="2">
        <v>44496</v>
      </c>
      <c r="D1228" s="3" t="s">
        <v>1499</v>
      </c>
      <c r="E1228" s="3">
        <v>17</v>
      </c>
      <c r="F1228" s="3">
        <v>1</v>
      </c>
      <c r="G1228" s="3">
        <f t="shared" si="64"/>
        <v>17</v>
      </c>
      <c r="H1228" s="3" t="s">
        <v>291</v>
      </c>
      <c r="I1228" s="1" t="s">
        <v>10</v>
      </c>
      <c r="J1228" s="1" t="s">
        <v>1422</v>
      </c>
      <c r="K1228" s="1" t="s">
        <v>298</v>
      </c>
      <c r="L1228" s="1" t="s">
        <v>267</v>
      </c>
      <c r="M1228" s="1"/>
      <c r="N1228" s="1">
        <f t="shared" si="63"/>
        <v>10</v>
      </c>
      <c r="O1228" s="65"/>
    </row>
    <row r="1229" spans="1:15" ht="15.75" hidden="1" x14ac:dyDescent="0.25">
      <c r="A1229" s="1" t="str">
        <f t="shared" si="62"/>
        <v>4448944490140DINERSMEDICALNASEEM AL</v>
      </c>
      <c r="B1229" s="2">
        <v>44489</v>
      </c>
      <c r="C1229" s="2">
        <v>44490</v>
      </c>
      <c r="D1229" s="3" t="s">
        <v>1494</v>
      </c>
      <c r="E1229" s="3">
        <v>140</v>
      </c>
      <c r="F1229" s="3">
        <v>1</v>
      </c>
      <c r="G1229" s="3">
        <f t="shared" si="64"/>
        <v>140</v>
      </c>
      <c r="H1229" s="3" t="s">
        <v>266</v>
      </c>
      <c r="I1229" s="1" t="s">
        <v>301</v>
      </c>
      <c r="J1229" s="1" t="s">
        <v>1000</v>
      </c>
      <c r="K1229" s="1" t="s">
        <v>298</v>
      </c>
      <c r="L1229" s="1" t="s">
        <v>267</v>
      </c>
      <c r="M1229" s="1"/>
      <c r="N1229" s="1">
        <f t="shared" si="63"/>
        <v>10</v>
      </c>
      <c r="O1229" s="87"/>
    </row>
    <row r="1230" spans="1:15" ht="15.75" hidden="1" x14ac:dyDescent="0.25">
      <c r="A1230" s="1" t="str">
        <f t="shared" si="62"/>
        <v>444904449560MASTER CCTELECOMOOREDOO</v>
      </c>
      <c r="B1230" s="2">
        <v>44490</v>
      </c>
      <c r="C1230" s="2">
        <v>44495</v>
      </c>
      <c r="D1230" s="3" t="s">
        <v>1496</v>
      </c>
      <c r="E1230" s="3">
        <v>60</v>
      </c>
      <c r="F1230" s="3">
        <v>1</v>
      </c>
      <c r="G1230" s="3">
        <f t="shared" si="64"/>
        <v>60</v>
      </c>
      <c r="H1230" s="3" t="s">
        <v>291</v>
      </c>
      <c r="I1230" s="1" t="s">
        <v>58</v>
      </c>
      <c r="J1230" s="1" t="s">
        <v>59</v>
      </c>
      <c r="K1230" s="1" t="s">
        <v>298</v>
      </c>
      <c r="L1230" s="1" t="s">
        <v>267</v>
      </c>
      <c r="M1230" s="1"/>
      <c r="N1230" s="1">
        <f t="shared" si="63"/>
        <v>10</v>
      </c>
      <c r="O1230" s="65"/>
    </row>
    <row r="1231" spans="1:15" ht="15.75" hidden="1" x14ac:dyDescent="0.25">
      <c r="A1231" s="1" t="str">
        <f t="shared" si="62"/>
        <v>444904449315MASTER CCTRANSPORTCAREEM</v>
      </c>
      <c r="B1231" s="2">
        <v>44490</v>
      </c>
      <c r="C1231" s="2">
        <v>44493</v>
      </c>
      <c r="D1231" s="3" t="s">
        <v>1497</v>
      </c>
      <c r="E1231" s="3">
        <v>15</v>
      </c>
      <c r="F1231" s="3">
        <v>1</v>
      </c>
      <c r="G1231" s="3">
        <f t="shared" si="64"/>
        <v>15</v>
      </c>
      <c r="H1231" s="3" t="s">
        <v>291</v>
      </c>
      <c r="I1231" s="1" t="s">
        <v>296</v>
      </c>
      <c r="J1231" s="1" t="s">
        <v>297</v>
      </c>
      <c r="K1231" s="1" t="s">
        <v>298</v>
      </c>
      <c r="L1231" s="1" t="s">
        <v>267</v>
      </c>
      <c r="M1231" s="1"/>
      <c r="N1231" s="1">
        <f t="shared" si="63"/>
        <v>10</v>
      </c>
      <c r="O1231" s="65"/>
    </row>
    <row r="1232" spans="1:15" ht="15.75" hidden="1" x14ac:dyDescent="0.25">
      <c r="A1232" s="1" t="str">
        <f t="shared" si="62"/>
        <v>44490444911179DINERSSHOPPINGLULU</v>
      </c>
      <c r="B1232" s="2">
        <v>44490</v>
      </c>
      <c r="C1232" s="2">
        <v>44491</v>
      </c>
      <c r="D1232" s="3" t="s">
        <v>1492</v>
      </c>
      <c r="E1232" s="3">
        <v>1179</v>
      </c>
      <c r="F1232" s="3">
        <v>1</v>
      </c>
      <c r="G1232" s="3">
        <f t="shared" si="64"/>
        <v>1179</v>
      </c>
      <c r="H1232" s="3" t="s">
        <v>266</v>
      </c>
      <c r="I1232" s="1" t="s">
        <v>194</v>
      </c>
      <c r="J1232" s="1" t="s">
        <v>44</v>
      </c>
      <c r="K1232" s="1" t="s">
        <v>298</v>
      </c>
      <c r="L1232" s="1" t="s">
        <v>267</v>
      </c>
      <c r="M1232" s="1"/>
      <c r="N1232" s="1">
        <f t="shared" si="63"/>
        <v>10</v>
      </c>
      <c r="O1232" s="87"/>
    </row>
    <row r="1233" spans="1:15" ht="15.75" hidden="1" x14ac:dyDescent="0.25">
      <c r="A1233" s="1" t="str">
        <f t="shared" si="62"/>
        <v>4449044491168.75DINERSGROCERYLULU</v>
      </c>
      <c r="B1233" s="2">
        <v>44490</v>
      </c>
      <c r="C1233" s="2">
        <v>44491</v>
      </c>
      <c r="D1233" s="3" t="s">
        <v>1493</v>
      </c>
      <c r="E1233" s="3">
        <v>168.75</v>
      </c>
      <c r="F1233" s="3">
        <v>1</v>
      </c>
      <c r="G1233" s="3">
        <f t="shared" si="64"/>
        <v>168.75</v>
      </c>
      <c r="H1233" s="3" t="s">
        <v>266</v>
      </c>
      <c r="I1233" s="1" t="s">
        <v>43</v>
      </c>
      <c r="J1233" s="1" t="s">
        <v>44</v>
      </c>
      <c r="K1233" s="1" t="s">
        <v>298</v>
      </c>
      <c r="L1233" s="1" t="s">
        <v>267</v>
      </c>
      <c r="M1233" s="1"/>
      <c r="N1233" s="1">
        <f t="shared" si="63"/>
        <v>10</v>
      </c>
      <c r="O1233" s="87"/>
    </row>
    <row r="1234" spans="1:15" ht="15.75" hidden="1" x14ac:dyDescent="0.25">
      <c r="A1234" s="1" t="str">
        <f t="shared" si="62"/>
        <v>444904449126DINERSFOODCAFÉ/REST.</v>
      </c>
      <c r="B1234" s="2">
        <v>44490</v>
      </c>
      <c r="C1234" s="2">
        <v>44491</v>
      </c>
      <c r="D1234" s="3" t="s">
        <v>1491</v>
      </c>
      <c r="E1234" s="3">
        <v>26</v>
      </c>
      <c r="F1234" s="3">
        <v>1</v>
      </c>
      <c r="G1234" s="3">
        <f t="shared" si="64"/>
        <v>26</v>
      </c>
      <c r="H1234" s="3" t="s">
        <v>266</v>
      </c>
      <c r="I1234" s="1" t="s">
        <v>10</v>
      </c>
      <c r="J1234" s="1" t="s">
        <v>11</v>
      </c>
      <c r="K1234" s="1" t="s">
        <v>298</v>
      </c>
      <c r="L1234" s="1" t="s">
        <v>267</v>
      </c>
      <c r="M1234" s="1"/>
      <c r="N1234" s="1">
        <f t="shared" si="63"/>
        <v>10</v>
      </c>
      <c r="O1234" s="87"/>
    </row>
    <row r="1235" spans="1:15" ht="15.75" hidden="1" x14ac:dyDescent="0.25">
      <c r="A1235" s="1" t="str">
        <f t="shared" si="62"/>
        <v>44490444938MASTER CCTRANSPORTCAREEM</v>
      </c>
      <c r="B1235" s="2">
        <v>44490</v>
      </c>
      <c r="C1235" s="2">
        <v>44493</v>
      </c>
      <c r="D1235" s="3" t="s">
        <v>1495</v>
      </c>
      <c r="E1235" s="3">
        <v>8</v>
      </c>
      <c r="F1235" s="3">
        <v>1</v>
      </c>
      <c r="G1235" s="3">
        <f t="shared" si="64"/>
        <v>8</v>
      </c>
      <c r="H1235" s="3" t="s">
        <v>291</v>
      </c>
      <c r="I1235" s="1" t="s">
        <v>296</v>
      </c>
      <c r="J1235" s="1" t="s">
        <v>297</v>
      </c>
      <c r="K1235" s="1" t="s">
        <v>298</v>
      </c>
      <c r="L1235" s="1" t="s">
        <v>267</v>
      </c>
      <c r="M1235" s="1"/>
      <c r="N1235" s="1">
        <f t="shared" si="63"/>
        <v>10</v>
      </c>
      <c r="O1235" s="65"/>
    </row>
    <row r="1236" spans="1:15" ht="15.75" hidden="1" x14ac:dyDescent="0.25">
      <c r="A1236" s="1" t="str">
        <f t="shared" si="62"/>
        <v>4449144492126DINERSFOODCAFÉ/REST.</v>
      </c>
      <c r="B1236" s="2">
        <v>44491</v>
      </c>
      <c r="C1236" s="2">
        <v>44492</v>
      </c>
      <c r="D1236" s="3" t="s">
        <v>1506</v>
      </c>
      <c r="E1236" s="3">
        <v>126</v>
      </c>
      <c r="F1236" s="3">
        <v>1</v>
      </c>
      <c r="G1236" s="3">
        <f t="shared" si="64"/>
        <v>126</v>
      </c>
      <c r="H1236" s="3" t="s">
        <v>266</v>
      </c>
      <c r="I1236" s="1" t="s">
        <v>10</v>
      </c>
      <c r="J1236" s="1" t="s">
        <v>11</v>
      </c>
      <c r="K1236" s="1" t="s">
        <v>298</v>
      </c>
      <c r="L1236" s="1" t="s">
        <v>267</v>
      </c>
      <c r="M1236" s="1"/>
      <c r="N1236" s="1">
        <f t="shared" si="63"/>
        <v>10</v>
      </c>
      <c r="O1236" s="87"/>
    </row>
    <row r="1237" spans="1:15" ht="15.75" hidden="1" x14ac:dyDescent="0.25">
      <c r="A1237" s="1" t="str">
        <f t="shared" si="62"/>
        <v>44494444941000CURRENTWITHDRAWSELF</v>
      </c>
      <c r="B1237" s="2">
        <v>44494</v>
      </c>
      <c r="C1237" s="2">
        <v>44494</v>
      </c>
      <c r="D1237" s="3" t="s">
        <v>1505</v>
      </c>
      <c r="E1237" s="3">
        <v>-1000</v>
      </c>
      <c r="F1237" s="3">
        <v>1</v>
      </c>
      <c r="G1237" s="3">
        <f t="shared" si="64"/>
        <v>1000</v>
      </c>
      <c r="H1237" s="3" t="s">
        <v>293</v>
      </c>
      <c r="I1237" s="1" t="s">
        <v>13</v>
      </c>
      <c r="J1237" s="1" t="s">
        <v>14</v>
      </c>
      <c r="K1237" s="1" t="s">
        <v>298</v>
      </c>
      <c r="L1237" s="1" t="s">
        <v>257</v>
      </c>
      <c r="M1237" s="1"/>
      <c r="N1237" s="1">
        <f t="shared" si="63"/>
        <v>10</v>
      </c>
      <c r="O1237" s="65"/>
    </row>
    <row r="1238" spans="1:15" ht="15.75" hidden="1" x14ac:dyDescent="0.25">
      <c r="A1238" s="1" t="str">
        <f t="shared" si="62"/>
        <v>444954449730MASTER CCFOODQATAR AIR</v>
      </c>
      <c r="B1238" s="2">
        <v>44495</v>
      </c>
      <c r="C1238" s="2">
        <v>44497</v>
      </c>
      <c r="D1238" s="3" t="s">
        <v>1509</v>
      </c>
      <c r="E1238" s="3">
        <v>30</v>
      </c>
      <c r="F1238" s="3">
        <v>1</v>
      </c>
      <c r="G1238" s="3">
        <f t="shared" si="64"/>
        <v>30</v>
      </c>
      <c r="H1238" s="3" t="s">
        <v>291</v>
      </c>
      <c r="I1238" s="1" t="s">
        <v>10</v>
      </c>
      <c r="J1238" s="1" t="s">
        <v>19</v>
      </c>
      <c r="K1238" s="1" t="s">
        <v>298</v>
      </c>
      <c r="L1238" s="1" t="s">
        <v>267</v>
      </c>
      <c r="M1238" s="1"/>
      <c r="N1238" s="1">
        <f t="shared" si="63"/>
        <v>10</v>
      </c>
      <c r="O1238" s="65"/>
    </row>
    <row r="1239" spans="1:15" ht="15.75" hidden="1" x14ac:dyDescent="0.25">
      <c r="A1239" s="1" t="str">
        <f t="shared" si="62"/>
        <v>4449644498100MASTER CCMEDICALHEALTH CENTER</v>
      </c>
      <c r="B1239" s="2">
        <v>44496</v>
      </c>
      <c r="C1239" s="2">
        <v>44498</v>
      </c>
      <c r="D1239" s="3" t="s">
        <v>1508</v>
      </c>
      <c r="E1239" s="3">
        <v>100</v>
      </c>
      <c r="F1239" s="3">
        <v>1</v>
      </c>
      <c r="G1239" s="3">
        <f t="shared" si="64"/>
        <v>100</v>
      </c>
      <c r="H1239" s="3" t="s">
        <v>291</v>
      </c>
      <c r="I1239" s="1" t="s">
        <v>301</v>
      </c>
      <c r="J1239" s="1" t="s">
        <v>159</v>
      </c>
      <c r="K1239" s="1" t="s">
        <v>298</v>
      </c>
      <c r="L1239" s="1" t="s">
        <v>267</v>
      </c>
      <c r="M1239" s="1"/>
      <c r="N1239" s="1">
        <f t="shared" si="63"/>
        <v>10</v>
      </c>
      <c r="O1239" s="65"/>
    </row>
    <row r="1240" spans="1:15" ht="15.75" hidden="1" x14ac:dyDescent="0.25">
      <c r="A1240" s="1" t="str">
        <f t="shared" si="62"/>
        <v>444964449820MASTER CCFOODFINGERTIPS</v>
      </c>
      <c r="B1240" s="2">
        <v>44496</v>
      </c>
      <c r="C1240" s="2">
        <v>44498</v>
      </c>
      <c r="D1240" s="3" t="s">
        <v>1507</v>
      </c>
      <c r="E1240" s="3">
        <v>20</v>
      </c>
      <c r="F1240" s="3">
        <v>1</v>
      </c>
      <c r="G1240" s="3">
        <f t="shared" si="64"/>
        <v>20</v>
      </c>
      <c r="H1240" s="3" t="s">
        <v>291</v>
      </c>
      <c r="I1240" s="1" t="s">
        <v>10</v>
      </c>
      <c r="J1240" s="1" t="s">
        <v>1422</v>
      </c>
      <c r="K1240" s="1" t="s">
        <v>298</v>
      </c>
      <c r="L1240" s="1" t="s">
        <v>267</v>
      </c>
      <c r="M1240" s="1"/>
      <c r="N1240" s="1">
        <f t="shared" si="63"/>
        <v>10</v>
      </c>
      <c r="O1240" s="65"/>
    </row>
    <row r="1241" spans="1:15" ht="15.75" hidden="1" x14ac:dyDescent="0.25">
      <c r="A1241" s="1" t="str">
        <f t="shared" si="62"/>
        <v>444964449618739CURRENTSALARYQATAR AIR</v>
      </c>
      <c r="B1241" s="2">
        <v>44496</v>
      </c>
      <c r="C1241" s="2">
        <v>44496</v>
      </c>
      <c r="D1241" s="3" t="s">
        <v>1504</v>
      </c>
      <c r="E1241" s="3">
        <v>18739</v>
      </c>
      <c r="F1241" s="3">
        <v>1</v>
      </c>
      <c r="G1241" s="3">
        <f t="shared" si="64"/>
        <v>18739</v>
      </c>
      <c r="H1241" s="3" t="s">
        <v>293</v>
      </c>
      <c r="I1241" s="1" t="s">
        <v>18</v>
      </c>
      <c r="J1241" s="1" t="s">
        <v>19</v>
      </c>
      <c r="K1241" s="1" t="s">
        <v>300</v>
      </c>
      <c r="L1241" s="1" t="s">
        <v>257</v>
      </c>
      <c r="M1241" s="1"/>
      <c r="N1241" s="1">
        <f t="shared" si="63"/>
        <v>10</v>
      </c>
      <c r="O1241" s="65"/>
    </row>
    <row r="1242" spans="1:15" ht="15.75" hidden="1" x14ac:dyDescent="0.25">
      <c r="A1242" s="1" t="str">
        <f t="shared" si="62"/>
        <v>444974450223MASTER CCFOODQATAR AIR</v>
      </c>
      <c r="B1242" s="2">
        <v>44497</v>
      </c>
      <c r="C1242" s="2">
        <v>44502</v>
      </c>
      <c r="D1242" s="3" t="s">
        <v>1563</v>
      </c>
      <c r="E1242" s="3">
        <v>23</v>
      </c>
      <c r="F1242" s="3">
        <v>1</v>
      </c>
      <c r="G1242" s="3">
        <f t="shared" si="64"/>
        <v>23</v>
      </c>
      <c r="H1242" s="3" t="s">
        <v>291</v>
      </c>
      <c r="I1242" s="1" t="s">
        <v>10</v>
      </c>
      <c r="J1242" s="1" t="s">
        <v>19</v>
      </c>
      <c r="K1242" s="1" t="s">
        <v>298</v>
      </c>
      <c r="L1242" s="1" t="s">
        <v>267</v>
      </c>
      <c r="M1242" s="1"/>
      <c r="N1242" s="1">
        <f t="shared" si="63"/>
        <v>11</v>
      </c>
      <c r="O1242" s="65"/>
    </row>
    <row r="1243" spans="1:15" ht="15.75" hidden="1" x14ac:dyDescent="0.25">
      <c r="A1243" s="1" t="str">
        <f t="shared" si="62"/>
        <v>444974450025MASTER CCFOODFINGERTIPS</v>
      </c>
      <c r="B1243" s="2">
        <v>44497</v>
      </c>
      <c r="C1243" s="2">
        <v>44500</v>
      </c>
      <c r="D1243" s="3" t="s">
        <v>1562</v>
      </c>
      <c r="E1243" s="3">
        <v>25</v>
      </c>
      <c r="F1243" s="3">
        <v>1</v>
      </c>
      <c r="G1243" s="3">
        <f t="shared" si="64"/>
        <v>25</v>
      </c>
      <c r="H1243" s="3" t="s">
        <v>291</v>
      </c>
      <c r="I1243" s="1" t="s">
        <v>10</v>
      </c>
      <c r="J1243" s="1" t="s">
        <v>1422</v>
      </c>
      <c r="K1243" s="1" t="s">
        <v>298</v>
      </c>
      <c r="L1243" s="1" t="s">
        <v>267</v>
      </c>
      <c r="M1243" s="1"/>
      <c r="N1243" s="1">
        <f t="shared" si="63"/>
        <v>10</v>
      </c>
      <c r="O1243" s="65"/>
    </row>
    <row r="1244" spans="1:15" ht="15.75" hidden="1" x14ac:dyDescent="0.25">
      <c r="A1244" s="1" t="str">
        <f t="shared" si="62"/>
        <v>444984450031MASTER CCFOODFINGERTIPS</v>
      </c>
      <c r="B1244" s="2">
        <v>44498</v>
      </c>
      <c r="C1244" s="2">
        <v>44500</v>
      </c>
      <c r="D1244" s="3" t="s">
        <v>1561</v>
      </c>
      <c r="E1244" s="3">
        <v>31</v>
      </c>
      <c r="F1244" s="3">
        <v>1</v>
      </c>
      <c r="G1244" s="3">
        <f t="shared" si="64"/>
        <v>31</v>
      </c>
      <c r="H1244" s="3" t="s">
        <v>291</v>
      </c>
      <c r="I1244" s="1" t="s">
        <v>10</v>
      </c>
      <c r="J1244" s="1" t="s">
        <v>1422</v>
      </c>
      <c r="K1244" s="1" t="s">
        <v>298</v>
      </c>
      <c r="L1244" s="1" t="s">
        <v>267</v>
      </c>
      <c r="M1244" s="1"/>
      <c r="N1244" s="1">
        <f t="shared" si="63"/>
        <v>10</v>
      </c>
      <c r="O1244" s="65"/>
    </row>
    <row r="1245" spans="1:15" ht="15.75" hidden="1" x14ac:dyDescent="0.25">
      <c r="A1245" s="1" t="str">
        <f t="shared" si="62"/>
        <v>4449944499257DINERSCC BILL PAYMENTBANK</v>
      </c>
      <c r="B1245" s="2">
        <v>44499</v>
      </c>
      <c r="C1245" s="2">
        <v>44499</v>
      </c>
      <c r="D1245" s="3" t="s">
        <v>80</v>
      </c>
      <c r="E1245" s="3">
        <v>-257</v>
      </c>
      <c r="F1245" s="3">
        <v>1</v>
      </c>
      <c r="G1245" s="3">
        <f t="shared" si="64"/>
        <v>257</v>
      </c>
      <c r="H1245" s="3" t="s">
        <v>266</v>
      </c>
      <c r="I1245" s="1" t="s">
        <v>81</v>
      </c>
      <c r="J1245" s="1" t="s">
        <v>8</v>
      </c>
      <c r="K1245" s="1" t="s">
        <v>300</v>
      </c>
      <c r="L1245" s="1" t="s">
        <v>267</v>
      </c>
      <c r="M1245" s="1"/>
      <c r="N1245" s="1">
        <f t="shared" si="63"/>
        <v>10</v>
      </c>
      <c r="O1245" s="87"/>
    </row>
    <row r="1246" spans="1:15" ht="15.75" hidden="1" x14ac:dyDescent="0.25">
      <c r="A1246" s="1" t="str">
        <f t="shared" si="62"/>
        <v>4450044500257CURRENTCC BILL PAYMENTBANK</v>
      </c>
      <c r="B1246" s="2">
        <v>44500</v>
      </c>
      <c r="C1246" s="2">
        <v>44500</v>
      </c>
      <c r="D1246" s="3" t="s">
        <v>1510</v>
      </c>
      <c r="E1246" s="3">
        <v>-257</v>
      </c>
      <c r="F1246" s="3">
        <v>1</v>
      </c>
      <c r="G1246" s="3">
        <f t="shared" si="64"/>
        <v>257</v>
      </c>
      <c r="H1246" s="3" t="s">
        <v>293</v>
      </c>
      <c r="I1246" s="1" t="s">
        <v>81</v>
      </c>
      <c r="J1246" s="1" t="s">
        <v>8</v>
      </c>
      <c r="K1246" s="1" t="s">
        <v>298</v>
      </c>
      <c r="L1246" s="1" t="s">
        <v>257</v>
      </c>
      <c r="M1246" s="1"/>
      <c r="N1246" s="1">
        <f t="shared" si="63"/>
        <v>10</v>
      </c>
      <c r="O1246" s="65"/>
    </row>
    <row r="1247" spans="1:15" ht="15.75" hidden="1" x14ac:dyDescent="0.25">
      <c r="A1247" s="1" t="str">
        <f t="shared" si="62"/>
        <v>445004450017CURRENTFOODCAFÉ/REST.</v>
      </c>
      <c r="B1247" s="2">
        <v>44500</v>
      </c>
      <c r="C1247" s="2">
        <v>44500</v>
      </c>
      <c r="D1247" s="3" t="s">
        <v>1520</v>
      </c>
      <c r="E1247" s="3">
        <v>-17</v>
      </c>
      <c r="F1247" s="3">
        <v>1</v>
      </c>
      <c r="G1247" s="3">
        <f t="shared" si="64"/>
        <v>17</v>
      </c>
      <c r="H1247" s="3" t="s">
        <v>293</v>
      </c>
      <c r="I1247" s="1" t="s">
        <v>10</v>
      </c>
      <c r="J1247" s="1" t="s">
        <v>11</v>
      </c>
      <c r="K1247" s="1" t="s">
        <v>298</v>
      </c>
      <c r="L1247" s="1" t="s">
        <v>257</v>
      </c>
      <c r="M1247" s="1"/>
      <c r="N1247" s="1">
        <f t="shared" si="63"/>
        <v>10</v>
      </c>
      <c r="O1247" s="65"/>
    </row>
    <row r="1248" spans="1:15" ht="15.75" hidden="1" x14ac:dyDescent="0.25">
      <c r="A1248" s="1" t="str">
        <f t="shared" si="62"/>
        <v>4450044500159.04CURRENTCC BILL PAYMENTBANK</v>
      </c>
      <c r="B1248" s="2">
        <v>44500</v>
      </c>
      <c r="C1248" s="2">
        <v>44500</v>
      </c>
      <c r="D1248" s="3" t="s">
        <v>1521</v>
      </c>
      <c r="E1248" s="3">
        <v>-159.04</v>
      </c>
      <c r="F1248" s="3">
        <v>1</v>
      </c>
      <c r="G1248" s="3">
        <f t="shared" si="64"/>
        <v>159.04</v>
      </c>
      <c r="H1248" s="3" t="s">
        <v>293</v>
      </c>
      <c r="I1248" s="1" t="s">
        <v>81</v>
      </c>
      <c r="J1248" s="1" t="s">
        <v>8</v>
      </c>
      <c r="K1248" s="1" t="s">
        <v>298</v>
      </c>
      <c r="L1248" s="1" t="s">
        <v>257</v>
      </c>
      <c r="M1248" s="1"/>
      <c r="N1248" s="1">
        <f t="shared" si="63"/>
        <v>10</v>
      </c>
      <c r="O1248" s="65"/>
    </row>
    <row r="1249" spans="1:15" ht="15.75" hidden="1" x14ac:dyDescent="0.25">
      <c r="A1249" s="1" t="str">
        <f t="shared" si="62"/>
        <v>445004450026CURRENTFOODCAFÉ/REST.</v>
      </c>
      <c r="B1249" s="2">
        <v>44500</v>
      </c>
      <c r="C1249" s="2">
        <v>44500</v>
      </c>
      <c r="D1249" s="3" t="s">
        <v>1522</v>
      </c>
      <c r="E1249" s="3">
        <v>-26</v>
      </c>
      <c r="F1249" s="3">
        <v>1</v>
      </c>
      <c r="G1249" s="3">
        <f t="shared" si="64"/>
        <v>26</v>
      </c>
      <c r="H1249" s="3" t="s">
        <v>293</v>
      </c>
      <c r="I1249" s="1" t="s">
        <v>10</v>
      </c>
      <c r="J1249" s="1" t="s">
        <v>11</v>
      </c>
      <c r="K1249" s="1" t="s">
        <v>298</v>
      </c>
      <c r="L1249" s="1" t="s">
        <v>257</v>
      </c>
      <c r="M1249" s="1"/>
      <c r="N1249" s="1">
        <f t="shared" si="63"/>
        <v>10</v>
      </c>
      <c r="O1249" s="65"/>
    </row>
    <row r="1250" spans="1:15" ht="15.75" hidden="1" x14ac:dyDescent="0.25">
      <c r="A1250" s="1" t="str">
        <f t="shared" si="62"/>
        <v>4450044500154CURRENTGROCERYLULU</v>
      </c>
      <c r="B1250" s="2">
        <v>44500</v>
      </c>
      <c r="C1250" s="2">
        <v>44500</v>
      </c>
      <c r="D1250" s="3" t="s">
        <v>1523</v>
      </c>
      <c r="E1250" s="3">
        <v>-154</v>
      </c>
      <c r="F1250" s="3">
        <v>1</v>
      </c>
      <c r="G1250" s="3">
        <f t="shared" si="64"/>
        <v>154</v>
      </c>
      <c r="H1250" s="3" t="s">
        <v>293</v>
      </c>
      <c r="I1250" s="1" t="s">
        <v>43</v>
      </c>
      <c r="J1250" s="1" t="s">
        <v>44</v>
      </c>
      <c r="K1250" s="1" t="s">
        <v>298</v>
      </c>
      <c r="L1250" s="1" t="s">
        <v>257</v>
      </c>
      <c r="M1250" s="1"/>
      <c r="N1250" s="1">
        <f t="shared" si="63"/>
        <v>10</v>
      </c>
      <c r="O1250" s="65"/>
    </row>
    <row r="1251" spans="1:15" ht="15.75" hidden="1" x14ac:dyDescent="0.25">
      <c r="A1251" s="1" t="str">
        <f t="shared" si="62"/>
        <v>4450044500159.04DINERSCC BILL PAYMENTBANK</v>
      </c>
      <c r="B1251" s="2">
        <v>44500</v>
      </c>
      <c r="C1251" s="2">
        <v>44500</v>
      </c>
      <c r="D1251" s="3" t="s">
        <v>80</v>
      </c>
      <c r="E1251" s="3">
        <v>-159.04</v>
      </c>
      <c r="F1251" s="3">
        <v>1</v>
      </c>
      <c r="G1251" s="3">
        <f t="shared" si="64"/>
        <v>159.04</v>
      </c>
      <c r="H1251" s="3" t="s">
        <v>266</v>
      </c>
      <c r="I1251" s="1" t="s">
        <v>81</v>
      </c>
      <c r="J1251" s="1" t="s">
        <v>8</v>
      </c>
      <c r="K1251" s="1" t="s">
        <v>300</v>
      </c>
      <c r="L1251" s="1" t="s">
        <v>267</v>
      </c>
      <c r="M1251" s="1"/>
      <c r="N1251" s="1">
        <f t="shared" si="63"/>
        <v>10</v>
      </c>
      <c r="O1251" s="87"/>
    </row>
    <row r="1252" spans="1:15" ht="15.75" hidden="1" x14ac:dyDescent="0.25">
      <c r="A1252" s="1" t="str">
        <f t="shared" si="62"/>
        <v>4450044501160DINERSMEDICALNASEEM AL</v>
      </c>
      <c r="B1252" s="2">
        <v>44500</v>
      </c>
      <c r="C1252" s="2">
        <v>44501</v>
      </c>
      <c r="D1252" s="3" t="s">
        <v>1544</v>
      </c>
      <c r="E1252" s="3">
        <v>160</v>
      </c>
      <c r="F1252" s="3">
        <v>1</v>
      </c>
      <c r="G1252" s="3">
        <f t="shared" si="64"/>
        <v>160</v>
      </c>
      <c r="H1252" s="3" t="s">
        <v>266</v>
      </c>
      <c r="I1252" s="1" t="s">
        <v>301</v>
      </c>
      <c r="J1252" s="1" t="s">
        <v>1000</v>
      </c>
      <c r="K1252" s="1" t="s">
        <v>298</v>
      </c>
      <c r="L1252" s="1" t="s">
        <v>267</v>
      </c>
      <c r="M1252" s="1"/>
      <c r="N1252" s="1">
        <f t="shared" si="63"/>
        <v>11</v>
      </c>
      <c r="O1252" s="87"/>
    </row>
    <row r="1253" spans="1:15" ht="15.75" hidden="1" x14ac:dyDescent="0.25">
      <c r="A1253" s="1" t="str">
        <f t="shared" si="62"/>
        <v>4450144503500MASTER CCVISAMOI</v>
      </c>
      <c r="B1253" s="2">
        <v>44501</v>
      </c>
      <c r="C1253" s="2">
        <v>44503</v>
      </c>
      <c r="D1253" s="3" t="s">
        <v>1558</v>
      </c>
      <c r="E1253" s="3">
        <v>500</v>
      </c>
      <c r="F1253" s="3">
        <v>1</v>
      </c>
      <c r="G1253" s="3">
        <f t="shared" si="64"/>
        <v>500</v>
      </c>
      <c r="H1253" s="3" t="s">
        <v>291</v>
      </c>
      <c r="I1253" s="1" t="s">
        <v>29</v>
      </c>
      <c r="J1253" s="1" t="s">
        <v>1564</v>
      </c>
      <c r="K1253" s="1" t="s">
        <v>298</v>
      </c>
      <c r="L1253" s="1" t="s">
        <v>267</v>
      </c>
      <c r="M1253" s="1"/>
      <c r="N1253" s="1">
        <f t="shared" si="63"/>
        <v>11</v>
      </c>
      <c r="O1253" s="65"/>
    </row>
    <row r="1254" spans="1:15" ht="15.75" hidden="1" x14ac:dyDescent="0.25">
      <c r="A1254" s="1" t="str">
        <f t="shared" si="62"/>
        <v>4450144503500MASTER CCVISAMOI</v>
      </c>
      <c r="B1254" s="2">
        <v>44501</v>
      </c>
      <c r="C1254" s="2">
        <v>44503</v>
      </c>
      <c r="D1254" s="3" t="s">
        <v>1559</v>
      </c>
      <c r="E1254" s="3">
        <v>500</v>
      </c>
      <c r="F1254" s="3">
        <v>1</v>
      </c>
      <c r="G1254" s="3">
        <f t="shared" si="64"/>
        <v>500</v>
      </c>
      <c r="H1254" s="3" t="s">
        <v>291</v>
      </c>
      <c r="I1254" s="1" t="s">
        <v>29</v>
      </c>
      <c r="J1254" s="1" t="s">
        <v>1564</v>
      </c>
      <c r="K1254" s="1" t="s">
        <v>298</v>
      </c>
      <c r="L1254" s="1" t="s">
        <v>267</v>
      </c>
      <c r="M1254" s="1"/>
      <c r="N1254" s="1">
        <f t="shared" si="63"/>
        <v>11</v>
      </c>
      <c r="O1254" s="65"/>
    </row>
    <row r="1255" spans="1:15" ht="15.75" hidden="1" x14ac:dyDescent="0.25">
      <c r="A1255" s="1" t="str">
        <f t="shared" si="62"/>
        <v>44501445038MASTER CCTRANSPORTCAREEM</v>
      </c>
      <c r="B1255" s="2">
        <v>44501</v>
      </c>
      <c r="C1255" s="2">
        <v>44503</v>
      </c>
      <c r="D1255" s="3" t="s">
        <v>1560</v>
      </c>
      <c r="E1255" s="3">
        <v>8</v>
      </c>
      <c r="F1255" s="3">
        <v>1</v>
      </c>
      <c r="G1255" s="3">
        <f t="shared" si="64"/>
        <v>8</v>
      </c>
      <c r="H1255" s="3" t="s">
        <v>291</v>
      </c>
      <c r="I1255" s="1" t="s">
        <v>296</v>
      </c>
      <c r="J1255" s="1" t="s">
        <v>297</v>
      </c>
      <c r="K1255" s="1" t="s">
        <v>298</v>
      </c>
      <c r="L1255" s="1" t="s">
        <v>267</v>
      </c>
      <c r="M1255" s="1"/>
      <c r="N1255" s="1">
        <f t="shared" si="63"/>
        <v>11</v>
      </c>
      <c r="O1255" s="65"/>
    </row>
    <row r="1256" spans="1:15" ht="15.75" hidden="1" x14ac:dyDescent="0.25">
      <c r="A1256" s="1" t="str">
        <f t="shared" si="62"/>
        <v>4450144501500CURRENTSAVINGARTI</v>
      </c>
      <c r="B1256" s="2">
        <v>44501</v>
      </c>
      <c r="C1256" s="2">
        <v>44501</v>
      </c>
      <c r="D1256" s="3" t="s">
        <v>1518</v>
      </c>
      <c r="E1256" s="3">
        <v>-500</v>
      </c>
      <c r="F1256" s="3">
        <v>1</v>
      </c>
      <c r="G1256" s="3">
        <f t="shared" si="64"/>
        <v>500</v>
      </c>
      <c r="H1256" s="3" t="s">
        <v>293</v>
      </c>
      <c r="I1256" s="1" t="s">
        <v>302</v>
      </c>
      <c r="J1256" s="1" t="s">
        <v>453</v>
      </c>
      <c r="K1256" s="1" t="s">
        <v>298</v>
      </c>
      <c r="L1256" s="1" t="s">
        <v>257</v>
      </c>
      <c r="M1256" s="1"/>
      <c r="N1256" s="1">
        <f t="shared" si="63"/>
        <v>11</v>
      </c>
      <c r="O1256" s="65"/>
    </row>
    <row r="1257" spans="1:15" ht="15.75" hidden="1" x14ac:dyDescent="0.25">
      <c r="A1257" s="1" t="str">
        <f t="shared" si="62"/>
        <v>44501445013000CURRENTSAVINGSELF</v>
      </c>
      <c r="B1257" s="2">
        <v>44501</v>
      </c>
      <c r="C1257" s="2">
        <v>44501</v>
      </c>
      <c r="D1257" s="3" t="s">
        <v>1519</v>
      </c>
      <c r="E1257" s="3">
        <v>-3000</v>
      </c>
      <c r="F1257" s="3">
        <v>1</v>
      </c>
      <c r="G1257" s="3">
        <f t="shared" si="64"/>
        <v>3000</v>
      </c>
      <c r="H1257" s="3" t="s">
        <v>293</v>
      </c>
      <c r="I1257" s="1" t="s">
        <v>302</v>
      </c>
      <c r="J1257" s="1" t="s">
        <v>14</v>
      </c>
      <c r="K1257" s="1" t="s">
        <v>298</v>
      </c>
      <c r="L1257" s="1" t="s">
        <v>257</v>
      </c>
      <c r="M1257" s="1"/>
      <c r="N1257" s="1">
        <f t="shared" si="63"/>
        <v>11</v>
      </c>
      <c r="O1257" s="65"/>
    </row>
    <row r="1258" spans="1:15" ht="15.75" hidden="1" x14ac:dyDescent="0.25">
      <c r="A1258" s="1" t="str">
        <f t="shared" si="62"/>
        <v>445014450314.3DINERSTRANSPORTUBER</v>
      </c>
      <c r="B1258" s="2">
        <v>44501</v>
      </c>
      <c r="C1258" s="2">
        <v>44503</v>
      </c>
      <c r="D1258" s="3" t="s">
        <v>1542</v>
      </c>
      <c r="E1258" s="3">
        <v>14.3</v>
      </c>
      <c r="F1258" s="3">
        <v>1</v>
      </c>
      <c r="G1258" s="3">
        <f t="shared" si="64"/>
        <v>14.3</v>
      </c>
      <c r="H1258" s="3" t="s">
        <v>266</v>
      </c>
      <c r="I1258" s="1" t="s">
        <v>296</v>
      </c>
      <c r="J1258" s="1" t="s">
        <v>299</v>
      </c>
      <c r="K1258" s="1" t="s">
        <v>298</v>
      </c>
      <c r="L1258" s="1" t="s">
        <v>267</v>
      </c>
      <c r="M1258" s="1"/>
      <c r="N1258" s="1">
        <f t="shared" si="63"/>
        <v>11</v>
      </c>
      <c r="O1258" s="87"/>
    </row>
    <row r="1259" spans="1:15" ht="15.75" hidden="1" x14ac:dyDescent="0.25">
      <c r="A1259" s="1" t="str">
        <f t="shared" si="62"/>
        <v>445014450315.09DINERSTRANSPORTUBER</v>
      </c>
      <c r="B1259" s="2">
        <v>44501</v>
      </c>
      <c r="C1259" s="2">
        <v>44503</v>
      </c>
      <c r="D1259" s="3" t="s">
        <v>1543</v>
      </c>
      <c r="E1259" s="3">
        <v>15.09</v>
      </c>
      <c r="F1259" s="3">
        <v>1</v>
      </c>
      <c r="G1259" s="3">
        <f t="shared" si="64"/>
        <v>15.09</v>
      </c>
      <c r="H1259" s="3" t="s">
        <v>266</v>
      </c>
      <c r="I1259" s="1" t="s">
        <v>296</v>
      </c>
      <c r="J1259" s="1" t="s">
        <v>299</v>
      </c>
      <c r="K1259" s="1" t="s">
        <v>298</v>
      </c>
      <c r="L1259" s="1" t="s">
        <v>267</v>
      </c>
      <c r="M1259" s="1"/>
      <c r="N1259" s="1">
        <f t="shared" si="63"/>
        <v>11</v>
      </c>
      <c r="O1259" s="87"/>
    </row>
    <row r="1260" spans="1:15" ht="15.75" hidden="1" x14ac:dyDescent="0.25">
      <c r="A1260" s="1" t="str">
        <f t="shared" si="62"/>
        <v>4450644509100MASTER CCMEDICALHEALTH CENTER</v>
      </c>
      <c r="B1260" s="2">
        <v>44506</v>
      </c>
      <c r="C1260" s="2">
        <v>44509</v>
      </c>
      <c r="D1260" s="3" t="s">
        <v>1557</v>
      </c>
      <c r="E1260" s="3">
        <v>100</v>
      </c>
      <c r="F1260" s="3">
        <v>1</v>
      </c>
      <c r="G1260" s="3">
        <f t="shared" si="64"/>
        <v>100</v>
      </c>
      <c r="H1260" s="3" t="s">
        <v>291</v>
      </c>
      <c r="I1260" s="1" t="s">
        <v>301</v>
      </c>
      <c r="J1260" s="1" t="s">
        <v>159</v>
      </c>
      <c r="K1260" s="1" t="s">
        <v>298</v>
      </c>
      <c r="L1260" s="1" t="s">
        <v>267</v>
      </c>
      <c r="M1260" s="1"/>
      <c r="N1260" s="1">
        <f t="shared" si="63"/>
        <v>11</v>
      </c>
      <c r="O1260" s="65"/>
    </row>
    <row r="1261" spans="1:15" ht="15.75" hidden="1" x14ac:dyDescent="0.25">
      <c r="A1261" s="1" t="str">
        <f t="shared" si="62"/>
        <v>44507445071250CURRENTSAVINGSELF</v>
      </c>
      <c r="B1261" s="2">
        <v>44507</v>
      </c>
      <c r="C1261" s="2">
        <v>44507</v>
      </c>
      <c r="D1261" s="3" t="s">
        <v>1167</v>
      </c>
      <c r="E1261" s="3">
        <v>-1250</v>
      </c>
      <c r="F1261" s="3">
        <v>1</v>
      </c>
      <c r="G1261" s="3">
        <f t="shared" si="64"/>
        <v>1250</v>
      </c>
      <c r="H1261" s="3" t="s">
        <v>293</v>
      </c>
      <c r="I1261" s="1" t="s">
        <v>302</v>
      </c>
      <c r="J1261" s="1" t="s">
        <v>14</v>
      </c>
      <c r="K1261" s="1" t="s">
        <v>298</v>
      </c>
      <c r="L1261" s="1" t="s">
        <v>257</v>
      </c>
      <c r="M1261" s="1"/>
      <c r="N1261" s="1">
        <f t="shared" si="63"/>
        <v>11</v>
      </c>
      <c r="O1261" s="65"/>
    </row>
    <row r="1262" spans="1:15" ht="15.75" hidden="1" x14ac:dyDescent="0.25">
      <c r="A1262" s="1" t="str">
        <f t="shared" si="62"/>
        <v>44510445101252.5CURRENTTRANSFERINDIA</v>
      </c>
      <c r="B1262" s="2">
        <v>44510</v>
      </c>
      <c r="C1262" s="2">
        <v>44510</v>
      </c>
      <c r="D1262" s="3" t="s">
        <v>694</v>
      </c>
      <c r="E1262" s="3">
        <v>-1252.5</v>
      </c>
      <c r="F1262" s="3">
        <v>1</v>
      </c>
      <c r="G1262" s="3">
        <f t="shared" si="64"/>
        <v>1252.5</v>
      </c>
      <c r="H1262" s="3" t="s">
        <v>293</v>
      </c>
      <c r="I1262" s="1" t="s">
        <v>22</v>
      </c>
      <c r="J1262" s="1" t="s">
        <v>23</v>
      </c>
      <c r="K1262" s="1" t="s">
        <v>298</v>
      </c>
      <c r="L1262" s="1" t="s">
        <v>257</v>
      </c>
      <c r="M1262" s="1"/>
      <c r="N1262" s="1">
        <f t="shared" si="63"/>
        <v>11</v>
      </c>
      <c r="O1262" s="65"/>
    </row>
    <row r="1263" spans="1:15" ht="15.75" hidden="1" x14ac:dyDescent="0.25">
      <c r="A1263" s="1" t="str">
        <f t="shared" si="62"/>
        <v>445124451660MASTER CCTELECOMOOREDOO</v>
      </c>
      <c r="B1263" s="2">
        <v>44512</v>
      </c>
      <c r="C1263" s="2">
        <v>44516</v>
      </c>
      <c r="D1263" s="3" t="s">
        <v>1556</v>
      </c>
      <c r="E1263" s="3">
        <v>60</v>
      </c>
      <c r="F1263" s="3">
        <v>1</v>
      </c>
      <c r="G1263" s="3">
        <f t="shared" si="64"/>
        <v>60</v>
      </c>
      <c r="H1263" s="3" t="s">
        <v>291</v>
      </c>
      <c r="I1263" s="1" t="s">
        <v>58</v>
      </c>
      <c r="J1263" s="1" t="s">
        <v>59</v>
      </c>
      <c r="K1263" s="1" t="s">
        <v>298</v>
      </c>
      <c r="L1263" s="1" t="s">
        <v>267</v>
      </c>
      <c r="M1263" s="1"/>
      <c r="N1263" s="1">
        <f t="shared" si="63"/>
        <v>11</v>
      </c>
      <c r="O1263" s="65"/>
    </row>
    <row r="1264" spans="1:15" ht="15.75" hidden="1" x14ac:dyDescent="0.25">
      <c r="A1264" s="1" t="str">
        <f t="shared" si="62"/>
        <v>445134451612.53DINERSTRANSPORTUBER</v>
      </c>
      <c r="B1264" s="2">
        <v>44513</v>
      </c>
      <c r="C1264" s="2">
        <v>44516</v>
      </c>
      <c r="D1264" s="3" t="s">
        <v>1540</v>
      </c>
      <c r="E1264" s="3">
        <v>12.53</v>
      </c>
      <c r="F1264" s="3">
        <v>1</v>
      </c>
      <c r="G1264" s="3">
        <f t="shared" si="64"/>
        <v>12.53</v>
      </c>
      <c r="H1264" s="3" t="s">
        <v>266</v>
      </c>
      <c r="I1264" s="1" t="s">
        <v>296</v>
      </c>
      <c r="J1264" s="1" t="s">
        <v>299</v>
      </c>
      <c r="K1264" s="1" t="s">
        <v>298</v>
      </c>
      <c r="L1264" s="1" t="s">
        <v>267</v>
      </c>
      <c r="M1264" s="1"/>
      <c r="N1264" s="1">
        <f t="shared" si="63"/>
        <v>11</v>
      </c>
      <c r="O1264" s="87"/>
    </row>
    <row r="1265" spans="1:15" ht="15.75" hidden="1" x14ac:dyDescent="0.25">
      <c r="A1265" s="1" t="str">
        <f t="shared" si="62"/>
        <v>445134451478DINERSGROCERYTOTAL FRESH</v>
      </c>
      <c r="B1265" s="2">
        <v>44513</v>
      </c>
      <c r="C1265" s="2">
        <v>44514</v>
      </c>
      <c r="D1265" s="3" t="s">
        <v>1541</v>
      </c>
      <c r="E1265" s="3">
        <v>78</v>
      </c>
      <c r="F1265" s="3">
        <v>1</v>
      </c>
      <c r="G1265" s="3">
        <f t="shared" si="64"/>
        <v>78</v>
      </c>
      <c r="H1265" s="3" t="s">
        <v>266</v>
      </c>
      <c r="I1265" s="1" t="s">
        <v>43</v>
      </c>
      <c r="J1265" s="1" t="s">
        <v>1394</v>
      </c>
      <c r="K1265" s="1" t="s">
        <v>298</v>
      </c>
      <c r="L1265" s="1" t="s">
        <v>267</v>
      </c>
      <c r="M1265" s="1"/>
      <c r="N1265" s="1">
        <f t="shared" si="63"/>
        <v>11</v>
      </c>
      <c r="O1265" s="87"/>
    </row>
    <row r="1266" spans="1:15" ht="15.75" hidden="1" x14ac:dyDescent="0.25">
      <c r="A1266" s="1" t="str">
        <f t="shared" si="62"/>
        <v>445144451636MASTER CCFOODQATAR AIR</v>
      </c>
      <c r="B1266" s="2">
        <v>44514</v>
      </c>
      <c r="C1266" s="2">
        <v>44516</v>
      </c>
      <c r="D1266" s="3" t="s">
        <v>1554</v>
      </c>
      <c r="E1266" s="3">
        <v>36</v>
      </c>
      <c r="F1266" s="3">
        <v>1</v>
      </c>
      <c r="G1266" s="3">
        <f t="shared" si="64"/>
        <v>36</v>
      </c>
      <c r="H1266" s="3" t="s">
        <v>291</v>
      </c>
      <c r="I1266" s="1" t="s">
        <v>10</v>
      </c>
      <c r="J1266" s="1" t="s">
        <v>19</v>
      </c>
      <c r="K1266" s="1" t="s">
        <v>298</v>
      </c>
      <c r="L1266" s="1" t="s">
        <v>267</v>
      </c>
      <c r="M1266" s="1"/>
      <c r="N1266" s="1">
        <f t="shared" si="63"/>
        <v>11</v>
      </c>
      <c r="O1266" s="65"/>
    </row>
    <row r="1267" spans="1:15" ht="15.75" hidden="1" x14ac:dyDescent="0.25">
      <c r="A1267" s="1" t="str">
        <f t="shared" si="62"/>
        <v>44514445166.62MASTER CCMEDICALHEALTH CENTER</v>
      </c>
      <c r="B1267" s="2">
        <v>44514</v>
      </c>
      <c r="C1267" s="2">
        <v>44516</v>
      </c>
      <c r="D1267" s="3" t="s">
        <v>1555</v>
      </c>
      <c r="E1267" s="3">
        <v>6.62</v>
      </c>
      <c r="F1267" s="3">
        <v>1</v>
      </c>
      <c r="G1267" s="3">
        <f t="shared" si="64"/>
        <v>6.62</v>
      </c>
      <c r="H1267" s="3" t="s">
        <v>291</v>
      </c>
      <c r="I1267" s="1" t="s">
        <v>301</v>
      </c>
      <c r="J1267" s="1" t="s">
        <v>159</v>
      </c>
      <c r="K1267" s="1" t="s">
        <v>298</v>
      </c>
      <c r="L1267" s="1" t="s">
        <v>267</v>
      </c>
      <c r="M1267" s="1"/>
      <c r="N1267" s="1">
        <f t="shared" si="63"/>
        <v>11</v>
      </c>
      <c r="O1267" s="65"/>
    </row>
    <row r="1268" spans="1:15" ht="15.75" hidden="1" x14ac:dyDescent="0.25">
      <c r="A1268" s="1" t="str">
        <f t="shared" si="62"/>
        <v>445144451617.53DINERSTRANSPORTUBER</v>
      </c>
      <c r="B1268" s="2">
        <v>44514</v>
      </c>
      <c r="C1268" s="2">
        <v>44516</v>
      </c>
      <c r="D1268" s="3" t="s">
        <v>1537</v>
      </c>
      <c r="E1268" s="3">
        <v>17.53</v>
      </c>
      <c r="F1268" s="3">
        <v>1</v>
      </c>
      <c r="G1268" s="3">
        <f t="shared" si="64"/>
        <v>17.53</v>
      </c>
      <c r="H1268" s="3" t="s">
        <v>266</v>
      </c>
      <c r="I1268" s="1" t="s">
        <v>296</v>
      </c>
      <c r="J1268" s="1" t="s">
        <v>299</v>
      </c>
      <c r="K1268" s="1" t="s">
        <v>298</v>
      </c>
      <c r="L1268" s="1" t="s">
        <v>267</v>
      </c>
      <c r="M1268" s="1"/>
      <c r="N1268" s="1">
        <f t="shared" si="63"/>
        <v>11</v>
      </c>
      <c r="O1268" s="87"/>
    </row>
    <row r="1269" spans="1:15" ht="15.75" hidden="1" x14ac:dyDescent="0.25">
      <c r="A1269" s="1" t="str">
        <f t="shared" si="62"/>
        <v>44514445167.01DINERSTRANSPORTUBER</v>
      </c>
      <c r="B1269" s="2">
        <v>44514</v>
      </c>
      <c r="C1269" s="2">
        <v>44516</v>
      </c>
      <c r="D1269" s="3" t="s">
        <v>1537</v>
      </c>
      <c r="E1269" s="3">
        <v>-7.01</v>
      </c>
      <c r="F1269" s="3">
        <v>1</v>
      </c>
      <c r="G1269" s="3">
        <f t="shared" si="64"/>
        <v>7.01</v>
      </c>
      <c r="H1269" s="3" t="s">
        <v>266</v>
      </c>
      <c r="I1269" s="1" t="s">
        <v>296</v>
      </c>
      <c r="J1269" s="1" t="s">
        <v>299</v>
      </c>
      <c r="K1269" s="1" t="s">
        <v>298</v>
      </c>
      <c r="L1269" s="1" t="s">
        <v>267</v>
      </c>
      <c r="M1269" s="1"/>
      <c r="N1269" s="1">
        <f t="shared" si="63"/>
        <v>11</v>
      </c>
      <c r="O1269" s="87"/>
    </row>
    <row r="1270" spans="1:15" ht="15.75" hidden="1" x14ac:dyDescent="0.25">
      <c r="A1270" s="1" t="str">
        <f t="shared" si="62"/>
        <v>44514445168.02DINERSTRANSPORTUBER</v>
      </c>
      <c r="B1270" s="2">
        <v>44514</v>
      </c>
      <c r="C1270" s="2">
        <v>44516</v>
      </c>
      <c r="D1270" s="3" t="s">
        <v>1538</v>
      </c>
      <c r="E1270" s="3">
        <v>8.02</v>
      </c>
      <c r="F1270" s="3">
        <v>1</v>
      </c>
      <c r="G1270" s="3">
        <f t="shared" si="64"/>
        <v>8.02</v>
      </c>
      <c r="H1270" s="3" t="s">
        <v>266</v>
      </c>
      <c r="I1270" s="1" t="s">
        <v>296</v>
      </c>
      <c r="J1270" s="1" t="s">
        <v>299</v>
      </c>
      <c r="K1270" s="1" t="s">
        <v>298</v>
      </c>
      <c r="L1270" s="1" t="s">
        <v>267</v>
      </c>
      <c r="M1270" s="1"/>
      <c r="N1270" s="1">
        <f t="shared" si="63"/>
        <v>11</v>
      </c>
      <c r="O1270" s="87"/>
    </row>
    <row r="1271" spans="1:15" ht="15.75" hidden="1" x14ac:dyDescent="0.25">
      <c r="A1271" s="1" t="str">
        <f t="shared" si="62"/>
        <v>445144451566DINERSGROCERYTOTAL FRESH</v>
      </c>
      <c r="B1271" s="2">
        <v>44514</v>
      </c>
      <c r="C1271" s="2">
        <v>44515</v>
      </c>
      <c r="D1271" s="3" t="s">
        <v>1539</v>
      </c>
      <c r="E1271" s="3">
        <v>66</v>
      </c>
      <c r="F1271" s="3">
        <v>1</v>
      </c>
      <c r="G1271" s="3">
        <f t="shared" si="64"/>
        <v>66</v>
      </c>
      <c r="H1271" s="3" t="s">
        <v>266</v>
      </c>
      <c r="I1271" s="1" t="s">
        <v>43</v>
      </c>
      <c r="J1271" s="1" t="s">
        <v>1394</v>
      </c>
      <c r="K1271" s="1" t="s">
        <v>298</v>
      </c>
      <c r="L1271" s="1" t="s">
        <v>267</v>
      </c>
      <c r="M1271" s="1"/>
      <c r="N1271" s="1">
        <f t="shared" si="63"/>
        <v>11</v>
      </c>
      <c r="O1271" s="87"/>
    </row>
    <row r="1272" spans="1:15" ht="15.75" hidden="1" x14ac:dyDescent="0.25">
      <c r="A1272" s="1" t="str">
        <f t="shared" si="62"/>
        <v>44515445179.64MASTER CCMEDICALHEALTH CENTER</v>
      </c>
      <c r="B1272" s="2">
        <v>44515</v>
      </c>
      <c r="C1272" s="2">
        <v>44517</v>
      </c>
      <c r="D1272" s="3" t="s">
        <v>1553</v>
      </c>
      <c r="E1272" s="3">
        <v>9.64</v>
      </c>
      <c r="F1272" s="3">
        <v>1</v>
      </c>
      <c r="G1272" s="3">
        <f t="shared" si="64"/>
        <v>9.64</v>
      </c>
      <c r="H1272" s="3" t="s">
        <v>291</v>
      </c>
      <c r="I1272" s="1" t="s">
        <v>301</v>
      </c>
      <c r="J1272" s="1" t="s">
        <v>159</v>
      </c>
      <c r="K1272" s="1" t="s">
        <v>298</v>
      </c>
      <c r="L1272" s="1" t="s">
        <v>267</v>
      </c>
      <c r="M1272" s="1"/>
      <c r="N1272" s="1">
        <f t="shared" si="63"/>
        <v>11</v>
      </c>
      <c r="O1272" s="65"/>
    </row>
    <row r="1273" spans="1:15" ht="15.75" hidden="1" x14ac:dyDescent="0.25">
      <c r="A1273" s="1" t="str">
        <f t="shared" si="62"/>
        <v>44515445154000CURRENTRENTEZDAN</v>
      </c>
      <c r="B1273" s="2">
        <v>44515</v>
      </c>
      <c r="C1273" s="2">
        <v>44515</v>
      </c>
      <c r="D1273" s="3" t="s">
        <v>1517</v>
      </c>
      <c r="E1273" s="3">
        <v>-4000</v>
      </c>
      <c r="F1273" s="3">
        <v>1</v>
      </c>
      <c r="G1273" s="3">
        <f t="shared" si="64"/>
        <v>4000</v>
      </c>
      <c r="H1273" s="3" t="s">
        <v>293</v>
      </c>
      <c r="I1273" s="1" t="s">
        <v>83</v>
      </c>
      <c r="J1273" s="1" t="s">
        <v>1339</v>
      </c>
      <c r="K1273" s="1" t="s">
        <v>298</v>
      </c>
      <c r="L1273" s="1" t="s">
        <v>257</v>
      </c>
      <c r="M1273" s="1"/>
      <c r="N1273" s="1">
        <f t="shared" si="63"/>
        <v>11</v>
      </c>
      <c r="O1273" s="65"/>
    </row>
    <row r="1274" spans="1:15" ht="15.75" hidden="1" x14ac:dyDescent="0.25">
      <c r="A1274" s="1" t="str">
        <f t="shared" si="62"/>
        <v>44515445178DINERSTRANSPORTUBER</v>
      </c>
      <c r="B1274" s="2">
        <v>44515</v>
      </c>
      <c r="C1274" s="2">
        <v>44517</v>
      </c>
      <c r="D1274" s="3" t="s">
        <v>1532</v>
      </c>
      <c r="E1274" s="3">
        <v>8</v>
      </c>
      <c r="F1274" s="3">
        <v>1</v>
      </c>
      <c r="G1274" s="3">
        <f t="shared" si="64"/>
        <v>8</v>
      </c>
      <c r="H1274" s="3" t="s">
        <v>266</v>
      </c>
      <c r="I1274" s="1" t="s">
        <v>296</v>
      </c>
      <c r="J1274" s="1" t="s">
        <v>299</v>
      </c>
      <c r="K1274" s="1" t="s">
        <v>298</v>
      </c>
      <c r="L1274" s="1" t="s">
        <v>267</v>
      </c>
      <c r="M1274" s="1"/>
      <c r="N1274" s="1">
        <f t="shared" si="63"/>
        <v>11</v>
      </c>
      <c r="O1274" s="87"/>
    </row>
    <row r="1275" spans="1:15" ht="15.75" hidden="1" x14ac:dyDescent="0.25">
      <c r="A1275" s="1" t="str">
        <f t="shared" si="62"/>
        <v>44515445178.81DINERSTRANSPORTUBER</v>
      </c>
      <c r="B1275" s="2">
        <v>44515</v>
      </c>
      <c r="C1275" s="2">
        <v>44517</v>
      </c>
      <c r="D1275" s="3" t="s">
        <v>1533</v>
      </c>
      <c r="E1275" s="3">
        <v>8.81</v>
      </c>
      <c r="F1275" s="3">
        <v>1</v>
      </c>
      <c r="G1275" s="3">
        <f t="shared" si="64"/>
        <v>8.81</v>
      </c>
      <c r="H1275" s="3" t="s">
        <v>266</v>
      </c>
      <c r="I1275" s="1" t="s">
        <v>296</v>
      </c>
      <c r="J1275" s="1" t="s">
        <v>299</v>
      </c>
      <c r="K1275" s="1" t="s">
        <v>298</v>
      </c>
      <c r="L1275" s="1" t="s">
        <v>267</v>
      </c>
      <c r="M1275" s="1"/>
      <c r="N1275" s="1">
        <f t="shared" si="63"/>
        <v>11</v>
      </c>
      <c r="O1275" s="87"/>
    </row>
    <row r="1276" spans="1:15" ht="15.75" hidden="1" x14ac:dyDescent="0.25">
      <c r="A1276" s="1" t="str">
        <f t="shared" si="62"/>
        <v>44515445179.23DINERSTRANSPORTUBER</v>
      </c>
      <c r="B1276" s="2">
        <v>44515</v>
      </c>
      <c r="C1276" s="2">
        <v>44517</v>
      </c>
      <c r="D1276" s="3" t="s">
        <v>1534</v>
      </c>
      <c r="E1276" s="3">
        <v>9.23</v>
      </c>
      <c r="F1276" s="3">
        <v>1</v>
      </c>
      <c r="G1276" s="3">
        <f t="shared" si="64"/>
        <v>9.23</v>
      </c>
      <c r="H1276" s="3" t="s">
        <v>266</v>
      </c>
      <c r="I1276" s="1" t="s">
        <v>296</v>
      </c>
      <c r="J1276" s="1" t="s">
        <v>299</v>
      </c>
      <c r="K1276" s="1" t="s">
        <v>298</v>
      </c>
      <c r="L1276" s="1" t="s">
        <v>267</v>
      </c>
      <c r="M1276" s="1"/>
      <c r="N1276" s="1">
        <f t="shared" si="63"/>
        <v>11</v>
      </c>
      <c r="O1276" s="87"/>
    </row>
    <row r="1277" spans="1:15" ht="15.75" hidden="1" x14ac:dyDescent="0.25">
      <c r="A1277" s="1" t="str">
        <f t="shared" si="62"/>
        <v>44515445178DINERSTRANSPORTUBER</v>
      </c>
      <c r="B1277" s="2">
        <v>44515</v>
      </c>
      <c r="C1277" s="2">
        <v>44517</v>
      </c>
      <c r="D1277" s="3" t="s">
        <v>1535</v>
      </c>
      <c r="E1277" s="3">
        <v>8</v>
      </c>
      <c r="F1277" s="3">
        <v>1</v>
      </c>
      <c r="G1277" s="3">
        <f t="shared" si="64"/>
        <v>8</v>
      </c>
      <c r="H1277" s="3" t="s">
        <v>266</v>
      </c>
      <c r="I1277" s="1" t="s">
        <v>296</v>
      </c>
      <c r="J1277" s="1" t="s">
        <v>299</v>
      </c>
      <c r="K1277" s="1" t="s">
        <v>298</v>
      </c>
      <c r="L1277" s="1" t="s">
        <v>267</v>
      </c>
      <c r="M1277" s="1"/>
      <c r="N1277" s="1">
        <f t="shared" si="63"/>
        <v>11</v>
      </c>
      <c r="O1277" s="87"/>
    </row>
    <row r="1278" spans="1:15" ht="15.75" hidden="1" x14ac:dyDescent="0.25">
      <c r="A1278" s="1" t="str">
        <f t="shared" si="62"/>
        <v>445154451643.03DINERSGROCERYTOTAL FRESH</v>
      </c>
      <c r="B1278" s="2">
        <v>44515</v>
      </c>
      <c r="C1278" s="2">
        <v>44516</v>
      </c>
      <c r="D1278" s="3" t="s">
        <v>1536</v>
      </c>
      <c r="E1278" s="3">
        <v>43.03</v>
      </c>
      <c r="F1278" s="3">
        <v>1</v>
      </c>
      <c r="G1278" s="3">
        <f t="shared" si="64"/>
        <v>43.03</v>
      </c>
      <c r="H1278" s="3" t="s">
        <v>266</v>
      </c>
      <c r="I1278" s="1" t="s">
        <v>43</v>
      </c>
      <c r="J1278" s="1" t="s">
        <v>1394</v>
      </c>
      <c r="K1278" s="1" t="s">
        <v>298</v>
      </c>
      <c r="L1278" s="1" t="s">
        <v>267</v>
      </c>
      <c r="M1278" s="1"/>
      <c r="N1278" s="1">
        <f t="shared" si="63"/>
        <v>11</v>
      </c>
      <c r="O1278" s="87"/>
    </row>
    <row r="1279" spans="1:15" ht="15.75" hidden="1" x14ac:dyDescent="0.25">
      <c r="A1279" s="1" t="str">
        <f t="shared" si="62"/>
        <v>4451744519100MASTER CCTRANSPORTMETRO</v>
      </c>
      <c r="B1279" s="2">
        <v>44517</v>
      </c>
      <c r="C1279" s="2">
        <v>44519</v>
      </c>
      <c r="D1279" s="3" t="s">
        <v>1551</v>
      </c>
      <c r="E1279" s="3">
        <v>100</v>
      </c>
      <c r="F1279" s="3">
        <v>1</v>
      </c>
      <c r="G1279" s="3">
        <f t="shared" si="64"/>
        <v>100</v>
      </c>
      <c r="H1279" s="3" t="s">
        <v>291</v>
      </c>
      <c r="I1279" s="1" t="s">
        <v>296</v>
      </c>
      <c r="J1279" s="1" t="s">
        <v>759</v>
      </c>
      <c r="K1279" s="1" t="s">
        <v>298</v>
      </c>
      <c r="L1279" s="1" t="s">
        <v>267</v>
      </c>
      <c r="M1279" s="1"/>
      <c r="N1279" s="1">
        <f t="shared" si="63"/>
        <v>11</v>
      </c>
      <c r="O1279" s="65"/>
    </row>
    <row r="1280" spans="1:15" ht="15.75" hidden="1" x14ac:dyDescent="0.25">
      <c r="A1280" s="1" t="str">
        <f t="shared" si="62"/>
        <v>445174451960MASTER CCTELECOMOOREDOO</v>
      </c>
      <c r="B1280" s="2">
        <v>44517</v>
      </c>
      <c r="C1280" s="2">
        <v>44519</v>
      </c>
      <c r="D1280" s="3" t="s">
        <v>1552</v>
      </c>
      <c r="E1280" s="3">
        <v>60</v>
      </c>
      <c r="F1280" s="3">
        <v>1</v>
      </c>
      <c r="G1280" s="3">
        <f t="shared" si="64"/>
        <v>60</v>
      </c>
      <c r="H1280" s="3" t="s">
        <v>291</v>
      </c>
      <c r="I1280" s="1" t="s">
        <v>58</v>
      </c>
      <c r="J1280" s="1" t="s">
        <v>59</v>
      </c>
      <c r="K1280" s="1" t="s">
        <v>298</v>
      </c>
      <c r="L1280" s="1" t="s">
        <v>267</v>
      </c>
      <c r="M1280" s="1"/>
      <c r="N1280" s="1">
        <f t="shared" si="63"/>
        <v>11</v>
      </c>
      <c r="O1280" s="65"/>
    </row>
    <row r="1281" spans="1:15" ht="15.75" hidden="1" x14ac:dyDescent="0.25">
      <c r="A1281" s="1" t="str">
        <f t="shared" si="62"/>
        <v>445174452055MASTER CCGROCERYLULU</v>
      </c>
      <c r="B1281" s="2">
        <v>44517</v>
      </c>
      <c r="C1281" s="2">
        <v>44520</v>
      </c>
      <c r="D1281" s="3" t="s">
        <v>1550</v>
      </c>
      <c r="E1281" s="3">
        <v>55</v>
      </c>
      <c r="F1281" s="3">
        <v>1</v>
      </c>
      <c r="G1281" s="3">
        <f t="shared" si="64"/>
        <v>55</v>
      </c>
      <c r="H1281" s="3" t="s">
        <v>291</v>
      </c>
      <c r="I1281" s="1" t="s">
        <v>43</v>
      </c>
      <c r="J1281" s="1" t="s">
        <v>44</v>
      </c>
      <c r="K1281" s="1" t="s">
        <v>298</v>
      </c>
      <c r="L1281" s="1" t="s">
        <v>267</v>
      </c>
      <c r="M1281" s="1"/>
      <c r="N1281" s="1">
        <f t="shared" si="63"/>
        <v>11</v>
      </c>
      <c r="O1281" s="65"/>
    </row>
    <row r="1282" spans="1:15" ht="15.75" hidden="1" x14ac:dyDescent="0.25">
      <c r="A1282" s="1" t="str">
        <f t="shared" ref="A1282:A1345" si="65">B1282&amp;C1282&amp;G1282&amp;H1282&amp;I1282&amp;J1282</f>
        <v>445174452414.69DINERSTRANSPORTUBER</v>
      </c>
      <c r="B1282" s="2">
        <v>44517</v>
      </c>
      <c r="C1282" s="2">
        <v>44524</v>
      </c>
      <c r="D1282" s="3" t="s">
        <v>1528</v>
      </c>
      <c r="E1282" s="3">
        <v>14.69</v>
      </c>
      <c r="F1282" s="3">
        <v>1</v>
      </c>
      <c r="G1282" s="3">
        <f t="shared" si="64"/>
        <v>14.69</v>
      </c>
      <c r="H1282" s="3" t="s">
        <v>266</v>
      </c>
      <c r="I1282" s="1" t="s">
        <v>296</v>
      </c>
      <c r="J1282" s="1" t="s">
        <v>299</v>
      </c>
      <c r="K1282" s="1" t="s">
        <v>298</v>
      </c>
      <c r="L1282" s="1" t="s">
        <v>267</v>
      </c>
      <c r="M1282" s="1"/>
      <c r="N1282" s="1">
        <f t="shared" ref="N1282:N1345" si="66">MONTH(C1282)</f>
        <v>11</v>
      </c>
      <c r="O1282" s="87"/>
    </row>
    <row r="1283" spans="1:15" ht="15.75" hidden="1" x14ac:dyDescent="0.25">
      <c r="A1283" s="1" t="str">
        <f t="shared" si="65"/>
        <v>445174452416.36DINERSTRANSPORTUBER</v>
      </c>
      <c r="B1283" s="2">
        <v>44517</v>
      </c>
      <c r="C1283" s="2">
        <v>44524</v>
      </c>
      <c r="D1283" s="3" t="s">
        <v>1529</v>
      </c>
      <c r="E1283" s="3">
        <v>16.36</v>
      </c>
      <c r="F1283" s="3">
        <v>1</v>
      </c>
      <c r="G1283" s="3">
        <f t="shared" si="64"/>
        <v>16.36</v>
      </c>
      <c r="H1283" s="3" t="s">
        <v>266</v>
      </c>
      <c r="I1283" s="1" t="s">
        <v>296</v>
      </c>
      <c r="J1283" s="1" t="s">
        <v>299</v>
      </c>
      <c r="K1283" s="1" t="s">
        <v>298</v>
      </c>
      <c r="L1283" s="1" t="s">
        <v>267</v>
      </c>
      <c r="M1283" s="1"/>
      <c r="N1283" s="1">
        <f t="shared" si="66"/>
        <v>11</v>
      </c>
      <c r="O1283" s="87"/>
    </row>
    <row r="1284" spans="1:15" ht="15.75" hidden="1" x14ac:dyDescent="0.25">
      <c r="A1284" s="1" t="str">
        <f t="shared" si="65"/>
        <v>445174451823.81DINERSGROCERYTOTAL FRESH</v>
      </c>
      <c r="B1284" s="2">
        <v>44517</v>
      </c>
      <c r="C1284" s="2">
        <v>44518</v>
      </c>
      <c r="D1284" s="3" t="s">
        <v>1530</v>
      </c>
      <c r="E1284" s="3">
        <v>23.81</v>
      </c>
      <c r="F1284" s="3">
        <v>1</v>
      </c>
      <c r="G1284" s="3">
        <f t="shared" si="64"/>
        <v>23.81</v>
      </c>
      <c r="H1284" s="3" t="s">
        <v>266</v>
      </c>
      <c r="I1284" s="1" t="s">
        <v>43</v>
      </c>
      <c r="J1284" s="1" t="s">
        <v>1394</v>
      </c>
      <c r="K1284" s="1" t="s">
        <v>298</v>
      </c>
      <c r="L1284" s="1" t="s">
        <v>267</v>
      </c>
      <c r="M1284" s="1"/>
      <c r="N1284" s="1">
        <f t="shared" si="66"/>
        <v>11</v>
      </c>
      <c r="O1284" s="87"/>
    </row>
    <row r="1285" spans="1:15" ht="15.75" hidden="1" x14ac:dyDescent="0.25">
      <c r="A1285" s="1" t="str">
        <f t="shared" si="65"/>
        <v>4451744518328.25DINERSGROCERYLULU</v>
      </c>
      <c r="B1285" s="2">
        <v>44517</v>
      </c>
      <c r="C1285" s="2">
        <v>44518</v>
      </c>
      <c r="D1285" s="3" t="s">
        <v>1531</v>
      </c>
      <c r="E1285" s="3">
        <v>328.25</v>
      </c>
      <c r="F1285" s="3">
        <v>1</v>
      </c>
      <c r="G1285" s="3">
        <f t="shared" si="64"/>
        <v>328.25</v>
      </c>
      <c r="H1285" s="3" t="s">
        <v>266</v>
      </c>
      <c r="I1285" s="1" t="s">
        <v>43</v>
      </c>
      <c r="J1285" s="1" t="s">
        <v>44</v>
      </c>
      <c r="K1285" s="1" t="s">
        <v>298</v>
      </c>
      <c r="L1285" s="1" t="s">
        <v>267</v>
      </c>
      <c r="M1285" s="1"/>
      <c r="N1285" s="1">
        <f t="shared" si="66"/>
        <v>11</v>
      </c>
      <c r="O1285" s="87"/>
    </row>
    <row r="1286" spans="1:15" ht="15.75" hidden="1" x14ac:dyDescent="0.25">
      <c r="A1286" s="1" t="str">
        <f t="shared" si="65"/>
        <v>445184452356.8MASTER CCFOODCAFÉ/REST.</v>
      </c>
      <c r="B1286" s="2">
        <v>44518</v>
      </c>
      <c r="C1286" s="2">
        <v>44523</v>
      </c>
      <c r="D1286" s="3" t="s">
        <v>1548</v>
      </c>
      <c r="E1286" s="3">
        <v>56.8</v>
      </c>
      <c r="F1286" s="3">
        <v>1</v>
      </c>
      <c r="G1286" s="3">
        <f t="shared" si="64"/>
        <v>56.8</v>
      </c>
      <c r="H1286" s="3" t="s">
        <v>291</v>
      </c>
      <c r="I1286" s="1" t="s">
        <v>10</v>
      </c>
      <c r="J1286" s="1" t="s">
        <v>11</v>
      </c>
      <c r="K1286" s="1" t="s">
        <v>298</v>
      </c>
      <c r="L1286" s="1" t="s">
        <v>267</v>
      </c>
      <c r="M1286" s="1"/>
      <c r="N1286" s="1">
        <f t="shared" si="66"/>
        <v>11</v>
      </c>
      <c r="O1286" s="65"/>
    </row>
    <row r="1287" spans="1:15" ht="15.75" hidden="1" x14ac:dyDescent="0.25">
      <c r="A1287" s="1" t="str">
        <f t="shared" si="65"/>
        <v>4451844523100MASTER CCFOODQATAR AIR</v>
      </c>
      <c r="B1287" s="2">
        <v>44518</v>
      </c>
      <c r="C1287" s="2">
        <v>44523</v>
      </c>
      <c r="D1287" s="3" t="s">
        <v>1547</v>
      </c>
      <c r="E1287" s="3">
        <v>100</v>
      </c>
      <c r="F1287" s="3">
        <v>1</v>
      </c>
      <c r="G1287" s="3">
        <f t="shared" si="64"/>
        <v>100</v>
      </c>
      <c r="H1287" s="3" t="s">
        <v>291</v>
      </c>
      <c r="I1287" s="1" t="s">
        <v>10</v>
      </c>
      <c r="J1287" s="1" t="s">
        <v>19</v>
      </c>
      <c r="K1287" s="1" t="s">
        <v>298</v>
      </c>
      <c r="L1287" s="1" t="s">
        <v>267</v>
      </c>
      <c r="M1287" s="1"/>
      <c r="N1287" s="1">
        <f t="shared" si="66"/>
        <v>11</v>
      </c>
      <c r="O1287" s="65"/>
    </row>
    <row r="1288" spans="1:15" ht="15.75" hidden="1" x14ac:dyDescent="0.25">
      <c r="A1288" s="1" t="str">
        <f t="shared" si="65"/>
        <v>445184452350MASTER CCTRANSPORTMETRO</v>
      </c>
      <c r="B1288" s="2">
        <v>44518</v>
      </c>
      <c r="C1288" s="2">
        <v>44523</v>
      </c>
      <c r="D1288" s="3" t="s">
        <v>1546</v>
      </c>
      <c r="E1288" s="3">
        <v>50</v>
      </c>
      <c r="F1288" s="3">
        <v>1</v>
      </c>
      <c r="G1288" s="3">
        <f t="shared" si="64"/>
        <v>50</v>
      </c>
      <c r="H1288" s="3" t="s">
        <v>291</v>
      </c>
      <c r="I1288" s="1" t="s">
        <v>296</v>
      </c>
      <c r="J1288" s="1" t="s">
        <v>759</v>
      </c>
      <c r="K1288" s="1" t="s">
        <v>298</v>
      </c>
      <c r="L1288" s="1" t="s">
        <v>267</v>
      </c>
      <c r="M1288" s="1"/>
      <c r="N1288" s="1">
        <f t="shared" si="66"/>
        <v>11</v>
      </c>
      <c r="O1288" s="65"/>
    </row>
    <row r="1289" spans="1:15" ht="15.75" hidden="1" x14ac:dyDescent="0.25">
      <c r="A1289" s="1" t="str">
        <f t="shared" si="65"/>
        <v>44518445232000MASTER CCRENTKAHRAMAA</v>
      </c>
      <c r="B1289" s="2">
        <v>44518</v>
      </c>
      <c r="C1289" s="2">
        <v>44523</v>
      </c>
      <c r="D1289" s="3" t="s">
        <v>1549</v>
      </c>
      <c r="E1289" s="3">
        <v>2000</v>
      </c>
      <c r="F1289" s="3">
        <v>1</v>
      </c>
      <c r="G1289" s="3">
        <f t="shared" si="64"/>
        <v>2000</v>
      </c>
      <c r="H1289" s="3" t="s">
        <v>291</v>
      </c>
      <c r="I1289" s="1" t="s">
        <v>83</v>
      </c>
      <c r="J1289" s="1" t="s">
        <v>4113</v>
      </c>
      <c r="K1289" s="1" t="s">
        <v>298</v>
      </c>
      <c r="L1289" s="1" t="s">
        <v>267</v>
      </c>
      <c r="M1289" s="1"/>
      <c r="N1289" s="1">
        <f t="shared" si="66"/>
        <v>11</v>
      </c>
      <c r="O1289" s="65"/>
    </row>
    <row r="1290" spans="1:15" ht="15.75" hidden="1" x14ac:dyDescent="0.25">
      <c r="A1290" s="1" t="str">
        <f t="shared" si="65"/>
        <v>4451944520258.06MASTER CCTELECOMVODAFONE</v>
      </c>
      <c r="B1290" s="2">
        <v>44519</v>
      </c>
      <c r="C1290" s="2">
        <v>44520</v>
      </c>
      <c r="D1290" s="3" t="s">
        <v>1545</v>
      </c>
      <c r="E1290" s="3">
        <v>258.06</v>
      </c>
      <c r="F1290" s="3">
        <v>1</v>
      </c>
      <c r="G1290" s="3">
        <f t="shared" si="64"/>
        <v>258.06</v>
      </c>
      <c r="H1290" s="3" t="s">
        <v>291</v>
      </c>
      <c r="I1290" s="1" t="s">
        <v>58</v>
      </c>
      <c r="J1290" s="1" t="s">
        <v>78</v>
      </c>
      <c r="K1290" s="1" t="s">
        <v>298</v>
      </c>
      <c r="L1290" s="1" t="s">
        <v>267</v>
      </c>
      <c r="M1290" s="1"/>
      <c r="N1290" s="1">
        <f t="shared" si="66"/>
        <v>11</v>
      </c>
      <c r="O1290" s="65"/>
    </row>
    <row r="1291" spans="1:15" ht="15.75" hidden="1" x14ac:dyDescent="0.25">
      <c r="A1291" s="1" t="str">
        <f t="shared" si="65"/>
        <v>44519445238.68DINERSTRANSPORTUBER</v>
      </c>
      <c r="B1291" s="2">
        <v>44519</v>
      </c>
      <c r="C1291" s="2">
        <v>44523</v>
      </c>
      <c r="D1291" s="3" t="s">
        <v>1524</v>
      </c>
      <c r="E1291" s="3">
        <v>8.68</v>
      </c>
      <c r="F1291" s="3">
        <v>1</v>
      </c>
      <c r="G1291" s="3">
        <f t="shared" ref="G1291:G1354" si="67">ABS(E1291)*F1291</f>
        <v>8.68</v>
      </c>
      <c r="H1291" s="3" t="s">
        <v>266</v>
      </c>
      <c r="I1291" s="1" t="s">
        <v>296</v>
      </c>
      <c r="J1291" s="1" t="s">
        <v>299</v>
      </c>
      <c r="K1291" s="1" t="s">
        <v>298</v>
      </c>
      <c r="L1291" s="1" t="s">
        <v>267</v>
      </c>
      <c r="M1291" s="1"/>
      <c r="N1291" s="1">
        <f t="shared" si="66"/>
        <v>11</v>
      </c>
      <c r="O1291" s="87"/>
    </row>
    <row r="1292" spans="1:15" ht="15.75" hidden="1" x14ac:dyDescent="0.25">
      <c r="A1292" s="1" t="str">
        <f t="shared" si="65"/>
        <v>44519445206DINERSFOODCAFÉ/REST.</v>
      </c>
      <c r="B1292" s="2">
        <v>44519</v>
      </c>
      <c r="C1292" s="2">
        <v>44520</v>
      </c>
      <c r="D1292" s="3" t="s">
        <v>1525</v>
      </c>
      <c r="E1292" s="3">
        <v>6</v>
      </c>
      <c r="F1292" s="3">
        <v>1</v>
      </c>
      <c r="G1292" s="3">
        <f t="shared" si="67"/>
        <v>6</v>
      </c>
      <c r="H1292" s="3" t="s">
        <v>266</v>
      </c>
      <c r="I1292" s="1" t="s">
        <v>10</v>
      </c>
      <c r="J1292" s="1" t="s">
        <v>11</v>
      </c>
      <c r="K1292" s="1" t="s">
        <v>298</v>
      </c>
      <c r="L1292" s="1" t="s">
        <v>267</v>
      </c>
      <c r="M1292" s="1"/>
      <c r="N1292" s="1">
        <f t="shared" si="66"/>
        <v>11</v>
      </c>
      <c r="O1292" s="87"/>
    </row>
    <row r="1293" spans="1:15" ht="15.75" hidden="1" x14ac:dyDescent="0.25">
      <c r="A1293" s="1" t="str">
        <f t="shared" si="65"/>
        <v>445194452028DINERSGROCERYTOTAL FRESH</v>
      </c>
      <c r="B1293" s="2">
        <v>44519</v>
      </c>
      <c r="C1293" s="2">
        <v>44520</v>
      </c>
      <c r="D1293" s="3" t="s">
        <v>1526</v>
      </c>
      <c r="E1293" s="3">
        <v>28</v>
      </c>
      <c r="F1293" s="3">
        <v>1</v>
      </c>
      <c r="G1293" s="3">
        <f t="shared" si="67"/>
        <v>28</v>
      </c>
      <c r="H1293" s="3" t="s">
        <v>266</v>
      </c>
      <c r="I1293" s="1" t="s">
        <v>43</v>
      </c>
      <c r="J1293" s="1" t="s">
        <v>1394</v>
      </c>
      <c r="K1293" s="1" t="s">
        <v>298</v>
      </c>
      <c r="L1293" s="1" t="s">
        <v>267</v>
      </c>
      <c r="M1293" s="1"/>
      <c r="N1293" s="1">
        <f t="shared" si="66"/>
        <v>11</v>
      </c>
      <c r="O1293" s="87"/>
    </row>
    <row r="1294" spans="1:15" ht="15.75" hidden="1" x14ac:dyDescent="0.25">
      <c r="A1294" s="1" t="str">
        <f t="shared" si="65"/>
        <v>4451944520177.92DINERSGROCERYLULU</v>
      </c>
      <c r="B1294" s="2">
        <v>44519</v>
      </c>
      <c r="C1294" s="2">
        <v>44520</v>
      </c>
      <c r="D1294" s="3" t="s">
        <v>1527</v>
      </c>
      <c r="E1294" s="3">
        <v>177.92</v>
      </c>
      <c r="F1294" s="3">
        <v>1</v>
      </c>
      <c r="G1294" s="3">
        <f t="shared" si="67"/>
        <v>177.92</v>
      </c>
      <c r="H1294" s="3" t="s">
        <v>266</v>
      </c>
      <c r="I1294" s="1" t="s">
        <v>43</v>
      </c>
      <c r="J1294" s="1" t="s">
        <v>44</v>
      </c>
      <c r="K1294" s="1" t="s">
        <v>298</v>
      </c>
      <c r="L1294" s="1" t="s">
        <v>267</v>
      </c>
      <c r="M1294" s="1"/>
      <c r="N1294" s="1">
        <f t="shared" si="66"/>
        <v>11</v>
      </c>
      <c r="O1294" s="87"/>
    </row>
    <row r="1295" spans="1:15" ht="15.75" hidden="1" x14ac:dyDescent="0.25">
      <c r="A1295" s="1" t="str">
        <f t="shared" si="65"/>
        <v>445234452660MASTER CCFOODTALABAT</v>
      </c>
      <c r="B1295" s="2">
        <v>44523</v>
      </c>
      <c r="C1295" s="2">
        <v>44526</v>
      </c>
      <c r="D1295" s="3" t="s">
        <v>1572</v>
      </c>
      <c r="E1295" s="3">
        <v>60</v>
      </c>
      <c r="F1295" s="3">
        <v>1</v>
      </c>
      <c r="G1295" s="3">
        <f t="shared" si="67"/>
        <v>60</v>
      </c>
      <c r="H1295" s="3" t="s">
        <v>291</v>
      </c>
      <c r="I1295" s="1" t="s">
        <v>10</v>
      </c>
      <c r="J1295" s="1" t="s">
        <v>865</v>
      </c>
      <c r="K1295" s="1" t="s">
        <v>298</v>
      </c>
      <c r="L1295" s="1" t="s">
        <v>267</v>
      </c>
      <c r="M1295" s="1"/>
      <c r="N1295" s="1">
        <f t="shared" si="66"/>
        <v>11</v>
      </c>
      <c r="O1295" s="65"/>
    </row>
    <row r="1296" spans="1:15" ht="15.75" hidden="1" x14ac:dyDescent="0.25">
      <c r="A1296" s="1" t="str">
        <f t="shared" si="65"/>
        <v>445234452416DINERSGROCERYTOTAL FRESH</v>
      </c>
      <c r="B1296" s="2">
        <v>44523</v>
      </c>
      <c r="C1296" s="2">
        <v>44524</v>
      </c>
      <c r="D1296" s="3" t="s">
        <v>1568</v>
      </c>
      <c r="E1296" s="3">
        <v>16</v>
      </c>
      <c r="F1296" s="3">
        <v>1</v>
      </c>
      <c r="G1296" s="3">
        <f t="shared" si="67"/>
        <v>16</v>
      </c>
      <c r="H1296" s="3" t="s">
        <v>266</v>
      </c>
      <c r="I1296" s="1" t="s">
        <v>43</v>
      </c>
      <c r="J1296" s="1" t="s">
        <v>1394</v>
      </c>
      <c r="K1296" s="1" t="s">
        <v>298</v>
      </c>
      <c r="L1296" s="1" t="s">
        <v>267</v>
      </c>
      <c r="M1296" s="1"/>
      <c r="N1296" s="1">
        <f t="shared" si="66"/>
        <v>11</v>
      </c>
      <c r="O1296" s="87"/>
    </row>
    <row r="1297" spans="1:15" ht="15.75" hidden="1" x14ac:dyDescent="0.25">
      <c r="A1297" s="1" t="str">
        <f t="shared" si="65"/>
        <v>445234452412.5DINERSGROCERYTOTAL FRESH</v>
      </c>
      <c r="B1297" s="2">
        <v>44523</v>
      </c>
      <c r="C1297" s="2">
        <v>44524</v>
      </c>
      <c r="D1297" s="3" t="s">
        <v>1569</v>
      </c>
      <c r="E1297" s="3">
        <v>12.5</v>
      </c>
      <c r="F1297" s="3">
        <v>1</v>
      </c>
      <c r="G1297" s="3">
        <f t="shared" si="67"/>
        <v>12.5</v>
      </c>
      <c r="H1297" s="3" t="s">
        <v>266</v>
      </c>
      <c r="I1297" s="1" t="s">
        <v>43</v>
      </c>
      <c r="J1297" s="1" t="s">
        <v>1394</v>
      </c>
      <c r="K1297" s="1" t="s">
        <v>298</v>
      </c>
      <c r="L1297" s="1" t="s">
        <v>267</v>
      </c>
      <c r="M1297" s="1"/>
      <c r="N1297" s="1">
        <f t="shared" si="66"/>
        <v>11</v>
      </c>
      <c r="O1297" s="87"/>
    </row>
    <row r="1298" spans="1:15" ht="15.75" hidden="1" x14ac:dyDescent="0.25">
      <c r="A1298" s="1" t="str">
        <f t="shared" si="65"/>
        <v>445254452870MASTER CCFOODTALABAT</v>
      </c>
      <c r="B1298" s="2">
        <v>44525</v>
      </c>
      <c r="C1298" s="2">
        <v>44528</v>
      </c>
      <c r="D1298" s="3" t="s">
        <v>1571</v>
      </c>
      <c r="E1298" s="3">
        <v>70</v>
      </c>
      <c r="F1298" s="3">
        <v>1</v>
      </c>
      <c r="G1298" s="3">
        <f t="shared" si="67"/>
        <v>70</v>
      </c>
      <c r="H1298" s="3" t="s">
        <v>291</v>
      </c>
      <c r="I1298" s="1" t="s">
        <v>10</v>
      </c>
      <c r="J1298" s="1" t="s">
        <v>865</v>
      </c>
      <c r="K1298" s="1" t="s">
        <v>298</v>
      </c>
      <c r="L1298" s="1" t="s">
        <v>267</v>
      </c>
      <c r="M1298" s="1"/>
      <c r="N1298" s="1">
        <f t="shared" si="66"/>
        <v>11</v>
      </c>
      <c r="O1298" s="65"/>
    </row>
    <row r="1299" spans="1:15" ht="15.75" x14ac:dyDescent="0.25">
      <c r="A1299" s="1" t="str">
        <f t="shared" si="65"/>
        <v>44526445272854MASTER CCGOLDVODAFONE</v>
      </c>
      <c r="B1299" s="2">
        <v>44526</v>
      </c>
      <c r="C1299" s="2">
        <v>44527</v>
      </c>
      <c r="D1299" s="3" t="s">
        <v>1570</v>
      </c>
      <c r="E1299" s="3">
        <v>2854</v>
      </c>
      <c r="F1299" s="3">
        <v>1</v>
      </c>
      <c r="G1299" s="3">
        <f t="shared" si="67"/>
        <v>2854</v>
      </c>
      <c r="H1299" s="3" t="s">
        <v>291</v>
      </c>
      <c r="I1299" s="1" t="s">
        <v>106</v>
      </c>
      <c r="J1299" s="1" t="s">
        <v>78</v>
      </c>
      <c r="K1299" s="1" t="s">
        <v>298</v>
      </c>
      <c r="L1299" s="1" t="s">
        <v>267</v>
      </c>
      <c r="M1299" s="1"/>
      <c r="N1299" s="1">
        <f t="shared" si="66"/>
        <v>11</v>
      </c>
      <c r="O1299" s="65"/>
    </row>
    <row r="1300" spans="1:15" ht="15.75" hidden="1" x14ac:dyDescent="0.25">
      <c r="A1300" s="1" t="str">
        <f t="shared" si="65"/>
        <v>4452644527822.67DINERSSHOPPINGLULU</v>
      </c>
      <c r="B1300" s="2">
        <v>44526</v>
      </c>
      <c r="C1300" s="2">
        <v>44527</v>
      </c>
      <c r="D1300" s="3" t="s">
        <v>1565</v>
      </c>
      <c r="E1300" s="3">
        <v>822.67</v>
      </c>
      <c r="F1300" s="3">
        <v>1</v>
      </c>
      <c r="G1300" s="3">
        <f t="shared" si="67"/>
        <v>822.67</v>
      </c>
      <c r="H1300" s="3" t="s">
        <v>266</v>
      </c>
      <c r="I1300" s="1" t="s">
        <v>194</v>
      </c>
      <c r="J1300" s="1" t="s">
        <v>44</v>
      </c>
      <c r="K1300" s="1" t="s">
        <v>298</v>
      </c>
      <c r="L1300" s="1" t="s">
        <v>267</v>
      </c>
      <c r="M1300" s="1">
        <v>1</v>
      </c>
      <c r="N1300" s="1">
        <f t="shared" si="66"/>
        <v>11</v>
      </c>
      <c r="O1300" s="87"/>
    </row>
    <row r="1301" spans="1:15" ht="15.75" hidden="1" x14ac:dyDescent="0.25">
      <c r="A1301" s="1" t="str">
        <f t="shared" si="65"/>
        <v>445264453014.84DINERSTRANSPORTUBER</v>
      </c>
      <c r="B1301" s="2">
        <v>44526</v>
      </c>
      <c r="C1301" s="2">
        <v>44530</v>
      </c>
      <c r="D1301" s="3" t="s">
        <v>1566</v>
      </c>
      <c r="E1301" s="3">
        <v>14.84</v>
      </c>
      <c r="F1301" s="3">
        <v>1</v>
      </c>
      <c r="G1301" s="3">
        <f t="shared" si="67"/>
        <v>14.84</v>
      </c>
      <c r="H1301" s="3" t="s">
        <v>266</v>
      </c>
      <c r="I1301" s="1" t="s">
        <v>296</v>
      </c>
      <c r="J1301" s="1" t="s">
        <v>299</v>
      </c>
      <c r="K1301" s="1" t="s">
        <v>298</v>
      </c>
      <c r="L1301" s="1" t="s">
        <v>267</v>
      </c>
      <c r="M1301" s="1"/>
      <c r="N1301" s="1">
        <f t="shared" si="66"/>
        <v>11</v>
      </c>
      <c r="O1301" s="87"/>
    </row>
    <row r="1302" spans="1:15" ht="15.75" hidden="1" x14ac:dyDescent="0.25">
      <c r="A1302" s="1" t="str">
        <f t="shared" si="65"/>
        <v>445264453023.48DINERSTRANSPORTUBER</v>
      </c>
      <c r="B1302" s="2">
        <v>44526</v>
      </c>
      <c r="C1302" s="2">
        <v>44530</v>
      </c>
      <c r="D1302" s="3" t="s">
        <v>1567</v>
      </c>
      <c r="E1302" s="3">
        <v>23.48</v>
      </c>
      <c r="F1302" s="3">
        <v>1</v>
      </c>
      <c r="G1302" s="3">
        <f t="shared" si="67"/>
        <v>23.48</v>
      </c>
      <c r="H1302" s="3" t="s">
        <v>266</v>
      </c>
      <c r="I1302" s="1" t="s">
        <v>296</v>
      </c>
      <c r="J1302" s="1" t="s">
        <v>299</v>
      </c>
      <c r="K1302" s="1" t="s">
        <v>298</v>
      </c>
      <c r="L1302" s="1" t="s">
        <v>267</v>
      </c>
      <c r="M1302" s="1"/>
      <c r="N1302" s="1">
        <f t="shared" si="66"/>
        <v>11</v>
      </c>
      <c r="O1302" s="87"/>
    </row>
    <row r="1303" spans="1:15" ht="15.75" hidden="1" x14ac:dyDescent="0.25">
      <c r="A1303" s="1" t="str">
        <f t="shared" si="65"/>
        <v>445284452818739CURRENTSALARYQATAR AIR</v>
      </c>
      <c r="B1303" s="2">
        <v>44528</v>
      </c>
      <c r="C1303" s="2">
        <v>44528</v>
      </c>
      <c r="D1303" s="3" t="s">
        <v>1573</v>
      </c>
      <c r="E1303" s="3">
        <v>18739</v>
      </c>
      <c r="F1303" s="3">
        <v>1</v>
      </c>
      <c r="G1303" s="3">
        <f t="shared" si="67"/>
        <v>18739</v>
      </c>
      <c r="H1303" s="3" t="s">
        <v>293</v>
      </c>
      <c r="I1303" s="1" t="s">
        <v>18</v>
      </c>
      <c r="J1303" s="1" t="s">
        <v>19</v>
      </c>
      <c r="K1303" s="1" t="s">
        <v>300</v>
      </c>
      <c r="L1303" s="1" t="s">
        <v>257</v>
      </c>
      <c r="M1303" s="1"/>
      <c r="N1303" s="1">
        <f t="shared" si="66"/>
        <v>11</v>
      </c>
      <c r="O1303" s="65"/>
    </row>
    <row r="1304" spans="1:15" ht="15.75" hidden="1" x14ac:dyDescent="0.25">
      <c r="A1304" s="1" t="str">
        <f t="shared" si="65"/>
        <v>445294452930CURRENTTELECOMOOREDOO</v>
      </c>
      <c r="B1304" s="2">
        <v>44529</v>
      </c>
      <c r="C1304" s="2">
        <v>44529</v>
      </c>
      <c r="D1304" s="3" t="s">
        <v>1577</v>
      </c>
      <c r="E1304" s="3">
        <v>-30</v>
      </c>
      <c r="F1304" s="3">
        <v>1</v>
      </c>
      <c r="G1304" s="3">
        <f t="shared" si="67"/>
        <v>30</v>
      </c>
      <c r="H1304" s="3" t="s">
        <v>293</v>
      </c>
      <c r="I1304" s="1" t="s">
        <v>58</v>
      </c>
      <c r="J1304" s="1" t="s">
        <v>59</v>
      </c>
      <c r="K1304" s="1" t="s">
        <v>298</v>
      </c>
      <c r="L1304" s="1" t="s">
        <v>257</v>
      </c>
      <c r="M1304" s="1"/>
      <c r="N1304" s="1">
        <f t="shared" si="66"/>
        <v>11</v>
      </c>
      <c r="O1304" s="65"/>
    </row>
    <row r="1305" spans="1:15" ht="15.75" hidden="1" x14ac:dyDescent="0.25">
      <c r="A1305" s="1" t="str">
        <f t="shared" si="65"/>
        <v>445294452950CURRENTTELECOMOOREDOO</v>
      </c>
      <c r="B1305" s="2">
        <v>44529</v>
      </c>
      <c r="C1305" s="2">
        <v>44529</v>
      </c>
      <c r="D1305" s="3" t="s">
        <v>1578</v>
      </c>
      <c r="E1305" s="3">
        <v>-50</v>
      </c>
      <c r="F1305" s="3">
        <v>1</v>
      </c>
      <c r="G1305" s="3">
        <f t="shared" si="67"/>
        <v>50</v>
      </c>
      <c r="H1305" s="3" t="s">
        <v>293</v>
      </c>
      <c r="I1305" s="1" t="s">
        <v>58</v>
      </c>
      <c r="J1305" s="1" t="s">
        <v>59</v>
      </c>
      <c r="K1305" s="1" t="s">
        <v>298</v>
      </c>
      <c r="L1305" s="1" t="s">
        <v>257</v>
      </c>
      <c r="M1305" s="1"/>
      <c r="N1305" s="1">
        <f t="shared" si="66"/>
        <v>11</v>
      </c>
      <c r="O1305" s="65"/>
    </row>
    <row r="1306" spans="1:15" ht="15.75" hidden="1" x14ac:dyDescent="0.25">
      <c r="A1306" s="1" t="str">
        <f t="shared" si="65"/>
        <v>44530445308CURRENTFOODQATAR AIR</v>
      </c>
      <c r="B1306" s="2">
        <v>44530</v>
      </c>
      <c r="C1306" s="2">
        <v>44530</v>
      </c>
      <c r="D1306" s="3" t="s">
        <v>1575</v>
      </c>
      <c r="E1306" s="3">
        <v>-8</v>
      </c>
      <c r="F1306" s="3">
        <v>1</v>
      </c>
      <c r="G1306" s="3">
        <f t="shared" si="67"/>
        <v>8</v>
      </c>
      <c r="H1306" s="3" t="s">
        <v>293</v>
      </c>
      <c r="I1306" s="1" t="s">
        <v>10</v>
      </c>
      <c r="J1306" s="1" t="s">
        <v>19</v>
      </c>
      <c r="K1306" s="1" t="s">
        <v>298</v>
      </c>
      <c r="L1306" s="1" t="s">
        <v>257</v>
      </c>
      <c r="M1306" s="1"/>
      <c r="N1306" s="1">
        <f t="shared" si="66"/>
        <v>11</v>
      </c>
      <c r="O1306" s="65"/>
    </row>
    <row r="1307" spans="1:15" ht="15.75" hidden="1" x14ac:dyDescent="0.25">
      <c r="A1307" s="1" t="str">
        <f t="shared" si="65"/>
        <v>445304453072.55CURRENTGROCERYTOTAL FRESH</v>
      </c>
      <c r="B1307" s="2">
        <v>44530</v>
      </c>
      <c r="C1307" s="2">
        <v>44530</v>
      </c>
      <c r="D1307" s="3" t="s">
        <v>1576</v>
      </c>
      <c r="E1307" s="3">
        <v>-72.55</v>
      </c>
      <c r="F1307" s="3">
        <v>1</v>
      </c>
      <c r="G1307" s="3">
        <f t="shared" si="67"/>
        <v>72.55</v>
      </c>
      <c r="H1307" s="3" t="s">
        <v>293</v>
      </c>
      <c r="I1307" s="1" t="s">
        <v>43</v>
      </c>
      <c r="J1307" s="1" t="s">
        <v>1394</v>
      </c>
      <c r="K1307" s="1" t="s">
        <v>298</v>
      </c>
      <c r="L1307" s="1" t="s">
        <v>257</v>
      </c>
      <c r="M1307" s="1"/>
      <c r="N1307" s="1">
        <f t="shared" si="66"/>
        <v>11</v>
      </c>
      <c r="O1307" s="65"/>
    </row>
    <row r="1308" spans="1:15" ht="15.75" hidden="1" x14ac:dyDescent="0.25">
      <c r="A1308" s="1" t="str">
        <f t="shared" si="65"/>
        <v>445304453056.28DINERSSERVICEBANK</v>
      </c>
      <c r="B1308" s="2">
        <v>44530</v>
      </c>
      <c r="C1308" s="2">
        <v>44530</v>
      </c>
      <c r="D1308" s="3" t="s">
        <v>1102</v>
      </c>
      <c r="E1308" s="3">
        <v>56.28</v>
      </c>
      <c r="F1308" s="3">
        <v>1</v>
      </c>
      <c r="G1308" s="3">
        <f t="shared" si="67"/>
        <v>56.28</v>
      </c>
      <c r="H1308" s="3" t="s">
        <v>266</v>
      </c>
      <c r="I1308" s="1" t="s">
        <v>7</v>
      </c>
      <c r="J1308" s="1" t="s">
        <v>8</v>
      </c>
      <c r="K1308" s="1" t="s">
        <v>298</v>
      </c>
      <c r="L1308" s="1" t="s">
        <v>267</v>
      </c>
      <c r="M1308" s="1"/>
      <c r="N1308" s="1">
        <f t="shared" si="66"/>
        <v>11</v>
      </c>
      <c r="O1308" s="87"/>
    </row>
    <row r="1309" spans="1:15" ht="15.75" hidden="1" x14ac:dyDescent="0.25">
      <c r="A1309" s="1" t="str">
        <f t="shared" si="65"/>
        <v>44531445308716CURRENTCC BILL PAYMENTBANK</v>
      </c>
      <c r="B1309" s="2">
        <v>44531</v>
      </c>
      <c r="C1309" s="2">
        <v>44530</v>
      </c>
      <c r="D1309" s="3" t="s">
        <v>1574</v>
      </c>
      <c r="E1309" s="3">
        <v>-8716</v>
      </c>
      <c r="F1309" s="3">
        <v>1</v>
      </c>
      <c r="G1309" s="3">
        <f t="shared" si="67"/>
        <v>8716</v>
      </c>
      <c r="H1309" s="3" t="s">
        <v>293</v>
      </c>
      <c r="I1309" s="1" t="s">
        <v>81</v>
      </c>
      <c r="J1309" s="1" t="s">
        <v>8</v>
      </c>
      <c r="K1309" s="1" t="s">
        <v>298</v>
      </c>
      <c r="L1309" s="1" t="s">
        <v>257</v>
      </c>
      <c r="M1309" s="1"/>
      <c r="N1309" s="1">
        <f t="shared" si="66"/>
        <v>11</v>
      </c>
      <c r="O1309" s="65"/>
    </row>
    <row r="1310" spans="1:15" ht="15.75" hidden="1" x14ac:dyDescent="0.25">
      <c r="A1310" s="1" t="str">
        <f t="shared" si="65"/>
        <v>4453144531500CURRENTSAVINGARTI</v>
      </c>
      <c r="B1310" s="2">
        <v>44531</v>
      </c>
      <c r="C1310" s="2">
        <v>44531</v>
      </c>
      <c r="D1310" s="3" t="s">
        <v>1518</v>
      </c>
      <c r="E1310" s="3">
        <v>-500</v>
      </c>
      <c r="F1310" s="3">
        <v>1</v>
      </c>
      <c r="G1310" s="3">
        <f t="shared" si="67"/>
        <v>500</v>
      </c>
      <c r="H1310" s="3" t="s">
        <v>293</v>
      </c>
      <c r="I1310" s="1" t="s">
        <v>302</v>
      </c>
      <c r="J1310" s="1" t="s">
        <v>453</v>
      </c>
      <c r="K1310" s="1" t="s">
        <v>298</v>
      </c>
      <c r="L1310" s="1" t="s">
        <v>257</v>
      </c>
      <c r="M1310" s="1"/>
      <c r="N1310" s="1">
        <f t="shared" si="66"/>
        <v>12</v>
      </c>
      <c r="O1310" s="65"/>
    </row>
    <row r="1311" spans="1:15" ht="15.75" hidden="1" x14ac:dyDescent="0.25">
      <c r="A1311" s="1" t="str">
        <f t="shared" si="65"/>
        <v>44531445313000CURRENTSAVINGSELF</v>
      </c>
      <c r="B1311" s="2">
        <v>44531</v>
      </c>
      <c r="C1311" s="2">
        <v>44531</v>
      </c>
      <c r="D1311" s="3" t="s">
        <v>1519</v>
      </c>
      <c r="E1311" s="3">
        <v>-3000</v>
      </c>
      <c r="F1311" s="3">
        <v>1</v>
      </c>
      <c r="G1311" s="3">
        <f t="shared" si="67"/>
        <v>3000</v>
      </c>
      <c r="H1311" s="3" t="s">
        <v>293</v>
      </c>
      <c r="I1311" s="1" t="s">
        <v>302</v>
      </c>
      <c r="J1311" s="1" t="s">
        <v>14</v>
      </c>
      <c r="K1311" s="1" t="s">
        <v>298</v>
      </c>
      <c r="L1311" s="1" t="s">
        <v>257</v>
      </c>
      <c r="M1311" s="1"/>
      <c r="N1311" s="1">
        <f t="shared" si="66"/>
        <v>12</v>
      </c>
      <c r="O1311" s="65"/>
    </row>
    <row r="1312" spans="1:15" ht="15.75" hidden="1" x14ac:dyDescent="0.25">
      <c r="A1312" s="1" t="str">
        <f t="shared" si="65"/>
        <v>445314453277DINERSRENTKAHRAMAA</v>
      </c>
      <c r="B1312" s="2">
        <v>44531</v>
      </c>
      <c r="C1312" s="2">
        <v>44532</v>
      </c>
      <c r="D1312" s="3" t="s">
        <v>1579</v>
      </c>
      <c r="E1312" s="3">
        <v>77</v>
      </c>
      <c r="F1312" s="3">
        <v>1</v>
      </c>
      <c r="G1312" s="3">
        <f t="shared" si="67"/>
        <v>77</v>
      </c>
      <c r="H1312" s="3" t="s">
        <v>266</v>
      </c>
      <c r="I1312" s="1" t="s">
        <v>83</v>
      </c>
      <c r="J1312" s="1" t="s">
        <v>4113</v>
      </c>
      <c r="K1312" s="1" t="s">
        <v>298</v>
      </c>
      <c r="L1312" s="1" t="s">
        <v>267</v>
      </c>
      <c r="M1312" s="1"/>
      <c r="N1312" s="1">
        <f t="shared" si="66"/>
        <v>12</v>
      </c>
      <c r="O1312" s="87"/>
    </row>
    <row r="1313" spans="1:15" ht="15.75" hidden="1" x14ac:dyDescent="0.25">
      <c r="A1313" s="1" t="str">
        <f t="shared" si="65"/>
        <v>44531445308716DINERSCC BILL PAYMENTBANK</v>
      </c>
      <c r="B1313" s="2">
        <v>44531</v>
      </c>
      <c r="C1313" s="2">
        <v>44530</v>
      </c>
      <c r="D1313" s="3" t="s">
        <v>80</v>
      </c>
      <c r="E1313" s="3">
        <v>-8716</v>
      </c>
      <c r="F1313" s="3">
        <v>1</v>
      </c>
      <c r="G1313" s="3">
        <f t="shared" si="67"/>
        <v>8716</v>
      </c>
      <c r="H1313" s="3" t="s">
        <v>266</v>
      </c>
      <c r="I1313" s="1" t="s">
        <v>81</v>
      </c>
      <c r="J1313" s="1" t="s">
        <v>8</v>
      </c>
      <c r="K1313" s="1" t="s">
        <v>300</v>
      </c>
      <c r="L1313" s="1" t="s">
        <v>267</v>
      </c>
      <c r="M1313" s="1"/>
      <c r="N1313" s="1">
        <f t="shared" si="66"/>
        <v>11</v>
      </c>
      <c r="O1313" s="87"/>
    </row>
    <row r="1314" spans="1:15" ht="15.75" hidden="1" x14ac:dyDescent="0.25">
      <c r="A1314" s="1" t="str">
        <f t="shared" si="65"/>
        <v>445314453277DINERSRENTKAHRAMAA</v>
      </c>
      <c r="B1314" s="2">
        <v>44531</v>
      </c>
      <c r="C1314" s="2">
        <v>44532</v>
      </c>
      <c r="D1314" s="3" t="s">
        <v>1579</v>
      </c>
      <c r="E1314" s="3">
        <v>77</v>
      </c>
      <c r="F1314" s="3">
        <v>1</v>
      </c>
      <c r="G1314" s="3">
        <f t="shared" si="67"/>
        <v>77</v>
      </c>
      <c r="H1314" s="3" t="s">
        <v>266</v>
      </c>
      <c r="I1314" s="1" t="s">
        <v>83</v>
      </c>
      <c r="J1314" s="1" t="s">
        <v>4113</v>
      </c>
      <c r="K1314" s="1" t="s">
        <v>298</v>
      </c>
      <c r="L1314" s="1" t="s">
        <v>267</v>
      </c>
      <c r="M1314" s="1"/>
      <c r="N1314" s="1">
        <f t="shared" si="66"/>
        <v>12</v>
      </c>
      <c r="O1314" s="87"/>
    </row>
    <row r="1315" spans="1:15" ht="15.75" hidden="1" x14ac:dyDescent="0.25">
      <c r="A1315" s="1" t="str">
        <f t="shared" si="65"/>
        <v>445324453344.88DINERSGROCERYTOTAL FRESH</v>
      </c>
      <c r="B1315" s="2">
        <v>44532</v>
      </c>
      <c r="C1315" s="2">
        <v>44533</v>
      </c>
      <c r="D1315" s="3" t="s">
        <v>1627</v>
      </c>
      <c r="E1315" s="3">
        <v>44.88</v>
      </c>
      <c r="F1315" s="3">
        <v>1</v>
      </c>
      <c r="G1315" s="3">
        <f t="shared" si="67"/>
        <v>44.88</v>
      </c>
      <c r="H1315" s="3" t="s">
        <v>266</v>
      </c>
      <c r="I1315" s="1" t="s">
        <v>43</v>
      </c>
      <c r="J1315" s="1" t="s">
        <v>1394</v>
      </c>
      <c r="K1315" s="1" t="s">
        <v>298</v>
      </c>
      <c r="L1315" s="1" t="s">
        <v>267</v>
      </c>
      <c r="M1315" s="1"/>
      <c r="N1315" s="1">
        <f t="shared" si="66"/>
        <v>12</v>
      </c>
      <c r="O1315" s="87"/>
    </row>
    <row r="1316" spans="1:15" ht="15.75" hidden="1" x14ac:dyDescent="0.25">
      <c r="A1316" s="1" t="str">
        <f t="shared" si="65"/>
        <v>445334453620MASTER CCTRANSPORTMETRO</v>
      </c>
      <c r="B1316" s="2">
        <v>44533</v>
      </c>
      <c r="C1316" s="2">
        <v>44536</v>
      </c>
      <c r="D1316" s="3" t="s">
        <v>1648</v>
      </c>
      <c r="E1316" s="3">
        <v>20</v>
      </c>
      <c r="F1316" s="3">
        <v>1</v>
      </c>
      <c r="G1316" s="3">
        <f t="shared" si="67"/>
        <v>20</v>
      </c>
      <c r="H1316" s="3" t="s">
        <v>291</v>
      </c>
      <c r="I1316" s="1" t="s">
        <v>296</v>
      </c>
      <c r="J1316" s="1" t="s">
        <v>759</v>
      </c>
      <c r="K1316" s="1" t="s">
        <v>298</v>
      </c>
      <c r="L1316" s="1" t="s">
        <v>267</v>
      </c>
      <c r="M1316" s="1"/>
      <c r="N1316" s="1">
        <f t="shared" si="66"/>
        <v>12</v>
      </c>
      <c r="O1316" s="65"/>
    </row>
    <row r="1317" spans="1:15" ht="15.75" hidden="1" x14ac:dyDescent="0.25">
      <c r="A1317" s="1" t="str">
        <f t="shared" si="65"/>
        <v>4453344536160.25MASTER CCGROCERYCARREFOUR</v>
      </c>
      <c r="B1317" s="2">
        <v>44533</v>
      </c>
      <c r="C1317" s="2">
        <v>44536</v>
      </c>
      <c r="D1317" s="3" t="s">
        <v>1649</v>
      </c>
      <c r="E1317" s="3">
        <v>160.25</v>
      </c>
      <c r="F1317" s="3">
        <v>1</v>
      </c>
      <c r="G1317" s="3">
        <f t="shared" si="67"/>
        <v>160.25</v>
      </c>
      <c r="H1317" s="3" t="s">
        <v>291</v>
      </c>
      <c r="I1317" s="1" t="s">
        <v>43</v>
      </c>
      <c r="J1317" s="1" t="s">
        <v>67</v>
      </c>
      <c r="K1317" s="1" t="s">
        <v>298</v>
      </c>
      <c r="L1317" s="1" t="s">
        <v>267</v>
      </c>
      <c r="M1317" s="1"/>
      <c r="N1317" s="1">
        <f t="shared" si="66"/>
        <v>12</v>
      </c>
      <c r="O1317" s="65"/>
    </row>
    <row r="1318" spans="1:15" ht="15.75" hidden="1" x14ac:dyDescent="0.25">
      <c r="A1318" s="1" t="str">
        <f t="shared" si="65"/>
        <v>44533445378.8DINERSTRANSPORTUBER</v>
      </c>
      <c r="B1318" s="2">
        <v>44533</v>
      </c>
      <c r="C1318" s="2">
        <v>44537</v>
      </c>
      <c r="D1318" s="3" t="s">
        <v>1624</v>
      </c>
      <c r="E1318" s="3">
        <v>8.8000000000000007</v>
      </c>
      <c r="F1318" s="3">
        <v>1</v>
      </c>
      <c r="G1318" s="3">
        <f t="shared" si="67"/>
        <v>8.8000000000000007</v>
      </c>
      <c r="H1318" s="3" t="s">
        <v>266</v>
      </c>
      <c r="I1318" s="1" t="s">
        <v>296</v>
      </c>
      <c r="J1318" s="1" t="s">
        <v>299</v>
      </c>
      <c r="K1318" s="1" t="s">
        <v>298</v>
      </c>
      <c r="L1318" s="1" t="s">
        <v>267</v>
      </c>
      <c r="M1318" s="1"/>
      <c r="N1318" s="1">
        <f t="shared" si="66"/>
        <v>12</v>
      </c>
      <c r="O1318" s="87"/>
    </row>
    <row r="1319" spans="1:15" ht="15.75" hidden="1" x14ac:dyDescent="0.25">
      <c r="A1319" s="1" t="str">
        <f t="shared" si="65"/>
        <v>445334453474DINERSSHOPPINGMAX</v>
      </c>
      <c r="B1319" s="2">
        <v>44533</v>
      </c>
      <c r="C1319" s="2">
        <v>44534</v>
      </c>
      <c r="D1319" s="3" t="s">
        <v>1625</v>
      </c>
      <c r="E1319" s="3">
        <v>74</v>
      </c>
      <c r="F1319" s="3">
        <v>1</v>
      </c>
      <c r="G1319" s="3">
        <f t="shared" si="67"/>
        <v>74</v>
      </c>
      <c r="H1319" s="3" t="s">
        <v>266</v>
      </c>
      <c r="I1319" s="1" t="s">
        <v>194</v>
      </c>
      <c r="J1319" s="1" t="s">
        <v>776</v>
      </c>
      <c r="K1319" s="1" t="s">
        <v>298</v>
      </c>
      <c r="L1319" s="1" t="s">
        <v>267</v>
      </c>
      <c r="M1319" s="1"/>
      <c r="N1319" s="1">
        <f t="shared" si="66"/>
        <v>12</v>
      </c>
      <c r="O1319" s="87"/>
    </row>
    <row r="1320" spans="1:15" ht="15.75" hidden="1" x14ac:dyDescent="0.25">
      <c r="A1320" s="1" t="str">
        <f t="shared" si="65"/>
        <v>445334453413DINERSGROCERYTOTAL FRESH</v>
      </c>
      <c r="B1320" s="2">
        <v>44533</v>
      </c>
      <c r="C1320" s="2">
        <v>44534</v>
      </c>
      <c r="D1320" s="3" t="s">
        <v>1626</v>
      </c>
      <c r="E1320" s="3">
        <v>13</v>
      </c>
      <c r="F1320" s="3">
        <v>1</v>
      </c>
      <c r="G1320" s="3">
        <f t="shared" si="67"/>
        <v>13</v>
      </c>
      <c r="H1320" s="3" t="s">
        <v>266</v>
      </c>
      <c r="I1320" s="1" t="s">
        <v>43</v>
      </c>
      <c r="J1320" s="1" t="s">
        <v>1394</v>
      </c>
      <c r="K1320" s="1" t="s">
        <v>298</v>
      </c>
      <c r="L1320" s="1" t="s">
        <v>267</v>
      </c>
      <c r="M1320" s="1"/>
      <c r="N1320" s="1">
        <f t="shared" si="66"/>
        <v>12</v>
      </c>
      <c r="O1320" s="87"/>
    </row>
    <row r="1321" spans="1:15" ht="15.75" hidden="1" x14ac:dyDescent="0.25">
      <c r="A1321" s="1" t="str">
        <f t="shared" si="65"/>
        <v>445344453625MASTER CCFOODFINGERTIPS</v>
      </c>
      <c r="B1321" s="2">
        <v>44534</v>
      </c>
      <c r="C1321" s="2">
        <v>44536</v>
      </c>
      <c r="D1321" s="3" t="s">
        <v>1647</v>
      </c>
      <c r="E1321" s="3">
        <v>25</v>
      </c>
      <c r="F1321" s="3">
        <v>1</v>
      </c>
      <c r="G1321" s="3">
        <f t="shared" si="67"/>
        <v>25</v>
      </c>
      <c r="H1321" s="3" t="s">
        <v>291</v>
      </c>
      <c r="I1321" s="1" t="s">
        <v>10</v>
      </c>
      <c r="J1321" s="1" t="s">
        <v>1422</v>
      </c>
      <c r="K1321" s="1" t="s">
        <v>298</v>
      </c>
      <c r="L1321" s="1" t="s">
        <v>267</v>
      </c>
      <c r="M1321" s="1"/>
      <c r="N1321" s="1">
        <f t="shared" si="66"/>
        <v>12</v>
      </c>
      <c r="O1321" s="65"/>
    </row>
    <row r="1322" spans="1:15" ht="15.75" hidden="1" x14ac:dyDescent="0.25">
      <c r="A1322" s="1" t="str">
        <f t="shared" si="65"/>
        <v>44534445368MASTER CCTRANSPORTCAREEM</v>
      </c>
      <c r="B1322" s="2">
        <v>44534</v>
      </c>
      <c r="C1322" s="2">
        <v>44536</v>
      </c>
      <c r="D1322" s="3" t="s">
        <v>1646</v>
      </c>
      <c r="E1322" s="3">
        <v>8</v>
      </c>
      <c r="F1322" s="3">
        <v>1</v>
      </c>
      <c r="G1322" s="3">
        <f t="shared" si="67"/>
        <v>8</v>
      </c>
      <c r="H1322" s="3" t="s">
        <v>291</v>
      </c>
      <c r="I1322" s="1" t="s">
        <v>296</v>
      </c>
      <c r="J1322" s="1" t="s">
        <v>297</v>
      </c>
      <c r="K1322" s="1" t="s">
        <v>298</v>
      </c>
      <c r="L1322" s="1" t="s">
        <v>267</v>
      </c>
      <c r="M1322" s="1"/>
      <c r="N1322" s="1">
        <f t="shared" si="66"/>
        <v>12</v>
      </c>
      <c r="O1322" s="65"/>
    </row>
    <row r="1323" spans="1:15" ht="15.75" hidden="1" x14ac:dyDescent="0.25">
      <c r="A1323" s="1" t="str">
        <f t="shared" si="65"/>
        <v>445344453525.5DINERSGROCERYTOTAL FRESH</v>
      </c>
      <c r="B1323" s="2">
        <v>44534</v>
      </c>
      <c r="C1323" s="2">
        <v>44535</v>
      </c>
      <c r="D1323" s="3" t="s">
        <v>1623</v>
      </c>
      <c r="E1323" s="3">
        <v>25.5</v>
      </c>
      <c r="F1323" s="3">
        <v>1</v>
      </c>
      <c r="G1323" s="3">
        <f t="shared" si="67"/>
        <v>25.5</v>
      </c>
      <c r="H1323" s="3" t="s">
        <v>266</v>
      </c>
      <c r="I1323" s="1" t="s">
        <v>43</v>
      </c>
      <c r="J1323" s="1" t="s">
        <v>1394</v>
      </c>
      <c r="K1323" s="1" t="s">
        <v>298</v>
      </c>
      <c r="L1323" s="1" t="s">
        <v>267</v>
      </c>
      <c r="M1323" s="1"/>
      <c r="N1323" s="1">
        <f t="shared" si="66"/>
        <v>12</v>
      </c>
      <c r="O1323" s="87"/>
    </row>
    <row r="1324" spans="1:15" ht="15.75" hidden="1" x14ac:dyDescent="0.25">
      <c r="A1324" s="1" t="str">
        <f t="shared" si="65"/>
        <v>4453544537500MASTER CCWITHDRAWSELF</v>
      </c>
      <c r="B1324" s="2">
        <v>44535</v>
      </c>
      <c r="C1324" s="2">
        <v>44537</v>
      </c>
      <c r="D1324" s="3" t="s">
        <v>1645</v>
      </c>
      <c r="E1324" s="3">
        <v>500</v>
      </c>
      <c r="F1324" s="3">
        <v>1</v>
      </c>
      <c r="G1324" s="3">
        <f t="shared" si="67"/>
        <v>500</v>
      </c>
      <c r="H1324" s="3" t="s">
        <v>291</v>
      </c>
      <c r="I1324" s="1" t="s">
        <v>13</v>
      </c>
      <c r="J1324" s="1" t="s">
        <v>14</v>
      </c>
      <c r="K1324" s="1" t="s">
        <v>298</v>
      </c>
      <c r="L1324" s="1" t="s">
        <v>267</v>
      </c>
      <c r="M1324" s="1"/>
      <c r="N1324" s="1">
        <f t="shared" si="66"/>
        <v>12</v>
      </c>
      <c r="O1324" s="65"/>
    </row>
    <row r="1325" spans="1:15" ht="15.75" hidden="1" x14ac:dyDescent="0.25">
      <c r="A1325" s="1" t="str">
        <f t="shared" si="65"/>
        <v>44535445351250CURRENTSAVINGSELF</v>
      </c>
      <c r="B1325" s="2">
        <v>44535</v>
      </c>
      <c r="C1325" s="2">
        <v>44535</v>
      </c>
      <c r="D1325" s="3" t="s">
        <v>1167</v>
      </c>
      <c r="E1325" s="3">
        <v>-1250</v>
      </c>
      <c r="F1325" s="3">
        <v>1</v>
      </c>
      <c r="G1325" s="3">
        <f t="shared" si="67"/>
        <v>1250</v>
      </c>
      <c r="H1325" s="3" t="s">
        <v>293</v>
      </c>
      <c r="I1325" s="1" t="s">
        <v>302</v>
      </c>
      <c r="J1325" s="1" t="s">
        <v>14</v>
      </c>
      <c r="K1325" s="1" t="s">
        <v>298</v>
      </c>
      <c r="L1325" s="1" t="s">
        <v>257</v>
      </c>
      <c r="M1325" s="1"/>
      <c r="N1325" s="1">
        <f t="shared" si="66"/>
        <v>12</v>
      </c>
      <c r="O1325" s="65"/>
    </row>
    <row r="1326" spans="1:15" ht="15.75" hidden="1" x14ac:dyDescent="0.25">
      <c r="A1326" s="1" t="str">
        <f t="shared" si="65"/>
        <v>4453544536301DINERSSHOPPINGBABYSHOP</v>
      </c>
      <c r="B1326" s="2">
        <v>44535</v>
      </c>
      <c r="C1326" s="2">
        <v>44536</v>
      </c>
      <c r="D1326" s="3" t="s">
        <v>1621</v>
      </c>
      <c r="E1326" s="3">
        <v>301</v>
      </c>
      <c r="F1326" s="3">
        <v>1</v>
      </c>
      <c r="G1326" s="3">
        <f t="shared" si="67"/>
        <v>301</v>
      </c>
      <c r="H1326" s="3" t="s">
        <v>266</v>
      </c>
      <c r="I1326" s="1" t="s">
        <v>194</v>
      </c>
      <c r="J1326" s="1" t="s">
        <v>1650</v>
      </c>
      <c r="K1326" s="1" t="s">
        <v>298</v>
      </c>
      <c r="L1326" s="1" t="s">
        <v>267</v>
      </c>
      <c r="M1326" s="1"/>
      <c r="N1326" s="1">
        <f t="shared" si="66"/>
        <v>12</v>
      </c>
      <c r="O1326" s="87"/>
    </row>
    <row r="1327" spans="1:15" ht="15.75" hidden="1" x14ac:dyDescent="0.25">
      <c r="A1327" s="1" t="str">
        <f t="shared" si="65"/>
        <v>445354453622DINERSGROCERYTOTAL FRESH</v>
      </c>
      <c r="B1327" s="2">
        <v>44535</v>
      </c>
      <c r="C1327" s="2">
        <v>44536</v>
      </c>
      <c r="D1327" s="3" t="s">
        <v>1622</v>
      </c>
      <c r="E1327" s="3">
        <v>22</v>
      </c>
      <c r="F1327" s="3">
        <v>1</v>
      </c>
      <c r="G1327" s="3">
        <f t="shared" si="67"/>
        <v>22</v>
      </c>
      <c r="H1327" s="3" t="s">
        <v>266</v>
      </c>
      <c r="I1327" s="1" t="s">
        <v>43</v>
      </c>
      <c r="J1327" s="1" t="s">
        <v>1394</v>
      </c>
      <c r="K1327" s="1" t="s">
        <v>298</v>
      </c>
      <c r="L1327" s="1" t="s">
        <v>267</v>
      </c>
      <c r="M1327" s="1"/>
      <c r="N1327" s="1">
        <f t="shared" si="66"/>
        <v>12</v>
      </c>
      <c r="O1327" s="87"/>
    </row>
    <row r="1328" spans="1:15" ht="15.75" hidden="1" x14ac:dyDescent="0.25">
      <c r="A1328" s="1" t="str">
        <f t="shared" si="65"/>
        <v>44535445359838SAVINGTRANSFERINDIA</v>
      </c>
      <c r="B1328" s="2">
        <v>44535</v>
      </c>
      <c r="C1328" s="2">
        <v>44535</v>
      </c>
      <c r="D1328" s="3" t="s">
        <v>1662</v>
      </c>
      <c r="E1328" s="3">
        <v>-9838</v>
      </c>
      <c r="F1328" s="3">
        <v>1</v>
      </c>
      <c r="G1328" s="3">
        <f t="shared" si="67"/>
        <v>9838</v>
      </c>
      <c r="H1328" s="3" t="s">
        <v>302</v>
      </c>
      <c r="I1328" s="1" t="s">
        <v>22</v>
      </c>
      <c r="J1328" s="1" t="s">
        <v>23</v>
      </c>
      <c r="K1328" s="1" t="s">
        <v>22</v>
      </c>
      <c r="L1328" s="1" t="s">
        <v>257</v>
      </c>
      <c r="M1328" s="1"/>
      <c r="N1328" s="1">
        <f t="shared" si="66"/>
        <v>12</v>
      </c>
      <c r="O1328" s="65"/>
    </row>
    <row r="1329" spans="1:15" ht="15.75" hidden="1" x14ac:dyDescent="0.25">
      <c r="A1329" s="1" t="str">
        <f t="shared" si="65"/>
        <v>44535445350.98SAVINGSERVICEBANK</v>
      </c>
      <c r="B1329" s="2">
        <v>44535</v>
      </c>
      <c r="C1329" s="2">
        <v>44535</v>
      </c>
      <c r="D1329" s="3" t="s">
        <v>1663</v>
      </c>
      <c r="E1329" s="3">
        <v>-0.98</v>
      </c>
      <c r="F1329" s="3">
        <v>1</v>
      </c>
      <c r="G1329" s="3">
        <f t="shared" si="67"/>
        <v>0.98</v>
      </c>
      <c r="H1329" s="3" t="s">
        <v>302</v>
      </c>
      <c r="I1329" s="1" t="s">
        <v>7</v>
      </c>
      <c r="J1329" s="1" t="s">
        <v>8</v>
      </c>
      <c r="K1329" s="1" t="s">
        <v>298</v>
      </c>
      <c r="L1329" s="1" t="s">
        <v>257</v>
      </c>
      <c r="M1329" s="1"/>
      <c r="N1329" s="1">
        <f t="shared" si="66"/>
        <v>12</v>
      </c>
      <c r="O1329" s="65"/>
    </row>
    <row r="1330" spans="1:15" ht="15.75" hidden="1" x14ac:dyDescent="0.25">
      <c r="A1330" s="1" t="str">
        <f t="shared" si="65"/>
        <v>445354453515SAVINGSERVICEBANK</v>
      </c>
      <c r="B1330" s="2">
        <v>44535</v>
      </c>
      <c r="C1330" s="2">
        <v>44535</v>
      </c>
      <c r="D1330" s="3" t="s">
        <v>1664</v>
      </c>
      <c r="E1330" s="3">
        <v>-15</v>
      </c>
      <c r="F1330" s="3">
        <v>1</v>
      </c>
      <c r="G1330" s="3">
        <f t="shared" si="67"/>
        <v>15</v>
      </c>
      <c r="H1330" s="3" t="s">
        <v>302</v>
      </c>
      <c r="I1330" s="1" t="s">
        <v>7</v>
      </c>
      <c r="J1330" s="1" t="s">
        <v>8</v>
      </c>
      <c r="K1330" s="1" t="s">
        <v>298</v>
      </c>
      <c r="L1330" s="1" t="s">
        <v>257</v>
      </c>
      <c r="M1330" s="1"/>
      <c r="N1330" s="1">
        <f t="shared" si="66"/>
        <v>12</v>
      </c>
      <c r="O1330" s="65"/>
    </row>
    <row r="1331" spans="1:15" ht="15.75" hidden="1" x14ac:dyDescent="0.25">
      <c r="A1331" s="1" t="str">
        <f t="shared" si="65"/>
        <v>445374453880MASTER CCSHOPPINGSPLASH</v>
      </c>
      <c r="B1331" s="2">
        <v>44537</v>
      </c>
      <c r="C1331" s="2">
        <v>44538</v>
      </c>
      <c r="D1331" s="3" t="s">
        <v>1644</v>
      </c>
      <c r="E1331" s="3">
        <v>80</v>
      </c>
      <c r="F1331" s="3">
        <v>1</v>
      </c>
      <c r="G1331" s="3">
        <f t="shared" si="67"/>
        <v>80</v>
      </c>
      <c r="H1331" s="3" t="s">
        <v>291</v>
      </c>
      <c r="I1331" s="1" t="s">
        <v>194</v>
      </c>
      <c r="J1331" s="1" t="s">
        <v>1652</v>
      </c>
      <c r="K1331" s="1" t="s">
        <v>298</v>
      </c>
      <c r="L1331" s="1" t="s">
        <v>267</v>
      </c>
      <c r="M1331" s="1"/>
      <c r="N1331" s="1">
        <f t="shared" si="66"/>
        <v>12</v>
      </c>
      <c r="O1331" s="65"/>
    </row>
    <row r="1332" spans="1:15" ht="15.75" hidden="1" x14ac:dyDescent="0.25">
      <c r="A1332" s="1" t="str">
        <f t="shared" si="65"/>
        <v>445374453722.5MASTER CCSERVICEBANK</v>
      </c>
      <c r="B1332" s="2">
        <v>44537</v>
      </c>
      <c r="C1332" s="2">
        <v>44537</v>
      </c>
      <c r="D1332" s="3" t="s">
        <v>1643</v>
      </c>
      <c r="E1332" s="3">
        <v>22.5</v>
      </c>
      <c r="F1332" s="3">
        <v>1</v>
      </c>
      <c r="G1332" s="3">
        <f t="shared" si="67"/>
        <v>22.5</v>
      </c>
      <c r="H1332" s="3" t="s">
        <v>291</v>
      </c>
      <c r="I1332" s="1" t="s">
        <v>7</v>
      </c>
      <c r="J1332" s="1" t="s">
        <v>8</v>
      </c>
      <c r="K1332" s="1" t="s">
        <v>298</v>
      </c>
      <c r="L1332" s="1" t="s">
        <v>267</v>
      </c>
      <c r="M1332" s="1"/>
      <c r="N1332" s="1">
        <f t="shared" si="66"/>
        <v>12</v>
      </c>
      <c r="O1332" s="65"/>
    </row>
    <row r="1333" spans="1:15" ht="15.75" hidden="1" x14ac:dyDescent="0.25">
      <c r="A1333" s="1" t="str">
        <f t="shared" si="65"/>
        <v>445374453826DINERSFOODAL AKER</v>
      </c>
      <c r="B1333" s="2">
        <v>44537</v>
      </c>
      <c r="C1333" s="2">
        <v>44538</v>
      </c>
      <c r="D1333" s="3" t="s">
        <v>1619</v>
      </c>
      <c r="E1333" s="3">
        <v>26</v>
      </c>
      <c r="F1333" s="3">
        <v>1</v>
      </c>
      <c r="G1333" s="3">
        <f t="shared" si="67"/>
        <v>26</v>
      </c>
      <c r="H1333" s="3" t="s">
        <v>266</v>
      </c>
      <c r="I1333" s="1" t="s">
        <v>10</v>
      </c>
      <c r="J1333" s="1" t="s">
        <v>1651</v>
      </c>
      <c r="K1333" s="1" t="s">
        <v>298</v>
      </c>
      <c r="L1333" s="1" t="s">
        <v>267</v>
      </c>
      <c r="M1333" s="1"/>
      <c r="N1333" s="1">
        <f t="shared" si="66"/>
        <v>12</v>
      </c>
      <c r="O1333" s="87"/>
    </row>
    <row r="1334" spans="1:15" ht="15.75" hidden="1" x14ac:dyDescent="0.25">
      <c r="A1334" s="1" t="str">
        <f t="shared" si="65"/>
        <v>445374453837.02DINERSGROCERYTOTAL FRESH</v>
      </c>
      <c r="B1334" s="2">
        <v>44537</v>
      </c>
      <c r="C1334" s="2">
        <v>44538</v>
      </c>
      <c r="D1334" s="3" t="s">
        <v>1620</v>
      </c>
      <c r="E1334" s="3">
        <v>37.020000000000003</v>
      </c>
      <c r="F1334" s="3">
        <v>1</v>
      </c>
      <c r="G1334" s="3">
        <f t="shared" si="67"/>
        <v>37.020000000000003</v>
      </c>
      <c r="H1334" s="3" t="s">
        <v>266</v>
      </c>
      <c r="I1334" s="1" t="s">
        <v>43</v>
      </c>
      <c r="J1334" s="1" t="s">
        <v>1394</v>
      </c>
      <c r="K1334" s="1" t="s">
        <v>298</v>
      </c>
      <c r="L1334" s="1" t="s">
        <v>267</v>
      </c>
      <c r="M1334" s="1"/>
      <c r="N1334" s="1">
        <f t="shared" si="66"/>
        <v>12</v>
      </c>
      <c r="O1334" s="87"/>
    </row>
    <row r="1335" spans="1:15" ht="15.75" hidden="1" x14ac:dyDescent="0.25">
      <c r="A1335" s="1" t="str">
        <f t="shared" si="65"/>
        <v>445384454056MASTER CCFOODSHRIJI</v>
      </c>
      <c r="B1335" s="2">
        <v>44538</v>
      </c>
      <c r="C1335" s="2">
        <v>44540</v>
      </c>
      <c r="D1335" s="3" t="s">
        <v>1642</v>
      </c>
      <c r="E1335" s="3">
        <v>56</v>
      </c>
      <c r="F1335" s="3">
        <v>1</v>
      </c>
      <c r="G1335" s="3">
        <f t="shared" si="67"/>
        <v>56</v>
      </c>
      <c r="H1335" s="3" t="s">
        <v>291</v>
      </c>
      <c r="I1335" s="1" t="s">
        <v>10</v>
      </c>
      <c r="J1335" s="1" t="s">
        <v>1654</v>
      </c>
      <c r="K1335" s="1" t="s">
        <v>298</v>
      </c>
      <c r="L1335" s="1" t="s">
        <v>267</v>
      </c>
      <c r="M1335" s="1"/>
      <c r="N1335" s="1">
        <f t="shared" si="66"/>
        <v>12</v>
      </c>
      <c r="O1335" s="65"/>
    </row>
    <row r="1336" spans="1:15" ht="15.75" hidden="1" x14ac:dyDescent="0.25">
      <c r="A1336" s="1" t="str">
        <f t="shared" si="65"/>
        <v>445384454216.74DINERSTRANSPORTUBER</v>
      </c>
      <c r="B1336" s="2">
        <v>44538</v>
      </c>
      <c r="C1336" s="2">
        <v>44542</v>
      </c>
      <c r="D1336" s="3" t="s">
        <v>1615</v>
      </c>
      <c r="E1336" s="3">
        <v>16.739999999999998</v>
      </c>
      <c r="F1336" s="3">
        <v>1</v>
      </c>
      <c r="G1336" s="3">
        <f t="shared" si="67"/>
        <v>16.739999999999998</v>
      </c>
      <c r="H1336" s="3" t="s">
        <v>266</v>
      </c>
      <c r="I1336" s="1" t="s">
        <v>296</v>
      </c>
      <c r="J1336" s="1" t="s">
        <v>299</v>
      </c>
      <c r="K1336" s="1" t="s">
        <v>298</v>
      </c>
      <c r="L1336" s="1" t="s">
        <v>267</v>
      </c>
      <c r="M1336" s="1"/>
      <c r="N1336" s="1">
        <f t="shared" si="66"/>
        <v>12</v>
      </c>
      <c r="O1336" s="87"/>
    </row>
    <row r="1337" spans="1:15" ht="15.75" hidden="1" x14ac:dyDescent="0.25">
      <c r="A1337" s="1" t="str">
        <f t="shared" si="65"/>
        <v>445384454214.97DINERSTRANSPORTUBER</v>
      </c>
      <c r="B1337" s="2">
        <v>44538</v>
      </c>
      <c r="C1337" s="2">
        <v>44542</v>
      </c>
      <c r="D1337" s="3" t="s">
        <v>1616</v>
      </c>
      <c r="E1337" s="3">
        <v>14.97</v>
      </c>
      <c r="F1337" s="3">
        <v>1</v>
      </c>
      <c r="G1337" s="3">
        <f t="shared" si="67"/>
        <v>14.97</v>
      </c>
      <c r="H1337" s="3" t="s">
        <v>266</v>
      </c>
      <c r="I1337" s="1" t="s">
        <v>296</v>
      </c>
      <c r="J1337" s="1" t="s">
        <v>299</v>
      </c>
      <c r="K1337" s="1" t="s">
        <v>298</v>
      </c>
      <c r="L1337" s="1" t="s">
        <v>267</v>
      </c>
      <c r="M1337" s="1"/>
      <c r="N1337" s="1">
        <f t="shared" si="66"/>
        <v>12</v>
      </c>
      <c r="O1337" s="87"/>
    </row>
    <row r="1338" spans="1:15" ht="15.75" hidden="1" x14ac:dyDescent="0.25">
      <c r="A1338" s="1" t="str">
        <f t="shared" si="65"/>
        <v>44538445428DINERSTRANSPORTUBER</v>
      </c>
      <c r="B1338" s="2">
        <v>44538</v>
      </c>
      <c r="C1338" s="2">
        <v>44542</v>
      </c>
      <c r="D1338" s="3" t="s">
        <v>1617</v>
      </c>
      <c r="E1338" s="3">
        <v>8</v>
      </c>
      <c r="F1338" s="3">
        <v>1</v>
      </c>
      <c r="G1338" s="3">
        <f t="shared" si="67"/>
        <v>8</v>
      </c>
      <c r="H1338" s="3" t="s">
        <v>266</v>
      </c>
      <c r="I1338" s="1" t="s">
        <v>296</v>
      </c>
      <c r="J1338" s="1" t="s">
        <v>299</v>
      </c>
      <c r="K1338" s="1" t="s">
        <v>298</v>
      </c>
      <c r="L1338" s="1" t="s">
        <v>267</v>
      </c>
      <c r="M1338" s="1"/>
      <c r="N1338" s="1">
        <f t="shared" si="66"/>
        <v>12</v>
      </c>
      <c r="O1338" s="87"/>
    </row>
    <row r="1339" spans="1:15" ht="15.75" hidden="1" x14ac:dyDescent="0.25">
      <c r="A1339" s="1" t="str">
        <f t="shared" si="65"/>
        <v>4453844539121DINERSGROCERYLULU</v>
      </c>
      <c r="B1339" s="2">
        <v>44538</v>
      </c>
      <c r="C1339" s="2">
        <v>44539</v>
      </c>
      <c r="D1339" s="3" t="s">
        <v>1618</v>
      </c>
      <c r="E1339" s="3">
        <v>121</v>
      </c>
      <c r="F1339" s="3">
        <v>1</v>
      </c>
      <c r="G1339" s="3">
        <f t="shared" si="67"/>
        <v>121</v>
      </c>
      <c r="H1339" s="3" t="s">
        <v>266</v>
      </c>
      <c r="I1339" s="1" t="s">
        <v>43</v>
      </c>
      <c r="J1339" s="1" t="s">
        <v>44</v>
      </c>
      <c r="K1339" s="1" t="s">
        <v>298</v>
      </c>
      <c r="L1339" s="1" t="s">
        <v>267</v>
      </c>
      <c r="M1339" s="1"/>
      <c r="N1339" s="1">
        <f t="shared" si="66"/>
        <v>12</v>
      </c>
      <c r="O1339" s="87"/>
    </row>
    <row r="1340" spans="1:15" ht="15.75" hidden="1" x14ac:dyDescent="0.25">
      <c r="A1340" s="1" t="str">
        <f t="shared" si="65"/>
        <v>4453844540375MASTER CCMEDICALAL SHEFA</v>
      </c>
      <c r="B1340" s="2">
        <v>44538</v>
      </c>
      <c r="C1340" s="2">
        <v>44540</v>
      </c>
      <c r="D1340" s="3" t="s">
        <v>1641</v>
      </c>
      <c r="E1340" s="3">
        <v>375</v>
      </c>
      <c r="F1340" s="3">
        <v>1</v>
      </c>
      <c r="G1340" s="3">
        <f t="shared" si="67"/>
        <v>375</v>
      </c>
      <c r="H1340" s="3" t="s">
        <v>291</v>
      </c>
      <c r="I1340" s="1" t="s">
        <v>301</v>
      </c>
      <c r="J1340" s="1" t="s">
        <v>1653</v>
      </c>
      <c r="K1340" s="1" t="s">
        <v>298</v>
      </c>
      <c r="L1340" s="1" t="s">
        <v>267</v>
      </c>
      <c r="M1340" s="1"/>
      <c r="N1340" s="1">
        <f t="shared" si="66"/>
        <v>12</v>
      </c>
      <c r="O1340" s="65"/>
    </row>
    <row r="1341" spans="1:15" ht="15.75" hidden="1" x14ac:dyDescent="0.25">
      <c r="A1341" s="1" t="str">
        <f t="shared" si="65"/>
        <v>445394454310MASTER CCTELECOMOOREDOO</v>
      </c>
      <c r="B1341" s="2">
        <v>44539</v>
      </c>
      <c r="C1341" s="2">
        <v>44543</v>
      </c>
      <c r="D1341" s="3" t="s">
        <v>1640</v>
      </c>
      <c r="E1341" s="3">
        <v>10</v>
      </c>
      <c r="F1341" s="3">
        <v>1</v>
      </c>
      <c r="G1341" s="3">
        <f t="shared" si="67"/>
        <v>10</v>
      </c>
      <c r="H1341" s="3" t="s">
        <v>291</v>
      </c>
      <c r="I1341" s="1" t="s">
        <v>58</v>
      </c>
      <c r="J1341" s="1" t="s">
        <v>59</v>
      </c>
      <c r="K1341" s="1" t="s">
        <v>298</v>
      </c>
      <c r="L1341" s="1" t="s">
        <v>267</v>
      </c>
      <c r="M1341" s="1"/>
      <c r="N1341" s="1">
        <f t="shared" si="66"/>
        <v>12</v>
      </c>
      <c r="O1341" s="65"/>
    </row>
    <row r="1342" spans="1:15" ht="15.75" hidden="1" x14ac:dyDescent="0.25">
      <c r="A1342" s="1" t="str">
        <f t="shared" si="65"/>
        <v>445394454360MASTER CCTELECOMOOREDOO</v>
      </c>
      <c r="B1342" s="2">
        <v>44539</v>
      </c>
      <c r="C1342" s="2">
        <v>44543</v>
      </c>
      <c r="D1342" s="3" t="s">
        <v>1639</v>
      </c>
      <c r="E1342" s="3">
        <v>60</v>
      </c>
      <c r="F1342" s="3">
        <v>1</v>
      </c>
      <c r="G1342" s="3">
        <f t="shared" si="67"/>
        <v>60</v>
      </c>
      <c r="H1342" s="3" t="s">
        <v>291</v>
      </c>
      <c r="I1342" s="1" t="s">
        <v>58</v>
      </c>
      <c r="J1342" s="1" t="s">
        <v>59</v>
      </c>
      <c r="K1342" s="1" t="s">
        <v>298</v>
      </c>
      <c r="L1342" s="1" t="s">
        <v>267</v>
      </c>
      <c r="M1342" s="1"/>
      <c r="N1342" s="1">
        <f t="shared" si="66"/>
        <v>12</v>
      </c>
      <c r="O1342" s="65"/>
    </row>
    <row r="1343" spans="1:15" ht="15.75" hidden="1" x14ac:dyDescent="0.25">
      <c r="A1343" s="1" t="str">
        <f t="shared" si="65"/>
        <v>44539445428DINERSTRANSPORTUBER</v>
      </c>
      <c r="B1343" s="2">
        <v>44539</v>
      </c>
      <c r="C1343" s="2">
        <v>44542</v>
      </c>
      <c r="D1343" s="3" t="s">
        <v>1611</v>
      </c>
      <c r="E1343" s="3">
        <v>8</v>
      </c>
      <c r="F1343" s="3">
        <v>1</v>
      </c>
      <c r="G1343" s="3">
        <f t="shared" si="67"/>
        <v>8</v>
      </c>
      <c r="H1343" s="3" t="s">
        <v>266</v>
      </c>
      <c r="I1343" s="1" t="s">
        <v>296</v>
      </c>
      <c r="J1343" s="1" t="s">
        <v>299</v>
      </c>
      <c r="K1343" s="1" t="s">
        <v>298</v>
      </c>
      <c r="L1343" s="1" t="s">
        <v>267</v>
      </c>
      <c r="M1343" s="1"/>
      <c r="N1343" s="1">
        <f t="shared" si="66"/>
        <v>12</v>
      </c>
      <c r="O1343" s="87"/>
    </row>
    <row r="1344" spans="1:15" ht="15.75" hidden="1" x14ac:dyDescent="0.25">
      <c r="A1344" s="1" t="str">
        <f t="shared" si="65"/>
        <v>445394454216.47DINERSTRANSPORTUBER</v>
      </c>
      <c r="B1344" s="2">
        <v>44539</v>
      </c>
      <c r="C1344" s="2">
        <v>44542</v>
      </c>
      <c r="D1344" s="3" t="s">
        <v>1612</v>
      </c>
      <c r="E1344" s="3">
        <v>16.47</v>
      </c>
      <c r="F1344" s="3">
        <v>1</v>
      </c>
      <c r="G1344" s="3">
        <f t="shared" si="67"/>
        <v>16.47</v>
      </c>
      <c r="H1344" s="3" t="s">
        <v>266</v>
      </c>
      <c r="I1344" s="1" t="s">
        <v>296</v>
      </c>
      <c r="J1344" s="1" t="s">
        <v>299</v>
      </c>
      <c r="K1344" s="1" t="s">
        <v>298</v>
      </c>
      <c r="L1344" s="1" t="s">
        <v>267</v>
      </c>
      <c r="M1344" s="1"/>
      <c r="N1344" s="1">
        <f t="shared" si="66"/>
        <v>12</v>
      </c>
      <c r="O1344" s="87"/>
    </row>
    <row r="1345" spans="1:15" ht="15.75" hidden="1" x14ac:dyDescent="0.25">
      <c r="A1345" s="1" t="str">
        <f t="shared" si="65"/>
        <v>445394454058DINERSGROCERYTOTAL FRESH</v>
      </c>
      <c r="B1345" s="2">
        <v>44539</v>
      </c>
      <c r="C1345" s="2">
        <v>44540</v>
      </c>
      <c r="D1345" s="3" t="s">
        <v>1613</v>
      </c>
      <c r="E1345" s="3">
        <v>58</v>
      </c>
      <c r="F1345" s="3">
        <v>1</v>
      </c>
      <c r="G1345" s="3">
        <f t="shared" si="67"/>
        <v>58</v>
      </c>
      <c r="H1345" s="3" t="s">
        <v>266</v>
      </c>
      <c r="I1345" s="1" t="s">
        <v>43</v>
      </c>
      <c r="J1345" s="1" t="s">
        <v>1394</v>
      </c>
      <c r="K1345" s="1" t="s">
        <v>298</v>
      </c>
      <c r="L1345" s="1" t="s">
        <v>267</v>
      </c>
      <c r="M1345" s="1"/>
      <c r="N1345" s="1">
        <f t="shared" si="66"/>
        <v>12</v>
      </c>
      <c r="O1345" s="87"/>
    </row>
    <row r="1346" spans="1:15" ht="15.75" hidden="1" x14ac:dyDescent="0.25">
      <c r="A1346" s="1" t="str">
        <f t="shared" ref="A1346:A1409" si="68">B1346&amp;C1346&amp;G1346&amp;H1346&amp;I1346&amp;J1346</f>
        <v>445394454086.5DINERSGROCERYTOTAL FRESH</v>
      </c>
      <c r="B1346" s="2">
        <v>44539</v>
      </c>
      <c r="C1346" s="2">
        <v>44540</v>
      </c>
      <c r="D1346" s="3" t="s">
        <v>1614</v>
      </c>
      <c r="E1346" s="3">
        <v>86.5</v>
      </c>
      <c r="F1346" s="3">
        <v>1</v>
      </c>
      <c r="G1346" s="3">
        <f t="shared" si="67"/>
        <v>86.5</v>
      </c>
      <c r="H1346" s="3" t="s">
        <v>266</v>
      </c>
      <c r="I1346" s="1" t="s">
        <v>43</v>
      </c>
      <c r="J1346" s="1" t="s">
        <v>1394</v>
      </c>
      <c r="K1346" s="1" t="s">
        <v>298</v>
      </c>
      <c r="L1346" s="1" t="s">
        <v>267</v>
      </c>
      <c r="M1346" s="1"/>
      <c r="N1346" s="1">
        <f t="shared" ref="N1346:N1409" si="69">MONTH(C1346)</f>
        <v>12</v>
      </c>
      <c r="O1346" s="87"/>
    </row>
    <row r="1347" spans="1:15" ht="15.75" hidden="1" x14ac:dyDescent="0.25">
      <c r="A1347" s="1" t="str">
        <f t="shared" si="68"/>
        <v>4454244545160MASTER CCTRAVELHEALTH CENTER</v>
      </c>
      <c r="B1347" s="2">
        <v>44542</v>
      </c>
      <c r="C1347" s="2">
        <v>44545</v>
      </c>
      <c r="D1347" s="3" t="s">
        <v>1638</v>
      </c>
      <c r="E1347" s="3">
        <v>160</v>
      </c>
      <c r="F1347" s="3">
        <v>1</v>
      </c>
      <c r="G1347" s="3">
        <f t="shared" si="67"/>
        <v>160</v>
      </c>
      <c r="H1347" s="3" t="s">
        <v>291</v>
      </c>
      <c r="I1347" s="1" t="s">
        <v>393</v>
      </c>
      <c r="J1347" s="1" t="s">
        <v>159</v>
      </c>
      <c r="K1347" s="1" t="s">
        <v>298</v>
      </c>
      <c r="L1347" s="1" t="s">
        <v>267</v>
      </c>
      <c r="M1347" s="1"/>
      <c r="N1347" s="1">
        <f t="shared" si="69"/>
        <v>12</v>
      </c>
      <c r="O1347" s="65"/>
    </row>
    <row r="1348" spans="1:15" ht="15.75" hidden="1" x14ac:dyDescent="0.25">
      <c r="A1348" s="1" t="str">
        <f t="shared" si="68"/>
        <v>4454244545160MASTER CCTRAVELHEALTH CENTER</v>
      </c>
      <c r="B1348" s="2">
        <v>44542</v>
      </c>
      <c r="C1348" s="2">
        <v>44545</v>
      </c>
      <c r="D1348" s="3" t="s">
        <v>1637</v>
      </c>
      <c r="E1348" s="3">
        <v>160</v>
      </c>
      <c r="F1348" s="3">
        <v>1</v>
      </c>
      <c r="G1348" s="3">
        <f t="shared" si="67"/>
        <v>160</v>
      </c>
      <c r="H1348" s="3" t="s">
        <v>291</v>
      </c>
      <c r="I1348" s="1" t="s">
        <v>393</v>
      </c>
      <c r="J1348" s="1" t="s">
        <v>159</v>
      </c>
      <c r="K1348" s="1" t="s">
        <v>298</v>
      </c>
      <c r="L1348" s="1" t="s">
        <v>267</v>
      </c>
      <c r="M1348" s="1"/>
      <c r="N1348" s="1">
        <f t="shared" si="69"/>
        <v>12</v>
      </c>
      <c r="O1348" s="65"/>
    </row>
    <row r="1349" spans="1:15" ht="15.75" hidden="1" x14ac:dyDescent="0.25">
      <c r="A1349" s="1" t="str">
        <f t="shared" si="68"/>
        <v>44542445423781.23CURRENTTRAVELHOTEL</v>
      </c>
      <c r="B1349" s="2">
        <v>44542</v>
      </c>
      <c r="C1349" s="2">
        <v>44542</v>
      </c>
      <c r="D1349" s="3" t="s">
        <v>1590</v>
      </c>
      <c r="E1349" s="3">
        <v>-3781.23</v>
      </c>
      <c r="F1349" s="3">
        <v>1</v>
      </c>
      <c r="G1349" s="3">
        <f t="shared" si="67"/>
        <v>3781.23</v>
      </c>
      <c r="H1349" s="3" t="s">
        <v>293</v>
      </c>
      <c r="I1349" s="1" t="s">
        <v>393</v>
      </c>
      <c r="J1349" s="1" t="s">
        <v>1128</v>
      </c>
      <c r="K1349" s="1" t="s">
        <v>298</v>
      </c>
      <c r="L1349" s="1" t="s">
        <v>257</v>
      </c>
      <c r="M1349" s="1"/>
      <c r="N1349" s="1">
        <f t="shared" si="69"/>
        <v>12</v>
      </c>
      <c r="O1349" s="65"/>
    </row>
    <row r="1350" spans="1:15" ht="15.75" hidden="1" x14ac:dyDescent="0.25">
      <c r="A1350" s="1" t="str">
        <f t="shared" si="68"/>
        <v>44542445421226CURRENTTRANSFERINDIA</v>
      </c>
      <c r="B1350" s="2">
        <v>44542</v>
      </c>
      <c r="C1350" s="2">
        <v>44542</v>
      </c>
      <c r="D1350" s="3" t="s">
        <v>694</v>
      </c>
      <c r="E1350" s="3">
        <v>-1226</v>
      </c>
      <c r="F1350" s="3">
        <v>1</v>
      </c>
      <c r="G1350" s="3">
        <f t="shared" si="67"/>
        <v>1226</v>
      </c>
      <c r="H1350" s="3" t="s">
        <v>293</v>
      </c>
      <c r="I1350" s="1" t="s">
        <v>22</v>
      </c>
      <c r="J1350" s="1" t="s">
        <v>23</v>
      </c>
      <c r="K1350" s="1" t="s">
        <v>298</v>
      </c>
      <c r="L1350" s="1" t="s">
        <v>257</v>
      </c>
      <c r="M1350" s="1"/>
      <c r="N1350" s="1">
        <f t="shared" si="69"/>
        <v>12</v>
      </c>
      <c r="O1350" s="65"/>
    </row>
    <row r="1351" spans="1:15" ht="15.75" hidden="1" x14ac:dyDescent="0.25">
      <c r="A1351" s="1" t="str">
        <f t="shared" si="68"/>
        <v>445424454561.96DINERSMEDICALPHARMACY</v>
      </c>
      <c r="B1351" s="2">
        <v>44542</v>
      </c>
      <c r="C1351" s="2">
        <v>44545</v>
      </c>
      <c r="D1351" s="3" t="s">
        <v>1608</v>
      </c>
      <c r="E1351" s="3">
        <v>61.96</v>
      </c>
      <c r="F1351" s="3">
        <v>1</v>
      </c>
      <c r="G1351" s="3">
        <f t="shared" si="67"/>
        <v>61.96</v>
      </c>
      <c r="H1351" s="3" t="s">
        <v>266</v>
      </c>
      <c r="I1351" s="1" t="s">
        <v>301</v>
      </c>
      <c r="J1351" s="1" t="s">
        <v>304</v>
      </c>
      <c r="K1351" s="1" t="s">
        <v>298</v>
      </c>
      <c r="L1351" s="1" t="s">
        <v>267</v>
      </c>
      <c r="M1351" s="1"/>
      <c r="N1351" s="1">
        <f t="shared" si="69"/>
        <v>12</v>
      </c>
      <c r="O1351" s="87"/>
    </row>
    <row r="1352" spans="1:15" ht="15.75" hidden="1" x14ac:dyDescent="0.25">
      <c r="A1352" s="1" t="str">
        <f t="shared" si="68"/>
        <v>445424454578DINERSFOODBURGER KING</v>
      </c>
      <c r="B1352" s="2">
        <v>44542</v>
      </c>
      <c r="C1352" s="2">
        <v>44545</v>
      </c>
      <c r="D1352" s="3" t="s">
        <v>1609</v>
      </c>
      <c r="E1352" s="3">
        <v>78</v>
      </c>
      <c r="F1352" s="3">
        <v>1</v>
      </c>
      <c r="G1352" s="3">
        <f t="shared" si="67"/>
        <v>78</v>
      </c>
      <c r="H1352" s="3" t="s">
        <v>266</v>
      </c>
      <c r="I1352" s="1" t="s">
        <v>10</v>
      </c>
      <c r="J1352" s="1" t="s">
        <v>1655</v>
      </c>
      <c r="K1352" s="1" t="s">
        <v>298</v>
      </c>
      <c r="L1352" s="1" t="s">
        <v>267</v>
      </c>
      <c r="M1352" s="1"/>
      <c r="N1352" s="1">
        <f t="shared" si="69"/>
        <v>12</v>
      </c>
      <c r="O1352" s="87"/>
    </row>
    <row r="1353" spans="1:15" ht="15.75" hidden="1" x14ac:dyDescent="0.25">
      <c r="A1353" s="1" t="str">
        <f t="shared" si="68"/>
        <v>445424454430.03DINERSTRANSPORTUBER</v>
      </c>
      <c r="B1353" s="2">
        <v>44542</v>
      </c>
      <c r="C1353" s="2">
        <v>44544</v>
      </c>
      <c r="D1353" s="3" t="s">
        <v>1610</v>
      </c>
      <c r="E1353" s="3">
        <v>30.03</v>
      </c>
      <c r="F1353" s="3">
        <v>1</v>
      </c>
      <c r="G1353" s="3">
        <f t="shared" si="67"/>
        <v>30.03</v>
      </c>
      <c r="H1353" s="3" t="s">
        <v>266</v>
      </c>
      <c r="I1353" s="1" t="s">
        <v>296</v>
      </c>
      <c r="J1353" s="1" t="s">
        <v>299</v>
      </c>
      <c r="K1353" s="1" t="s">
        <v>298</v>
      </c>
      <c r="L1353" s="1" t="s">
        <v>267</v>
      </c>
      <c r="M1353" s="1"/>
      <c r="N1353" s="1">
        <f t="shared" si="69"/>
        <v>12</v>
      </c>
      <c r="O1353" s="87"/>
    </row>
    <row r="1354" spans="1:15" ht="15.75" hidden="1" x14ac:dyDescent="0.25">
      <c r="A1354" s="1" t="str">
        <f t="shared" si="68"/>
        <v>445434454618MASTER CCFOODTALABAT</v>
      </c>
      <c r="B1354" s="2">
        <v>44543</v>
      </c>
      <c r="C1354" s="2">
        <v>44546</v>
      </c>
      <c r="D1354" s="3" t="s">
        <v>1636</v>
      </c>
      <c r="E1354" s="3">
        <v>18</v>
      </c>
      <c r="F1354" s="3">
        <v>1</v>
      </c>
      <c r="G1354" s="3">
        <f t="shared" si="67"/>
        <v>18</v>
      </c>
      <c r="H1354" s="3" t="s">
        <v>291</v>
      </c>
      <c r="I1354" s="1" t="s">
        <v>10</v>
      </c>
      <c r="J1354" s="1" t="s">
        <v>865</v>
      </c>
      <c r="K1354" s="1" t="s">
        <v>298</v>
      </c>
      <c r="L1354" s="1" t="s">
        <v>267</v>
      </c>
      <c r="M1354" s="1"/>
      <c r="N1354" s="1">
        <f t="shared" si="69"/>
        <v>12</v>
      </c>
      <c r="O1354" s="65"/>
    </row>
    <row r="1355" spans="1:15" ht="15.75" hidden="1" x14ac:dyDescent="0.25">
      <c r="A1355" s="1" t="str">
        <f t="shared" si="68"/>
        <v>445434454510MASTER CCTELECOMOOREDOO</v>
      </c>
      <c r="B1355" s="2">
        <v>44543</v>
      </c>
      <c r="C1355" s="2">
        <v>44545</v>
      </c>
      <c r="D1355" s="3" t="s">
        <v>1635</v>
      </c>
      <c r="E1355" s="3">
        <v>10</v>
      </c>
      <c r="F1355" s="3">
        <v>1</v>
      </c>
      <c r="G1355" s="3">
        <f t="shared" ref="G1355:G1418" si="70">ABS(E1355)*F1355</f>
        <v>10</v>
      </c>
      <c r="H1355" s="3" t="s">
        <v>291</v>
      </c>
      <c r="I1355" s="1" t="s">
        <v>58</v>
      </c>
      <c r="J1355" s="1" t="s">
        <v>59</v>
      </c>
      <c r="K1355" s="1" t="s">
        <v>298</v>
      </c>
      <c r="L1355" s="1" t="s">
        <v>267</v>
      </c>
      <c r="M1355" s="1"/>
      <c r="N1355" s="1">
        <f t="shared" si="69"/>
        <v>12</v>
      </c>
      <c r="O1355" s="65"/>
    </row>
    <row r="1356" spans="1:15" ht="15.75" hidden="1" x14ac:dyDescent="0.25">
      <c r="A1356" s="1" t="str">
        <f t="shared" si="68"/>
        <v>4454344543250DINERSRENTVODAFONE</v>
      </c>
      <c r="B1356" s="2">
        <v>44543</v>
      </c>
      <c r="C1356" s="2">
        <v>44543</v>
      </c>
      <c r="D1356" s="3" t="s">
        <v>1606</v>
      </c>
      <c r="E1356" s="3">
        <v>250</v>
      </c>
      <c r="F1356" s="3">
        <v>1</v>
      </c>
      <c r="G1356" s="3">
        <f t="shared" si="70"/>
        <v>250</v>
      </c>
      <c r="H1356" s="3" t="s">
        <v>266</v>
      </c>
      <c r="I1356" s="1" t="s">
        <v>83</v>
      </c>
      <c r="J1356" s="1" t="s">
        <v>78</v>
      </c>
      <c r="K1356" s="1" t="s">
        <v>298</v>
      </c>
      <c r="L1356" s="1" t="s">
        <v>267</v>
      </c>
      <c r="M1356" s="1"/>
      <c r="N1356" s="1">
        <f t="shared" si="69"/>
        <v>12</v>
      </c>
      <c r="O1356" s="87"/>
    </row>
    <row r="1357" spans="1:15" ht="15.75" hidden="1" x14ac:dyDescent="0.25">
      <c r="A1357" s="1" t="str">
        <f t="shared" si="68"/>
        <v>445434454430.62DINERSGROCERYTOTAL FRESH</v>
      </c>
      <c r="B1357" s="2">
        <v>44543</v>
      </c>
      <c r="C1357" s="2">
        <v>44544</v>
      </c>
      <c r="D1357" s="3" t="s">
        <v>1607</v>
      </c>
      <c r="E1357" s="3">
        <v>30.62</v>
      </c>
      <c r="F1357" s="3">
        <v>1</v>
      </c>
      <c r="G1357" s="3">
        <f t="shared" si="70"/>
        <v>30.62</v>
      </c>
      <c r="H1357" s="3" t="s">
        <v>266</v>
      </c>
      <c r="I1357" s="1" t="s">
        <v>43</v>
      </c>
      <c r="J1357" s="1" t="s">
        <v>1394</v>
      </c>
      <c r="K1357" s="1" t="s">
        <v>298</v>
      </c>
      <c r="L1357" s="1" t="s">
        <v>267</v>
      </c>
      <c r="M1357" s="1"/>
      <c r="N1357" s="1">
        <f t="shared" si="69"/>
        <v>12</v>
      </c>
      <c r="O1357" s="87"/>
    </row>
    <row r="1358" spans="1:15" ht="15.75" hidden="1" x14ac:dyDescent="0.25">
      <c r="A1358" s="1" t="str">
        <f t="shared" si="68"/>
        <v>4454544547100MASTER CCFOODQATAR AIR</v>
      </c>
      <c r="B1358" s="2">
        <v>44545</v>
      </c>
      <c r="C1358" s="2">
        <v>44547</v>
      </c>
      <c r="D1358" s="3" t="s">
        <v>1634</v>
      </c>
      <c r="E1358" s="3">
        <v>100</v>
      </c>
      <c r="F1358" s="3">
        <v>1</v>
      </c>
      <c r="G1358" s="3">
        <f t="shared" si="70"/>
        <v>100</v>
      </c>
      <c r="H1358" s="3" t="s">
        <v>291</v>
      </c>
      <c r="I1358" s="1" t="s">
        <v>10</v>
      </c>
      <c r="J1358" s="1" t="s">
        <v>19</v>
      </c>
      <c r="K1358" s="1" t="s">
        <v>298</v>
      </c>
      <c r="L1358" s="1" t="s">
        <v>267</v>
      </c>
      <c r="M1358" s="1"/>
      <c r="N1358" s="1">
        <f t="shared" si="69"/>
        <v>12</v>
      </c>
      <c r="O1358" s="65"/>
    </row>
    <row r="1359" spans="1:15" ht="15.75" hidden="1" x14ac:dyDescent="0.25">
      <c r="A1359" s="1" t="str">
        <f t="shared" si="68"/>
        <v>44545445454000CURRENTRENTEZDAN</v>
      </c>
      <c r="B1359" s="2">
        <v>44545</v>
      </c>
      <c r="C1359" s="2">
        <v>44545</v>
      </c>
      <c r="D1359" s="3" t="s">
        <v>1589</v>
      </c>
      <c r="E1359" s="3">
        <v>-4000</v>
      </c>
      <c r="F1359" s="3">
        <v>1</v>
      </c>
      <c r="G1359" s="3">
        <f t="shared" si="70"/>
        <v>4000</v>
      </c>
      <c r="H1359" s="3" t="s">
        <v>293</v>
      </c>
      <c r="I1359" s="1" t="s">
        <v>83</v>
      </c>
      <c r="J1359" s="1" t="s">
        <v>1339</v>
      </c>
      <c r="K1359" s="1" t="s">
        <v>298</v>
      </c>
      <c r="L1359" s="1" t="s">
        <v>257</v>
      </c>
      <c r="M1359" s="1"/>
      <c r="N1359" s="1">
        <f t="shared" si="69"/>
        <v>12</v>
      </c>
      <c r="O1359" s="65"/>
    </row>
    <row r="1360" spans="1:15" ht="15.75" hidden="1" x14ac:dyDescent="0.25">
      <c r="A1360" s="1" t="str">
        <f t="shared" si="68"/>
        <v>445454454664.47DINERSGROCERYTOTAL FRESH</v>
      </c>
      <c r="B1360" s="2">
        <v>44545</v>
      </c>
      <c r="C1360" s="2">
        <v>44546</v>
      </c>
      <c r="D1360" s="3" t="s">
        <v>1605</v>
      </c>
      <c r="E1360" s="3">
        <v>64.47</v>
      </c>
      <c r="F1360" s="3">
        <v>1</v>
      </c>
      <c r="G1360" s="3">
        <f t="shared" si="70"/>
        <v>64.47</v>
      </c>
      <c r="H1360" s="3" t="s">
        <v>266</v>
      </c>
      <c r="I1360" s="1" t="s">
        <v>43</v>
      </c>
      <c r="J1360" s="1" t="s">
        <v>1394</v>
      </c>
      <c r="K1360" s="1" t="s">
        <v>298</v>
      </c>
      <c r="L1360" s="1" t="s">
        <v>267</v>
      </c>
      <c r="M1360" s="1"/>
      <c r="N1360" s="1">
        <f t="shared" si="69"/>
        <v>12</v>
      </c>
      <c r="O1360" s="87"/>
    </row>
    <row r="1361" spans="1:15" ht="15.75" hidden="1" x14ac:dyDescent="0.25">
      <c r="A1361" s="1" t="str">
        <f t="shared" si="68"/>
        <v>4454644547104DINERSSHOPPINGBABYSHOP</v>
      </c>
      <c r="B1361" s="2">
        <v>44546</v>
      </c>
      <c r="C1361" s="2">
        <v>44547</v>
      </c>
      <c r="D1361" s="3" t="s">
        <v>1604</v>
      </c>
      <c r="E1361" s="3">
        <v>104</v>
      </c>
      <c r="F1361" s="3">
        <v>1</v>
      </c>
      <c r="G1361" s="3">
        <f t="shared" si="70"/>
        <v>104</v>
      </c>
      <c r="H1361" s="3" t="s">
        <v>266</v>
      </c>
      <c r="I1361" s="1" t="s">
        <v>194</v>
      </c>
      <c r="J1361" s="1" t="s">
        <v>1650</v>
      </c>
      <c r="K1361" s="1" t="s">
        <v>298</v>
      </c>
      <c r="L1361" s="1" t="s">
        <v>267</v>
      </c>
      <c r="M1361" s="1"/>
      <c r="N1361" s="1">
        <f t="shared" si="69"/>
        <v>12</v>
      </c>
      <c r="O1361" s="87"/>
    </row>
    <row r="1362" spans="1:15" ht="15.75" hidden="1" x14ac:dyDescent="0.25">
      <c r="A1362" s="1" t="str">
        <f t="shared" si="68"/>
        <v>44546445469704SAVINGTRANSFERINDIA</v>
      </c>
      <c r="B1362" s="2">
        <v>44546</v>
      </c>
      <c r="C1362" s="2">
        <v>44546</v>
      </c>
      <c r="D1362" s="3" t="s">
        <v>1659</v>
      </c>
      <c r="E1362" s="3">
        <v>-9704</v>
      </c>
      <c r="F1362" s="3">
        <v>1</v>
      </c>
      <c r="G1362" s="3">
        <f t="shared" si="70"/>
        <v>9704</v>
      </c>
      <c r="H1362" s="3" t="s">
        <v>302</v>
      </c>
      <c r="I1362" s="1" t="s">
        <v>22</v>
      </c>
      <c r="J1362" s="1" t="s">
        <v>23</v>
      </c>
      <c r="K1362" s="1" t="s">
        <v>22</v>
      </c>
      <c r="L1362" s="1" t="s">
        <v>257</v>
      </c>
      <c r="M1362" s="1"/>
      <c r="N1362" s="1">
        <f t="shared" si="69"/>
        <v>12</v>
      </c>
      <c r="O1362" s="65"/>
    </row>
    <row r="1363" spans="1:15" ht="15.75" hidden="1" x14ac:dyDescent="0.25">
      <c r="A1363" s="1" t="str">
        <f t="shared" si="68"/>
        <v>44546445460.97SAVINGSERVICEBANK</v>
      </c>
      <c r="B1363" s="2">
        <v>44546</v>
      </c>
      <c r="C1363" s="2">
        <v>44546</v>
      </c>
      <c r="D1363" s="3" t="s">
        <v>1660</v>
      </c>
      <c r="E1363" s="3">
        <v>-0.97</v>
      </c>
      <c r="F1363" s="3">
        <v>1</v>
      </c>
      <c r="G1363" s="3">
        <f t="shared" si="70"/>
        <v>0.97</v>
      </c>
      <c r="H1363" s="3" t="s">
        <v>302</v>
      </c>
      <c r="I1363" s="1" t="s">
        <v>7</v>
      </c>
      <c r="J1363" s="1" t="s">
        <v>8</v>
      </c>
      <c r="K1363" s="1" t="s">
        <v>298</v>
      </c>
      <c r="L1363" s="1" t="s">
        <v>257</v>
      </c>
      <c r="M1363" s="1"/>
      <c r="N1363" s="1">
        <f t="shared" si="69"/>
        <v>12</v>
      </c>
      <c r="O1363" s="65"/>
    </row>
    <row r="1364" spans="1:15" ht="15.75" hidden="1" x14ac:dyDescent="0.25">
      <c r="A1364" s="1" t="str">
        <f t="shared" si="68"/>
        <v>445464454615SAVINGSERVICEBANK</v>
      </c>
      <c r="B1364" s="2">
        <v>44546</v>
      </c>
      <c r="C1364" s="2">
        <v>44546</v>
      </c>
      <c r="D1364" s="3" t="s">
        <v>1661</v>
      </c>
      <c r="E1364" s="3">
        <v>-15</v>
      </c>
      <c r="F1364" s="3">
        <v>1</v>
      </c>
      <c r="G1364" s="3">
        <f t="shared" si="70"/>
        <v>15</v>
      </c>
      <c r="H1364" s="3" t="s">
        <v>302</v>
      </c>
      <c r="I1364" s="1" t="s">
        <v>7</v>
      </c>
      <c r="J1364" s="1" t="s">
        <v>8</v>
      </c>
      <c r="K1364" s="1" t="s">
        <v>298</v>
      </c>
      <c r="L1364" s="1" t="s">
        <v>257</v>
      </c>
      <c r="M1364" s="1"/>
      <c r="N1364" s="1">
        <f t="shared" si="69"/>
        <v>12</v>
      </c>
      <c r="O1364" s="65"/>
    </row>
    <row r="1365" spans="1:15" ht="15.75" hidden="1" x14ac:dyDescent="0.25">
      <c r="A1365" s="1" t="str">
        <f t="shared" si="68"/>
        <v>445464454620000SAVINGTRANSFERINDIA</v>
      </c>
      <c r="B1365" s="2">
        <v>44546</v>
      </c>
      <c r="C1365" s="2">
        <v>44546</v>
      </c>
      <c r="D1365" s="3" t="s">
        <v>1659</v>
      </c>
      <c r="E1365" s="3">
        <v>20000</v>
      </c>
      <c r="F1365" s="3">
        <v>1</v>
      </c>
      <c r="G1365" s="3">
        <f t="shared" si="70"/>
        <v>20000</v>
      </c>
      <c r="H1365" s="3" t="s">
        <v>302</v>
      </c>
      <c r="I1365" s="1" t="s">
        <v>22</v>
      </c>
      <c r="J1365" s="1" t="s">
        <v>23</v>
      </c>
      <c r="K1365" s="1" t="s">
        <v>22</v>
      </c>
      <c r="L1365" s="1" t="s">
        <v>257</v>
      </c>
      <c r="M1365" s="1"/>
      <c r="N1365" s="1">
        <f t="shared" si="69"/>
        <v>12</v>
      </c>
      <c r="O1365" s="65" t="s">
        <v>3166</v>
      </c>
    </row>
    <row r="1366" spans="1:15" ht="15.75" hidden="1" x14ac:dyDescent="0.25">
      <c r="A1366" s="1" t="str">
        <f t="shared" si="68"/>
        <v>44547445519.61DINERSTRANSPORTUBER</v>
      </c>
      <c r="B1366" s="2">
        <v>44547</v>
      </c>
      <c r="C1366" s="2">
        <v>44551</v>
      </c>
      <c r="D1366" s="3" t="s">
        <v>1600</v>
      </c>
      <c r="E1366" s="3">
        <v>9.61</v>
      </c>
      <c r="F1366" s="3">
        <v>1</v>
      </c>
      <c r="G1366" s="3">
        <f t="shared" si="70"/>
        <v>9.61</v>
      </c>
      <c r="H1366" s="3" t="s">
        <v>266</v>
      </c>
      <c r="I1366" s="1" t="s">
        <v>296</v>
      </c>
      <c r="J1366" s="1" t="s">
        <v>299</v>
      </c>
      <c r="K1366" s="1" t="s">
        <v>298</v>
      </c>
      <c r="L1366" s="1" t="s">
        <v>267</v>
      </c>
      <c r="M1366" s="1"/>
      <c r="N1366" s="1">
        <f t="shared" si="69"/>
        <v>12</v>
      </c>
      <c r="O1366" s="87"/>
    </row>
    <row r="1367" spans="1:15" ht="15.75" hidden="1" x14ac:dyDescent="0.25">
      <c r="A1367" s="1" t="str">
        <f t="shared" si="68"/>
        <v>445474455117.16DINERSTRANSPORTUBER</v>
      </c>
      <c r="B1367" s="2">
        <v>44547</v>
      </c>
      <c r="C1367" s="2">
        <v>44551</v>
      </c>
      <c r="D1367" s="3" t="s">
        <v>1601</v>
      </c>
      <c r="E1367" s="3">
        <v>17.16</v>
      </c>
      <c r="F1367" s="3">
        <v>1</v>
      </c>
      <c r="G1367" s="3">
        <f t="shared" si="70"/>
        <v>17.16</v>
      </c>
      <c r="H1367" s="3" t="s">
        <v>266</v>
      </c>
      <c r="I1367" s="1" t="s">
        <v>296</v>
      </c>
      <c r="J1367" s="1" t="s">
        <v>299</v>
      </c>
      <c r="K1367" s="1" t="s">
        <v>298</v>
      </c>
      <c r="L1367" s="1" t="s">
        <v>267</v>
      </c>
      <c r="M1367" s="1"/>
      <c r="N1367" s="1">
        <f t="shared" si="69"/>
        <v>12</v>
      </c>
      <c r="O1367" s="87"/>
    </row>
    <row r="1368" spans="1:15" ht="15.75" hidden="1" x14ac:dyDescent="0.25">
      <c r="A1368" s="1" t="str">
        <f t="shared" si="68"/>
        <v>4454744548479.75DINERSRENTANSAR</v>
      </c>
      <c r="B1368" s="2">
        <v>44547</v>
      </c>
      <c r="C1368" s="2">
        <v>44548</v>
      </c>
      <c r="D1368" s="3" t="s">
        <v>1602</v>
      </c>
      <c r="E1368" s="3">
        <v>479.75</v>
      </c>
      <c r="F1368" s="3">
        <v>1</v>
      </c>
      <c r="G1368" s="3">
        <f t="shared" si="70"/>
        <v>479.75</v>
      </c>
      <c r="H1368" s="3" t="s">
        <v>266</v>
      </c>
      <c r="I1368" s="1" t="s">
        <v>83</v>
      </c>
      <c r="J1368" s="1" t="s">
        <v>1656</v>
      </c>
      <c r="K1368" s="1" t="s">
        <v>298</v>
      </c>
      <c r="L1368" s="1" t="s">
        <v>267</v>
      </c>
      <c r="M1368" s="1"/>
      <c r="N1368" s="1">
        <f t="shared" si="69"/>
        <v>12</v>
      </c>
      <c r="O1368" s="87"/>
    </row>
    <row r="1369" spans="1:15" ht="15.75" hidden="1" x14ac:dyDescent="0.25">
      <c r="A1369" s="1" t="str">
        <f t="shared" si="68"/>
        <v>445474454899.75DINERSRENTANSAR</v>
      </c>
      <c r="B1369" s="2">
        <v>44547</v>
      </c>
      <c r="C1369" s="2">
        <v>44548</v>
      </c>
      <c r="D1369" s="3" t="s">
        <v>1603</v>
      </c>
      <c r="E1369" s="3">
        <v>99.75</v>
      </c>
      <c r="F1369" s="3">
        <v>1</v>
      </c>
      <c r="G1369" s="3">
        <f t="shared" si="70"/>
        <v>99.75</v>
      </c>
      <c r="H1369" s="3" t="s">
        <v>266</v>
      </c>
      <c r="I1369" s="1" t="s">
        <v>83</v>
      </c>
      <c r="J1369" s="1" t="s">
        <v>1656</v>
      </c>
      <c r="K1369" s="1" t="s">
        <v>298</v>
      </c>
      <c r="L1369" s="1" t="s">
        <v>267</v>
      </c>
      <c r="M1369" s="1"/>
      <c r="N1369" s="1">
        <f t="shared" si="69"/>
        <v>12</v>
      </c>
      <c r="O1369" s="87"/>
    </row>
    <row r="1370" spans="1:15" ht="15.75" hidden="1" x14ac:dyDescent="0.25">
      <c r="A1370" s="1" t="str">
        <f t="shared" si="68"/>
        <v>445484455015MASTER CCTRANSPORTCAREEM</v>
      </c>
      <c r="B1370" s="2">
        <v>44548</v>
      </c>
      <c r="C1370" s="2">
        <v>44550</v>
      </c>
      <c r="D1370" s="3" t="s">
        <v>1633</v>
      </c>
      <c r="E1370" s="3">
        <v>15</v>
      </c>
      <c r="F1370" s="3">
        <v>1</v>
      </c>
      <c r="G1370" s="3">
        <f t="shared" si="70"/>
        <v>15</v>
      </c>
      <c r="H1370" s="3" t="s">
        <v>291</v>
      </c>
      <c r="I1370" s="1" t="s">
        <v>296</v>
      </c>
      <c r="J1370" s="1" t="s">
        <v>297</v>
      </c>
      <c r="K1370" s="1" t="s">
        <v>298</v>
      </c>
      <c r="L1370" s="1" t="s">
        <v>267</v>
      </c>
      <c r="M1370" s="1"/>
      <c r="N1370" s="1">
        <f t="shared" si="69"/>
        <v>12</v>
      </c>
      <c r="O1370" s="65"/>
    </row>
    <row r="1371" spans="1:15" ht="15.75" hidden="1" x14ac:dyDescent="0.25">
      <c r="A1371" s="1" t="str">
        <f t="shared" si="68"/>
        <v>445484455116.36DINERSTRANSPORTUBER</v>
      </c>
      <c r="B1371" s="2">
        <v>44548</v>
      </c>
      <c r="C1371" s="2">
        <v>44551</v>
      </c>
      <c r="D1371" s="3" t="s">
        <v>1597</v>
      </c>
      <c r="E1371" s="3">
        <v>16.36</v>
      </c>
      <c r="F1371" s="3">
        <v>1</v>
      </c>
      <c r="G1371" s="3">
        <f t="shared" si="70"/>
        <v>16.36</v>
      </c>
      <c r="H1371" s="3" t="s">
        <v>266</v>
      </c>
      <c r="I1371" s="1" t="s">
        <v>296</v>
      </c>
      <c r="J1371" s="1" t="s">
        <v>299</v>
      </c>
      <c r="K1371" s="1" t="s">
        <v>298</v>
      </c>
      <c r="L1371" s="1" t="s">
        <v>267</v>
      </c>
      <c r="M1371" s="1"/>
      <c r="N1371" s="1">
        <f t="shared" si="69"/>
        <v>12</v>
      </c>
      <c r="O1371" s="87"/>
    </row>
    <row r="1372" spans="1:15" ht="15.75" hidden="1" x14ac:dyDescent="0.25">
      <c r="A1372" s="1" t="str">
        <f t="shared" si="68"/>
        <v>4454844549535.19DINERSGROCERYLULU</v>
      </c>
      <c r="B1372" s="2">
        <v>44548</v>
      </c>
      <c r="C1372" s="2">
        <v>44549</v>
      </c>
      <c r="D1372" s="3" t="s">
        <v>1598</v>
      </c>
      <c r="E1372" s="3">
        <v>535.19000000000005</v>
      </c>
      <c r="F1372" s="3">
        <v>1</v>
      </c>
      <c r="G1372" s="3">
        <f t="shared" si="70"/>
        <v>535.19000000000005</v>
      </c>
      <c r="H1372" s="3" t="s">
        <v>266</v>
      </c>
      <c r="I1372" s="1" t="s">
        <v>43</v>
      </c>
      <c r="J1372" s="1" t="s">
        <v>44</v>
      </c>
      <c r="K1372" s="1" t="s">
        <v>298</v>
      </c>
      <c r="L1372" s="1" t="s">
        <v>267</v>
      </c>
      <c r="M1372" s="1"/>
      <c r="N1372" s="1">
        <f t="shared" si="69"/>
        <v>12</v>
      </c>
      <c r="O1372" s="87"/>
    </row>
    <row r="1373" spans="1:15" ht="15.75" hidden="1" x14ac:dyDescent="0.25">
      <c r="A1373" s="1" t="str">
        <f t="shared" si="68"/>
        <v>4454844549327DINERSSHOPPINGLULU</v>
      </c>
      <c r="B1373" s="2">
        <v>44548</v>
      </c>
      <c r="C1373" s="2">
        <v>44549</v>
      </c>
      <c r="D1373" s="3" t="s">
        <v>1599</v>
      </c>
      <c r="E1373" s="3">
        <v>327</v>
      </c>
      <c r="F1373" s="3">
        <v>1</v>
      </c>
      <c r="G1373" s="3">
        <f t="shared" si="70"/>
        <v>327</v>
      </c>
      <c r="H1373" s="3" t="s">
        <v>266</v>
      </c>
      <c r="I1373" s="1" t="s">
        <v>194</v>
      </c>
      <c r="J1373" s="1" t="s">
        <v>44</v>
      </c>
      <c r="K1373" s="1" t="s">
        <v>298</v>
      </c>
      <c r="L1373" s="1" t="s">
        <v>267</v>
      </c>
      <c r="M1373" s="1"/>
      <c r="N1373" s="1">
        <f t="shared" si="69"/>
        <v>12</v>
      </c>
      <c r="O1373" s="87"/>
    </row>
    <row r="1374" spans="1:15" ht="15.75" hidden="1" x14ac:dyDescent="0.25">
      <c r="A1374" s="1" t="str">
        <f t="shared" si="68"/>
        <v>4454944549500CURRENTSAVINGARTI</v>
      </c>
      <c r="B1374" s="2">
        <v>44549</v>
      </c>
      <c r="C1374" s="2">
        <v>44549</v>
      </c>
      <c r="D1374" s="3" t="s">
        <v>1588</v>
      </c>
      <c r="E1374" s="3">
        <v>-500</v>
      </c>
      <c r="F1374" s="3">
        <v>1</v>
      </c>
      <c r="G1374" s="3">
        <f t="shared" si="70"/>
        <v>500</v>
      </c>
      <c r="H1374" s="3" t="s">
        <v>293</v>
      </c>
      <c r="I1374" s="1" t="s">
        <v>302</v>
      </c>
      <c r="J1374" s="1" t="s">
        <v>453</v>
      </c>
      <c r="K1374" s="1" t="s">
        <v>298</v>
      </c>
      <c r="L1374" s="1" t="s">
        <v>257</v>
      </c>
      <c r="M1374" s="1"/>
      <c r="N1374" s="1">
        <f t="shared" si="69"/>
        <v>12</v>
      </c>
      <c r="O1374" s="65"/>
    </row>
    <row r="1375" spans="1:15" ht="15.75" hidden="1" x14ac:dyDescent="0.25">
      <c r="A1375" s="1" t="str">
        <f t="shared" si="68"/>
        <v>445494455029DINERSGROCERYTOTAL FRESH</v>
      </c>
      <c r="B1375" s="2">
        <v>44549</v>
      </c>
      <c r="C1375" s="2">
        <v>44550</v>
      </c>
      <c r="D1375" s="3" t="s">
        <v>1596</v>
      </c>
      <c r="E1375" s="3">
        <v>29</v>
      </c>
      <c r="F1375" s="3">
        <v>1</v>
      </c>
      <c r="G1375" s="3">
        <f t="shared" si="70"/>
        <v>29</v>
      </c>
      <c r="H1375" s="3" t="s">
        <v>266</v>
      </c>
      <c r="I1375" s="1" t="s">
        <v>43</v>
      </c>
      <c r="J1375" s="1" t="s">
        <v>1394</v>
      </c>
      <c r="K1375" s="1" t="s">
        <v>298</v>
      </c>
      <c r="L1375" s="1" t="s">
        <v>267</v>
      </c>
      <c r="M1375" s="1"/>
      <c r="N1375" s="1">
        <f t="shared" si="69"/>
        <v>12</v>
      </c>
      <c r="O1375" s="87"/>
    </row>
    <row r="1376" spans="1:15" ht="15.75" hidden="1" x14ac:dyDescent="0.25">
      <c r="A1376" s="1" t="str">
        <f t="shared" si="68"/>
        <v>445504455213.41DINERSTRANSPORTUBER</v>
      </c>
      <c r="B1376" s="2">
        <v>44550</v>
      </c>
      <c r="C1376" s="2">
        <v>44552</v>
      </c>
      <c r="D1376" s="3" t="s">
        <v>1595</v>
      </c>
      <c r="E1376" s="3">
        <v>13.41</v>
      </c>
      <c r="F1376" s="3">
        <v>1</v>
      </c>
      <c r="G1376" s="3">
        <f t="shared" si="70"/>
        <v>13.41</v>
      </c>
      <c r="H1376" s="3" t="s">
        <v>266</v>
      </c>
      <c r="I1376" s="1" t="s">
        <v>296</v>
      </c>
      <c r="J1376" s="1" t="s">
        <v>299</v>
      </c>
      <c r="K1376" s="1" t="s">
        <v>298</v>
      </c>
      <c r="L1376" s="1" t="s">
        <v>267</v>
      </c>
      <c r="M1376" s="1"/>
      <c r="N1376" s="1">
        <f t="shared" si="69"/>
        <v>12</v>
      </c>
      <c r="O1376" s="87"/>
    </row>
    <row r="1377" spans="1:15" ht="15.75" hidden="1" x14ac:dyDescent="0.25">
      <c r="A1377" s="1" t="str">
        <f t="shared" si="68"/>
        <v>445514455323MASTER CCFOODQATAR AIR</v>
      </c>
      <c r="B1377" s="2">
        <v>44551</v>
      </c>
      <c r="C1377" s="2">
        <v>44553</v>
      </c>
      <c r="D1377" s="3" t="s">
        <v>1631</v>
      </c>
      <c r="E1377" s="3">
        <v>23</v>
      </c>
      <c r="F1377" s="3">
        <v>1</v>
      </c>
      <c r="G1377" s="3">
        <f t="shared" si="70"/>
        <v>23</v>
      </c>
      <c r="H1377" s="3" t="s">
        <v>291</v>
      </c>
      <c r="I1377" s="1" t="s">
        <v>10</v>
      </c>
      <c r="J1377" s="1" t="s">
        <v>19</v>
      </c>
      <c r="K1377" s="1" t="s">
        <v>298</v>
      </c>
      <c r="L1377" s="1" t="s">
        <v>267</v>
      </c>
      <c r="M1377" s="1"/>
      <c r="N1377" s="1">
        <f t="shared" si="69"/>
        <v>12</v>
      </c>
      <c r="O1377" s="65"/>
    </row>
    <row r="1378" spans="1:15" ht="15.75" hidden="1" x14ac:dyDescent="0.25">
      <c r="A1378" s="1" t="str">
        <f t="shared" si="68"/>
        <v>445514455330MASTER CCFOODPAPA JOHN'S</v>
      </c>
      <c r="B1378" s="2">
        <v>44551</v>
      </c>
      <c r="C1378" s="2">
        <v>44553</v>
      </c>
      <c r="D1378" s="3" t="s">
        <v>1632</v>
      </c>
      <c r="E1378" s="3">
        <v>30</v>
      </c>
      <c r="F1378" s="3">
        <v>1</v>
      </c>
      <c r="G1378" s="3">
        <f t="shared" si="70"/>
        <v>30</v>
      </c>
      <c r="H1378" s="3" t="s">
        <v>291</v>
      </c>
      <c r="I1378" s="1" t="s">
        <v>10</v>
      </c>
      <c r="J1378" s="1" t="s">
        <v>1657</v>
      </c>
      <c r="K1378" s="1" t="s">
        <v>298</v>
      </c>
      <c r="L1378" s="1" t="s">
        <v>267</v>
      </c>
      <c r="M1378" s="1"/>
      <c r="N1378" s="1">
        <f t="shared" si="69"/>
        <v>12</v>
      </c>
      <c r="O1378" s="65"/>
    </row>
    <row r="1379" spans="1:15" ht="15.75" hidden="1" x14ac:dyDescent="0.25">
      <c r="A1379" s="1" t="str">
        <f t="shared" si="68"/>
        <v>445524455420MASTER CCFOODQATAR AIR</v>
      </c>
      <c r="B1379" s="2">
        <v>44552</v>
      </c>
      <c r="C1379" s="2">
        <v>44554</v>
      </c>
      <c r="D1379" s="3" t="s">
        <v>1630</v>
      </c>
      <c r="E1379" s="3">
        <v>20</v>
      </c>
      <c r="F1379" s="3">
        <v>1</v>
      </c>
      <c r="G1379" s="3">
        <f t="shared" si="70"/>
        <v>20</v>
      </c>
      <c r="H1379" s="3" t="s">
        <v>291</v>
      </c>
      <c r="I1379" s="1" t="s">
        <v>10</v>
      </c>
      <c r="J1379" s="1" t="s">
        <v>19</v>
      </c>
      <c r="K1379" s="1" t="s">
        <v>298</v>
      </c>
      <c r="L1379" s="1" t="s">
        <v>267</v>
      </c>
      <c r="M1379" s="1"/>
      <c r="N1379" s="1">
        <f t="shared" si="69"/>
        <v>12</v>
      </c>
      <c r="O1379" s="65"/>
    </row>
    <row r="1380" spans="1:15" ht="15.75" hidden="1" x14ac:dyDescent="0.25">
      <c r="A1380" s="1" t="str">
        <f t="shared" si="68"/>
        <v>445524455353.48DINERSGROCERYTOTAL FRESH</v>
      </c>
      <c r="B1380" s="2">
        <v>44552</v>
      </c>
      <c r="C1380" s="2">
        <v>44553</v>
      </c>
      <c r="D1380" s="3" t="s">
        <v>1594</v>
      </c>
      <c r="E1380" s="3">
        <v>53.48</v>
      </c>
      <c r="F1380" s="3">
        <v>1</v>
      </c>
      <c r="G1380" s="3">
        <f t="shared" si="70"/>
        <v>53.48</v>
      </c>
      <c r="H1380" s="3" t="s">
        <v>266</v>
      </c>
      <c r="I1380" s="1" t="s">
        <v>43</v>
      </c>
      <c r="J1380" s="1" t="s">
        <v>1394</v>
      </c>
      <c r="K1380" s="1" t="s">
        <v>298</v>
      </c>
      <c r="L1380" s="1" t="s">
        <v>267</v>
      </c>
      <c r="M1380" s="1"/>
      <c r="N1380" s="1">
        <f t="shared" si="69"/>
        <v>12</v>
      </c>
      <c r="O1380" s="87"/>
    </row>
    <row r="1381" spans="1:15" ht="15.75" hidden="1" x14ac:dyDescent="0.25">
      <c r="A1381" s="1" t="str">
        <f t="shared" si="68"/>
        <v>4455344558172.8MASTER CCSHOPPINGRNB</v>
      </c>
      <c r="B1381" s="2">
        <v>44553</v>
      </c>
      <c r="C1381" s="2">
        <v>44558</v>
      </c>
      <c r="D1381" s="3" t="s">
        <v>1629</v>
      </c>
      <c r="E1381" s="3">
        <v>172.8</v>
      </c>
      <c r="F1381" s="3">
        <v>1</v>
      </c>
      <c r="G1381" s="3">
        <f t="shared" si="70"/>
        <v>172.8</v>
      </c>
      <c r="H1381" s="3" t="s">
        <v>291</v>
      </c>
      <c r="I1381" s="1" t="s">
        <v>194</v>
      </c>
      <c r="J1381" s="1" t="s">
        <v>1658</v>
      </c>
      <c r="K1381" s="1" t="s">
        <v>298</v>
      </c>
      <c r="L1381" s="1" t="s">
        <v>267</v>
      </c>
      <c r="M1381" s="1"/>
      <c r="N1381" s="1">
        <f t="shared" si="69"/>
        <v>12</v>
      </c>
      <c r="O1381" s="65"/>
    </row>
    <row r="1382" spans="1:15" ht="15.75" hidden="1" x14ac:dyDescent="0.25">
      <c r="A1382" s="1" t="str">
        <f t="shared" si="68"/>
        <v>4455344558100MASTER CCTRANSPORTMETRO</v>
      </c>
      <c r="B1382" s="2">
        <v>44553</v>
      </c>
      <c r="C1382" s="2">
        <v>44558</v>
      </c>
      <c r="D1382" s="3" t="s">
        <v>1628</v>
      </c>
      <c r="E1382" s="3">
        <v>100</v>
      </c>
      <c r="F1382" s="3">
        <v>1</v>
      </c>
      <c r="G1382" s="3">
        <f t="shared" si="70"/>
        <v>100</v>
      </c>
      <c r="H1382" s="3" t="s">
        <v>291</v>
      </c>
      <c r="I1382" s="1" t="s">
        <v>296</v>
      </c>
      <c r="J1382" s="1" t="s">
        <v>759</v>
      </c>
      <c r="K1382" s="1" t="s">
        <v>298</v>
      </c>
      <c r="L1382" s="1" t="s">
        <v>267</v>
      </c>
      <c r="M1382" s="1"/>
      <c r="N1382" s="1">
        <f t="shared" si="69"/>
        <v>12</v>
      </c>
      <c r="O1382" s="65"/>
    </row>
    <row r="1383" spans="1:15" ht="15.75" hidden="1" x14ac:dyDescent="0.25">
      <c r="A1383" s="1" t="str">
        <f t="shared" si="68"/>
        <v>445534455612.32DINERSTRANSPORTUBER</v>
      </c>
      <c r="B1383" s="2">
        <v>44553</v>
      </c>
      <c r="C1383" s="2">
        <v>44556</v>
      </c>
      <c r="D1383" s="3" t="s">
        <v>1591</v>
      </c>
      <c r="E1383" s="3">
        <v>12.32</v>
      </c>
      <c r="F1383" s="3">
        <v>1</v>
      </c>
      <c r="G1383" s="3">
        <f t="shared" si="70"/>
        <v>12.32</v>
      </c>
      <c r="H1383" s="3" t="s">
        <v>266</v>
      </c>
      <c r="I1383" s="1" t="s">
        <v>296</v>
      </c>
      <c r="J1383" s="1" t="s">
        <v>299</v>
      </c>
      <c r="K1383" s="1" t="s">
        <v>298</v>
      </c>
      <c r="L1383" s="1" t="s">
        <v>267</v>
      </c>
      <c r="M1383" s="1"/>
      <c r="N1383" s="1">
        <f t="shared" si="69"/>
        <v>12</v>
      </c>
      <c r="O1383" s="87"/>
    </row>
    <row r="1384" spans="1:15" ht="15.75" hidden="1" x14ac:dyDescent="0.25">
      <c r="A1384" s="1" t="str">
        <f t="shared" si="68"/>
        <v>445534455613.65DINERSTRANSPORTUBER</v>
      </c>
      <c r="B1384" s="2">
        <v>44553</v>
      </c>
      <c r="C1384" s="2">
        <v>44556</v>
      </c>
      <c r="D1384" s="3" t="s">
        <v>1592</v>
      </c>
      <c r="E1384" s="3">
        <v>13.65</v>
      </c>
      <c r="F1384" s="3">
        <v>1</v>
      </c>
      <c r="G1384" s="3">
        <f t="shared" si="70"/>
        <v>13.65</v>
      </c>
      <c r="H1384" s="3" t="s">
        <v>266</v>
      </c>
      <c r="I1384" s="1" t="s">
        <v>296</v>
      </c>
      <c r="J1384" s="1" t="s">
        <v>299</v>
      </c>
      <c r="K1384" s="1" t="s">
        <v>298</v>
      </c>
      <c r="L1384" s="1" t="s">
        <v>267</v>
      </c>
      <c r="M1384" s="1"/>
      <c r="N1384" s="1">
        <f t="shared" si="69"/>
        <v>12</v>
      </c>
      <c r="O1384" s="87"/>
    </row>
    <row r="1385" spans="1:15" ht="15.75" hidden="1" x14ac:dyDescent="0.25">
      <c r="A1385" s="1" t="str">
        <f t="shared" si="68"/>
        <v>445534455420DINERSFOODCAFÉ/REST.</v>
      </c>
      <c r="B1385" s="2">
        <v>44553</v>
      </c>
      <c r="C1385" s="2">
        <v>44554</v>
      </c>
      <c r="D1385" s="3" t="s">
        <v>1593</v>
      </c>
      <c r="E1385" s="3">
        <v>20</v>
      </c>
      <c r="F1385" s="3">
        <v>1</v>
      </c>
      <c r="G1385" s="3">
        <f t="shared" si="70"/>
        <v>20</v>
      </c>
      <c r="H1385" s="3" t="s">
        <v>266</v>
      </c>
      <c r="I1385" s="1" t="s">
        <v>10</v>
      </c>
      <c r="J1385" s="1" t="s">
        <v>11</v>
      </c>
      <c r="K1385" s="1" t="s">
        <v>298</v>
      </c>
      <c r="L1385" s="1" t="s">
        <v>267</v>
      </c>
      <c r="M1385" s="1"/>
      <c r="N1385" s="1">
        <f t="shared" si="69"/>
        <v>12</v>
      </c>
      <c r="O1385" s="87"/>
    </row>
    <row r="1386" spans="1:15" ht="15.75" hidden="1" x14ac:dyDescent="0.25">
      <c r="A1386" s="1" t="str">
        <f t="shared" si="68"/>
        <v>44554445580MASTER CCMOVIEVOX</v>
      </c>
      <c r="B1386" s="2">
        <v>44554</v>
      </c>
      <c r="C1386" s="2">
        <v>44558</v>
      </c>
      <c r="D1386" s="3" t="s">
        <v>1671</v>
      </c>
      <c r="E1386" s="3">
        <v>397.5</v>
      </c>
      <c r="F1386" s="3">
        <v>0</v>
      </c>
      <c r="G1386" s="3">
        <f t="shared" si="70"/>
        <v>0</v>
      </c>
      <c r="H1386" s="3" t="s">
        <v>291</v>
      </c>
      <c r="I1386" s="1" t="s">
        <v>1672</v>
      </c>
      <c r="J1386" s="1" t="s">
        <v>1673</v>
      </c>
      <c r="K1386" s="1" t="s">
        <v>298</v>
      </c>
      <c r="L1386" s="1" t="s">
        <v>267</v>
      </c>
      <c r="M1386" s="1"/>
      <c r="N1386" s="1">
        <f t="shared" si="69"/>
        <v>12</v>
      </c>
      <c r="O1386" s="65"/>
    </row>
    <row r="1387" spans="1:15" ht="15.75" hidden="1" x14ac:dyDescent="0.25">
      <c r="A1387" s="1" t="str">
        <f t="shared" si="68"/>
        <v>4455444558132.5MASTER CCMOVIEVOX</v>
      </c>
      <c r="B1387" s="2">
        <v>44554</v>
      </c>
      <c r="C1387" s="2">
        <v>44558</v>
      </c>
      <c r="D1387" s="3" t="s">
        <v>1671</v>
      </c>
      <c r="E1387" s="3">
        <v>132.5</v>
      </c>
      <c r="F1387" s="3">
        <v>1</v>
      </c>
      <c r="G1387" s="3">
        <f t="shared" si="70"/>
        <v>132.5</v>
      </c>
      <c r="H1387" s="3" t="s">
        <v>291</v>
      </c>
      <c r="I1387" s="1" t="s">
        <v>1672</v>
      </c>
      <c r="J1387" s="1" t="s">
        <v>1673</v>
      </c>
      <c r="K1387" s="1" t="s">
        <v>298</v>
      </c>
      <c r="L1387" s="1" t="s">
        <v>267</v>
      </c>
      <c r="M1387" s="1"/>
      <c r="N1387" s="1">
        <f t="shared" si="69"/>
        <v>12</v>
      </c>
      <c r="O1387" s="65"/>
    </row>
    <row r="1388" spans="1:15" ht="15.75" hidden="1" x14ac:dyDescent="0.25">
      <c r="A1388" s="1" t="str">
        <f t="shared" si="68"/>
        <v>4455444558265MASTER CCWITHDRAWSELF</v>
      </c>
      <c r="B1388" s="2">
        <v>44554</v>
      </c>
      <c r="C1388" s="2">
        <v>44558</v>
      </c>
      <c r="D1388" s="3" t="s">
        <v>1671</v>
      </c>
      <c r="E1388" s="3">
        <f>E1387*2</f>
        <v>265</v>
      </c>
      <c r="F1388" s="3">
        <v>1</v>
      </c>
      <c r="G1388" s="3">
        <f t="shared" si="70"/>
        <v>265</v>
      </c>
      <c r="H1388" s="3" t="s">
        <v>291</v>
      </c>
      <c r="I1388" s="1" t="s">
        <v>13</v>
      </c>
      <c r="J1388" s="1" t="s">
        <v>14</v>
      </c>
      <c r="K1388" s="1" t="s">
        <v>298</v>
      </c>
      <c r="L1388" s="1" t="s">
        <v>267</v>
      </c>
      <c r="M1388" s="1"/>
      <c r="N1388" s="1">
        <f t="shared" si="69"/>
        <v>12</v>
      </c>
      <c r="O1388" s="65"/>
    </row>
    <row r="1389" spans="1:15" ht="15.75" hidden="1" x14ac:dyDescent="0.25">
      <c r="A1389" s="1" t="str">
        <f t="shared" si="68"/>
        <v>445554455687.31DINERSGROCERYTOTAL FRESH</v>
      </c>
      <c r="B1389" s="2">
        <v>44555</v>
      </c>
      <c r="C1389" s="2">
        <v>44556</v>
      </c>
      <c r="D1389" s="3" t="s">
        <v>1669</v>
      </c>
      <c r="E1389" s="3">
        <v>87.31</v>
      </c>
      <c r="F1389" s="3">
        <v>1</v>
      </c>
      <c r="G1389" s="3">
        <f t="shared" si="70"/>
        <v>87.31</v>
      </c>
      <c r="H1389" s="3" t="s">
        <v>266</v>
      </c>
      <c r="I1389" s="1" t="s">
        <v>43</v>
      </c>
      <c r="J1389" s="1" t="s">
        <v>1394</v>
      </c>
      <c r="K1389" s="1" t="s">
        <v>298</v>
      </c>
      <c r="L1389" s="1" t="s">
        <v>267</v>
      </c>
      <c r="M1389" s="1"/>
      <c r="N1389" s="1">
        <f t="shared" si="69"/>
        <v>12</v>
      </c>
      <c r="O1389" s="87"/>
    </row>
    <row r="1390" spans="1:15" ht="15.75" hidden="1" x14ac:dyDescent="0.25">
      <c r="A1390" s="1" t="str">
        <f t="shared" si="68"/>
        <v>4455644556822.67DINERSSHOPPINGLULU</v>
      </c>
      <c r="B1390" s="2">
        <v>44556</v>
      </c>
      <c r="C1390" s="2">
        <v>44556</v>
      </c>
      <c r="D1390" s="3" t="s">
        <v>1668</v>
      </c>
      <c r="E1390" s="3">
        <v>822.67</v>
      </c>
      <c r="F1390" s="3">
        <v>1</v>
      </c>
      <c r="G1390" s="3">
        <f t="shared" si="70"/>
        <v>822.67</v>
      </c>
      <c r="H1390" s="3" t="s">
        <v>266</v>
      </c>
      <c r="I1390" s="1" t="s">
        <v>194</v>
      </c>
      <c r="J1390" s="1" t="s">
        <v>44</v>
      </c>
      <c r="K1390" s="1" t="s">
        <v>298</v>
      </c>
      <c r="L1390" s="1" t="s">
        <v>267</v>
      </c>
      <c r="M1390" s="1">
        <v>1</v>
      </c>
      <c r="N1390" s="1">
        <f t="shared" si="69"/>
        <v>12</v>
      </c>
      <c r="O1390" s="87"/>
    </row>
    <row r="1391" spans="1:15" ht="15.75" hidden="1" x14ac:dyDescent="0.25">
      <c r="A1391" s="1" t="str">
        <f t="shared" si="68"/>
        <v>4455744559100MASTER CCFOODQATAR AIR</v>
      </c>
      <c r="B1391" s="2">
        <v>44557</v>
      </c>
      <c r="C1391" s="2">
        <v>44559</v>
      </c>
      <c r="D1391" s="3" t="s">
        <v>1670</v>
      </c>
      <c r="E1391" s="3">
        <v>100</v>
      </c>
      <c r="F1391" s="3">
        <v>1</v>
      </c>
      <c r="G1391" s="3">
        <f t="shared" si="70"/>
        <v>100</v>
      </c>
      <c r="H1391" s="3" t="s">
        <v>291</v>
      </c>
      <c r="I1391" s="1" t="s">
        <v>10</v>
      </c>
      <c r="J1391" s="1" t="s">
        <v>19</v>
      </c>
      <c r="K1391" s="1" t="s">
        <v>298</v>
      </c>
      <c r="L1391" s="1" t="s">
        <v>267</v>
      </c>
      <c r="M1391" s="1"/>
      <c r="N1391" s="1">
        <f t="shared" si="69"/>
        <v>12</v>
      </c>
      <c r="O1391" s="65"/>
    </row>
    <row r="1392" spans="1:15" ht="15.75" hidden="1" x14ac:dyDescent="0.25">
      <c r="A1392" s="1" t="str">
        <f t="shared" si="68"/>
        <v>445574455883DINERSSHOPPINGSPLASH</v>
      </c>
      <c r="B1392" s="2">
        <v>44557</v>
      </c>
      <c r="C1392" s="2">
        <v>44558</v>
      </c>
      <c r="D1392" s="3" t="s">
        <v>1666</v>
      </c>
      <c r="E1392" s="3">
        <v>83</v>
      </c>
      <c r="F1392" s="3">
        <v>1</v>
      </c>
      <c r="G1392" s="3">
        <f t="shared" si="70"/>
        <v>83</v>
      </c>
      <c r="H1392" s="3" t="s">
        <v>266</v>
      </c>
      <c r="I1392" s="1" t="s">
        <v>194</v>
      </c>
      <c r="J1392" s="1" t="s">
        <v>1652</v>
      </c>
      <c r="K1392" s="1" t="s">
        <v>298</v>
      </c>
      <c r="L1392" s="1" t="s">
        <v>267</v>
      </c>
      <c r="M1392" s="1"/>
      <c r="N1392" s="1">
        <f t="shared" si="69"/>
        <v>12</v>
      </c>
      <c r="O1392" s="87"/>
    </row>
    <row r="1393" spans="1:15" ht="15.75" hidden="1" x14ac:dyDescent="0.25">
      <c r="A1393" s="1" t="str">
        <f t="shared" si="68"/>
        <v>445574455873.32DINERSGROCERYTOTAL FRESH</v>
      </c>
      <c r="B1393" s="2">
        <v>44557</v>
      </c>
      <c r="C1393" s="2">
        <v>44558</v>
      </c>
      <c r="D1393" s="3" t="s">
        <v>1667</v>
      </c>
      <c r="E1393" s="3">
        <v>73.319999999999993</v>
      </c>
      <c r="F1393" s="3">
        <v>1</v>
      </c>
      <c r="G1393" s="3">
        <f t="shared" si="70"/>
        <v>73.319999999999993</v>
      </c>
      <c r="H1393" s="3" t="s">
        <v>266</v>
      </c>
      <c r="I1393" s="1" t="s">
        <v>43</v>
      </c>
      <c r="J1393" s="1" t="s">
        <v>1394</v>
      </c>
      <c r="K1393" s="1" t="s">
        <v>298</v>
      </c>
      <c r="L1393" s="1" t="s">
        <v>267</v>
      </c>
      <c r="M1393" s="1"/>
      <c r="N1393" s="1">
        <f t="shared" si="69"/>
        <v>12</v>
      </c>
      <c r="O1393" s="87"/>
    </row>
    <row r="1394" spans="1:15" ht="15.75" hidden="1" x14ac:dyDescent="0.25">
      <c r="A1394" s="1" t="str">
        <f t="shared" si="68"/>
        <v>445594455920837CURRENTSALARYQATAR AIR</v>
      </c>
      <c r="B1394" s="2">
        <v>44559</v>
      </c>
      <c r="C1394" s="2">
        <v>44559</v>
      </c>
      <c r="D1394" s="3" t="s">
        <v>1665</v>
      </c>
      <c r="E1394" s="3">
        <v>20837</v>
      </c>
      <c r="F1394" s="3">
        <v>1</v>
      </c>
      <c r="G1394" s="3">
        <f t="shared" si="70"/>
        <v>20837</v>
      </c>
      <c r="H1394" s="3" t="s">
        <v>293</v>
      </c>
      <c r="I1394" s="1" t="s">
        <v>18</v>
      </c>
      <c r="J1394" s="1" t="s">
        <v>19</v>
      </c>
      <c r="K1394" s="1" t="s">
        <v>300</v>
      </c>
      <c r="L1394" s="1" t="s">
        <v>257</v>
      </c>
      <c r="M1394" s="1"/>
      <c r="N1394" s="1">
        <f t="shared" si="69"/>
        <v>12</v>
      </c>
      <c r="O1394" s="65"/>
    </row>
    <row r="1395" spans="1:15" ht="15.75" hidden="1" x14ac:dyDescent="0.25">
      <c r="A1395" s="1" t="str">
        <f t="shared" si="68"/>
        <v>445594456311.55DINERSTRANSPORTUBER</v>
      </c>
      <c r="B1395" s="2">
        <v>44559</v>
      </c>
      <c r="C1395" s="2">
        <v>44563</v>
      </c>
      <c r="D1395" s="3" t="s">
        <v>1916</v>
      </c>
      <c r="E1395" s="3">
        <v>11.55</v>
      </c>
      <c r="F1395" s="3">
        <v>1</v>
      </c>
      <c r="G1395" s="3">
        <f t="shared" si="70"/>
        <v>11.55</v>
      </c>
      <c r="H1395" s="3" t="s">
        <v>266</v>
      </c>
      <c r="I1395" s="1" t="s">
        <v>296</v>
      </c>
      <c r="J1395" s="1" t="s">
        <v>299</v>
      </c>
      <c r="K1395" s="1" t="s">
        <v>298</v>
      </c>
      <c r="L1395" s="1" t="s">
        <v>267</v>
      </c>
      <c r="M1395" s="1"/>
      <c r="N1395" s="1">
        <f t="shared" si="69"/>
        <v>1</v>
      </c>
      <c r="O1395" s="87"/>
    </row>
    <row r="1396" spans="1:15" ht="15.75" hidden="1" x14ac:dyDescent="0.25">
      <c r="A1396" s="1" t="str">
        <f t="shared" si="68"/>
        <v>44559445639.67DINERSTRANSPORTUBER</v>
      </c>
      <c r="B1396" s="2">
        <v>44559</v>
      </c>
      <c r="C1396" s="2">
        <v>44563</v>
      </c>
      <c r="D1396" s="3" t="s">
        <v>1917</v>
      </c>
      <c r="E1396" s="3">
        <v>9.67</v>
      </c>
      <c r="F1396" s="3">
        <v>1</v>
      </c>
      <c r="G1396" s="3">
        <f t="shared" si="70"/>
        <v>9.67</v>
      </c>
      <c r="H1396" s="3" t="s">
        <v>266</v>
      </c>
      <c r="I1396" s="1" t="s">
        <v>296</v>
      </c>
      <c r="J1396" s="1" t="s">
        <v>299</v>
      </c>
      <c r="K1396" s="1" t="s">
        <v>298</v>
      </c>
      <c r="L1396" s="1" t="s">
        <v>267</v>
      </c>
      <c r="M1396" s="1"/>
      <c r="N1396" s="1">
        <f t="shared" si="69"/>
        <v>1</v>
      </c>
      <c r="O1396" s="87"/>
    </row>
    <row r="1397" spans="1:15" ht="15.75" hidden="1" x14ac:dyDescent="0.25">
      <c r="A1397" s="1" t="str">
        <f t="shared" si="68"/>
        <v>445604456030CURRENTFOODAL OSRA</v>
      </c>
      <c r="B1397" s="2">
        <v>44560</v>
      </c>
      <c r="C1397" s="2">
        <v>44560</v>
      </c>
      <c r="D1397" s="3" t="s">
        <v>1678</v>
      </c>
      <c r="E1397" s="3">
        <v>-30</v>
      </c>
      <c r="F1397" s="3">
        <v>1</v>
      </c>
      <c r="G1397" s="3">
        <f t="shared" si="70"/>
        <v>30</v>
      </c>
      <c r="H1397" s="3" t="s">
        <v>293</v>
      </c>
      <c r="I1397" s="1" t="s">
        <v>10</v>
      </c>
      <c r="J1397" s="1" t="s">
        <v>1682</v>
      </c>
      <c r="K1397" s="1" t="s">
        <v>298</v>
      </c>
      <c r="L1397" s="1" t="s">
        <v>257</v>
      </c>
      <c r="M1397" s="1"/>
      <c r="N1397" s="1">
        <f t="shared" si="69"/>
        <v>12</v>
      </c>
      <c r="O1397" s="65"/>
    </row>
    <row r="1398" spans="1:15" ht="15.75" hidden="1" x14ac:dyDescent="0.25">
      <c r="A1398" s="1" t="str">
        <f t="shared" si="68"/>
        <v>44560445607000CURRENTCC BILL PAYMENTBANK</v>
      </c>
      <c r="B1398" s="2">
        <v>44560</v>
      </c>
      <c r="C1398" s="2">
        <v>44560</v>
      </c>
      <c r="D1398" s="3" t="s">
        <v>1679</v>
      </c>
      <c r="E1398" s="3">
        <v>-7000</v>
      </c>
      <c r="F1398" s="3">
        <v>1</v>
      </c>
      <c r="G1398" s="3">
        <f t="shared" si="70"/>
        <v>7000</v>
      </c>
      <c r="H1398" s="3" t="s">
        <v>293</v>
      </c>
      <c r="I1398" s="1" t="s">
        <v>81</v>
      </c>
      <c r="J1398" s="1" t="s">
        <v>8</v>
      </c>
      <c r="K1398" s="1" t="s">
        <v>298</v>
      </c>
      <c r="L1398" s="1" t="s">
        <v>257</v>
      </c>
      <c r="M1398" s="1"/>
      <c r="N1398" s="1">
        <f t="shared" si="69"/>
        <v>12</v>
      </c>
      <c r="O1398" s="65"/>
    </row>
    <row r="1399" spans="1:15" ht="15.75" hidden="1" x14ac:dyDescent="0.25">
      <c r="A1399" s="1" t="str">
        <f t="shared" si="68"/>
        <v>44560445607000DINERSCC BILL PAYMENTBANK</v>
      </c>
      <c r="B1399" s="2">
        <v>44560</v>
      </c>
      <c r="C1399" s="2">
        <v>44560</v>
      </c>
      <c r="D1399" s="3" t="s">
        <v>80</v>
      </c>
      <c r="E1399" s="3">
        <v>-7000</v>
      </c>
      <c r="F1399" s="3">
        <v>1</v>
      </c>
      <c r="G1399" s="3">
        <f t="shared" si="70"/>
        <v>7000</v>
      </c>
      <c r="H1399" s="3" t="s">
        <v>266</v>
      </c>
      <c r="I1399" s="1" t="s">
        <v>81</v>
      </c>
      <c r="J1399" s="1" t="s">
        <v>8</v>
      </c>
      <c r="K1399" s="1" t="s">
        <v>300</v>
      </c>
      <c r="L1399" s="1" t="s">
        <v>267</v>
      </c>
      <c r="M1399" s="1"/>
      <c r="N1399" s="1">
        <f t="shared" si="69"/>
        <v>12</v>
      </c>
      <c r="O1399" s="87"/>
    </row>
    <row r="1400" spans="1:15" ht="15.75" hidden="1" x14ac:dyDescent="0.25">
      <c r="A1400" s="1" t="str">
        <f t="shared" si="68"/>
        <v>44560445638.2DINERSTRANSPORTUBER</v>
      </c>
      <c r="B1400" s="2">
        <v>44560</v>
      </c>
      <c r="C1400" s="2">
        <v>44563</v>
      </c>
      <c r="D1400" s="3" t="s">
        <v>1915</v>
      </c>
      <c r="E1400" s="3">
        <v>8.1999999999999993</v>
      </c>
      <c r="F1400" s="3">
        <v>1</v>
      </c>
      <c r="G1400" s="3">
        <f t="shared" si="70"/>
        <v>8.1999999999999993</v>
      </c>
      <c r="H1400" s="3" t="s">
        <v>266</v>
      </c>
      <c r="I1400" s="1" t="s">
        <v>296</v>
      </c>
      <c r="J1400" s="1" t="s">
        <v>299</v>
      </c>
      <c r="K1400" s="1" t="s">
        <v>298</v>
      </c>
      <c r="L1400" s="1" t="s">
        <v>267</v>
      </c>
      <c r="M1400" s="1"/>
      <c r="N1400" s="1">
        <f t="shared" si="69"/>
        <v>1</v>
      </c>
      <c r="O1400" s="87"/>
    </row>
    <row r="1401" spans="1:15" ht="15.75" hidden="1" x14ac:dyDescent="0.25">
      <c r="A1401" s="1" t="str">
        <f t="shared" si="68"/>
        <v>44561445638.19CURRENTTRANSPORTUBER</v>
      </c>
      <c r="B1401" s="2">
        <v>44561</v>
      </c>
      <c r="C1401" s="2">
        <v>44563</v>
      </c>
      <c r="D1401" s="3" t="s">
        <v>1674</v>
      </c>
      <c r="E1401" s="3">
        <v>-8.19</v>
      </c>
      <c r="F1401" s="3">
        <v>1</v>
      </c>
      <c r="G1401" s="3">
        <f t="shared" si="70"/>
        <v>8.19</v>
      </c>
      <c r="H1401" s="3" t="s">
        <v>293</v>
      </c>
      <c r="I1401" s="1" t="s">
        <v>296</v>
      </c>
      <c r="J1401" s="1" t="s">
        <v>299</v>
      </c>
      <c r="K1401" s="1" t="s">
        <v>298</v>
      </c>
      <c r="L1401" s="1" t="s">
        <v>257</v>
      </c>
      <c r="M1401" s="1"/>
      <c r="N1401" s="1">
        <f t="shared" si="69"/>
        <v>1</v>
      </c>
      <c r="O1401" s="65"/>
    </row>
    <row r="1402" spans="1:15" ht="15.75" hidden="1" x14ac:dyDescent="0.25">
      <c r="A1402" s="1" t="str">
        <f t="shared" si="68"/>
        <v>445614456120CURRENTTRANSPORTMETRO</v>
      </c>
      <c r="B1402" s="2">
        <v>44561</v>
      </c>
      <c r="C1402" s="2">
        <v>44561</v>
      </c>
      <c r="D1402" s="3" t="s">
        <v>1675</v>
      </c>
      <c r="E1402" s="3">
        <v>-20</v>
      </c>
      <c r="F1402" s="3">
        <v>1</v>
      </c>
      <c r="G1402" s="3">
        <f t="shared" si="70"/>
        <v>20</v>
      </c>
      <c r="H1402" s="3" t="s">
        <v>293</v>
      </c>
      <c r="I1402" s="1" t="s">
        <v>296</v>
      </c>
      <c r="J1402" s="1" t="s">
        <v>759</v>
      </c>
      <c r="K1402" s="1" t="s">
        <v>298</v>
      </c>
      <c r="L1402" s="1" t="s">
        <v>257</v>
      </c>
      <c r="M1402" s="1"/>
      <c r="N1402" s="1">
        <f t="shared" si="69"/>
        <v>12</v>
      </c>
      <c r="O1402" s="65"/>
    </row>
    <row r="1403" spans="1:15" ht="15.75" hidden="1" x14ac:dyDescent="0.25">
      <c r="A1403" s="1" t="str">
        <f t="shared" si="68"/>
        <v>4456144561100CURRENTSHOPPINGMAX</v>
      </c>
      <c r="B1403" s="2">
        <v>44561</v>
      </c>
      <c r="C1403" s="2">
        <v>44561</v>
      </c>
      <c r="D1403" s="3" t="s">
        <v>1676</v>
      </c>
      <c r="E1403" s="3">
        <v>-100</v>
      </c>
      <c r="F1403" s="3">
        <v>1</v>
      </c>
      <c r="G1403" s="3">
        <f t="shared" si="70"/>
        <v>100</v>
      </c>
      <c r="H1403" s="3" t="s">
        <v>293</v>
      </c>
      <c r="I1403" s="1" t="s">
        <v>194</v>
      </c>
      <c r="J1403" s="1" t="s">
        <v>776</v>
      </c>
      <c r="K1403" s="1" t="s">
        <v>298</v>
      </c>
      <c r="L1403" s="1" t="s">
        <v>257</v>
      </c>
      <c r="M1403" s="1"/>
      <c r="N1403" s="1">
        <f t="shared" si="69"/>
        <v>12</v>
      </c>
      <c r="O1403" s="65"/>
    </row>
    <row r="1404" spans="1:15" ht="15.75" hidden="1" x14ac:dyDescent="0.25">
      <c r="A1404" s="1" t="str">
        <f t="shared" si="68"/>
        <v>4456144561467.15CURRENTGROCERYSHOPRITE</v>
      </c>
      <c r="B1404" s="2">
        <v>44561</v>
      </c>
      <c r="C1404" s="2">
        <v>44561</v>
      </c>
      <c r="D1404" s="3" t="s">
        <v>1677</v>
      </c>
      <c r="E1404" s="3">
        <v>-467.15</v>
      </c>
      <c r="F1404" s="3">
        <v>1</v>
      </c>
      <c r="G1404" s="3">
        <f t="shared" si="70"/>
        <v>467.15</v>
      </c>
      <c r="H1404" s="3" t="s">
        <v>293</v>
      </c>
      <c r="I1404" s="1" t="s">
        <v>43</v>
      </c>
      <c r="J1404" s="1" t="s">
        <v>1681</v>
      </c>
      <c r="K1404" s="1" t="s">
        <v>298</v>
      </c>
      <c r="L1404" s="1" t="s">
        <v>257</v>
      </c>
      <c r="M1404" s="1"/>
      <c r="N1404" s="1">
        <f t="shared" si="69"/>
        <v>12</v>
      </c>
      <c r="O1404" s="65"/>
    </row>
    <row r="1405" spans="1:15" ht="15.75" hidden="1" x14ac:dyDescent="0.25">
      <c r="A1405" s="1" t="str">
        <f t="shared" si="68"/>
        <v>44561445614.17DINERSSERVICEBANK</v>
      </c>
      <c r="B1405" s="2">
        <v>44561</v>
      </c>
      <c r="C1405" s="2">
        <v>44561</v>
      </c>
      <c r="D1405" s="3" t="s">
        <v>1680</v>
      </c>
      <c r="E1405" s="3">
        <v>4.17</v>
      </c>
      <c r="F1405" s="3">
        <v>1</v>
      </c>
      <c r="G1405" s="3">
        <f t="shared" si="70"/>
        <v>4.17</v>
      </c>
      <c r="H1405" s="3" t="s">
        <v>266</v>
      </c>
      <c r="I1405" s="1" t="s">
        <v>7</v>
      </c>
      <c r="J1405" s="1" t="s">
        <v>8</v>
      </c>
      <c r="K1405" s="1" t="s">
        <v>298</v>
      </c>
      <c r="L1405" s="1" t="s">
        <v>267</v>
      </c>
      <c r="M1405" s="1"/>
      <c r="N1405" s="1">
        <f t="shared" si="69"/>
        <v>12</v>
      </c>
      <c r="O1405" s="87"/>
    </row>
    <row r="1406" spans="1:15" ht="15.75" hidden="1" x14ac:dyDescent="0.25">
      <c r="A1406" s="1" t="str">
        <f t="shared" si="68"/>
        <v>445624456314DINERSGROCERYTOTAL FRESH</v>
      </c>
      <c r="B1406" s="2">
        <v>44562</v>
      </c>
      <c r="C1406" s="2">
        <v>44563</v>
      </c>
      <c r="D1406" s="3" t="s">
        <v>1914</v>
      </c>
      <c r="E1406" s="3">
        <v>14</v>
      </c>
      <c r="F1406" s="3">
        <v>1</v>
      </c>
      <c r="G1406" s="3">
        <f t="shared" si="70"/>
        <v>14</v>
      </c>
      <c r="H1406" s="3" t="s">
        <v>266</v>
      </c>
      <c r="I1406" s="1" t="s">
        <v>43</v>
      </c>
      <c r="J1406" s="1" t="s">
        <v>1394</v>
      </c>
      <c r="K1406" s="1" t="s">
        <v>298</v>
      </c>
      <c r="L1406" s="1" t="s">
        <v>267</v>
      </c>
      <c r="M1406" s="1"/>
      <c r="N1406" s="1">
        <f t="shared" si="69"/>
        <v>1</v>
      </c>
      <c r="O1406" s="87"/>
    </row>
    <row r="1407" spans="1:15" ht="15.75" hidden="1" x14ac:dyDescent="0.25">
      <c r="A1407" s="1" t="str">
        <f t="shared" si="68"/>
        <v>4456344563500CURRENTSAVINGARTI</v>
      </c>
      <c r="B1407" s="2">
        <v>44563</v>
      </c>
      <c r="C1407" s="2">
        <v>44563</v>
      </c>
      <c r="D1407" s="3" t="s">
        <v>1518</v>
      </c>
      <c r="E1407" s="3">
        <v>-500</v>
      </c>
      <c r="F1407" s="3">
        <v>1</v>
      </c>
      <c r="G1407" s="3">
        <f t="shared" si="70"/>
        <v>500</v>
      </c>
      <c r="H1407" s="3" t="s">
        <v>293</v>
      </c>
      <c r="I1407" s="1" t="s">
        <v>302</v>
      </c>
      <c r="J1407" s="1" t="s">
        <v>453</v>
      </c>
      <c r="K1407" s="1" t="s">
        <v>298</v>
      </c>
      <c r="L1407" s="1" t="s">
        <v>257</v>
      </c>
      <c r="M1407" s="1"/>
      <c r="N1407" s="1">
        <f t="shared" si="69"/>
        <v>1</v>
      </c>
      <c r="O1407" s="65"/>
    </row>
    <row r="1408" spans="1:15" ht="15.75" hidden="1" x14ac:dyDescent="0.25">
      <c r="A1408" s="1" t="str">
        <f t="shared" si="68"/>
        <v>44563445633000CURRENTSAVINGSELF</v>
      </c>
      <c r="B1408" s="2">
        <v>44563</v>
      </c>
      <c r="C1408" s="2">
        <v>44563</v>
      </c>
      <c r="D1408" s="3" t="s">
        <v>1519</v>
      </c>
      <c r="E1408" s="3">
        <v>-3000</v>
      </c>
      <c r="F1408" s="3">
        <v>1</v>
      </c>
      <c r="G1408" s="3">
        <f t="shared" si="70"/>
        <v>3000</v>
      </c>
      <c r="H1408" s="3" t="s">
        <v>293</v>
      </c>
      <c r="I1408" s="1" t="s">
        <v>302</v>
      </c>
      <c r="J1408" s="1" t="s">
        <v>14</v>
      </c>
      <c r="K1408" s="1" t="s">
        <v>298</v>
      </c>
      <c r="L1408" s="1" t="s">
        <v>257</v>
      </c>
      <c r="M1408" s="1"/>
      <c r="N1408" s="1">
        <f t="shared" si="69"/>
        <v>1</v>
      </c>
      <c r="O1408" s="65"/>
    </row>
    <row r="1409" spans="1:15" ht="15.75" hidden="1" x14ac:dyDescent="0.25">
      <c r="A1409" s="1" t="str">
        <f t="shared" si="68"/>
        <v>4456344563500CURRENTSAVINGARTI</v>
      </c>
      <c r="B1409" s="2">
        <v>44563</v>
      </c>
      <c r="C1409" s="2">
        <v>44563</v>
      </c>
      <c r="D1409" s="3" t="s">
        <v>1588</v>
      </c>
      <c r="E1409" s="3">
        <v>-500</v>
      </c>
      <c r="F1409" s="3">
        <v>1</v>
      </c>
      <c r="G1409" s="3">
        <f t="shared" si="70"/>
        <v>500</v>
      </c>
      <c r="H1409" s="3" t="s">
        <v>293</v>
      </c>
      <c r="I1409" s="1" t="s">
        <v>302</v>
      </c>
      <c r="J1409" s="1" t="s">
        <v>453</v>
      </c>
      <c r="K1409" s="1" t="s">
        <v>298</v>
      </c>
      <c r="L1409" s="1" t="s">
        <v>257</v>
      </c>
      <c r="M1409" s="1"/>
      <c r="N1409" s="1">
        <f t="shared" si="69"/>
        <v>1</v>
      </c>
      <c r="O1409" s="65"/>
    </row>
    <row r="1410" spans="1:15" ht="15.75" hidden="1" x14ac:dyDescent="0.25">
      <c r="A1410" s="1" t="str">
        <f t="shared" ref="A1410:A1473" si="71">B1410&amp;C1410&amp;G1410&amp;H1410&amp;I1410&amp;J1410</f>
        <v>4456344563211CURRENTRENTKAHRAMAA</v>
      </c>
      <c r="B1410" s="2">
        <v>44563</v>
      </c>
      <c r="C1410" s="2">
        <v>44563</v>
      </c>
      <c r="D1410" s="3" t="s">
        <v>1940</v>
      </c>
      <c r="E1410" s="3">
        <v>-211</v>
      </c>
      <c r="F1410" s="3">
        <v>1</v>
      </c>
      <c r="G1410" s="3">
        <f t="shared" si="70"/>
        <v>211</v>
      </c>
      <c r="H1410" s="3" t="s">
        <v>293</v>
      </c>
      <c r="I1410" s="1" t="s">
        <v>83</v>
      </c>
      <c r="J1410" s="1" t="s">
        <v>4113</v>
      </c>
      <c r="K1410" s="1" t="s">
        <v>298</v>
      </c>
      <c r="L1410" s="1" t="s">
        <v>257</v>
      </c>
      <c r="M1410" s="1"/>
      <c r="N1410" s="1">
        <f t="shared" ref="N1410:N1473" si="72">MONTH(C1410)</f>
        <v>1</v>
      </c>
      <c r="O1410" s="65"/>
    </row>
    <row r="1411" spans="1:15" ht="15.75" hidden="1" x14ac:dyDescent="0.25">
      <c r="A1411" s="1" t="str">
        <f t="shared" si="71"/>
        <v>44563445638.19CURRENTTRANSPORTUBER</v>
      </c>
      <c r="B1411" s="2">
        <v>44563</v>
      </c>
      <c r="C1411" s="2">
        <v>44563</v>
      </c>
      <c r="D1411" s="3" t="s">
        <v>1674</v>
      </c>
      <c r="E1411" s="3">
        <v>-8.19</v>
      </c>
      <c r="F1411" s="3">
        <v>1</v>
      </c>
      <c r="G1411" s="3">
        <f t="shared" si="70"/>
        <v>8.19</v>
      </c>
      <c r="H1411" s="3" t="s">
        <v>293</v>
      </c>
      <c r="I1411" s="1" t="s">
        <v>296</v>
      </c>
      <c r="J1411" s="1" t="s">
        <v>299</v>
      </c>
      <c r="K1411" s="1" t="s">
        <v>298</v>
      </c>
      <c r="L1411" s="1" t="s">
        <v>257</v>
      </c>
      <c r="M1411" s="1"/>
      <c r="N1411" s="1">
        <f t="shared" si="72"/>
        <v>1</v>
      </c>
      <c r="O1411" s="65"/>
    </row>
    <row r="1412" spans="1:15" ht="15.75" hidden="1" x14ac:dyDescent="0.25">
      <c r="A1412" s="1" t="str">
        <f t="shared" si="71"/>
        <v>445634456313.46CURRENTTRANSPORTUBER</v>
      </c>
      <c r="B1412" s="2">
        <v>44563</v>
      </c>
      <c r="C1412" s="2">
        <v>44563</v>
      </c>
      <c r="D1412" s="3" t="s">
        <v>1941</v>
      </c>
      <c r="E1412" s="3">
        <v>-13.46</v>
      </c>
      <c r="F1412" s="3">
        <v>1</v>
      </c>
      <c r="G1412" s="3">
        <f t="shared" si="70"/>
        <v>13.46</v>
      </c>
      <c r="H1412" s="3" t="s">
        <v>293</v>
      </c>
      <c r="I1412" s="1" t="s">
        <v>296</v>
      </c>
      <c r="J1412" s="1" t="s">
        <v>299</v>
      </c>
      <c r="K1412" s="1" t="s">
        <v>298</v>
      </c>
      <c r="L1412" s="1" t="s">
        <v>257</v>
      </c>
      <c r="M1412" s="1"/>
      <c r="N1412" s="1">
        <f t="shared" si="72"/>
        <v>1</v>
      </c>
      <c r="O1412" s="65"/>
    </row>
    <row r="1413" spans="1:15" ht="15.75" hidden="1" x14ac:dyDescent="0.25">
      <c r="A1413" s="1" t="str">
        <f t="shared" si="71"/>
        <v>445644456537.22DINERSGROCERYTOTAL FRESH</v>
      </c>
      <c r="B1413" s="2">
        <v>44564</v>
      </c>
      <c r="C1413" s="2">
        <v>44565</v>
      </c>
      <c r="D1413" s="3" t="s">
        <v>1913</v>
      </c>
      <c r="E1413" s="3">
        <v>37.22</v>
      </c>
      <c r="F1413" s="3">
        <v>1</v>
      </c>
      <c r="G1413" s="3">
        <f t="shared" si="70"/>
        <v>37.22</v>
      </c>
      <c r="H1413" s="3" t="s">
        <v>266</v>
      </c>
      <c r="I1413" s="1" t="s">
        <v>43</v>
      </c>
      <c r="J1413" s="1" t="s">
        <v>1394</v>
      </c>
      <c r="K1413" s="1" t="s">
        <v>298</v>
      </c>
      <c r="L1413" s="1" t="s">
        <v>267</v>
      </c>
      <c r="M1413" s="1"/>
      <c r="N1413" s="1">
        <f t="shared" si="72"/>
        <v>1</v>
      </c>
      <c r="O1413" s="87"/>
    </row>
    <row r="1414" spans="1:15" ht="15.75" hidden="1" x14ac:dyDescent="0.25">
      <c r="A1414" s="1" t="str">
        <f t="shared" si="71"/>
        <v>44564445642000CURRENTSAVINGSELF</v>
      </c>
      <c r="B1414" s="2">
        <v>44564</v>
      </c>
      <c r="C1414" s="2">
        <v>44564</v>
      </c>
      <c r="D1414" s="3" t="s">
        <v>1939</v>
      </c>
      <c r="E1414" s="3">
        <v>-2000</v>
      </c>
      <c r="F1414" s="3">
        <v>1</v>
      </c>
      <c r="G1414" s="3">
        <f t="shared" si="70"/>
        <v>2000</v>
      </c>
      <c r="H1414" s="3" t="s">
        <v>293</v>
      </c>
      <c r="I1414" s="1" t="s">
        <v>302</v>
      </c>
      <c r="J1414" s="1" t="s">
        <v>14</v>
      </c>
      <c r="K1414" s="1" t="s">
        <v>298</v>
      </c>
      <c r="L1414" s="1" t="s">
        <v>257</v>
      </c>
      <c r="M1414" s="1"/>
      <c r="N1414" s="1">
        <f t="shared" si="72"/>
        <v>1</v>
      </c>
      <c r="O1414" s="65"/>
    </row>
    <row r="1415" spans="1:15" ht="15.75" hidden="1" x14ac:dyDescent="0.25">
      <c r="A1415" s="1" t="str">
        <f t="shared" si="71"/>
        <v>445654456850MASTER CCTELECOMOOREDOO</v>
      </c>
      <c r="B1415" s="2">
        <v>44565</v>
      </c>
      <c r="C1415" s="2">
        <v>44568</v>
      </c>
      <c r="D1415" s="3" t="s">
        <v>1933</v>
      </c>
      <c r="E1415" s="3">
        <v>50</v>
      </c>
      <c r="F1415" s="3">
        <v>1</v>
      </c>
      <c r="G1415" s="3">
        <f t="shared" si="70"/>
        <v>50</v>
      </c>
      <c r="H1415" s="3" t="s">
        <v>291</v>
      </c>
      <c r="I1415" s="1" t="s">
        <v>58</v>
      </c>
      <c r="J1415" s="1" t="s">
        <v>59</v>
      </c>
      <c r="K1415" s="1" t="s">
        <v>298</v>
      </c>
      <c r="L1415" s="1" t="s">
        <v>267</v>
      </c>
      <c r="M1415" s="1"/>
      <c r="N1415" s="1">
        <f t="shared" si="72"/>
        <v>1</v>
      </c>
      <c r="O1415" s="65"/>
    </row>
    <row r="1416" spans="1:15" ht="15.75" hidden="1" x14ac:dyDescent="0.25">
      <c r="A1416" s="1" t="str">
        <f t="shared" si="71"/>
        <v>445654456820MASTER CCTELECOMOOREDOO</v>
      </c>
      <c r="B1416" s="2">
        <v>44565</v>
      </c>
      <c r="C1416" s="2">
        <v>44568</v>
      </c>
      <c r="D1416" s="3" t="s">
        <v>1934</v>
      </c>
      <c r="E1416" s="3">
        <v>20</v>
      </c>
      <c r="F1416" s="3">
        <v>1</v>
      </c>
      <c r="G1416" s="3">
        <f t="shared" si="70"/>
        <v>20</v>
      </c>
      <c r="H1416" s="3" t="s">
        <v>291</v>
      </c>
      <c r="I1416" s="1" t="s">
        <v>58</v>
      </c>
      <c r="J1416" s="1" t="s">
        <v>59</v>
      </c>
      <c r="K1416" s="1" t="s">
        <v>298</v>
      </c>
      <c r="L1416" s="1" t="s">
        <v>267</v>
      </c>
      <c r="M1416" s="1"/>
      <c r="N1416" s="1">
        <f t="shared" si="72"/>
        <v>1</v>
      </c>
      <c r="O1416" s="65"/>
    </row>
    <row r="1417" spans="1:15" ht="15.75" hidden="1" x14ac:dyDescent="0.25">
      <c r="A1417" s="1" t="str">
        <f t="shared" si="71"/>
        <v>445654456616DINERSGROCERYTOTAL FRESH</v>
      </c>
      <c r="B1417" s="2">
        <v>44565</v>
      </c>
      <c r="C1417" s="2">
        <v>44566</v>
      </c>
      <c r="D1417" s="3" t="s">
        <v>1912</v>
      </c>
      <c r="E1417" s="3">
        <v>16</v>
      </c>
      <c r="F1417" s="3">
        <v>1</v>
      </c>
      <c r="G1417" s="3">
        <f t="shared" si="70"/>
        <v>16</v>
      </c>
      <c r="H1417" s="3" t="s">
        <v>266</v>
      </c>
      <c r="I1417" s="1" t="s">
        <v>43</v>
      </c>
      <c r="J1417" s="1" t="s">
        <v>1394</v>
      </c>
      <c r="K1417" s="1" t="s">
        <v>298</v>
      </c>
      <c r="L1417" s="1" t="s">
        <v>267</v>
      </c>
      <c r="M1417" s="1"/>
      <c r="N1417" s="1">
        <f t="shared" si="72"/>
        <v>1</v>
      </c>
      <c r="O1417" s="87"/>
    </row>
    <row r="1418" spans="1:15" ht="15.75" hidden="1" x14ac:dyDescent="0.25">
      <c r="A1418" s="1" t="str">
        <f t="shared" si="71"/>
        <v>4456544565120CURRENTFOODTALABAT</v>
      </c>
      <c r="B1418" s="2">
        <v>44565</v>
      </c>
      <c r="C1418" s="2">
        <v>44565</v>
      </c>
      <c r="D1418" s="3" t="s">
        <v>1938</v>
      </c>
      <c r="E1418" s="3">
        <v>-120</v>
      </c>
      <c r="F1418" s="3">
        <v>1</v>
      </c>
      <c r="G1418" s="3">
        <f t="shared" si="70"/>
        <v>120</v>
      </c>
      <c r="H1418" s="3" t="s">
        <v>293</v>
      </c>
      <c r="I1418" s="1" t="s">
        <v>10</v>
      </c>
      <c r="J1418" s="1" t="s">
        <v>865</v>
      </c>
      <c r="K1418" s="1" t="s">
        <v>298</v>
      </c>
      <c r="L1418" s="1" t="s">
        <v>257</v>
      </c>
      <c r="M1418" s="1"/>
      <c r="N1418" s="1">
        <f t="shared" si="72"/>
        <v>1</v>
      </c>
      <c r="O1418" s="65"/>
    </row>
    <row r="1419" spans="1:15" ht="15.75" hidden="1" x14ac:dyDescent="0.25">
      <c r="A1419" s="1" t="str">
        <f t="shared" si="71"/>
        <v>445664456860MASTER CCTELECOMOOREDOO</v>
      </c>
      <c r="B1419" s="2">
        <v>44566</v>
      </c>
      <c r="C1419" s="2">
        <v>44568</v>
      </c>
      <c r="D1419" s="3" t="s">
        <v>1931</v>
      </c>
      <c r="E1419" s="3">
        <v>60</v>
      </c>
      <c r="F1419" s="3">
        <v>1</v>
      </c>
      <c r="G1419" s="3">
        <f t="shared" ref="G1419:G1482" si="73">ABS(E1419)*F1419</f>
        <v>60</v>
      </c>
      <c r="H1419" s="3" t="s">
        <v>291</v>
      </c>
      <c r="I1419" s="1" t="s">
        <v>58</v>
      </c>
      <c r="J1419" s="1" t="s">
        <v>59</v>
      </c>
      <c r="K1419" s="1" t="s">
        <v>298</v>
      </c>
      <c r="L1419" s="1" t="s">
        <v>267</v>
      </c>
      <c r="M1419" s="1"/>
      <c r="N1419" s="1">
        <f t="shared" si="72"/>
        <v>1</v>
      </c>
      <c r="O1419" s="65"/>
    </row>
    <row r="1420" spans="1:15" ht="15.75" hidden="1" x14ac:dyDescent="0.25">
      <c r="A1420" s="1" t="str">
        <f t="shared" si="71"/>
        <v>445664456810MASTER CCTELECOMOOREDOO</v>
      </c>
      <c r="B1420" s="2">
        <v>44566</v>
      </c>
      <c r="C1420" s="2">
        <v>44568</v>
      </c>
      <c r="D1420" s="3" t="s">
        <v>1932</v>
      </c>
      <c r="E1420" s="3">
        <v>10</v>
      </c>
      <c r="F1420" s="3">
        <v>1</v>
      </c>
      <c r="G1420" s="3">
        <f t="shared" si="73"/>
        <v>10</v>
      </c>
      <c r="H1420" s="3" t="s">
        <v>291</v>
      </c>
      <c r="I1420" s="1" t="s">
        <v>58</v>
      </c>
      <c r="J1420" s="1" t="s">
        <v>59</v>
      </c>
      <c r="K1420" s="1" t="s">
        <v>298</v>
      </c>
      <c r="L1420" s="1" t="s">
        <v>267</v>
      </c>
      <c r="M1420" s="1"/>
      <c r="N1420" s="1">
        <f t="shared" si="72"/>
        <v>1</v>
      </c>
      <c r="O1420" s="65"/>
    </row>
    <row r="1421" spans="1:15" ht="15.75" hidden="1" x14ac:dyDescent="0.25">
      <c r="A1421" s="1" t="str">
        <f t="shared" si="71"/>
        <v>4456644566500CURRENTWITHDRAWSELF</v>
      </c>
      <c r="B1421" s="2">
        <v>44566</v>
      </c>
      <c r="C1421" s="2">
        <v>44566</v>
      </c>
      <c r="D1421" s="3" t="s">
        <v>1937</v>
      </c>
      <c r="E1421" s="3">
        <v>-500</v>
      </c>
      <c r="F1421" s="3">
        <v>1</v>
      </c>
      <c r="G1421" s="3">
        <f t="shared" si="73"/>
        <v>500</v>
      </c>
      <c r="H1421" s="3" t="s">
        <v>293</v>
      </c>
      <c r="I1421" s="1" t="s">
        <v>13</v>
      </c>
      <c r="J1421" s="1" t="s">
        <v>14</v>
      </c>
      <c r="K1421" s="1" t="s">
        <v>298</v>
      </c>
      <c r="L1421" s="1" t="s">
        <v>257</v>
      </c>
      <c r="M1421" s="1"/>
      <c r="N1421" s="1">
        <f t="shared" si="72"/>
        <v>1</v>
      </c>
      <c r="O1421" s="65"/>
    </row>
    <row r="1422" spans="1:15" ht="15.75" hidden="1" x14ac:dyDescent="0.25">
      <c r="A1422" s="1" t="str">
        <f t="shared" si="71"/>
        <v>44566445661250CURRENTSAVINGSELF</v>
      </c>
      <c r="B1422" s="2">
        <v>44566</v>
      </c>
      <c r="C1422" s="2">
        <v>44566</v>
      </c>
      <c r="D1422" s="3" t="s">
        <v>1167</v>
      </c>
      <c r="E1422" s="3">
        <v>-1250</v>
      </c>
      <c r="F1422" s="3">
        <v>1</v>
      </c>
      <c r="G1422" s="3">
        <f t="shared" si="73"/>
        <v>1250</v>
      </c>
      <c r="H1422" s="3" t="s">
        <v>293</v>
      </c>
      <c r="I1422" s="1" t="s">
        <v>302</v>
      </c>
      <c r="J1422" s="1" t="s">
        <v>14</v>
      </c>
      <c r="K1422" s="1" t="s">
        <v>298</v>
      </c>
      <c r="L1422" s="1" t="s">
        <v>257</v>
      </c>
      <c r="M1422" s="1"/>
      <c r="N1422" s="1">
        <f t="shared" si="72"/>
        <v>1</v>
      </c>
      <c r="O1422" s="65"/>
    </row>
    <row r="1423" spans="1:15" ht="15.75" hidden="1" x14ac:dyDescent="0.25">
      <c r="A1423" s="1" t="str">
        <f t="shared" si="71"/>
        <v>4456844572103MASTER CCSHOPPINGRNB</v>
      </c>
      <c r="B1423" s="2">
        <v>44568</v>
      </c>
      <c r="C1423" s="2">
        <v>44572</v>
      </c>
      <c r="D1423" s="3" t="s">
        <v>1930</v>
      </c>
      <c r="E1423" s="3">
        <v>103</v>
      </c>
      <c r="F1423" s="3">
        <v>1</v>
      </c>
      <c r="G1423" s="3">
        <f t="shared" si="73"/>
        <v>103</v>
      </c>
      <c r="H1423" s="3" t="s">
        <v>291</v>
      </c>
      <c r="I1423" s="1" t="s">
        <v>194</v>
      </c>
      <c r="J1423" s="1" t="s">
        <v>1658</v>
      </c>
      <c r="K1423" s="1" t="s">
        <v>298</v>
      </c>
      <c r="L1423" s="1" t="s">
        <v>267</v>
      </c>
      <c r="M1423" s="1"/>
      <c r="N1423" s="1">
        <f t="shared" si="72"/>
        <v>1</v>
      </c>
      <c r="O1423" s="65"/>
    </row>
    <row r="1424" spans="1:15" ht="15.75" hidden="1" x14ac:dyDescent="0.25">
      <c r="A1424" s="1" t="str">
        <f t="shared" si="71"/>
        <v>445684457222.4DINERSTRANSPORTUBER</v>
      </c>
      <c r="B1424" s="2">
        <v>44568</v>
      </c>
      <c r="C1424" s="2">
        <v>44572</v>
      </c>
      <c r="D1424" s="3" t="s">
        <v>1910</v>
      </c>
      <c r="E1424" s="3">
        <v>22.4</v>
      </c>
      <c r="F1424" s="3">
        <v>1</v>
      </c>
      <c r="G1424" s="3">
        <f t="shared" si="73"/>
        <v>22.4</v>
      </c>
      <c r="H1424" s="3" t="s">
        <v>266</v>
      </c>
      <c r="I1424" s="1" t="s">
        <v>296</v>
      </c>
      <c r="J1424" s="1" t="s">
        <v>299</v>
      </c>
      <c r="K1424" s="1" t="s">
        <v>298</v>
      </c>
      <c r="L1424" s="1" t="s">
        <v>267</v>
      </c>
      <c r="M1424" s="1"/>
      <c r="N1424" s="1">
        <f t="shared" si="72"/>
        <v>1</v>
      </c>
      <c r="O1424" s="87"/>
    </row>
    <row r="1425" spans="1:15" ht="15.75" hidden="1" x14ac:dyDescent="0.25">
      <c r="A1425" s="1" t="str">
        <f t="shared" si="71"/>
        <v>445684457222.75DINERSTRANSPORTUBER</v>
      </c>
      <c r="B1425" s="2">
        <v>44568</v>
      </c>
      <c r="C1425" s="2">
        <v>44572</v>
      </c>
      <c r="D1425" s="3" t="s">
        <v>1911</v>
      </c>
      <c r="E1425" s="3">
        <v>22.75</v>
      </c>
      <c r="F1425" s="3">
        <v>1</v>
      </c>
      <c r="G1425" s="3">
        <f t="shared" si="73"/>
        <v>22.75</v>
      </c>
      <c r="H1425" s="3" t="s">
        <v>266</v>
      </c>
      <c r="I1425" s="1" t="s">
        <v>296</v>
      </c>
      <c r="J1425" s="1" t="s">
        <v>299</v>
      </c>
      <c r="K1425" s="1" t="s">
        <v>298</v>
      </c>
      <c r="L1425" s="1" t="s">
        <v>267</v>
      </c>
      <c r="M1425" s="1"/>
      <c r="N1425" s="1">
        <f t="shared" si="72"/>
        <v>1</v>
      </c>
      <c r="O1425" s="87"/>
    </row>
    <row r="1426" spans="1:15" ht="15.75" hidden="1" x14ac:dyDescent="0.25">
      <c r="A1426" s="1" t="str">
        <f t="shared" si="71"/>
        <v>445694457213.94DINERSTRANSPORTUBER</v>
      </c>
      <c r="B1426" s="2">
        <v>44569</v>
      </c>
      <c r="C1426" s="2">
        <v>44572</v>
      </c>
      <c r="D1426" s="3" t="s">
        <v>1904</v>
      </c>
      <c r="E1426" s="3">
        <v>13.94</v>
      </c>
      <c r="F1426" s="3">
        <v>1</v>
      </c>
      <c r="G1426" s="3">
        <f t="shared" si="73"/>
        <v>13.94</v>
      </c>
      <c r="H1426" s="3" t="s">
        <v>266</v>
      </c>
      <c r="I1426" s="1" t="s">
        <v>296</v>
      </c>
      <c r="J1426" s="1" t="s">
        <v>299</v>
      </c>
      <c r="K1426" s="1" t="s">
        <v>298</v>
      </c>
      <c r="L1426" s="1" t="s">
        <v>267</v>
      </c>
      <c r="M1426" s="1"/>
      <c r="N1426" s="1">
        <f t="shared" si="72"/>
        <v>1</v>
      </c>
      <c r="O1426" s="87"/>
    </row>
    <row r="1427" spans="1:15" ht="15.75" hidden="1" x14ac:dyDescent="0.25">
      <c r="A1427" s="1" t="str">
        <f t="shared" si="71"/>
        <v>445694457217.23DINERSTRANSPORTUBER</v>
      </c>
      <c r="B1427" s="2">
        <v>44569</v>
      </c>
      <c r="C1427" s="2">
        <v>44572</v>
      </c>
      <c r="D1427" s="3" t="s">
        <v>1905</v>
      </c>
      <c r="E1427" s="3">
        <v>17.23</v>
      </c>
      <c r="F1427" s="3">
        <v>1</v>
      </c>
      <c r="G1427" s="3">
        <f t="shared" si="73"/>
        <v>17.23</v>
      </c>
      <c r="H1427" s="3" t="s">
        <v>266</v>
      </c>
      <c r="I1427" s="1" t="s">
        <v>296</v>
      </c>
      <c r="J1427" s="1" t="s">
        <v>299</v>
      </c>
      <c r="K1427" s="1" t="s">
        <v>298</v>
      </c>
      <c r="L1427" s="1" t="s">
        <v>267</v>
      </c>
      <c r="M1427" s="1"/>
      <c r="N1427" s="1">
        <f t="shared" si="72"/>
        <v>1</v>
      </c>
      <c r="O1427" s="87"/>
    </row>
    <row r="1428" spans="1:15" ht="15.75" x14ac:dyDescent="0.25">
      <c r="A1428" s="1" t="str">
        <f t="shared" si="71"/>
        <v>44569445708034DINERSGOLDKALYAN</v>
      </c>
      <c r="B1428" s="2">
        <v>44569</v>
      </c>
      <c r="C1428" s="2">
        <v>44570</v>
      </c>
      <c r="D1428" s="3" t="s">
        <v>1906</v>
      </c>
      <c r="E1428" s="3">
        <v>8034</v>
      </c>
      <c r="F1428" s="3">
        <v>1</v>
      </c>
      <c r="G1428" s="3">
        <f t="shared" si="73"/>
        <v>8034</v>
      </c>
      <c r="H1428" s="3" t="s">
        <v>266</v>
      </c>
      <c r="I1428" s="1" t="s">
        <v>106</v>
      </c>
      <c r="J1428" s="1" t="s">
        <v>173</v>
      </c>
      <c r="K1428" s="1" t="s">
        <v>298</v>
      </c>
      <c r="L1428" s="1" t="s">
        <v>267</v>
      </c>
      <c r="M1428" s="1"/>
      <c r="N1428" s="1">
        <f t="shared" si="72"/>
        <v>1</v>
      </c>
      <c r="O1428" s="87"/>
    </row>
    <row r="1429" spans="1:15" ht="15.75" hidden="1" x14ac:dyDescent="0.25">
      <c r="A1429" s="1" t="str">
        <f t="shared" si="71"/>
        <v>4456944570285DINERSSHOPPINGLULU</v>
      </c>
      <c r="B1429" s="2">
        <v>44569</v>
      </c>
      <c r="C1429" s="2">
        <v>44570</v>
      </c>
      <c r="D1429" s="3" t="s">
        <v>1907</v>
      </c>
      <c r="E1429" s="3">
        <v>285</v>
      </c>
      <c r="F1429" s="3">
        <v>1</v>
      </c>
      <c r="G1429" s="3">
        <f t="shared" si="73"/>
        <v>285</v>
      </c>
      <c r="H1429" s="3" t="s">
        <v>266</v>
      </c>
      <c r="I1429" s="1" t="s">
        <v>194</v>
      </c>
      <c r="J1429" s="1" t="s">
        <v>44</v>
      </c>
      <c r="K1429" s="1" t="s">
        <v>298</v>
      </c>
      <c r="L1429" s="1" t="s">
        <v>267</v>
      </c>
      <c r="M1429" s="1"/>
      <c r="N1429" s="1">
        <f t="shared" si="72"/>
        <v>1</v>
      </c>
      <c r="O1429" s="87"/>
    </row>
    <row r="1430" spans="1:15" ht="15.75" hidden="1" x14ac:dyDescent="0.25">
      <c r="A1430" s="1" t="str">
        <f t="shared" si="71"/>
        <v>4456944570404.49DINERSGROCERYLULU</v>
      </c>
      <c r="B1430" s="2">
        <v>44569</v>
      </c>
      <c r="C1430" s="2">
        <v>44570</v>
      </c>
      <c r="D1430" s="3" t="s">
        <v>1908</v>
      </c>
      <c r="E1430" s="3">
        <v>404.49</v>
      </c>
      <c r="F1430" s="3">
        <v>1</v>
      </c>
      <c r="G1430" s="3">
        <f t="shared" si="73"/>
        <v>404.49</v>
      </c>
      <c r="H1430" s="3" t="s">
        <v>266</v>
      </c>
      <c r="I1430" s="1" t="s">
        <v>43</v>
      </c>
      <c r="J1430" s="1" t="s">
        <v>44</v>
      </c>
      <c r="K1430" s="1" t="s">
        <v>298</v>
      </c>
      <c r="L1430" s="1" t="s">
        <v>267</v>
      </c>
      <c r="M1430" s="1"/>
      <c r="N1430" s="1">
        <f t="shared" si="72"/>
        <v>1</v>
      </c>
      <c r="O1430" s="87"/>
    </row>
    <row r="1431" spans="1:15" ht="15.75" hidden="1" x14ac:dyDescent="0.25">
      <c r="A1431" s="1" t="str">
        <f t="shared" si="71"/>
        <v>445694457016.62DINERSGROCERYTOTAL FRESH</v>
      </c>
      <c r="B1431" s="2">
        <v>44569</v>
      </c>
      <c r="C1431" s="2">
        <v>44570</v>
      </c>
      <c r="D1431" s="3" t="s">
        <v>1909</v>
      </c>
      <c r="E1431" s="3">
        <v>16.62</v>
      </c>
      <c r="F1431" s="3">
        <v>1</v>
      </c>
      <c r="G1431" s="3">
        <f t="shared" si="73"/>
        <v>16.62</v>
      </c>
      <c r="H1431" s="3" t="s">
        <v>266</v>
      </c>
      <c r="I1431" s="1" t="s">
        <v>43</v>
      </c>
      <c r="J1431" s="1" t="s">
        <v>1394</v>
      </c>
      <c r="K1431" s="1" t="s">
        <v>298</v>
      </c>
      <c r="L1431" s="1" t="s">
        <v>267</v>
      </c>
      <c r="M1431" s="1"/>
      <c r="N1431" s="1">
        <f t="shared" si="72"/>
        <v>1</v>
      </c>
      <c r="O1431" s="87"/>
    </row>
    <row r="1432" spans="1:15" ht="15.75" hidden="1" x14ac:dyDescent="0.25">
      <c r="A1432" s="1" t="str">
        <f t="shared" si="71"/>
        <v>44570445718.5DINERSGROCERYTOTAL FRESH</v>
      </c>
      <c r="B1432" s="2">
        <v>44570</v>
      </c>
      <c r="C1432" s="2">
        <v>44571</v>
      </c>
      <c r="D1432" s="3" t="s">
        <v>1903</v>
      </c>
      <c r="E1432" s="3">
        <v>8.5</v>
      </c>
      <c r="F1432" s="3">
        <v>1</v>
      </c>
      <c r="G1432" s="3">
        <f t="shared" si="73"/>
        <v>8.5</v>
      </c>
      <c r="H1432" s="3" t="s">
        <v>266</v>
      </c>
      <c r="I1432" s="1" t="s">
        <v>43</v>
      </c>
      <c r="J1432" s="1" t="s">
        <v>1394</v>
      </c>
      <c r="K1432" s="1" t="s">
        <v>298</v>
      </c>
      <c r="L1432" s="1" t="s">
        <v>267</v>
      </c>
      <c r="M1432" s="1"/>
      <c r="N1432" s="1">
        <f t="shared" si="72"/>
        <v>1</v>
      </c>
      <c r="O1432" s="87"/>
    </row>
    <row r="1433" spans="1:15" ht="15.75" hidden="1" x14ac:dyDescent="0.25">
      <c r="A1433" s="1" t="str">
        <f t="shared" si="71"/>
        <v>445714457429MASTER CCFOODQATAR AIR</v>
      </c>
      <c r="B1433" s="2">
        <v>44571</v>
      </c>
      <c r="C1433" s="2">
        <v>44574</v>
      </c>
      <c r="D1433" s="3" t="s">
        <v>1928</v>
      </c>
      <c r="E1433" s="3">
        <v>29</v>
      </c>
      <c r="F1433" s="3">
        <v>1</v>
      </c>
      <c r="G1433" s="3">
        <f t="shared" si="73"/>
        <v>29</v>
      </c>
      <c r="H1433" s="3" t="s">
        <v>291</v>
      </c>
      <c r="I1433" s="1" t="s">
        <v>10</v>
      </c>
      <c r="J1433" s="1" t="s">
        <v>19</v>
      </c>
      <c r="K1433" s="1" t="s">
        <v>298</v>
      </c>
      <c r="L1433" s="1" t="s">
        <v>267</v>
      </c>
      <c r="M1433" s="1"/>
      <c r="N1433" s="1">
        <f t="shared" si="72"/>
        <v>1</v>
      </c>
      <c r="O1433" s="65"/>
    </row>
    <row r="1434" spans="1:15" ht="15.75" hidden="1" x14ac:dyDescent="0.25">
      <c r="A1434" s="1" t="str">
        <f t="shared" si="71"/>
        <v>445714457448MASTER CCFOODTALABAT</v>
      </c>
      <c r="B1434" s="2">
        <v>44571</v>
      </c>
      <c r="C1434" s="2">
        <v>44574</v>
      </c>
      <c r="D1434" s="3" t="s">
        <v>1929</v>
      </c>
      <c r="E1434" s="3">
        <v>48</v>
      </c>
      <c r="F1434" s="3">
        <v>1</v>
      </c>
      <c r="G1434" s="3">
        <f t="shared" si="73"/>
        <v>48</v>
      </c>
      <c r="H1434" s="3" t="s">
        <v>291</v>
      </c>
      <c r="I1434" s="1" t="s">
        <v>10</v>
      </c>
      <c r="J1434" s="1" t="s">
        <v>865</v>
      </c>
      <c r="K1434" s="1" t="s">
        <v>298</v>
      </c>
      <c r="L1434" s="1" t="s">
        <v>267</v>
      </c>
      <c r="M1434" s="1"/>
      <c r="N1434" s="1">
        <f t="shared" si="72"/>
        <v>1</v>
      </c>
      <c r="O1434" s="65"/>
    </row>
    <row r="1435" spans="1:15" ht="15.75" hidden="1" x14ac:dyDescent="0.25">
      <c r="A1435" s="1" t="str">
        <f t="shared" si="71"/>
        <v>44571445711250CURRENTTRANSFERINDIA</v>
      </c>
      <c r="B1435" s="2">
        <v>44571</v>
      </c>
      <c r="C1435" s="2">
        <v>44571</v>
      </c>
      <c r="D1435" s="3" t="s">
        <v>694</v>
      </c>
      <c r="E1435" s="3">
        <v>-1250</v>
      </c>
      <c r="F1435" s="3">
        <v>1</v>
      </c>
      <c r="G1435" s="3">
        <f t="shared" si="73"/>
        <v>1250</v>
      </c>
      <c r="H1435" s="3" t="s">
        <v>293</v>
      </c>
      <c r="I1435" s="1" t="s">
        <v>22</v>
      </c>
      <c r="J1435" s="1" t="s">
        <v>23</v>
      </c>
      <c r="K1435" s="1" t="s">
        <v>298</v>
      </c>
      <c r="L1435" s="1" t="s">
        <v>257</v>
      </c>
      <c r="M1435" s="1"/>
      <c r="N1435" s="1">
        <f t="shared" si="72"/>
        <v>1</v>
      </c>
      <c r="O1435" s="65"/>
    </row>
    <row r="1436" spans="1:15" ht="15.75" hidden="1" x14ac:dyDescent="0.25">
      <c r="A1436" s="1" t="str">
        <f t="shared" si="71"/>
        <v>445724457329DINERSSHOPPINGBABYSHOP</v>
      </c>
      <c r="B1436" s="2">
        <v>44572</v>
      </c>
      <c r="C1436" s="2">
        <v>44573</v>
      </c>
      <c r="D1436" s="3" t="s">
        <v>1902</v>
      </c>
      <c r="E1436" s="3">
        <v>29</v>
      </c>
      <c r="F1436" s="3">
        <v>1</v>
      </c>
      <c r="G1436" s="3">
        <f t="shared" si="73"/>
        <v>29</v>
      </c>
      <c r="H1436" s="3" t="s">
        <v>266</v>
      </c>
      <c r="I1436" s="1" t="s">
        <v>194</v>
      </c>
      <c r="J1436" s="1" t="s">
        <v>1650</v>
      </c>
      <c r="K1436" s="1" t="s">
        <v>298</v>
      </c>
      <c r="L1436" s="1" t="s">
        <v>267</v>
      </c>
      <c r="M1436" s="1"/>
      <c r="N1436" s="1">
        <f t="shared" si="72"/>
        <v>1</v>
      </c>
      <c r="O1436" s="87"/>
    </row>
    <row r="1437" spans="1:15" ht="15.75" hidden="1" x14ac:dyDescent="0.25">
      <c r="A1437" s="1" t="str">
        <f t="shared" si="71"/>
        <v>445734457518MASTER CCMEDICALPHARMACY</v>
      </c>
      <c r="B1437" s="2">
        <v>44573</v>
      </c>
      <c r="C1437" s="2">
        <v>44575</v>
      </c>
      <c r="D1437" s="3" t="s">
        <v>1921</v>
      </c>
      <c r="E1437" s="3">
        <v>18</v>
      </c>
      <c r="F1437" s="3">
        <v>1</v>
      </c>
      <c r="G1437" s="3">
        <f t="shared" si="73"/>
        <v>18</v>
      </c>
      <c r="H1437" s="3" t="s">
        <v>291</v>
      </c>
      <c r="I1437" s="1" t="s">
        <v>301</v>
      </c>
      <c r="J1437" s="1" t="s">
        <v>304</v>
      </c>
      <c r="K1437" s="1" t="s">
        <v>298</v>
      </c>
      <c r="L1437" s="1" t="s">
        <v>267</v>
      </c>
      <c r="M1437" s="1"/>
      <c r="N1437" s="1">
        <f t="shared" si="72"/>
        <v>1</v>
      </c>
      <c r="O1437" s="65"/>
    </row>
    <row r="1438" spans="1:15" ht="15.75" hidden="1" x14ac:dyDescent="0.25">
      <c r="A1438" s="1" t="str">
        <f t="shared" si="71"/>
        <v>445734457535MASTER CCFOODQATAR AIR</v>
      </c>
      <c r="B1438" s="2">
        <v>44573</v>
      </c>
      <c r="C1438" s="2">
        <v>44575</v>
      </c>
      <c r="D1438" s="3" t="s">
        <v>1920</v>
      </c>
      <c r="E1438" s="3">
        <v>35</v>
      </c>
      <c r="F1438" s="3">
        <v>1</v>
      </c>
      <c r="G1438" s="3">
        <f t="shared" si="73"/>
        <v>35</v>
      </c>
      <c r="H1438" s="3" t="s">
        <v>291</v>
      </c>
      <c r="I1438" s="1" t="s">
        <v>10</v>
      </c>
      <c r="J1438" s="1" t="s">
        <v>19</v>
      </c>
      <c r="K1438" s="1" t="s">
        <v>298</v>
      </c>
      <c r="L1438" s="1" t="s">
        <v>267</v>
      </c>
      <c r="M1438" s="1"/>
      <c r="N1438" s="1">
        <f t="shared" si="72"/>
        <v>1</v>
      </c>
      <c r="O1438" s="65"/>
    </row>
    <row r="1439" spans="1:15" ht="15.75" hidden="1" x14ac:dyDescent="0.25">
      <c r="A1439" s="1" t="str">
        <f t="shared" si="71"/>
        <v>445734457450MASTER CCMEDICALNASEEM AL</v>
      </c>
      <c r="B1439" s="2">
        <v>44573</v>
      </c>
      <c r="C1439" s="2">
        <v>44574</v>
      </c>
      <c r="D1439" s="3" t="s">
        <v>1927</v>
      </c>
      <c r="E1439" s="3">
        <v>50</v>
      </c>
      <c r="F1439" s="3">
        <v>1</v>
      </c>
      <c r="G1439" s="3">
        <f t="shared" si="73"/>
        <v>50</v>
      </c>
      <c r="H1439" s="3" t="s">
        <v>291</v>
      </c>
      <c r="I1439" s="1" t="s">
        <v>301</v>
      </c>
      <c r="J1439" s="1" t="s">
        <v>1000</v>
      </c>
      <c r="K1439" s="1" t="s">
        <v>298</v>
      </c>
      <c r="L1439" s="1" t="s">
        <v>267</v>
      </c>
      <c r="M1439" s="1"/>
      <c r="N1439" s="1">
        <f t="shared" si="72"/>
        <v>1</v>
      </c>
      <c r="O1439" s="65"/>
    </row>
    <row r="1440" spans="1:15" ht="15.75" hidden="1" x14ac:dyDescent="0.25">
      <c r="A1440" s="1" t="str">
        <f t="shared" si="71"/>
        <v>4457344574125MASTER CCMEDICALNASEEM AL</v>
      </c>
      <c r="B1440" s="2">
        <v>44573</v>
      </c>
      <c r="C1440" s="2">
        <v>44574</v>
      </c>
      <c r="D1440" s="3" t="s">
        <v>1925</v>
      </c>
      <c r="E1440" s="3">
        <v>125</v>
      </c>
      <c r="F1440" s="3">
        <v>1</v>
      </c>
      <c r="G1440" s="3">
        <f t="shared" si="73"/>
        <v>125</v>
      </c>
      <c r="H1440" s="3" t="s">
        <v>291</v>
      </c>
      <c r="I1440" s="1" t="s">
        <v>301</v>
      </c>
      <c r="J1440" s="1" t="s">
        <v>1000</v>
      </c>
      <c r="K1440" s="1" t="s">
        <v>298</v>
      </c>
      <c r="L1440" s="1" t="s">
        <v>267</v>
      </c>
      <c r="M1440" s="1"/>
      <c r="N1440" s="1">
        <f t="shared" si="72"/>
        <v>1</v>
      </c>
      <c r="O1440" s="65"/>
    </row>
    <row r="1441" spans="1:15" ht="15.75" hidden="1" x14ac:dyDescent="0.25">
      <c r="A1441" s="1" t="str">
        <f t="shared" si="71"/>
        <v>445734457440MASTER CCMEDICALNASEEM AL</v>
      </c>
      <c r="B1441" s="2">
        <v>44573</v>
      </c>
      <c r="C1441" s="2">
        <v>44574</v>
      </c>
      <c r="D1441" s="3" t="s">
        <v>1922</v>
      </c>
      <c r="E1441" s="3">
        <v>40</v>
      </c>
      <c r="F1441" s="3">
        <v>1</v>
      </c>
      <c r="G1441" s="3">
        <f t="shared" si="73"/>
        <v>40</v>
      </c>
      <c r="H1441" s="3" t="s">
        <v>291</v>
      </c>
      <c r="I1441" s="1" t="s">
        <v>301</v>
      </c>
      <c r="J1441" s="1" t="s">
        <v>1000</v>
      </c>
      <c r="K1441" s="1" t="s">
        <v>298</v>
      </c>
      <c r="L1441" s="1" t="s">
        <v>267</v>
      </c>
      <c r="M1441" s="1"/>
      <c r="N1441" s="1">
        <f t="shared" si="72"/>
        <v>1</v>
      </c>
      <c r="O1441" s="65"/>
    </row>
    <row r="1442" spans="1:15" ht="15.75" hidden="1" x14ac:dyDescent="0.25">
      <c r="A1442" s="1" t="str">
        <f t="shared" si="71"/>
        <v>445734457430MASTER CCMEDICALNASEEM AL</v>
      </c>
      <c r="B1442" s="2">
        <v>44573</v>
      </c>
      <c r="C1442" s="2">
        <v>44574</v>
      </c>
      <c r="D1442" s="3" t="s">
        <v>1923</v>
      </c>
      <c r="E1442" s="3">
        <v>30</v>
      </c>
      <c r="F1442" s="3">
        <v>1</v>
      </c>
      <c r="G1442" s="3">
        <f t="shared" si="73"/>
        <v>30</v>
      </c>
      <c r="H1442" s="3" t="s">
        <v>291</v>
      </c>
      <c r="I1442" s="1" t="s">
        <v>301</v>
      </c>
      <c r="J1442" s="1" t="s">
        <v>1000</v>
      </c>
      <c r="K1442" s="1" t="s">
        <v>298</v>
      </c>
      <c r="L1442" s="1" t="s">
        <v>267</v>
      </c>
      <c r="M1442" s="1"/>
      <c r="N1442" s="1">
        <f t="shared" si="72"/>
        <v>1</v>
      </c>
      <c r="O1442" s="65"/>
    </row>
    <row r="1443" spans="1:15" ht="15.75" hidden="1" x14ac:dyDescent="0.25">
      <c r="A1443" s="1" t="str">
        <f t="shared" si="71"/>
        <v>445734457589MASTER CCMEDICALNASEEM AL</v>
      </c>
      <c r="B1443" s="2">
        <v>44573</v>
      </c>
      <c r="C1443" s="2">
        <v>44575</v>
      </c>
      <c r="D1443" s="3" t="s">
        <v>1926</v>
      </c>
      <c r="E1443" s="3">
        <v>89</v>
      </c>
      <c r="F1443" s="3">
        <v>1</v>
      </c>
      <c r="G1443" s="3">
        <f t="shared" si="73"/>
        <v>89</v>
      </c>
      <c r="H1443" s="3" t="s">
        <v>291</v>
      </c>
      <c r="I1443" s="1" t="s">
        <v>301</v>
      </c>
      <c r="J1443" s="1" t="s">
        <v>1000</v>
      </c>
      <c r="K1443" s="1" t="s">
        <v>298</v>
      </c>
      <c r="L1443" s="1" t="s">
        <v>267</v>
      </c>
      <c r="M1443" s="1"/>
      <c r="N1443" s="1">
        <f t="shared" si="72"/>
        <v>1</v>
      </c>
      <c r="O1443" s="65"/>
    </row>
    <row r="1444" spans="1:15" ht="15.75" hidden="1" x14ac:dyDescent="0.25">
      <c r="A1444" s="1" t="str">
        <f t="shared" si="71"/>
        <v>445734457547MASTER CCMEDICALNASEEM AL</v>
      </c>
      <c r="B1444" s="2">
        <v>44573</v>
      </c>
      <c r="C1444" s="2">
        <v>44575</v>
      </c>
      <c r="D1444" s="3" t="s">
        <v>1924</v>
      </c>
      <c r="E1444" s="3">
        <v>47</v>
      </c>
      <c r="F1444" s="3">
        <v>1</v>
      </c>
      <c r="G1444" s="3">
        <f t="shared" si="73"/>
        <v>47</v>
      </c>
      <c r="H1444" s="3" t="s">
        <v>291</v>
      </c>
      <c r="I1444" s="1" t="s">
        <v>301</v>
      </c>
      <c r="J1444" s="1" t="s">
        <v>1000</v>
      </c>
      <c r="K1444" s="1" t="s">
        <v>298</v>
      </c>
      <c r="L1444" s="1" t="s">
        <v>267</v>
      </c>
      <c r="M1444" s="1"/>
      <c r="N1444" s="1">
        <f t="shared" si="72"/>
        <v>1</v>
      </c>
      <c r="O1444" s="65"/>
    </row>
    <row r="1445" spans="1:15" ht="15.75" hidden="1" x14ac:dyDescent="0.25">
      <c r="A1445" s="1" t="str">
        <f t="shared" si="71"/>
        <v>445734457711.98DINERSTRANSPORTUBER</v>
      </c>
      <c r="B1445" s="2">
        <v>44573</v>
      </c>
      <c r="C1445" s="2">
        <v>44577</v>
      </c>
      <c r="D1445" s="3" t="s">
        <v>1992</v>
      </c>
      <c r="E1445" s="3">
        <v>11.98</v>
      </c>
      <c r="F1445" s="3">
        <v>1</v>
      </c>
      <c r="G1445" s="3">
        <f t="shared" si="73"/>
        <v>11.98</v>
      </c>
      <c r="H1445" s="3" t="s">
        <v>266</v>
      </c>
      <c r="I1445" s="1" t="s">
        <v>296</v>
      </c>
      <c r="J1445" s="1" t="s">
        <v>299</v>
      </c>
      <c r="K1445" s="1" t="s">
        <v>298</v>
      </c>
      <c r="L1445" s="1" t="s">
        <v>267</v>
      </c>
      <c r="M1445" s="1"/>
      <c r="N1445" s="1">
        <f t="shared" si="72"/>
        <v>1</v>
      </c>
      <c r="O1445" s="87"/>
    </row>
    <row r="1446" spans="1:15" ht="15.75" hidden="1" x14ac:dyDescent="0.25">
      <c r="A1446" s="1" t="str">
        <f t="shared" si="71"/>
        <v>445734457713.25DINERSTRANSPORTUBER</v>
      </c>
      <c r="B1446" s="2">
        <v>44573</v>
      </c>
      <c r="C1446" s="2">
        <v>44577</v>
      </c>
      <c r="D1446" s="3" t="s">
        <v>1993</v>
      </c>
      <c r="E1446" s="3">
        <v>13.25</v>
      </c>
      <c r="F1446" s="3">
        <v>1</v>
      </c>
      <c r="G1446" s="3">
        <f t="shared" si="73"/>
        <v>13.25</v>
      </c>
      <c r="H1446" s="3" t="s">
        <v>266</v>
      </c>
      <c r="I1446" s="1" t="s">
        <v>296</v>
      </c>
      <c r="J1446" s="1" t="s">
        <v>299</v>
      </c>
      <c r="K1446" s="1" t="s">
        <v>298</v>
      </c>
      <c r="L1446" s="1" t="s">
        <v>267</v>
      </c>
      <c r="M1446" s="1"/>
      <c r="N1446" s="1">
        <f t="shared" si="72"/>
        <v>1</v>
      </c>
      <c r="O1446" s="87"/>
    </row>
    <row r="1447" spans="1:15" ht="15.75" hidden="1" x14ac:dyDescent="0.25">
      <c r="A1447" s="1" t="str">
        <f t="shared" si="71"/>
        <v>4457444579380MASTER CCGROCERYWOQOD</v>
      </c>
      <c r="B1447" s="2">
        <v>44574</v>
      </c>
      <c r="C1447" s="2">
        <v>44579</v>
      </c>
      <c r="D1447" s="3" t="s">
        <v>1919</v>
      </c>
      <c r="E1447" s="3">
        <v>380</v>
      </c>
      <c r="F1447" s="3">
        <v>1</v>
      </c>
      <c r="G1447" s="3">
        <f t="shared" si="73"/>
        <v>380</v>
      </c>
      <c r="H1447" s="3" t="s">
        <v>291</v>
      </c>
      <c r="I1447" s="1" t="s">
        <v>43</v>
      </c>
      <c r="J1447" s="1" t="s">
        <v>1942</v>
      </c>
      <c r="K1447" s="1" t="s">
        <v>298</v>
      </c>
      <c r="L1447" s="1" t="s">
        <v>267</v>
      </c>
      <c r="M1447" s="1"/>
      <c r="N1447" s="1">
        <f t="shared" si="72"/>
        <v>1</v>
      </c>
      <c r="O1447" s="65"/>
    </row>
    <row r="1448" spans="1:15" ht="15.75" hidden="1" x14ac:dyDescent="0.25">
      <c r="A1448" s="1" t="str">
        <f t="shared" si="71"/>
        <v>445744457552.35DINERSGROCERYTOTAL FRESH</v>
      </c>
      <c r="B1448" s="2">
        <v>44574</v>
      </c>
      <c r="C1448" s="2">
        <v>44575</v>
      </c>
      <c r="D1448" s="3" t="s">
        <v>1901</v>
      </c>
      <c r="E1448" s="3">
        <v>52.35</v>
      </c>
      <c r="F1448" s="3">
        <v>1</v>
      </c>
      <c r="G1448" s="3">
        <f t="shared" si="73"/>
        <v>52.35</v>
      </c>
      <c r="H1448" s="3" t="s">
        <v>266</v>
      </c>
      <c r="I1448" s="1" t="s">
        <v>43</v>
      </c>
      <c r="J1448" s="1" t="s">
        <v>1394</v>
      </c>
      <c r="K1448" s="1" t="s">
        <v>298</v>
      </c>
      <c r="L1448" s="1" t="s">
        <v>267</v>
      </c>
      <c r="M1448" s="1"/>
      <c r="N1448" s="1">
        <f t="shared" si="72"/>
        <v>1</v>
      </c>
      <c r="O1448" s="87"/>
    </row>
    <row r="1449" spans="1:15" ht="15.75" hidden="1" x14ac:dyDescent="0.25">
      <c r="A1449" s="1" t="str">
        <f t="shared" si="71"/>
        <v>445754457976MASTER CCMEDICALNASEEM AL</v>
      </c>
      <c r="B1449" s="2">
        <v>44575</v>
      </c>
      <c r="C1449" s="2">
        <v>44579</v>
      </c>
      <c r="D1449" s="3" t="s">
        <v>1918</v>
      </c>
      <c r="E1449" s="3">
        <v>76</v>
      </c>
      <c r="F1449" s="3">
        <v>1</v>
      </c>
      <c r="G1449" s="3">
        <f t="shared" si="73"/>
        <v>76</v>
      </c>
      <c r="H1449" s="3" t="s">
        <v>291</v>
      </c>
      <c r="I1449" s="1" t="s">
        <v>301</v>
      </c>
      <c r="J1449" s="1" t="s">
        <v>1000</v>
      </c>
      <c r="K1449" s="1" t="s">
        <v>298</v>
      </c>
      <c r="L1449" s="1" t="s">
        <v>267</v>
      </c>
      <c r="M1449" s="1"/>
      <c r="N1449" s="1">
        <f t="shared" si="72"/>
        <v>1</v>
      </c>
      <c r="O1449" s="87"/>
    </row>
    <row r="1450" spans="1:15" ht="15.75" hidden="1" x14ac:dyDescent="0.25">
      <c r="A1450" s="1" t="str">
        <f t="shared" si="71"/>
        <v>445754457976MASTER CCMEDICALNASEEM AL</v>
      </c>
      <c r="B1450" s="2">
        <v>44575</v>
      </c>
      <c r="C1450" s="2">
        <v>44579</v>
      </c>
      <c r="D1450" s="3" t="s">
        <v>1918</v>
      </c>
      <c r="E1450" s="3">
        <v>76</v>
      </c>
      <c r="F1450" s="3">
        <v>1</v>
      </c>
      <c r="G1450" s="3">
        <f t="shared" si="73"/>
        <v>76</v>
      </c>
      <c r="H1450" s="3" t="s">
        <v>291</v>
      </c>
      <c r="I1450" s="1" t="s">
        <v>301</v>
      </c>
      <c r="J1450" s="1" t="s">
        <v>1000</v>
      </c>
      <c r="K1450" s="1" t="s">
        <v>298</v>
      </c>
      <c r="L1450" s="1" t="s">
        <v>267</v>
      </c>
      <c r="M1450" s="1"/>
      <c r="N1450" s="1">
        <f t="shared" si="72"/>
        <v>1</v>
      </c>
      <c r="O1450" s="65"/>
    </row>
    <row r="1451" spans="1:15" ht="15.75" hidden="1" x14ac:dyDescent="0.25">
      <c r="A1451" s="1" t="str">
        <f t="shared" si="71"/>
        <v>445754457912.44DINERSTRANSPORTUBER</v>
      </c>
      <c r="B1451" s="2">
        <v>44575</v>
      </c>
      <c r="C1451" s="2">
        <v>44579</v>
      </c>
      <c r="D1451" s="3" t="s">
        <v>1990</v>
      </c>
      <c r="E1451" s="3">
        <v>12.44</v>
      </c>
      <c r="F1451" s="3">
        <v>1</v>
      </c>
      <c r="G1451" s="3">
        <f t="shared" si="73"/>
        <v>12.44</v>
      </c>
      <c r="H1451" s="3" t="s">
        <v>266</v>
      </c>
      <c r="I1451" s="1" t="s">
        <v>296</v>
      </c>
      <c r="J1451" s="1" t="s">
        <v>299</v>
      </c>
      <c r="K1451" s="1" t="s">
        <v>298</v>
      </c>
      <c r="L1451" s="1" t="s">
        <v>267</v>
      </c>
      <c r="M1451" s="1"/>
      <c r="N1451" s="1">
        <f t="shared" si="72"/>
        <v>1</v>
      </c>
      <c r="O1451" s="87"/>
    </row>
    <row r="1452" spans="1:15" ht="15.75" hidden="1" x14ac:dyDescent="0.25">
      <c r="A1452" s="1" t="str">
        <f t="shared" si="71"/>
        <v>445754457914.04DINERSTRANSPORTUBER</v>
      </c>
      <c r="B1452" s="2">
        <v>44575</v>
      </c>
      <c r="C1452" s="2">
        <v>44579</v>
      </c>
      <c r="D1452" s="3" t="s">
        <v>1991</v>
      </c>
      <c r="E1452" s="3">
        <v>14.04</v>
      </c>
      <c r="F1452" s="3">
        <v>1</v>
      </c>
      <c r="G1452" s="3">
        <f t="shared" si="73"/>
        <v>14.04</v>
      </c>
      <c r="H1452" s="3" t="s">
        <v>266</v>
      </c>
      <c r="I1452" s="1" t="s">
        <v>296</v>
      </c>
      <c r="J1452" s="1" t="s">
        <v>299</v>
      </c>
      <c r="K1452" s="1" t="s">
        <v>298</v>
      </c>
      <c r="L1452" s="1" t="s">
        <v>267</v>
      </c>
      <c r="M1452" s="1"/>
      <c r="N1452" s="1">
        <f t="shared" si="72"/>
        <v>1</v>
      </c>
      <c r="O1452" s="87"/>
    </row>
    <row r="1453" spans="1:15" ht="15.75" hidden="1" x14ac:dyDescent="0.25">
      <c r="A1453" s="1" t="str">
        <f t="shared" si="71"/>
        <v>4457644577250DINERSRENTVODAFONE</v>
      </c>
      <c r="B1453" s="2">
        <v>44576</v>
      </c>
      <c r="C1453" s="2">
        <v>44577</v>
      </c>
      <c r="D1453" s="3" t="s">
        <v>1989</v>
      </c>
      <c r="E1453" s="3">
        <v>250</v>
      </c>
      <c r="F1453" s="3">
        <v>1</v>
      </c>
      <c r="G1453" s="3">
        <f t="shared" si="73"/>
        <v>250</v>
      </c>
      <c r="H1453" s="3" t="s">
        <v>266</v>
      </c>
      <c r="I1453" s="1" t="s">
        <v>83</v>
      </c>
      <c r="J1453" s="1" t="s">
        <v>78</v>
      </c>
      <c r="K1453" s="1" t="s">
        <v>298</v>
      </c>
      <c r="L1453" s="1" t="s">
        <v>267</v>
      </c>
      <c r="M1453" s="1"/>
      <c r="N1453" s="1">
        <f t="shared" si="72"/>
        <v>1</v>
      </c>
      <c r="O1453" s="87"/>
    </row>
    <row r="1454" spans="1:15" ht="15.75" hidden="1" x14ac:dyDescent="0.25">
      <c r="A1454" s="1" t="str">
        <f t="shared" si="71"/>
        <v>44577445774000SAVINGTRANSFERARTI</v>
      </c>
      <c r="B1454" s="2">
        <v>44577</v>
      </c>
      <c r="C1454" s="2">
        <v>44577</v>
      </c>
      <c r="D1454" s="3" t="s">
        <v>1935</v>
      </c>
      <c r="E1454" s="3">
        <v>-4000</v>
      </c>
      <c r="F1454" s="3">
        <v>1</v>
      </c>
      <c r="G1454" s="3">
        <f t="shared" si="73"/>
        <v>4000</v>
      </c>
      <c r="H1454" s="3" t="s">
        <v>302</v>
      </c>
      <c r="I1454" s="1" t="s">
        <v>22</v>
      </c>
      <c r="J1454" s="1" t="s">
        <v>453</v>
      </c>
      <c r="K1454" s="1" t="s">
        <v>22</v>
      </c>
      <c r="L1454" s="1" t="s">
        <v>257</v>
      </c>
      <c r="M1454" s="1"/>
      <c r="N1454" s="1">
        <f t="shared" si="72"/>
        <v>1</v>
      </c>
      <c r="O1454" s="87"/>
    </row>
    <row r="1455" spans="1:15" ht="15.75" hidden="1" x14ac:dyDescent="0.25">
      <c r="A1455" s="1" t="str">
        <f t="shared" si="71"/>
        <v>44577445774000CURRENTSAVINGARTI</v>
      </c>
      <c r="B1455" s="2">
        <v>44577</v>
      </c>
      <c r="C1455" s="2">
        <v>44577</v>
      </c>
      <c r="D1455" s="3" t="s">
        <v>1936</v>
      </c>
      <c r="E1455" s="3">
        <v>4000</v>
      </c>
      <c r="F1455" s="3">
        <v>1</v>
      </c>
      <c r="G1455" s="3">
        <f t="shared" si="73"/>
        <v>4000</v>
      </c>
      <c r="H1455" s="3" t="s">
        <v>293</v>
      </c>
      <c r="I1455" s="1" t="s">
        <v>302</v>
      </c>
      <c r="J1455" s="1" t="s">
        <v>453</v>
      </c>
      <c r="K1455" s="1" t="s">
        <v>300</v>
      </c>
      <c r="L1455" s="1" t="s">
        <v>257</v>
      </c>
      <c r="M1455" s="1"/>
      <c r="N1455" s="1">
        <f t="shared" si="72"/>
        <v>1</v>
      </c>
      <c r="O1455" s="87"/>
    </row>
    <row r="1456" spans="1:15" ht="15.75" hidden="1" x14ac:dyDescent="0.25">
      <c r="A1456" s="1" t="str">
        <f t="shared" si="71"/>
        <v>44577445774000CURRENTRENTEZDAN</v>
      </c>
      <c r="B1456" s="2">
        <v>44577</v>
      </c>
      <c r="C1456" s="2">
        <v>44577</v>
      </c>
      <c r="D1456" s="3" t="s">
        <v>1965</v>
      </c>
      <c r="E1456" s="3">
        <v>-4000</v>
      </c>
      <c r="F1456" s="3">
        <v>1</v>
      </c>
      <c r="G1456" s="3">
        <f t="shared" si="73"/>
        <v>4000</v>
      </c>
      <c r="H1456" s="3" t="s">
        <v>293</v>
      </c>
      <c r="I1456" s="1" t="s">
        <v>83</v>
      </c>
      <c r="J1456" s="1" t="s">
        <v>1339</v>
      </c>
      <c r="K1456" s="1" t="s">
        <v>298</v>
      </c>
      <c r="L1456" s="1" t="s">
        <v>257</v>
      </c>
      <c r="M1456" s="1"/>
      <c r="N1456" s="1">
        <f t="shared" si="72"/>
        <v>1</v>
      </c>
      <c r="O1456" s="87"/>
    </row>
    <row r="1457" spans="1:15" ht="15.75" hidden="1" x14ac:dyDescent="0.25">
      <c r="A1457" s="1" t="str">
        <f t="shared" si="71"/>
        <v>445774457815.29DINERSGROCERYTOTAL FRESH</v>
      </c>
      <c r="B1457" s="2">
        <v>44577</v>
      </c>
      <c r="C1457" s="2">
        <v>44578</v>
      </c>
      <c r="D1457" s="3" t="s">
        <v>1988</v>
      </c>
      <c r="E1457" s="3">
        <v>15.29</v>
      </c>
      <c r="F1457" s="3">
        <v>1</v>
      </c>
      <c r="G1457" s="3">
        <f t="shared" si="73"/>
        <v>15.29</v>
      </c>
      <c r="H1457" s="3" t="s">
        <v>266</v>
      </c>
      <c r="I1457" s="1" t="s">
        <v>43</v>
      </c>
      <c r="J1457" s="1" t="s">
        <v>1394</v>
      </c>
      <c r="K1457" s="1" t="s">
        <v>298</v>
      </c>
      <c r="L1457" s="1" t="s">
        <v>267</v>
      </c>
      <c r="M1457" s="1"/>
      <c r="N1457" s="1">
        <f t="shared" si="72"/>
        <v>1</v>
      </c>
      <c r="O1457" s="87"/>
    </row>
    <row r="1458" spans="1:15" ht="15.75" hidden="1" x14ac:dyDescent="0.25">
      <c r="A1458" s="1" t="str">
        <f t="shared" si="71"/>
        <v>4457844580200MASTER CCFOODQATAR AIR</v>
      </c>
      <c r="B1458" s="2">
        <v>44578</v>
      </c>
      <c r="C1458" s="2">
        <v>44580</v>
      </c>
      <c r="D1458" s="3" t="s">
        <v>2013</v>
      </c>
      <c r="E1458" s="3">
        <v>200</v>
      </c>
      <c r="F1458" s="3">
        <v>1</v>
      </c>
      <c r="G1458" s="3">
        <f t="shared" si="73"/>
        <v>200</v>
      </c>
      <c r="H1458" s="3" t="s">
        <v>291</v>
      </c>
      <c r="I1458" s="1" t="s">
        <v>10</v>
      </c>
      <c r="J1458" s="1" t="s">
        <v>19</v>
      </c>
      <c r="K1458" s="1" t="s">
        <v>298</v>
      </c>
      <c r="L1458" s="1" t="s">
        <v>267</v>
      </c>
      <c r="M1458" s="1"/>
      <c r="N1458" s="1">
        <f t="shared" si="72"/>
        <v>1</v>
      </c>
      <c r="O1458" s="65"/>
    </row>
    <row r="1459" spans="1:15" ht="15.75" hidden="1" x14ac:dyDescent="0.25">
      <c r="A1459" s="1" t="str">
        <f t="shared" si="71"/>
        <v>445784457957DINERSGROCERYTOTAL FRESH</v>
      </c>
      <c r="B1459" s="2">
        <v>44578</v>
      </c>
      <c r="C1459" s="2">
        <v>44579</v>
      </c>
      <c r="D1459" s="3" t="s">
        <v>1987</v>
      </c>
      <c r="E1459" s="3">
        <v>57</v>
      </c>
      <c r="F1459" s="3">
        <v>1</v>
      </c>
      <c r="G1459" s="3">
        <f t="shared" si="73"/>
        <v>57</v>
      </c>
      <c r="H1459" s="3" t="s">
        <v>266</v>
      </c>
      <c r="I1459" s="1" t="s">
        <v>43</v>
      </c>
      <c r="J1459" s="1" t="s">
        <v>1394</v>
      </c>
      <c r="K1459" s="1" t="s">
        <v>298</v>
      </c>
      <c r="L1459" s="1" t="s">
        <v>267</v>
      </c>
      <c r="M1459" s="1"/>
      <c r="N1459" s="1">
        <f t="shared" si="72"/>
        <v>1</v>
      </c>
      <c r="O1459" s="87"/>
    </row>
    <row r="1460" spans="1:15" ht="15.75" hidden="1" x14ac:dyDescent="0.25">
      <c r="A1460" s="1" t="str">
        <f t="shared" si="71"/>
        <v>445794458010DINERSGROCERYTOTAL FRESH</v>
      </c>
      <c r="B1460" s="2">
        <v>44579</v>
      </c>
      <c r="C1460" s="2">
        <v>44580</v>
      </c>
      <c r="D1460" s="3" t="s">
        <v>1986</v>
      </c>
      <c r="E1460" s="3">
        <v>10</v>
      </c>
      <c r="F1460" s="3">
        <v>1</v>
      </c>
      <c r="G1460" s="3">
        <f t="shared" si="73"/>
        <v>10</v>
      </c>
      <c r="H1460" s="3" t="s">
        <v>266</v>
      </c>
      <c r="I1460" s="1" t="s">
        <v>43</v>
      </c>
      <c r="J1460" s="1" t="s">
        <v>1394</v>
      </c>
      <c r="K1460" s="1" t="s">
        <v>298</v>
      </c>
      <c r="L1460" s="1" t="s">
        <v>267</v>
      </c>
      <c r="M1460" s="1"/>
      <c r="N1460" s="1">
        <f t="shared" si="72"/>
        <v>1</v>
      </c>
      <c r="O1460" s="87"/>
    </row>
    <row r="1461" spans="1:15" ht="15.75" hidden="1" x14ac:dyDescent="0.25">
      <c r="A1461" s="1" t="str">
        <f t="shared" si="71"/>
        <v>445824458350DINERSTELECOMOOREDOO</v>
      </c>
      <c r="B1461" s="2">
        <v>44582</v>
      </c>
      <c r="C1461" s="2">
        <v>44583</v>
      </c>
      <c r="D1461" s="3" t="s">
        <v>1967</v>
      </c>
      <c r="E1461" s="3">
        <v>50</v>
      </c>
      <c r="F1461" s="3">
        <v>1</v>
      </c>
      <c r="G1461" s="3">
        <f t="shared" si="73"/>
        <v>50</v>
      </c>
      <c r="H1461" s="3" t="s">
        <v>266</v>
      </c>
      <c r="I1461" s="1" t="s">
        <v>58</v>
      </c>
      <c r="J1461" s="1" t="s">
        <v>59</v>
      </c>
      <c r="K1461" s="1" t="s">
        <v>298</v>
      </c>
      <c r="L1461" s="1" t="s">
        <v>267</v>
      </c>
      <c r="M1461" s="1"/>
      <c r="N1461" s="1">
        <f t="shared" si="72"/>
        <v>1</v>
      </c>
      <c r="O1461" s="87"/>
    </row>
    <row r="1462" spans="1:15" ht="15.75" hidden="1" x14ac:dyDescent="0.25">
      <c r="A1462" s="1" t="str">
        <f t="shared" si="71"/>
        <v>445824458310DINERSTELECOMOOREDOO</v>
      </c>
      <c r="B1462" s="2">
        <v>44582</v>
      </c>
      <c r="C1462" s="2">
        <v>44583</v>
      </c>
      <c r="D1462" s="3" t="s">
        <v>1968</v>
      </c>
      <c r="E1462" s="3">
        <v>10</v>
      </c>
      <c r="F1462" s="3">
        <v>1</v>
      </c>
      <c r="G1462" s="3">
        <f t="shared" si="73"/>
        <v>10</v>
      </c>
      <c r="H1462" s="3" t="s">
        <v>266</v>
      </c>
      <c r="I1462" s="1" t="s">
        <v>58</v>
      </c>
      <c r="J1462" s="1" t="s">
        <v>59</v>
      </c>
      <c r="K1462" s="1" t="s">
        <v>298</v>
      </c>
      <c r="L1462" s="1" t="s">
        <v>267</v>
      </c>
      <c r="M1462" s="1"/>
      <c r="N1462" s="1">
        <f t="shared" si="72"/>
        <v>1</v>
      </c>
      <c r="O1462" s="87"/>
    </row>
    <row r="1463" spans="1:15" ht="15.75" hidden="1" x14ac:dyDescent="0.25">
      <c r="A1463" s="1" t="str">
        <f t="shared" si="71"/>
        <v>44582445868.24DINERSTRANSPORTUBER</v>
      </c>
      <c r="B1463" s="2">
        <v>44582</v>
      </c>
      <c r="C1463" s="2">
        <v>44586</v>
      </c>
      <c r="D1463" s="3" t="s">
        <v>1983</v>
      </c>
      <c r="E1463" s="3">
        <v>8.24</v>
      </c>
      <c r="F1463" s="3">
        <v>1</v>
      </c>
      <c r="G1463" s="3">
        <f t="shared" si="73"/>
        <v>8.24</v>
      </c>
      <c r="H1463" s="3" t="s">
        <v>266</v>
      </c>
      <c r="I1463" s="1" t="s">
        <v>296</v>
      </c>
      <c r="J1463" s="1" t="s">
        <v>299</v>
      </c>
      <c r="K1463" s="1" t="s">
        <v>298</v>
      </c>
      <c r="L1463" s="1" t="s">
        <v>267</v>
      </c>
      <c r="M1463" s="1"/>
      <c r="N1463" s="1">
        <f t="shared" si="72"/>
        <v>1</v>
      </c>
      <c r="O1463" s="87"/>
    </row>
    <row r="1464" spans="1:15" ht="15.75" hidden="1" x14ac:dyDescent="0.25">
      <c r="A1464" s="1" t="str">
        <f t="shared" si="71"/>
        <v>445824458392.42DINERSGROCERYLULU</v>
      </c>
      <c r="B1464" s="2">
        <v>44582</v>
      </c>
      <c r="C1464" s="2">
        <v>44583</v>
      </c>
      <c r="D1464" s="3" t="s">
        <v>1984</v>
      </c>
      <c r="E1464" s="3">
        <v>92.42</v>
      </c>
      <c r="F1464" s="3">
        <v>1</v>
      </c>
      <c r="G1464" s="3">
        <f t="shared" si="73"/>
        <v>92.42</v>
      </c>
      <c r="H1464" s="3" t="s">
        <v>266</v>
      </c>
      <c r="I1464" s="1" t="s">
        <v>43</v>
      </c>
      <c r="J1464" s="1" t="s">
        <v>44</v>
      </c>
      <c r="K1464" s="1" t="s">
        <v>298</v>
      </c>
      <c r="L1464" s="1" t="s">
        <v>267</v>
      </c>
      <c r="M1464" s="1"/>
      <c r="N1464" s="1">
        <f t="shared" si="72"/>
        <v>1</v>
      </c>
      <c r="O1464" s="87"/>
    </row>
    <row r="1465" spans="1:15" ht="15.75" hidden="1" x14ac:dyDescent="0.25">
      <c r="A1465" s="1" t="str">
        <f t="shared" si="71"/>
        <v>4458244583391.29DINERSGROCERYLULU</v>
      </c>
      <c r="B1465" s="2">
        <v>44582</v>
      </c>
      <c r="C1465" s="2">
        <v>44583</v>
      </c>
      <c r="D1465" s="3" t="s">
        <v>1985</v>
      </c>
      <c r="E1465" s="3">
        <v>391.29</v>
      </c>
      <c r="F1465" s="3">
        <v>1</v>
      </c>
      <c r="G1465" s="3">
        <f t="shared" si="73"/>
        <v>391.29</v>
      </c>
      <c r="H1465" s="3" t="s">
        <v>266</v>
      </c>
      <c r="I1465" s="1" t="s">
        <v>43</v>
      </c>
      <c r="J1465" s="1" t="s">
        <v>44</v>
      </c>
      <c r="K1465" s="1" t="s">
        <v>298</v>
      </c>
      <c r="L1465" s="1" t="s">
        <v>267</v>
      </c>
      <c r="M1465" s="1"/>
      <c r="N1465" s="1">
        <f t="shared" si="72"/>
        <v>1</v>
      </c>
      <c r="O1465" s="87"/>
    </row>
    <row r="1466" spans="1:15" ht="15.75" hidden="1" x14ac:dyDescent="0.25">
      <c r="A1466" s="1" t="str">
        <f t="shared" si="71"/>
        <v>445834458428DINERSGROCERYTOTAL FRESH</v>
      </c>
      <c r="B1466" s="2">
        <v>44583</v>
      </c>
      <c r="C1466" s="2">
        <v>44584</v>
      </c>
      <c r="D1466" s="3" t="s">
        <v>1982</v>
      </c>
      <c r="E1466" s="3">
        <v>28</v>
      </c>
      <c r="F1466" s="3">
        <v>1</v>
      </c>
      <c r="G1466" s="3">
        <f t="shared" si="73"/>
        <v>28</v>
      </c>
      <c r="H1466" s="3" t="s">
        <v>266</v>
      </c>
      <c r="I1466" s="1" t="s">
        <v>43</v>
      </c>
      <c r="J1466" s="1" t="s">
        <v>1394</v>
      </c>
      <c r="K1466" s="1" t="s">
        <v>298</v>
      </c>
      <c r="L1466" s="1" t="s">
        <v>267</v>
      </c>
      <c r="M1466" s="1"/>
      <c r="N1466" s="1">
        <f t="shared" si="72"/>
        <v>1</v>
      </c>
      <c r="O1466" s="87"/>
    </row>
    <row r="1467" spans="1:15" ht="15.75" hidden="1" x14ac:dyDescent="0.25">
      <c r="A1467" s="1" t="str">
        <f t="shared" si="71"/>
        <v>4458444584183CURRENTFOODQATAR AIR</v>
      </c>
      <c r="B1467" s="2">
        <v>44584</v>
      </c>
      <c r="C1467" s="2">
        <v>44584</v>
      </c>
      <c r="D1467" s="3" t="s">
        <v>1964</v>
      </c>
      <c r="E1467" s="3">
        <v>183</v>
      </c>
      <c r="F1467" s="3">
        <v>1</v>
      </c>
      <c r="G1467" s="3">
        <f t="shared" si="73"/>
        <v>183</v>
      </c>
      <c r="H1467" s="3" t="s">
        <v>293</v>
      </c>
      <c r="I1467" s="1" t="s">
        <v>10</v>
      </c>
      <c r="J1467" s="1" t="s">
        <v>19</v>
      </c>
      <c r="K1467" s="1" t="s">
        <v>300</v>
      </c>
      <c r="L1467" s="1" t="s">
        <v>257</v>
      </c>
      <c r="M1467" s="1"/>
      <c r="N1467" s="1">
        <f t="shared" si="72"/>
        <v>1</v>
      </c>
      <c r="O1467" s="87"/>
    </row>
    <row r="1468" spans="1:15" ht="15.75" hidden="1" x14ac:dyDescent="0.25">
      <c r="A1468" s="1" t="str">
        <f t="shared" si="71"/>
        <v>445844458528DINERSGROCERYTOTAL FRESH</v>
      </c>
      <c r="B1468" s="2">
        <v>44584</v>
      </c>
      <c r="C1468" s="2">
        <v>44585</v>
      </c>
      <c r="D1468" s="3" t="s">
        <v>1981</v>
      </c>
      <c r="E1468" s="3">
        <v>28</v>
      </c>
      <c r="F1468" s="3">
        <v>1</v>
      </c>
      <c r="G1468" s="3">
        <f t="shared" si="73"/>
        <v>28</v>
      </c>
      <c r="H1468" s="3" t="s">
        <v>266</v>
      </c>
      <c r="I1468" s="1" t="s">
        <v>43</v>
      </c>
      <c r="J1468" s="1" t="s">
        <v>1394</v>
      </c>
      <c r="K1468" s="1" t="s">
        <v>298</v>
      </c>
      <c r="L1468" s="1" t="s">
        <v>267</v>
      </c>
      <c r="M1468" s="1"/>
      <c r="N1468" s="1">
        <f t="shared" si="72"/>
        <v>1</v>
      </c>
      <c r="O1468" s="87"/>
    </row>
    <row r="1469" spans="1:15" ht="15.75" x14ac:dyDescent="0.25">
      <c r="A1469" s="1" t="str">
        <f t="shared" si="71"/>
        <v>4458544586500MASTER CCGOLDMALABAR</v>
      </c>
      <c r="B1469" s="2">
        <v>44585</v>
      </c>
      <c r="C1469" s="2">
        <v>44586</v>
      </c>
      <c r="D1469" s="3" t="s">
        <v>2012</v>
      </c>
      <c r="E1469" s="3">
        <v>500</v>
      </c>
      <c r="F1469" s="3">
        <v>1</v>
      </c>
      <c r="G1469" s="3">
        <f t="shared" si="73"/>
        <v>500</v>
      </c>
      <c r="H1469" s="3" t="s">
        <v>291</v>
      </c>
      <c r="I1469" s="1" t="s">
        <v>106</v>
      </c>
      <c r="J1469" s="1" t="s">
        <v>107</v>
      </c>
      <c r="K1469" s="1" t="s">
        <v>298</v>
      </c>
      <c r="L1469" s="1" t="s">
        <v>267</v>
      </c>
      <c r="M1469" s="1"/>
      <c r="N1469" s="1">
        <f t="shared" si="72"/>
        <v>1</v>
      </c>
      <c r="O1469" s="65"/>
    </row>
    <row r="1470" spans="1:15" ht="15.75" hidden="1" x14ac:dyDescent="0.25">
      <c r="A1470" s="1" t="str">
        <f t="shared" si="71"/>
        <v>445854459143.64DINERSTRANSPORTUBER</v>
      </c>
      <c r="B1470" s="2">
        <v>44585</v>
      </c>
      <c r="C1470" s="2">
        <v>44591</v>
      </c>
      <c r="D1470" s="3" t="s">
        <v>1980</v>
      </c>
      <c r="E1470" s="3">
        <v>-43.64</v>
      </c>
      <c r="F1470" s="3">
        <v>1</v>
      </c>
      <c r="G1470" s="3">
        <f t="shared" si="73"/>
        <v>43.64</v>
      </c>
      <c r="H1470" s="3" t="s">
        <v>266</v>
      </c>
      <c r="I1470" s="1" t="s">
        <v>296</v>
      </c>
      <c r="J1470" s="1" t="s">
        <v>299</v>
      </c>
      <c r="K1470" s="1" t="s">
        <v>298</v>
      </c>
      <c r="L1470" s="1" t="s">
        <v>267</v>
      </c>
      <c r="M1470" s="1"/>
      <c r="N1470" s="1">
        <f t="shared" si="72"/>
        <v>1</v>
      </c>
      <c r="O1470" s="87"/>
    </row>
    <row r="1471" spans="1:15" ht="15.75" hidden="1" x14ac:dyDescent="0.25">
      <c r="A1471" s="1" t="str">
        <f t="shared" si="71"/>
        <v>445854458752.68DINERSTRANSPORTUBER</v>
      </c>
      <c r="B1471" s="2">
        <v>44585</v>
      </c>
      <c r="C1471" s="2">
        <v>44587</v>
      </c>
      <c r="D1471" s="3" t="s">
        <v>1980</v>
      </c>
      <c r="E1471" s="3">
        <v>52.68</v>
      </c>
      <c r="F1471" s="3">
        <v>1</v>
      </c>
      <c r="G1471" s="3">
        <f t="shared" si="73"/>
        <v>52.68</v>
      </c>
      <c r="H1471" s="3" t="s">
        <v>266</v>
      </c>
      <c r="I1471" s="1" t="s">
        <v>296</v>
      </c>
      <c r="J1471" s="1" t="s">
        <v>299</v>
      </c>
      <c r="K1471" s="1" t="s">
        <v>298</v>
      </c>
      <c r="L1471" s="1" t="s">
        <v>267</v>
      </c>
      <c r="M1471" s="1"/>
      <c r="N1471" s="1">
        <f t="shared" si="72"/>
        <v>1</v>
      </c>
      <c r="O1471" s="87"/>
    </row>
    <row r="1472" spans="1:15" ht="15.75" hidden="1" x14ac:dyDescent="0.25">
      <c r="A1472" s="1" t="str">
        <f t="shared" si="71"/>
        <v>445874458850.21MASTER CCGROCERYTOTAL FRESH</v>
      </c>
      <c r="B1472" s="2">
        <v>44587</v>
      </c>
      <c r="C1472" s="2">
        <v>44588</v>
      </c>
      <c r="D1472" s="3" t="s">
        <v>2011</v>
      </c>
      <c r="E1472" s="3">
        <v>50.21</v>
      </c>
      <c r="F1472" s="3">
        <v>1</v>
      </c>
      <c r="G1472" s="3">
        <f t="shared" si="73"/>
        <v>50.21</v>
      </c>
      <c r="H1472" s="3" t="s">
        <v>291</v>
      </c>
      <c r="I1472" s="1" t="s">
        <v>43</v>
      </c>
      <c r="J1472" s="1" t="s">
        <v>1394</v>
      </c>
      <c r="K1472" s="1" t="s">
        <v>298</v>
      </c>
      <c r="L1472" s="1" t="s">
        <v>267</v>
      </c>
      <c r="M1472" s="1"/>
      <c r="N1472" s="1">
        <f t="shared" si="72"/>
        <v>1</v>
      </c>
      <c r="O1472" s="65"/>
    </row>
    <row r="1473" spans="1:15" ht="15.75" hidden="1" x14ac:dyDescent="0.25">
      <c r="A1473" s="1" t="str">
        <f t="shared" si="71"/>
        <v>44587445878CURRENTTRANSPORTCAREEM</v>
      </c>
      <c r="B1473" s="2">
        <v>44587</v>
      </c>
      <c r="C1473" s="2">
        <v>44587</v>
      </c>
      <c r="D1473" s="3" t="s">
        <v>1963</v>
      </c>
      <c r="E1473" s="3">
        <v>-8</v>
      </c>
      <c r="F1473" s="3">
        <v>1</v>
      </c>
      <c r="G1473" s="3">
        <f t="shared" si="73"/>
        <v>8</v>
      </c>
      <c r="H1473" s="3" t="s">
        <v>293</v>
      </c>
      <c r="I1473" s="1" t="s">
        <v>296</v>
      </c>
      <c r="J1473" s="1" t="s">
        <v>297</v>
      </c>
      <c r="K1473" s="1" t="s">
        <v>298</v>
      </c>
      <c r="L1473" s="1" t="s">
        <v>257</v>
      </c>
      <c r="M1473" s="1"/>
      <c r="N1473" s="1">
        <f t="shared" si="72"/>
        <v>1</v>
      </c>
      <c r="O1473" s="87"/>
    </row>
    <row r="1474" spans="1:15" ht="15.75" hidden="1" x14ac:dyDescent="0.25">
      <c r="A1474" s="1" t="str">
        <f t="shared" ref="A1474:A1537" si="74">B1474&amp;C1474&amp;G1474&amp;H1474&amp;I1474&amp;J1474</f>
        <v>445874458838DINERSSHOPPINGBABYSHOP</v>
      </c>
      <c r="B1474" s="2">
        <v>44587</v>
      </c>
      <c r="C1474" s="2">
        <v>44588</v>
      </c>
      <c r="D1474" s="3" t="s">
        <v>1966</v>
      </c>
      <c r="E1474" s="3">
        <v>38</v>
      </c>
      <c r="F1474" s="3">
        <v>1</v>
      </c>
      <c r="G1474" s="3">
        <f t="shared" si="73"/>
        <v>38</v>
      </c>
      <c r="H1474" s="3" t="s">
        <v>266</v>
      </c>
      <c r="I1474" s="1" t="s">
        <v>194</v>
      </c>
      <c r="J1474" s="1" t="s">
        <v>1650</v>
      </c>
      <c r="K1474" s="1" t="s">
        <v>298</v>
      </c>
      <c r="L1474" s="1" t="s">
        <v>267</v>
      </c>
      <c r="M1474" s="1"/>
      <c r="N1474" s="1">
        <f t="shared" ref="N1474:N1537" si="75">MONTH(C1474)</f>
        <v>1</v>
      </c>
      <c r="O1474" s="87"/>
    </row>
    <row r="1475" spans="1:15" ht="15.75" hidden="1" x14ac:dyDescent="0.25">
      <c r="A1475" s="1" t="str">
        <f t="shared" si="74"/>
        <v>4458744587822.66DINERSGROCERYLULU</v>
      </c>
      <c r="B1475" s="2">
        <v>44587</v>
      </c>
      <c r="C1475" s="2">
        <v>44587</v>
      </c>
      <c r="D1475" s="3" t="s">
        <v>1668</v>
      </c>
      <c r="E1475" s="3">
        <v>822.66</v>
      </c>
      <c r="F1475" s="3">
        <v>1</v>
      </c>
      <c r="G1475" s="3">
        <f t="shared" si="73"/>
        <v>822.66</v>
      </c>
      <c r="H1475" s="3" t="s">
        <v>266</v>
      </c>
      <c r="I1475" s="1" t="s">
        <v>43</v>
      </c>
      <c r="J1475" s="1" t="s">
        <v>44</v>
      </c>
      <c r="K1475" s="1" t="s">
        <v>298</v>
      </c>
      <c r="L1475" s="1" t="s">
        <v>267</v>
      </c>
      <c r="M1475" s="1">
        <v>1</v>
      </c>
      <c r="N1475" s="1">
        <f t="shared" si="75"/>
        <v>1</v>
      </c>
      <c r="O1475" s="87"/>
    </row>
    <row r="1476" spans="1:15" ht="15.75" hidden="1" x14ac:dyDescent="0.25">
      <c r="A1476" s="1" t="str">
        <f t="shared" si="74"/>
        <v>4458744588320MASTER CCMEDICALASTER</v>
      </c>
      <c r="B1476" s="2">
        <v>44587</v>
      </c>
      <c r="C1476" s="2">
        <v>44588</v>
      </c>
      <c r="D1476" s="3" t="s">
        <v>2010</v>
      </c>
      <c r="E1476" s="3">
        <v>320</v>
      </c>
      <c r="F1476" s="3">
        <v>1</v>
      </c>
      <c r="G1476" s="3">
        <f t="shared" si="73"/>
        <v>320</v>
      </c>
      <c r="H1476" s="3" t="s">
        <v>291</v>
      </c>
      <c r="I1476" s="1" t="s">
        <v>301</v>
      </c>
      <c r="J1476" s="1" t="s">
        <v>303</v>
      </c>
      <c r="K1476" s="1" t="s">
        <v>298</v>
      </c>
      <c r="L1476" s="1" t="s">
        <v>267</v>
      </c>
      <c r="M1476" s="1"/>
      <c r="N1476" s="1">
        <f t="shared" si="75"/>
        <v>1</v>
      </c>
      <c r="O1476" s="65"/>
    </row>
    <row r="1477" spans="1:15" ht="15.75" hidden="1" x14ac:dyDescent="0.25">
      <c r="A1477" s="1" t="str">
        <f t="shared" si="74"/>
        <v>445884458819795CURRENTSALARYQATAR AIR</v>
      </c>
      <c r="B1477" s="2">
        <v>44588</v>
      </c>
      <c r="C1477" s="2">
        <v>44588</v>
      </c>
      <c r="D1477" s="3" t="s">
        <v>1962</v>
      </c>
      <c r="E1477" s="3">
        <v>19795</v>
      </c>
      <c r="F1477" s="3">
        <v>1</v>
      </c>
      <c r="G1477" s="3">
        <f t="shared" si="73"/>
        <v>19795</v>
      </c>
      <c r="H1477" s="3" t="s">
        <v>293</v>
      </c>
      <c r="I1477" s="1" t="s">
        <v>18</v>
      </c>
      <c r="J1477" s="1" t="s">
        <v>19</v>
      </c>
      <c r="K1477" s="1" t="s">
        <v>300</v>
      </c>
      <c r="L1477" s="1" t="s">
        <v>257</v>
      </c>
      <c r="M1477" s="1"/>
      <c r="N1477" s="1">
        <f t="shared" si="75"/>
        <v>1</v>
      </c>
      <c r="O1477" s="87"/>
    </row>
    <row r="1478" spans="1:15" ht="15.75" hidden="1" x14ac:dyDescent="0.25">
      <c r="A1478" s="1" t="str">
        <f t="shared" si="74"/>
        <v>445894458998DINERSCC BILL PAYMENTBANK</v>
      </c>
      <c r="B1478" s="2">
        <v>44589</v>
      </c>
      <c r="C1478" s="2">
        <v>44589</v>
      </c>
      <c r="D1478" s="3" t="s">
        <v>80</v>
      </c>
      <c r="E1478" s="3">
        <v>-98</v>
      </c>
      <c r="F1478" s="3">
        <v>1</v>
      </c>
      <c r="G1478" s="3">
        <f t="shared" si="73"/>
        <v>98</v>
      </c>
      <c r="H1478" s="3" t="s">
        <v>266</v>
      </c>
      <c r="I1478" s="1" t="s">
        <v>81</v>
      </c>
      <c r="J1478" s="1" t="s">
        <v>8</v>
      </c>
      <c r="K1478" s="1" t="s">
        <v>300</v>
      </c>
      <c r="L1478" s="1" t="s">
        <v>267</v>
      </c>
      <c r="M1478" s="1"/>
      <c r="N1478" s="1">
        <f t="shared" si="75"/>
        <v>1</v>
      </c>
      <c r="O1478" s="87"/>
    </row>
    <row r="1479" spans="1:15" ht="15.75" hidden="1" x14ac:dyDescent="0.25">
      <c r="A1479" s="1" t="str">
        <f t="shared" si="74"/>
        <v>445894458913085.71DINERSCC BILL PAYMENTBANK</v>
      </c>
      <c r="B1479" s="2">
        <v>44589</v>
      </c>
      <c r="C1479" s="2">
        <v>44589</v>
      </c>
      <c r="D1479" s="3" t="s">
        <v>80</v>
      </c>
      <c r="E1479" s="3">
        <v>-13085.71</v>
      </c>
      <c r="F1479" s="3">
        <v>1</v>
      </c>
      <c r="G1479" s="3">
        <f t="shared" si="73"/>
        <v>13085.71</v>
      </c>
      <c r="H1479" s="3" t="s">
        <v>266</v>
      </c>
      <c r="I1479" s="1" t="s">
        <v>81</v>
      </c>
      <c r="J1479" s="1" t="s">
        <v>8</v>
      </c>
      <c r="K1479" s="1" t="s">
        <v>300</v>
      </c>
      <c r="L1479" s="1" t="s">
        <v>267</v>
      </c>
      <c r="M1479" s="1"/>
      <c r="N1479" s="1">
        <f t="shared" si="75"/>
        <v>1</v>
      </c>
      <c r="O1479" s="87"/>
    </row>
    <row r="1480" spans="1:15" ht="15.75" hidden="1" x14ac:dyDescent="0.25">
      <c r="A1480" s="1" t="str">
        <f t="shared" si="74"/>
        <v>445914459123CURRENTFOODQATAR AIR</v>
      </c>
      <c r="B1480" s="2">
        <v>44591</v>
      </c>
      <c r="C1480" s="2">
        <v>44591</v>
      </c>
      <c r="D1480" s="3" t="s">
        <v>1952</v>
      </c>
      <c r="E1480" s="3">
        <v>-23</v>
      </c>
      <c r="F1480" s="3">
        <v>1</v>
      </c>
      <c r="G1480" s="3">
        <f t="shared" si="73"/>
        <v>23</v>
      </c>
      <c r="H1480" s="3" t="s">
        <v>293</v>
      </c>
      <c r="I1480" s="1" t="s">
        <v>10</v>
      </c>
      <c r="J1480" s="1" t="s">
        <v>19</v>
      </c>
      <c r="K1480" s="1" t="s">
        <v>298</v>
      </c>
      <c r="L1480" s="1" t="s">
        <v>257</v>
      </c>
      <c r="M1480" s="1"/>
      <c r="N1480" s="1">
        <f t="shared" si="75"/>
        <v>1</v>
      </c>
      <c r="O1480" s="87"/>
    </row>
    <row r="1481" spans="1:15" ht="15.75" hidden="1" x14ac:dyDescent="0.25">
      <c r="A1481" s="1" t="str">
        <f t="shared" si="74"/>
        <v>445914459137.97CURRENTGROCERYTOTAL FRESH</v>
      </c>
      <c r="B1481" s="2">
        <v>44591</v>
      </c>
      <c r="C1481" s="2">
        <v>44591</v>
      </c>
      <c r="D1481" s="3" t="s">
        <v>1953</v>
      </c>
      <c r="E1481" s="3">
        <v>-37.97</v>
      </c>
      <c r="F1481" s="3">
        <v>1</v>
      </c>
      <c r="G1481" s="3">
        <f t="shared" si="73"/>
        <v>37.97</v>
      </c>
      <c r="H1481" s="3" t="s">
        <v>293</v>
      </c>
      <c r="I1481" s="1" t="s">
        <v>43</v>
      </c>
      <c r="J1481" s="1" t="s">
        <v>1394</v>
      </c>
      <c r="K1481" s="1" t="s">
        <v>298</v>
      </c>
      <c r="L1481" s="1" t="s">
        <v>257</v>
      </c>
      <c r="M1481" s="1"/>
      <c r="N1481" s="1">
        <f t="shared" si="75"/>
        <v>1</v>
      </c>
      <c r="O1481" s="87"/>
    </row>
    <row r="1482" spans="1:15" ht="15.75" hidden="1" x14ac:dyDescent="0.25">
      <c r="A1482" s="1" t="str">
        <f t="shared" si="74"/>
        <v>445914459115.07CURRENTTRANSPORTUBER</v>
      </c>
      <c r="B1482" s="2">
        <v>44591</v>
      </c>
      <c r="C1482" s="2">
        <v>44591</v>
      </c>
      <c r="D1482" s="3" t="s">
        <v>1954</v>
      </c>
      <c r="E1482" s="3">
        <v>-15.07</v>
      </c>
      <c r="F1482" s="3">
        <v>1</v>
      </c>
      <c r="G1482" s="3">
        <f t="shared" si="73"/>
        <v>15.07</v>
      </c>
      <c r="H1482" s="3" t="s">
        <v>293</v>
      </c>
      <c r="I1482" s="1" t="s">
        <v>296</v>
      </c>
      <c r="J1482" s="1" t="s">
        <v>299</v>
      </c>
      <c r="K1482" s="1" t="s">
        <v>298</v>
      </c>
      <c r="L1482" s="1" t="s">
        <v>257</v>
      </c>
      <c r="M1482" s="1"/>
      <c r="N1482" s="1">
        <f t="shared" si="75"/>
        <v>1</v>
      </c>
      <c r="O1482" s="87"/>
    </row>
    <row r="1483" spans="1:15" ht="15.75" hidden="1" x14ac:dyDescent="0.25">
      <c r="A1483" s="1" t="str">
        <f t="shared" si="74"/>
        <v>445914459117.38CURRENTTRANSPORTUBER</v>
      </c>
      <c r="B1483" s="2">
        <v>44591</v>
      </c>
      <c r="C1483" s="2">
        <v>44591</v>
      </c>
      <c r="D1483" s="3" t="s">
        <v>1955</v>
      </c>
      <c r="E1483" s="3">
        <v>-17.38</v>
      </c>
      <c r="F1483" s="3">
        <v>1</v>
      </c>
      <c r="G1483" s="3">
        <f t="shared" ref="G1483:G1546" si="76">ABS(E1483)*F1483</f>
        <v>17.38</v>
      </c>
      <c r="H1483" s="3" t="s">
        <v>293</v>
      </c>
      <c r="I1483" s="1" t="s">
        <v>296</v>
      </c>
      <c r="J1483" s="1" t="s">
        <v>299</v>
      </c>
      <c r="K1483" s="1" t="s">
        <v>298</v>
      </c>
      <c r="L1483" s="1" t="s">
        <v>257</v>
      </c>
      <c r="M1483" s="1"/>
      <c r="N1483" s="1">
        <f t="shared" si="75"/>
        <v>1</v>
      </c>
      <c r="O1483" s="87"/>
    </row>
    <row r="1484" spans="1:15" ht="15.75" hidden="1" x14ac:dyDescent="0.25">
      <c r="A1484" s="1" t="str">
        <f t="shared" si="74"/>
        <v>44591445918CURRENTTRANSPORTCAREEM</v>
      </c>
      <c r="B1484" s="2">
        <v>44591</v>
      </c>
      <c r="C1484" s="2">
        <v>44591</v>
      </c>
      <c r="D1484" s="3" t="s">
        <v>1956</v>
      </c>
      <c r="E1484" s="3">
        <v>-8</v>
      </c>
      <c r="F1484" s="3">
        <v>1</v>
      </c>
      <c r="G1484" s="3">
        <f t="shared" si="76"/>
        <v>8</v>
      </c>
      <c r="H1484" s="3" t="s">
        <v>293</v>
      </c>
      <c r="I1484" s="1" t="s">
        <v>296</v>
      </c>
      <c r="J1484" s="1" t="s">
        <v>297</v>
      </c>
      <c r="K1484" s="1" t="s">
        <v>298</v>
      </c>
      <c r="L1484" s="1" t="s">
        <v>257</v>
      </c>
      <c r="M1484" s="1"/>
      <c r="N1484" s="1">
        <f t="shared" si="75"/>
        <v>1</v>
      </c>
      <c r="O1484" s="87"/>
    </row>
    <row r="1485" spans="1:15" ht="15.75" hidden="1" x14ac:dyDescent="0.25">
      <c r="A1485" s="1" t="str">
        <f t="shared" si="74"/>
        <v>44591445918CURRENTTRANSPORTUBER</v>
      </c>
      <c r="B1485" s="2">
        <v>44591</v>
      </c>
      <c r="C1485" s="2">
        <v>44591</v>
      </c>
      <c r="D1485" s="3" t="s">
        <v>1957</v>
      </c>
      <c r="E1485" s="3">
        <v>-8</v>
      </c>
      <c r="F1485" s="3">
        <v>1</v>
      </c>
      <c r="G1485" s="3">
        <f t="shared" si="76"/>
        <v>8</v>
      </c>
      <c r="H1485" s="3" t="s">
        <v>293</v>
      </c>
      <c r="I1485" s="1" t="s">
        <v>296</v>
      </c>
      <c r="J1485" s="1" t="s">
        <v>299</v>
      </c>
      <c r="K1485" s="1" t="s">
        <v>298</v>
      </c>
      <c r="L1485" s="1" t="s">
        <v>257</v>
      </c>
      <c r="M1485" s="1"/>
      <c r="N1485" s="1">
        <f t="shared" si="75"/>
        <v>1</v>
      </c>
      <c r="O1485" s="87"/>
    </row>
    <row r="1486" spans="1:15" ht="15.75" hidden="1" x14ac:dyDescent="0.25">
      <c r="A1486" s="1" t="str">
        <f t="shared" si="74"/>
        <v>445914459113.65CURRENTGROCERYTOTAL FRESH</v>
      </c>
      <c r="B1486" s="2">
        <v>44591</v>
      </c>
      <c r="C1486" s="2">
        <v>44591</v>
      </c>
      <c r="D1486" s="3" t="s">
        <v>1958</v>
      </c>
      <c r="E1486" s="3">
        <v>-13.65</v>
      </c>
      <c r="F1486" s="3">
        <v>1</v>
      </c>
      <c r="G1486" s="3">
        <f t="shared" si="76"/>
        <v>13.65</v>
      </c>
      <c r="H1486" s="3" t="s">
        <v>293</v>
      </c>
      <c r="I1486" s="1" t="s">
        <v>43</v>
      </c>
      <c r="J1486" s="1" t="s">
        <v>1394</v>
      </c>
      <c r="K1486" s="1" t="s">
        <v>298</v>
      </c>
      <c r="L1486" s="1" t="s">
        <v>257</v>
      </c>
      <c r="M1486" s="1"/>
      <c r="N1486" s="1">
        <f t="shared" si="75"/>
        <v>1</v>
      </c>
      <c r="O1486" s="87"/>
    </row>
    <row r="1487" spans="1:15" ht="15.75" hidden="1" x14ac:dyDescent="0.25">
      <c r="A1487" s="1" t="str">
        <f t="shared" si="74"/>
        <v>445914459147.97CURRENTGROCERYTOTAL FRESH</v>
      </c>
      <c r="B1487" s="2">
        <v>44591</v>
      </c>
      <c r="C1487" s="2">
        <v>44591</v>
      </c>
      <c r="D1487" s="3" t="s">
        <v>1959</v>
      </c>
      <c r="E1487" s="3">
        <v>-47.97</v>
      </c>
      <c r="F1487" s="3">
        <v>1</v>
      </c>
      <c r="G1487" s="3">
        <f t="shared" si="76"/>
        <v>47.97</v>
      </c>
      <c r="H1487" s="3" t="s">
        <v>293</v>
      </c>
      <c r="I1487" s="1" t="s">
        <v>43</v>
      </c>
      <c r="J1487" s="1" t="s">
        <v>1394</v>
      </c>
      <c r="K1487" s="1" t="s">
        <v>298</v>
      </c>
      <c r="L1487" s="1" t="s">
        <v>257</v>
      </c>
      <c r="M1487" s="1"/>
      <c r="N1487" s="1">
        <f t="shared" si="75"/>
        <v>1</v>
      </c>
      <c r="O1487" s="87"/>
    </row>
    <row r="1488" spans="1:15" ht="15.75" hidden="1" x14ac:dyDescent="0.25">
      <c r="A1488" s="1" t="str">
        <f t="shared" si="74"/>
        <v>445914459113085.71CURRENTCC BILL PAYMENTBANK</v>
      </c>
      <c r="B1488" s="2">
        <v>44591</v>
      </c>
      <c r="C1488" s="2">
        <v>44591</v>
      </c>
      <c r="D1488" s="3" t="s">
        <v>1960</v>
      </c>
      <c r="E1488" s="3">
        <v>-13085.71</v>
      </c>
      <c r="F1488" s="3">
        <v>1</v>
      </c>
      <c r="G1488" s="3">
        <f t="shared" si="76"/>
        <v>13085.71</v>
      </c>
      <c r="H1488" s="3" t="s">
        <v>293</v>
      </c>
      <c r="I1488" s="1" t="s">
        <v>81</v>
      </c>
      <c r="J1488" s="1" t="s">
        <v>8</v>
      </c>
      <c r="K1488" s="1" t="s">
        <v>298</v>
      </c>
      <c r="L1488" s="1" t="s">
        <v>257</v>
      </c>
      <c r="M1488" s="1"/>
      <c r="N1488" s="1">
        <f t="shared" si="75"/>
        <v>1</v>
      </c>
      <c r="O1488" s="87"/>
    </row>
    <row r="1489" spans="1:15" ht="15.75" hidden="1" x14ac:dyDescent="0.25">
      <c r="A1489" s="1" t="str">
        <f t="shared" si="74"/>
        <v>445914459198CURRENTCC BILL PAYMENTBANK</v>
      </c>
      <c r="B1489" s="2">
        <v>44591</v>
      </c>
      <c r="C1489" s="2">
        <v>44591</v>
      </c>
      <c r="D1489" s="3" t="s">
        <v>1961</v>
      </c>
      <c r="E1489" s="3">
        <v>-98</v>
      </c>
      <c r="F1489" s="3">
        <v>1</v>
      </c>
      <c r="G1489" s="3">
        <f t="shared" si="76"/>
        <v>98</v>
      </c>
      <c r="H1489" s="3" t="s">
        <v>293</v>
      </c>
      <c r="I1489" s="1" t="s">
        <v>81</v>
      </c>
      <c r="J1489" s="1" t="s">
        <v>8</v>
      </c>
      <c r="K1489" s="1" t="s">
        <v>298</v>
      </c>
      <c r="L1489" s="1" t="s">
        <v>257</v>
      </c>
      <c r="M1489" s="1"/>
      <c r="N1489" s="1">
        <f t="shared" si="75"/>
        <v>1</v>
      </c>
      <c r="O1489" s="87"/>
    </row>
    <row r="1490" spans="1:15" ht="15.75" hidden="1" x14ac:dyDescent="0.25">
      <c r="A1490" s="1" t="str">
        <f t="shared" si="74"/>
        <v>4459244592320CURRENTMEDICALASTER</v>
      </c>
      <c r="B1490" s="2">
        <v>44592</v>
      </c>
      <c r="C1490" s="2">
        <v>44592</v>
      </c>
      <c r="D1490" s="3" t="s">
        <v>1951</v>
      </c>
      <c r="E1490" s="3">
        <v>-320</v>
      </c>
      <c r="F1490" s="3">
        <v>1</v>
      </c>
      <c r="G1490" s="3">
        <f t="shared" si="76"/>
        <v>320</v>
      </c>
      <c r="H1490" s="3" t="s">
        <v>293</v>
      </c>
      <c r="I1490" s="1" t="s">
        <v>301</v>
      </c>
      <c r="J1490" s="1" t="s">
        <v>303</v>
      </c>
      <c r="K1490" s="1" t="s">
        <v>298</v>
      </c>
      <c r="L1490" s="1" t="s">
        <v>257</v>
      </c>
      <c r="M1490" s="1"/>
      <c r="N1490" s="1">
        <f t="shared" si="75"/>
        <v>1</v>
      </c>
      <c r="O1490" s="87"/>
    </row>
    <row r="1491" spans="1:15" ht="15.75" hidden="1" x14ac:dyDescent="0.25">
      <c r="A1491" s="1" t="str">
        <f t="shared" si="74"/>
        <v>44593445938CURRENTTRANSPORTUBER</v>
      </c>
      <c r="B1491" s="2">
        <v>44593</v>
      </c>
      <c r="C1491" s="2">
        <v>44593</v>
      </c>
      <c r="D1491" s="3" t="s">
        <v>1950</v>
      </c>
      <c r="E1491" s="3">
        <v>-8</v>
      </c>
      <c r="F1491" s="3">
        <v>1</v>
      </c>
      <c r="G1491" s="3">
        <f t="shared" si="76"/>
        <v>8</v>
      </c>
      <c r="H1491" s="3" t="s">
        <v>293</v>
      </c>
      <c r="I1491" s="1" t="s">
        <v>296</v>
      </c>
      <c r="J1491" s="1" t="s">
        <v>299</v>
      </c>
      <c r="K1491" s="1" t="s">
        <v>298</v>
      </c>
      <c r="L1491" s="1" t="s">
        <v>257</v>
      </c>
      <c r="M1491" s="1"/>
      <c r="N1491" s="1">
        <f t="shared" si="75"/>
        <v>2</v>
      </c>
      <c r="O1491" s="87"/>
    </row>
    <row r="1492" spans="1:15" ht="15.75" hidden="1" x14ac:dyDescent="0.25">
      <c r="A1492" s="1" t="str">
        <f t="shared" si="74"/>
        <v>44593445933000CURRENTSAVINGSELF</v>
      </c>
      <c r="B1492" s="2">
        <v>44593</v>
      </c>
      <c r="C1492" s="2">
        <v>44593</v>
      </c>
      <c r="D1492" s="3" t="s">
        <v>1519</v>
      </c>
      <c r="E1492" s="3">
        <v>-3000</v>
      </c>
      <c r="F1492" s="3">
        <v>1</v>
      </c>
      <c r="G1492" s="3">
        <f t="shared" si="76"/>
        <v>3000</v>
      </c>
      <c r="H1492" s="3" t="s">
        <v>293</v>
      </c>
      <c r="I1492" s="1" t="s">
        <v>302</v>
      </c>
      <c r="J1492" s="1" t="s">
        <v>14</v>
      </c>
      <c r="K1492" s="1" t="s">
        <v>298</v>
      </c>
      <c r="L1492" s="1" t="s">
        <v>257</v>
      </c>
      <c r="M1492" s="1"/>
      <c r="N1492" s="1">
        <f t="shared" si="75"/>
        <v>2</v>
      </c>
      <c r="O1492" s="87"/>
    </row>
    <row r="1493" spans="1:15" ht="15.75" hidden="1" x14ac:dyDescent="0.25">
      <c r="A1493" s="1" t="str">
        <f t="shared" si="74"/>
        <v>4459344593500CURRENTSAVINGARTI</v>
      </c>
      <c r="B1493" s="2">
        <v>44593</v>
      </c>
      <c r="C1493" s="2">
        <v>44593</v>
      </c>
      <c r="D1493" s="3" t="s">
        <v>1588</v>
      </c>
      <c r="E1493" s="3">
        <v>-500</v>
      </c>
      <c r="F1493" s="3">
        <v>1</v>
      </c>
      <c r="G1493" s="3">
        <f t="shared" si="76"/>
        <v>500</v>
      </c>
      <c r="H1493" s="3" t="s">
        <v>293</v>
      </c>
      <c r="I1493" s="1" t="s">
        <v>302</v>
      </c>
      <c r="J1493" s="1" t="s">
        <v>453</v>
      </c>
      <c r="K1493" s="1" t="s">
        <v>298</v>
      </c>
      <c r="L1493" s="1" t="s">
        <v>257</v>
      </c>
      <c r="M1493" s="1"/>
      <c r="N1493" s="1">
        <f t="shared" si="75"/>
        <v>2</v>
      </c>
      <c r="O1493" s="87"/>
    </row>
    <row r="1494" spans="1:15" ht="15.75" hidden="1" x14ac:dyDescent="0.25">
      <c r="A1494" s="1" t="str">
        <f t="shared" si="74"/>
        <v>445934459435.5DINERSGROCERYTOTAL FRESH</v>
      </c>
      <c r="B1494" s="2">
        <v>44593</v>
      </c>
      <c r="C1494" s="2">
        <v>44594</v>
      </c>
      <c r="D1494" s="3" t="s">
        <v>1979</v>
      </c>
      <c r="E1494" s="3">
        <v>35.5</v>
      </c>
      <c r="F1494" s="3">
        <v>1</v>
      </c>
      <c r="G1494" s="3">
        <f t="shared" si="76"/>
        <v>35.5</v>
      </c>
      <c r="H1494" s="3" t="s">
        <v>266</v>
      </c>
      <c r="I1494" s="1" t="s">
        <v>43</v>
      </c>
      <c r="J1494" s="1" t="s">
        <v>1394</v>
      </c>
      <c r="K1494" s="1" t="s">
        <v>298</v>
      </c>
      <c r="L1494" s="1" t="s">
        <v>267</v>
      </c>
      <c r="M1494" s="1"/>
      <c r="N1494" s="1">
        <f t="shared" si="75"/>
        <v>2</v>
      </c>
      <c r="O1494" s="87"/>
    </row>
    <row r="1495" spans="1:15" ht="15.75" hidden="1" x14ac:dyDescent="0.25">
      <c r="A1495" s="1" t="str">
        <f t="shared" si="74"/>
        <v>445944459413.49CURRENTTRANSPORTUBER</v>
      </c>
      <c r="B1495" s="2">
        <v>44594</v>
      </c>
      <c r="C1495" s="2">
        <v>44594</v>
      </c>
      <c r="D1495" s="3" t="s">
        <v>1948</v>
      </c>
      <c r="E1495" s="3">
        <v>-13.49</v>
      </c>
      <c r="F1495" s="3">
        <v>1</v>
      </c>
      <c r="G1495" s="3">
        <f t="shared" si="76"/>
        <v>13.49</v>
      </c>
      <c r="H1495" s="3" t="s">
        <v>293</v>
      </c>
      <c r="I1495" s="1" t="s">
        <v>296</v>
      </c>
      <c r="J1495" s="1" t="s">
        <v>299</v>
      </c>
      <c r="K1495" s="1" t="s">
        <v>298</v>
      </c>
      <c r="L1495" s="1" t="s">
        <v>257</v>
      </c>
      <c r="M1495" s="1"/>
      <c r="N1495" s="1">
        <f t="shared" si="75"/>
        <v>2</v>
      </c>
      <c r="O1495" s="87"/>
    </row>
    <row r="1496" spans="1:15" ht="15.75" hidden="1" x14ac:dyDescent="0.25">
      <c r="A1496" s="1" t="str">
        <f t="shared" si="74"/>
        <v>445944459416.98CURRENTTRANSPORTUBER</v>
      </c>
      <c r="B1496" s="2">
        <v>44594</v>
      </c>
      <c r="C1496" s="2">
        <v>44594</v>
      </c>
      <c r="D1496" s="3" t="s">
        <v>1949</v>
      </c>
      <c r="E1496" s="3">
        <v>-16.98</v>
      </c>
      <c r="F1496" s="3">
        <v>1</v>
      </c>
      <c r="G1496" s="3">
        <f t="shared" si="76"/>
        <v>16.98</v>
      </c>
      <c r="H1496" s="3" t="s">
        <v>293</v>
      </c>
      <c r="I1496" s="1" t="s">
        <v>296</v>
      </c>
      <c r="J1496" s="1" t="s">
        <v>299</v>
      </c>
      <c r="K1496" s="1" t="s">
        <v>298</v>
      </c>
      <c r="L1496" s="1" t="s">
        <v>257</v>
      </c>
      <c r="M1496" s="1"/>
      <c r="N1496" s="1">
        <f t="shared" si="75"/>
        <v>2</v>
      </c>
      <c r="O1496" s="87"/>
    </row>
    <row r="1497" spans="1:15" ht="15.75" hidden="1" x14ac:dyDescent="0.25">
      <c r="A1497" s="1" t="str">
        <f t="shared" si="74"/>
        <v>445954459523.61CURRENTTRANSPORTUBER</v>
      </c>
      <c r="B1497" s="2">
        <v>44595</v>
      </c>
      <c r="C1497" s="2">
        <v>44595</v>
      </c>
      <c r="D1497" s="3" t="s">
        <v>1945</v>
      </c>
      <c r="E1497" s="3">
        <v>-23.61</v>
      </c>
      <c r="F1497" s="3">
        <v>1</v>
      </c>
      <c r="G1497" s="3">
        <f t="shared" si="76"/>
        <v>23.61</v>
      </c>
      <c r="H1497" s="3" t="s">
        <v>293</v>
      </c>
      <c r="I1497" s="1" t="s">
        <v>296</v>
      </c>
      <c r="J1497" s="1" t="s">
        <v>299</v>
      </c>
      <c r="K1497" s="1" t="s">
        <v>298</v>
      </c>
      <c r="L1497" s="1" t="s">
        <v>257</v>
      </c>
      <c r="M1497" s="1"/>
      <c r="N1497" s="1">
        <f t="shared" si="75"/>
        <v>2</v>
      </c>
      <c r="O1497" s="87"/>
    </row>
    <row r="1498" spans="1:15" ht="15.75" hidden="1" x14ac:dyDescent="0.25">
      <c r="A1498" s="1" t="str">
        <f t="shared" si="74"/>
        <v>445954459515.1CURRENTTRANSPORTUBER</v>
      </c>
      <c r="B1498" s="2">
        <v>44595</v>
      </c>
      <c r="C1498" s="2">
        <v>44595</v>
      </c>
      <c r="D1498" s="3" t="s">
        <v>1946</v>
      </c>
      <c r="E1498" s="3">
        <v>-15.1</v>
      </c>
      <c r="F1498" s="3">
        <v>1</v>
      </c>
      <c r="G1498" s="3">
        <f t="shared" si="76"/>
        <v>15.1</v>
      </c>
      <c r="H1498" s="3" t="s">
        <v>293</v>
      </c>
      <c r="I1498" s="1" t="s">
        <v>296</v>
      </c>
      <c r="J1498" s="1" t="s">
        <v>299</v>
      </c>
      <c r="K1498" s="1" t="s">
        <v>298</v>
      </c>
      <c r="L1498" s="1" t="s">
        <v>257</v>
      </c>
      <c r="M1498" s="1"/>
      <c r="N1498" s="1">
        <f t="shared" si="75"/>
        <v>2</v>
      </c>
      <c r="O1498" s="87"/>
    </row>
    <row r="1499" spans="1:15" ht="15.75" hidden="1" x14ac:dyDescent="0.25">
      <c r="A1499" s="1" t="str">
        <f t="shared" si="74"/>
        <v>44595445958CURRENTTRANSPORTUBER</v>
      </c>
      <c r="B1499" s="2">
        <v>44595</v>
      </c>
      <c r="C1499" s="2">
        <v>44595</v>
      </c>
      <c r="D1499" s="3" t="s">
        <v>1947</v>
      </c>
      <c r="E1499" s="3">
        <v>-8</v>
      </c>
      <c r="F1499" s="3">
        <v>1</v>
      </c>
      <c r="G1499" s="3">
        <f t="shared" si="76"/>
        <v>8</v>
      </c>
      <c r="H1499" s="3" t="s">
        <v>293</v>
      </c>
      <c r="I1499" s="1" t="s">
        <v>296</v>
      </c>
      <c r="J1499" s="1" t="s">
        <v>299</v>
      </c>
      <c r="K1499" s="1" t="s">
        <v>298</v>
      </c>
      <c r="L1499" s="1" t="s">
        <v>257</v>
      </c>
      <c r="M1499" s="1"/>
      <c r="N1499" s="1">
        <f t="shared" si="75"/>
        <v>2</v>
      </c>
      <c r="O1499" s="87"/>
    </row>
    <row r="1500" spans="1:15" ht="15.75" hidden="1" x14ac:dyDescent="0.25">
      <c r="A1500" s="1" t="str">
        <f t="shared" si="74"/>
        <v>44595445952000CURRENTSAVINGSELF</v>
      </c>
      <c r="B1500" s="2">
        <v>44595</v>
      </c>
      <c r="C1500" s="2">
        <v>44595</v>
      </c>
      <c r="D1500" s="3" t="s">
        <v>1939</v>
      </c>
      <c r="E1500" s="3">
        <v>-2000</v>
      </c>
      <c r="F1500" s="3">
        <v>1</v>
      </c>
      <c r="G1500" s="3">
        <f t="shared" si="76"/>
        <v>2000</v>
      </c>
      <c r="H1500" s="3" t="s">
        <v>293</v>
      </c>
      <c r="I1500" s="1" t="s">
        <v>302</v>
      </c>
      <c r="J1500" s="1" t="s">
        <v>14</v>
      </c>
      <c r="K1500" s="1" t="s">
        <v>298</v>
      </c>
      <c r="L1500" s="1" t="s">
        <v>257</v>
      </c>
      <c r="M1500" s="1"/>
      <c r="N1500" s="1">
        <f t="shared" si="75"/>
        <v>2</v>
      </c>
      <c r="O1500" s="87"/>
    </row>
    <row r="1501" spans="1:15" ht="15.75" hidden="1" x14ac:dyDescent="0.25">
      <c r="A1501" s="1" t="str">
        <f t="shared" si="74"/>
        <v>44598445981250CURRENTSAVINGSELF</v>
      </c>
      <c r="B1501" s="2">
        <v>44598</v>
      </c>
      <c r="C1501" s="2">
        <v>44598</v>
      </c>
      <c r="D1501" s="3" t="s">
        <v>1167</v>
      </c>
      <c r="E1501" s="3">
        <v>-1250</v>
      </c>
      <c r="F1501" s="3">
        <v>1</v>
      </c>
      <c r="G1501" s="3">
        <f t="shared" si="76"/>
        <v>1250</v>
      </c>
      <c r="H1501" s="3" t="s">
        <v>293</v>
      </c>
      <c r="I1501" s="1" t="s">
        <v>302</v>
      </c>
      <c r="J1501" s="1" t="s">
        <v>14</v>
      </c>
      <c r="K1501" s="1" t="s">
        <v>298</v>
      </c>
      <c r="L1501" s="1" t="s">
        <v>257</v>
      </c>
      <c r="M1501" s="1"/>
      <c r="N1501" s="1">
        <f t="shared" si="75"/>
        <v>2</v>
      </c>
      <c r="O1501" s="87"/>
    </row>
    <row r="1502" spans="1:15" ht="15.75" hidden="1" x14ac:dyDescent="0.25">
      <c r="A1502" s="1" t="str">
        <f t="shared" si="74"/>
        <v>4459944601941DINERSTRAVELHOTEL</v>
      </c>
      <c r="B1502" s="2">
        <v>44599</v>
      </c>
      <c r="C1502" s="2">
        <v>44601</v>
      </c>
      <c r="D1502" s="3" t="s">
        <v>1978</v>
      </c>
      <c r="E1502" s="3">
        <v>941</v>
      </c>
      <c r="F1502" s="3">
        <v>1</v>
      </c>
      <c r="G1502" s="3">
        <f t="shared" si="76"/>
        <v>941</v>
      </c>
      <c r="H1502" s="3" t="s">
        <v>266</v>
      </c>
      <c r="I1502" s="1" t="s">
        <v>393</v>
      </c>
      <c r="J1502" s="1" t="s">
        <v>1128</v>
      </c>
      <c r="K1502" s="1" t="s">
        <v>298</v>
      </c>
      <c r="L1502" s="1" t="s">
        <v>267</v>
      </c>
      <c r="M1502" s="1"/>
      <c r="N1502" s="1">
        <f t="shared" si="75"/>
        <v>2</v>
      </c>
      <c r="O1502" s="87" t="s">
        <v>887</v>
      </c>
    </row>
    <row r="1503" spans="1:15" ht="15.75" hidden="1" x14ac:dyDescent="0.25">
      <c r="A1503" s="1" t="str">
        <f t="shared" si="74"/>
        <v>44602446021244CURRENTTRANSFERINDIA</v>
      </c>
      <c r="B1503" s="2">
        <v>44602</v>
      </c>
      <c r="C1503" s="2">
        <v>44602</v>
      </c>
      <c r="D1503" s="3" t="s">
        <v>694</v>
      </c>
      <c r="E1503" s="3">
        <v>-1244</v>
      </c>
      <c r="F1503" s="3">
        <v>1</v>
      </c>
      <c r="G1503" s="3">
        <f t="shared" si="76"/>
        <v>1244</v>
      </c>
      <c r="H1503" s="3" t="s">
        <v>293</v>
      </c>
      <c r="I1503" s="1" t="s">
        <v>22</v>
      </c>
      <c r="J1503" s="1" t="s">
        <v>23</v>
      </c>
      <c r="K1503" s="1" t="s">
        <v>298</v>
      </c>
      <c r="L1503" s="1" t="s">
        <v>257</v>
      </c>
      <c r="M1503" s="1"/>
      <c r="N1503" s="1">
        <f t="shared" si="75"/>
        <v>2</v>
      </c>
      <c r="O1503" s="87"/>
    </row>
    <row r="1504" spans="1:15" ht="15.75" hidden="1" x14ac:dyDescent="0.25">
      <c r="A1504" s="1" t="str">
        <f t="shared" si="74"/>
        <v>4460344603129DINERSRENTKAHRAMAA</v>
      </c>
      <c r="B1504" s="2">
        <v>44603</v>
      </c>
      <c r="C1504" s="2">
        <v>44603</v>
      </c>
      <c r="D1504" s="3" t="s">
        <v>1976</v>
      </c>
      <c r="E1504" s="3">
        <v>129</v>
      </c>
      <c r="F1504" s="3">
        <v>1</v>
      </c>
      <c r="G1504" s="3">
        <f t="shared" si="76"/>
        <v>129</v>
      </c>
      <c r="H1504" s="3" t="s">
        <v>266</v>
      </c>
      <c r="I1504" s="1" t="s">
        <v>83</v>
      </c>
      <c r="J1504" s="1" t="s">
        <v>4113</v>
      </c>
      <c r="K1504" s="1" t="s">
        <v>298</v>
      </c>
      <c r="L1504" s="1" t="s">
        <v>267</v>
      </c>
      <c r="M1504" s="1"/>
      <c r="N1504" s="1">
        <f t="shared" si="75"/>
        <v>2</v>
      </c>
      <c r="O1504" s="87"/>
    </row>
    <row r="1505" spans="1:15" ht="15.75" hidden="1" x14ac:dyDescent="0.25">
      <c r="A1505" s="1" t="str">
        <f t="shared" si="74"/>
        <v>4460344603250DINERSRENTVODAFONE</v>
      </c>
      <c r="B1505" s="2">
        <v>44603</v>
      </c>
      <c r="C1505" s="2">
        <v>44603</v>
      </c>
      <c r="D1505" s="3" t="s">
        <v>1977</v>
      </c>
      <c r="E1505" s="3">
        <v>250</v>
      </c>
      <c r="F1505" s="3">
        <v>1</v>
      </c>
      <c r="G1505" s="3">
        <f t="shared" si="76"/>
        <v>250</v>
      </c>
      <c r="H1505" s="3" t="s">
        <v>266</v>
      </c>
      <c r="I1505" s="1" t="s">
        <v>83</v>
      </c>
      <c r="J1505" s="1" t="s">
        <v>78</v>
      </c>
      <c r="K1505" s="1" t="s">
        <v>298</v>
      </c>
      <c r="L1505" s="1" t="s">
        <v>267</v>
      </c>
      <c r="M1505" s="1"/>
      <c r="N1505" s="1">
        <f t="shared" si="75"/>
        <v>2</v>
      </c>
      <c r="O1505" s="87"/>
    </row>
    <row r="1506" spans="1:15" ht="15.75" hidden="1" x14ac:dyDescent="0.25">
      <c r="A1506" s="1" t="str">
        <f t="shared" si="74"/>
        <v>44604446063444MASTER CCSHOPPINGLULU</v>
      </c>
      <c r="B1506" s="2">
        <v>44604</v>
      </c>
      <c r="C1506" s="2">
        <v>44606</v>
      </c>
      <c r="D1506" s="3" t="s">
        <v>2008</v>
      </c>
      <c r="E1506" s="3">
        <v>3444</v>
      </c>
      <c r="F1506" s="3">
        <v>1</v>
      </c>
      <c r="G1506" s="3">
        <f t="shared" si="76"/>
        <v>3444</v>
      </c>
      <c r="H1506" s="3" t="s">
        <v>291</v>
      </c>
      <c r="I1506" s="1" t="s">
        <v>194</v>
      </c>
      <c r="J1506" s="1" t="s">
        <v>44</v>
      </c>
      <c r="K1506" s="1" t="s">
        <v>298</v>
      </c>
      <c r="L1506" s="1" t="s">
        <v>267</v>
      </c>
      <c r="M1506" s="1"/>
      <c r="N1506" s="1">
        <f t="shared" si="75"/>
        <v>2</v>
      </c>
      <c r="O1506" s="65"/>
    </row>
    <row r="1507" spans="1:15" ht="15.75" hidden="1" x14ac:dyDescent="0.25">
      <c r="A1507" s="1" t="str">
        <f t="shared" si="74"/>
        <v>446044460633MASTER CCFOODFINGERTIPS</v>
      </c>
      <c r="B1507" s="2">
        <v>44604</v>
      </c>
      <c r="C1507" s="2">
        <v>44606</v>
      </c>
      <c r="D1507" s="3" t="s">
        <v>2009</v>
      </c>
      <c r="E1507" s="3">
        <v>33</v>
      </c>
      <c r="F1507" s="3">
        <v>1</v>
      </c>
      <c r="G1507" s="3">
        <f t="shared" si="76"/>
        <v>33</v>
      </c>
      <c r="H1507" s="3" t="s">
        <v>291</v>
      </c>
      <c r="I1507" s="1" t="s">
        <v>10</v>
      </c>
      <c r="J1507" s="1" t="s">
        <v>1422</v>
      </c>
      <c r="K1507" s="1" t="s">
        <v>298</v>
      </c>
      <c r="L1507" s="1" t="s">
        <v>267</v>
      </c>
      <c r="M1507" s="1"/>
      <c r="N1507" s="1">
        <f t="shared" si="75"/>
        <v>2</v>
      </c>
      <c r="O1507" s="65"/>
    </row>
    <row r="1508" spans="1:15" ht="15.75" hidden="1" x14ac:dyDescent="0.25">
      <c r="A1508" s="1" t="str">
        <f t="shared" si="74"/>
        <v>446044460711.86DINERSTRANSPORTUBER</v>
      </c>
      <c r="B1508" s="2">
        <v>44604</v>
      </c>
      <c r="C1508" s="2">
        <v>44607</v>
      </c>
      <c r="D1508" s="3" t="s">
        <v>1974</v>
      </c>
      <c r="E1508" s="3">
        <v>11.86</v>
      </c>
      <c r="F1508" s="3">
        <v>1</v>
      </c>
      <c r="G1508" s="3">
        <f t="shared" si="76"/>
        <v>11.86</v>
      </c>
      <c r="H1508" s="3" t="s">
        <v>266</v>
      </c>
      <c r="I1508" s="1" t="s">
        <v>296</v>
      </c>
      <c r="J1508" s="1" t="s">
        <v>299</v>
      </c>
      <c r="K1508" s="1" t="s">
        <v>298</v>
      </c>
      <c r="L1508" s="1" t="s">
        <v>267</v>
      </c>
      <c r="M1508" s="1"/>
      <c r="N1508" s="1">
        <f t="shared" si="75"/>
        <v>2</v>
      </c>
      <c r="O1508" s="87"/>
    </row>
    <row r="1509" spans="1:15" ht="15.75" hidden="1" x14ac:dyDescent="0.25">
      <c r="A1509" s="1" t="str">
        <f t="shared" si="74"/>
        <v>446044460566DINERSGROCERYTOTAL FRESH</v>
      </c>
      <c r="B1509" s="2">
        <v>44604</v>
      </c>
      <c r="C1509" s="2">
        <v>44605</v>
      </c>
      <c r="D1509" s="3" t="s">
        <v>1975</v>
      </c>
      <c r="E1509" s="3">
        <v>66</v>
      </c>
      <c r="F1509" s="3">
        <v>1</v>
      </c>
      <c r="G1509" s="3">
        <f t="shared" si="76"/>
        <v>66</v>
      </c>
      <c r="H1509" s="3" t="s">
        <v>266</v>
      </c>
      <c r="I1509" s="1" t="s">
        <v>43</v>
      </c>
      <c r="J1509" s="1" t="s">
        <v>1394</v>
      </c>
      <c r="K1509" s="1" t="s">
        <v>298</v>
      </c>
      <c r="L1509" s="1" t="s">
        <v>267</v>
      </c>
      <c r="M1509" s="1"/>
      <c r="N1509" s="1">
        <f t="shared" si="75"/>
        <v>2</v>
      </c>
      <c r="O1509" s="87"/>
    </row>
    <row r="1510" spans="1:15" ht="15.75" hidden="1" x14ac:dyDescent="0.25">
      <c r="A1510" s="1" t="str">
        <f t="shared" si="74"/>
        <v>446054460729MASTER CCFOODQATAR AIR</v>
      </c>
      <c r="B1510" s="2">
        <v>44605</v>
      </c>
      <c r="C1510" s="2">
        <v>44607</v>
      </c>
      <c r="D1510" s="3" t="s">
        <v>2007</v>
      </c>
      <c r="E1510" s="3">
        <v>29</v>
      </c>
      <c r="F1510" s="3">
        <v>1</v>
      </c>
      <c r="G1510" s="3">
        <f t="shared" si="76"/>
        <v>29</v>
      </c>
      <c r="H1510" s="3" t="s">
        <v>291</v>
      </c>
      <c r="I1510" s="1" t="s">
        <v>10</v>
      </c>
      <c r="J1510" s="1" t="s">
        <v>19</v>
      </c>
      <c r="K1510" s="1" t="s">
        <v>298</v>
      </c>
      <c r="L1510" s="1" t="s">
        <v>267</v>
      </c>
      <c r="M1510" s="1"/>
      <c r="N1510" s="1">
        <f t="shared" si="75"/>
        <v>2</v>
      </c>
      <c r="O1510" s="65"/>
    </row>
    <row r="1511" spans="1:15" ht="15.75" hidden="1" x14ac:dyDescent="0.25">
      <c r="A1511" s="1" t="str">
        <f t="shared" si="74"/>
        <v>446054460619DINERSGROCERYTOTAL FRESH</v>
      </c>
      <c r="B1511" s="2">
        <v>44605</v>
      </c>
      <c r="C1511" s="2">
        <v>44606</v>
      </c>
      <c r="D1511" s="3" t="s">
        <v>1973</v>
      </c>
      <c r="E1511" s="3">
        <v>19</v>
      </c>
      <c r="F1511" s="3">
        <v>1</v>
      </c>
      <c r="G1511" s="3">
        <f t="shared" si="76"/>
        <v>19</v>
      </c>
      <c r="H1511" s="3" t="s">
        <v>266</v>
      </c>
      <c r="I1511" s="1" t="s">
        <v>43</v>
      </c>
      <c r="J1511" s="1" t="s">
        <v>1394</v>
      </c>
      <c r="K1511" s="1" t="s">
        <v>298</v>
      </c>
      <c r="L1511" s="1" t="s">
        <v>267</v>
      </c>
      <c r="M1511" s="1"/>
      <c r="N1511" s="1">
        <f t="shared" si="75"/>
        <v>2</v>
      </c>
      <c r="O1511" s="87"/>
    </row>
    <row r="1512" spans="1:15" ht="15.75" hidden="1" x14ac:dyDescent="0.25">
      <c r="A1512" s="1" t="str">
        <f t="shared" si="74"/>
        <v>446064460810MASTER CCFOODQATAR AIR</v>
      </c>
      <c r="B1512" s="2">
        <v>44606</v>
      </c>
      <c r="C1512" s="2">
        <v>44608</v>
      </c>
      <c r="D1512" s="3" t="s">
        <v>2006</v>
      </c>
      <c r="E1512" s="3">
        <v>10</v>
      </c>
      <c r="F1512" s="3">
        <v>1</v>
      </c>
      <c r="G1512" s="3">
        <f t="shared" si="76"/>
        <v>10</v>
      </c>
      <c r="H1512" s="3" t="s">
        <v>291</v>
      </c>
      <c r="I1512" s="1" t="s">
        <v>10</v>
      </c>
      <c r="J1512" s="1" t="s">
        <v>19</v>
      </c>
      <c r="K1512" s="1" t="s">
        <v>298</v>
      </c>
      <c r="L1512" s="1" t="s">
        <v>267</v>
      </c>
      <c r="M1512" s="1"/>
      <c r="N1512" s="1">
        <f t="shared" si="75"/>
        <v>2</v>
      </c>
      <c r="O1512" s="65"/>
    </row>
    <row r="1513" spans="1:15" ht="15.75" hidden="1" x14ac:dyDescent="0.25">
      <c r="A1513" s="1" t="str">
        <f t="shared" si="74"/>
        <v>446074460928MASTER CCFOODQATAR AIR</v>
      </c>
      <c r="B1513" s="2">
        <v>44607</v>
      </c>
      <c r="C1513" s="2">
        <v>44609</v>
      </c>
      <c r="D1513" s="3" t="s">
        <v>2003</v>
      </c>
      <c r="E1513" s="3">
        <v>28</v>
      </c>
      <c r="F1513" s="3">
        <v>1</v>
      </c>
      <c r="G1513" s="3">
        <f t="shared" si="76"/>
        <v>28</v>
      </c>
      <c r="H1513" s="3" t="s">
        <v>291</v>
      </c>
      <c r="I1513" s="1" t="s">
        <v>10</v>
      </c>
      <c r="J1513" s="1" t="s">
        <v>19</v>
      </c>
      <c r="K1513" s="1" t="s">
        <v>298</v>
      </c>
      <c r="L1513" s="1" t="s">
        <v>267</v>
      </c>
      <c r="M1513" s="1"/>
      <c r="N1513" s="1">
        <f t="shared" si="75"/>
        <v>2</v>
      </c>
      <c r="O1513" s="65"/>
    </row>
    <row r="1514" spans="1:15" ht="15.75" hidden="1" x14ac:dyDescent="0.25">
      <c r="A1514" s="1" t="str">
        <f t="shared" si="74"/>
        <v>44607446099MASTER CCFOODQATAR AIR</v>
      </c>
      <c r="B1514" s="2">
        <v>44607</v>
      </c>
      <c r="C1514" s="2">
        <v>44609</v>
      </c>
      <c r="D1514" s="3" t="s">
        <v>2004</v>
      </c>
      <c r="E1514" s="3">
        <v>9</v>
      </c>
      <c r="F1514" s="3">
        <v>1</v>
      </c>
      <c r="G1514" s="3">
        <f t="shared" si="76"/>
        <v>9</v>
      </c>
      <c r="H1514" s="3" t="s">
        <v>291</v>
      </c>
      <c r="I1514" s="1" t="s">
        <v>10</v>
      </c>
      <c r="J1514" s="1" t="s">
        <v>19</v>
      </c>
      <c r="K1514" s="1" t="s">
        <v>298</v>
      </c>
      <c r="L1514" s="1" t="s">
        <v>267</v>
      </c>
      <c r="M1514" s="1"/>
      <c r="N1514" s="1">
        <f t="shared" si="75"/>
        <v>2</v>
      </c>
      <c r="O1514" s="65"/>
    </row>
    <row r="1515" spans="1:15" ht="15.75" hidden="1" x14ac:dyDescent="0.25">
      <c r="A1515" s="1" t="str">
        <f t="shared" si="74"/>
        <v>446074460930MASTER CCFOODFINGERTIPS</v>
      </c>
      <c r="B1515" s="2">
        <v>44607</v>
      </c>
      <c r="C1515" s="2">
        <v>44609</v>
      </c>
      <c r="D1515" s="3" t="s">
        <v>2005</v>
      </c>
      <c r="E1515" s="3">
        <v>30</v>
      </c>
      <c r="F1515" s="3">
        <v>1</v>
      </c>
      <c r="G1515" s="3">
        <f t="shared" si="76"/>
        <v>30</v>
      </c>
      <c r="H1515" s="3" t="s">
        <v>291</v>
      </c>
      <c r="I1515" s="1" t="s">
        <v>10</v>
      </c>
      <c r="J1515" s="1" t="s">
        <v>1422</v>
      </c>
      <c r="K1515" s="1" t="s">
        <v>298</v>
      </c>
      <c r="L1515" s="1" t="s">
        <v>267</v>
      </c>
      <c r="M1515" s="1"/>
      <c r="N1515" s="1">
        <f t="shared" si="75"/>
        <v>2</v>
      </c>
      <c r="O1515" s="65"/>
    </row>
    <row r="1516" spans="1:15" ht="15.75" hidden="1" x14ac:dyDescent="0.25">
      <c r="A1516" s="1" t="str">
        <f t="shared" si="74"/>
        <v>44607446074000CURRENTRENTEZDAN</v>
      </c>
      <c r="B1516" s="2">
        <v>44607</v>
      </c>
      <c r="C1516" s="2">
        <v>44607</v>
      </c>
      <c r="D1516" s="3" t="s">
        <v>1944</v>
      </c>
      <c r="E1516" s="3">
        <v>-4000</v>
      </c>
      <c r="F1516" s="3">
        <v>1</v>
      </c>
      <c r="G1516" s="3">
        <f t="shared" si="76"/>
        <v>4000</v>
      </c>
      <c r="H1516" s="3" t="s">
        <v>293</v>
      </c>
      <c r="I1516" s="1" t="s">
        <v>83</v>
      </c>
      <c r="J1516" s="1" t="s">
        <v>1339</v>
      </c>
      <c r="K1516" s="1" t="s">
        <v>298</v>
      </c>
      <c r="L1516" s="1" t="s">
        <v>257</v>
      </c>
      <c r="M1516" s="1"/>
      <c r="N1516" s="1">
        <f t="shared" si="75"/>
        <v>2</v>
      </c>
      <c r="O1516" s="87"/>
    </row>
    <row r="1517" spans="1:15" ht="15.75" hidden="1" x14ac:dyDescent="0.25">
      <c r="A1517" s="1" t="str">
        <f t="shared" si="74"/>
        <v>446084461015MASTER CCFOODQATAR AIR</v>
      </c>
      <c r="B1517" s="2">
        <v>44608</v>
      </c>
      <c r="C1517" s="2">
        <v>44610</v>
      </c>
      <c r="D1517" s="3" t="s">
        <v>2002</v>
      </c>
      <c r="E1517" s="3">
        <v>15</v>
      </c>
      <c r="F1517" s="3">
        <v>1</v>
      </c>
      <c r="G1517" s="3">
        <f t="shared" si="76"/>
        <v>15</v>
      </c>
      <c r="H1517" s="3" t="s">
        <v>291</v>
      </c>
      <c r="I1517" s="1" t="s">
        <v>10</v>
      </c>
      <c r="J1517" s="1" t="s">
        <v>19</v>
      </c>
      <c r="K1517" s="1" t="s">
        <v>298</v>
      </c>
      <c r="L1517" s="1" t="s">
        <v>267</v>
      </c>
      <c r="M1517" s="1"/>
      <c r="N1517" s="1">
        <f t="shared" si="75"/>
        <v>2</v>
      </c>
      <c r="O1517" s="65"/>
    </row>
    <row r="1518" spans="1:15" ht="15.75" hidden="1" x14ac:dyDescent="0.25">
      <c r="A1518" s="1" t="str">
        <f t="shared" si="74"/>
        <v>446094461432MASTER CCFOODQATAR AIR</v>
      </c>
      <c r="B1518" s="2">
        <v>44609</v>
      </c>
      <c r="C1518" s="2">
        <v>44614</v>
      </c>
      <c r="D1518" s="3" t="s">
        <v>1999</v>
      </c>
      <c r="E1518" s="3">
        <v>32</v>
      </c>
      <c r="F1518" s="3">
        <v>1</v>
      </c>
      <c r="G1518" s="3">
        <f t="shared" si="76"/>
        <v>32</v>
      </c>
      <c r="H1518" s="3" t="s">
        <v>291</v>
      </c>
      <c r="I1518" s="1" t="s">
        <v>10</v>
      </c>
      <c r="J1518" s="1" t="s">
        <v>19</v>
      </c>
      <c r="K1518" s="1" t="s">
        <v>298</v>
      </c>
      <c r="L1518" s="1" t="s">
        <v>267</v>
      </c>
      <c r="M1518" s="1"/>
      <c r="N1518" s="1">
        <f t="shared" si="75"/>
        <v>2</v>
      </c>
      <c r="O1518" s="65"/>
    </row>
    <row r="1519" spans="1:15" ht="15.75" hidden="1" x14ac:dyDescent="0.25">
      <c r="A1519" s="1" t="str">
        <f t="shared" si="74"/>
        <v>446094461419MASTER CCFOODQATAR AIR</v>
      </c>
      <c r="B1519" s="2">
        <v>44609</v>
      </c>
      <c r="C1519" s="2">
        <v>44614</v>
      </c>
      <c r="D1519" s="3" t="s">
        <v>2000</v>
      </c>
      <c r="E1519" s="3">
        <v>19</v>
      </c>
      <c r="F1519" s="3">
        <v>1</v>
      </c>
      <c r="G1519" s="3">
        <f t="shared" si="76"/>
        <v>19</v>
      </c>
      <c r="H1519" s="3" t="s">
        <v>291</v>
      </c>
      <c r="I1519" s="1" t="s">
        <v>10</v>
      </c>
      <c r="J1519" s="1" t="s">
        <v>19</v>
      </c>
      <c r="K1519" s="1" t="s">
        <v>298</v>
      </c>
      <c r="L1519" s="1" t="s">
        <v>267</v>
      </c>
      <c r="M1519" s="1"/>
      <c r="N1519" s="1">
        <f t="shared" si="75"/>
        <v>2</v>
      </c>
      <c r="O1519" s="65"/>
    </row>
    <row r="1520" spans="1:15" ht="15.75" hidden="1" x14ac:dyDescent="0.25">
      <c r="A1520" s="1" t="str">
        <f t="shared" si="74"/>
        <v>446094461234MASTER CCFOODFINGERTIPS</v>
      </c>
      <c r="B1520" s="2">
        <v>44609</v>
      </c>
      <c r="C1520" s="2">
        <v>44612</v>
      </c>
      <c r="D1520" s="3" t="s">
        <v>2001</v>
      </c>
      <c r="E1520" s="3">
        <v>34</v>
      </c>
      <c r="F1520" s="3">
        <v>1</v>
      </c>
      <c r="G1520" s="3">
        <f t="shared" si="76"/>
        <v>34</v>
      </c>
      <c r="H1520" s="3" t="s">
        <v>291</v>
      </c>
      <c r="I1520" s="1" t="s">
        <v>10</v>
      </c>
      <c r="J1520" s="1" t="s">
        <v>1422</v>
      </c>
      <c r="K1520" s="1" t="s">
        <v>298</v>
      </c>
      <c r="L1520" s="1" t="s">
        <v>267</v>
      </c>
      <c r="M1520" s="1"/>
      <c r="N1520" s="1">
        <f t="shared" si="75"/>
        <v>2</v>
      </c>
      <c r="O1520" s="65"/>
    </row>
    <row r="1521" spans="1:15" ht="15.75" hidden="1" x14ac:dyDescent="0.25">
      <c r="A1521" s="1" t="str">
        <f t="shared" si="74"/>
        <v>446094460951CURRENTTRANSPORTMETRO</v>
      </c>
      <c r="B1521" s="2">
        <v>44609</v>
      </c>
      <c r="C1521" s="2">
        <v>44609</v>
      </c>
      <c r="D1521" s="3" t="s">
        <v>1943</v>
      </c>
      <c r="E1521" s="3">
        <v>-51</v>
      </c>
      <c r="F1521" s="3">
        <v>1</v>
      </c>
      <c r="G1521" s="3">
        <f t="shared" si="76"/>
        <v>51</v>
      </c>
      <c r="H1521" s="3" t="s">
        <v>293</v>
      </c>
      <c r="I1521" s="1" t="s">
        <v>296</v>
      </c>
      <c r="J1521" s="1" t="s">
        <v>759</v>
      </c>
      <c r="K1521" s="1" t="s">
        <v>298</v>
      </c>
      <c r="L1521" s="1" t="s">
        <v>257</v>
      </c>
      <c r="M1521" s="1"/>
      <c r="N1521" s="1">
        <f t="shared" si="75"/>
        <v>2</v>
      </c>
      <c r="O1521" s="87"/>
    </row>
    <row r="1522" spans="1:15" ht="15.75" hidden="1" x14ac:dyDescent="0.25">
      <c r="A1522" s="1" t="str">
        <f t="shared" si="74"/>
        <v>446114461210MASTER CCTELECOMOOREDOO</v>
      </c>
      <c r="B1522" s="2">
        <v>44611</v>
      </c>
      <c r="C1522" s="2">
        <v>44612</v>
      </c>
      <c r="D1522" s="3" t="s">
        <v>1997</v>
      </c>
      <c r="E1522" s="3">
        <v>10</v>
      </c>
      <c r="F1522" s="3">
        <v>1</v>
      </c>
      <c r="G1522" s="3">
        <f t="shared" si="76"/>
        <v>10</v>
      </c>
      <c r="H1522" s="3" t="s">
        <v>291</v>
      </c>
      <c r="I1522" s="1" t="s">
        <v>58</v>
      </c>
      <c r="J1522" s="1" t="s">
        <v>59</v>
      </c>
      <c r="K1522" s="1" t="s">
        <v>298</v>
      </c>
      <c r="L1522" s="1" t="s">
        <v>267</v>
      </c>
      <c r="M1522" s="1"/>
      <c r="N1522" s="1">
        <f t="shared" si="75"/>
        <v>2</v>
      </c>
      <c r="O1522" s="65"/>
    </row>
    <row r="1523" spans="1:15" ht="15.75" hidden="1" x14ac:dyDescent="0.25">
      <c r="A1523" s="1" t="str">
        <f t="shared" si="74"/>
        <v>446114461250MASTER CCTELECOMOOREDOO</v>
      </c>
      <c r="B1523" s="2">
        <v>44611</v>
      </c>
      <c r="C1523" s="2">
        <v>44612</v>
      </c>
      <c r="D1523" s="3" t="s">
        <v>1996</v>
      </c>
      <c r="E1523" s="3">
        <v>50</v>
      </c>
      <c r="F1523" s="3">
        <v>1</v>
      </c>
      <c r="G1523" s="3">
        <f t="shared" si="76"/>
        <v>50</v>
      </c>
      <c r="H1523" s="3" t="s">
        <v>291</v>
      </c>
      <c r="I1523" s="1" t="s">
        <v>58</v>
      </c>
      <c r="J1523" s="1" t="s">
        <v>59</v>
      </c>
      <c r="K1523" s="1" t="s">
        <v>298</v>
      </c>
      <c r="L1523" s="1" t="s">
        <v>267</v>
      </c>
      <c r="M1523" s="1"/>
      <c r="N1523" s="1">
        <f t="shared" si="75"/>
        <v>2</v>
      </c>
      <c r="O1523" s="65"/>
    </row>
    <row r="1524" spans="1:15" ht="15.75" hidden="1" x14ac:dyDescent="0.25">
      <c r="A1524" s="1" t="str">
        <f t="shared" si="74"/>
        <v>446114461335MASTER CCFOODFINGERTIPS</v>
      </c>
      <c r="B1524" s="2">
        <v>44611</v>
      </c>
      <c r="C1524" s="2">
        <v>44613</v>
      </c>
      <c r="D1524" s="3" t="s">
        <v>1998</v>
      </c>
      <c r="E1524" s="3">
        <v>35</v>
      </c>
      <c r="F1524" s="3">
        <v>1</v>
      </c>
      <c r="G1524" s="3">
        <f t="shared" si="76"/>
        <v>35</v>
      </c>
      <c r="H1524" s="3" t="s">
        <v>291</v>
      </c>
      <c r="I1524" s="1" t="s">
        <v>10</v>
      </c>
      <c r="J1524" s="1" t="s">
        <v>1422</v>
      </c>
      <c r="K1524" s="1" t="s">
        <v>298</v>
      </c>
      <c r="L1524" s="1" t="s">
        <v>267</v>
      </c>
      <c r="M1524" s="1"/>
      <c r="N1524" s="1">
        <f t="shared" si="75"/>
        <v>2</v>
      </c>
      <c r="O1524" s="65"/>
    </row>
    <row r="1525" spans="1:15" ht="15.75" hidden="1" x14ac:dyDescent="0.25">
      <c r="A1525" s="1" t="str">
        <f t="shared" si="74"/>
        <v>446114461414.8DINERSTRANSPORTUBER</v>
      </c>
      <c r="B1525" s="2">
        <v>44611</v>
      </c>
      <c r="C1525" s="2">
        <v>44614</v>
      </c>
      <c r="D1525" s="3" t="s">
        <v>2036</v>
      </c>
      <c r="E1525" s="3">
        <v>14.8</v>
      </c>
      <c r="F1525" s="3">
        <v>1</v>
      </c>
      <c r="G1525" s="3">
        <f t="shared" si="76"/>
        <v>14.8</v>
      </c>
      <c r="H1525" s="3" t="s">
        <v>266</v>
      </c>
      <c r="I1525" s="1" t="s">
        <v>296</v>
      </c>
      <c r="J1525" s="1" t="s">
        <v>299</v>
      </c>
      <c r="K1525" s="1" t="s">
        <v>298</v>
      </c>
      <c r="L1525" s="1" t="s">
        <v>267</v>
      </c>
      <c r="M1525" s="1"/>
      <c r="N1525" s="1">
        <f t="shared" si="75"/>
        <v>2</v>
      </c>
      <c r="O1525" s="87"/>
    </row>
    <row r="1526" spans="1:15" ht="15.75" hidden="1" x14ac:dyDescent="0.25">
      <c r="A1526" s="1" t="str">
        <f t="shared" si="74"/>
        <v>446114461417.48DINERSTRANSPORTUBER</v>
      </c>
      <c r="B1526" s="2">
        <v>44611</v>
      </c>
      <c r="C1526" s="2">
        <v>44614</v>
      </c>
      <c r="D1526" s="3" t="s">
        <v>2037</v>
      </c>
      <c r="E1526" s="3">
        <v>17.48</v>
      </c>
      <c r="F1526" s="3">
        <v>1</v>
      </c>
      <c r="G1526" s="3">
        <f t="shared" si="76"/>
        <v>17.48</v>
      </c>
      <c r="H1526" s="3" t="s">
        <v>266</v>
      </c>
      <c r="I1526" s="1" t="s">
        <v>296</v>
      </c>
      <c r="J1526" s="1" t="s">
        <v>299</v>
      </c>
      <c r="K1526" s="1" t="s">
        <v>298</v>
      </c>
      <c r="L1526" s="1" t="s">
        <v>267</v>
      </c>
      <c r="M1526" s="1"/>
      <c r="N1526" s="1">
        <f t="shared" si="75"/>
        <v>2</v>
      </c>
      <c r="O1526" s="87"/>
    </row>
    <row r="1527" spans="1:15" ht="15.75" hidden="1" x14ac:dyDescent="0.25">
      <c r="A1527" s="1" t="str">
        <f t="shared" si="74"/>
        <v>44611446121372DINERSSHOPPINGLULU</v>
      </c>
      <c r="B1527" s="2">
        <v>44611</v>
      </c>
      <c r="C1527" s="2">
        <v>44612</v>
      </c>
      <c r="D1527" s="3" t="s">
        <v>1971</v>
      </c>
      <c r="E1527" s="3">
        <v>1372</v>
      </c>
      <c r="F1527" s="3">
        <v>1</v>
      </c>
      <c r="G1527" s="3">
        <f t="shared" si="76"/>
        <v>1372</v>
      </c>
      <c r="H1527" s="3" t="s">
        <v>266</v>
      </c>
      <c r="I1527" s="1" t="s">
        <v>194</v>
      </c>
      <c r="J1527" s="1" t="s">
        <v>44</v>
      </c>
      <c r="K1527" s="1" t="s">
        <v>298</v>
      </c>
      <c r="L1527" s="1" t="s">
        <v>267</v>
      </c>
      <c r="M1527" s="1"/>
      <c r="N1527" s="1">
        <f t="shared" si="75"/>
        <v>2</v>
      </c>
      <c r="O1527" s="87"/>
    </row>
    <row r="1528" spans="1:15" ht="15.75" hidden="1" x14ac:dyDescent="0.25">
      <c r="A1528" s="1" t="str">
        <f t="shared" si="74"/>
        <v>4461144612107.43DINERSGROCERYLULU</v>
      </c>
      <c r="B1528" s="2">
        <v>44611</v>
      </c>
      <c r="C1528" s="2">
        <v>44612</v>
      </c>
      <c r="D1528" s="3" t="s">
        <v>1972</v>
      </c>
      <c r="E1528" s="3">
        <v>107.43</v>
      </c>
      <c r="F1528" s="3">
        <v>1</v>
      </c>
      <c r="G1528" s="3">
        <f t="shared" si="76"/>
        <v>107.43</v>
      </c>
      <c r="H1528" s="3" t="s">
        <v>266</v>
      </c>
      <c r="I1528" s="1" t="s">
        <v>43</v>
      </c>
      <c r="J1528" s="1" t="s">
        <v>44</v>
      </c>
      <c r="K1528" s="1" t="s">
        <v>298</v>
      </c>
      <c r="L1528" s="1" t="s">
        <v>267</v>
      </c>
      <c r="M1528" s="1"/>
      <c r="N1528" s="1">
        <f t="shared" si="75"/>
        <v>2</v>
      </c>
      <c r="O1528" s="87"/>
    </row>
    <row r="1529" spans="1:15" ht="15.75" hidden="1" x14ac:dyDescent="0.25">
      <c r="A1529" s="1" t="str">
        <f t="shared" si="74"/>
        <v>446124461419MASTER CCFOODQATAR AIR</v>
      </c>
      <c r="B1529" s="2">
        <v>44612</v>
      </c>
      <c r="C1529" s="2">
        <v>44614</v>
      </c>
      <c r="D1529" s="3" t="s">
        <v>1994</v>
      </c>
      <c r="E1529" s="3">
        <v>19</v>
      </c>
      <c r="F1529" s="3">
        <v>1</v>
      </c>
      <c r="G1529" s="3">
        <f t="shared" si="76"/>
        <v>19</v>
      </c>
      <c r="H1529" s="3" t="s">
        <v>291</v>
      </c>
      <c r="I1529" s="1" t="s">
        <v>10</v>
      </c>
      <c r="J1529" s="1" t="s">
        <v>19</v>
      </c>
      <c r="K1529" s="1" t="s">
        <v>298</v>
      </c>
      <c r="L1529" s="1" t="s">
        <v>267</v>
      </c>
      <c r="M1529" s="1"/>
      <c r="N1529" s="1">
        <f t="shared" si="75"/>
        <v>2</v>
      </c>
      <c r="O1529" s="65"/>
    </row>
    <row r="1530" spans="1:15" ht="15.75" hidden="1" x14ac:dyDescent="0.25">
      <c r="A1530" s="1" t="str">
        <f t="shared" si="74"/>
        <v>446124461425MASTER CCFOODFINGERTIPS</v>
      </c>
      <c r="B1530" s="2">
        <v>44612</v>
      </c>
      <c r="C1530" s="2">
        <v>44614</v>
      </c>
      <c r="D1530" s="3" t="s">
        <v>1995</v>
      </c>
      <c r="E1530" s="3">
        <v>25</v>
      </c>
      <c r="F1530" s="3">
        <v>1</v>
      </c>
      <c r="G1530" s="3">
        <f t="shared" si="76"/>
        <v>25</v>
      </c>
      <c r="H1530" s="3" t="s">
        <v>291</v>
      </c>
      <c r="I1530" s="1" t="s">
        <v>10</v>
      </c>
      <c r="J1530" s="1" t="s">
        <v>1422</v>
      </c>
      <c r="K1530" s="1" t="s">
        <v>298</v>
      </c>
      <c r="L1530" s="1" t="s">
        <v>267</v>
      </c>
      <c r="M1530" s="1"/>
      <c r="N1530" s="1">
        <f t="shared" si="75"/>
        <v>2</v>
      </c>
      <c r="O1530" s="65"/>
    </row>
    <row r="1531" spans="1:15" ht="15.75" hidden="1" x14ac:dyDescent="0.25">
      <c r="A1531" s="1" t="str">
        <f t="shared" si="74"/>
        <v>446124461310DINERSTELECOMOOREDOO</v>
      </c>
      <c r="B1531" s="2">
        <v>44612</v>
      </c>
      <c r="C1531" s="2">
        <v>44613</v>
      </c>
      <c r="D1531" s="3" t="s">
        <v>1969</v>
      </c>
      <c r="E1531" s="3">
        <v>10</v>
      </c>
      <c r="F1531" s="3">
        <v>1</v>
      </c>
      <c r="G1531" s="3">
        <f t="shared" si="76"/>
        <v>10</v>
      </c>
      <c r="H1531" s="3" t="s">
        <v>266</v>
      </c>
      <c r="I1531" s="1" t="s">
        <v>58</v>
      </c>
      <c r="J1531" s="1" t="s">
        <v>59</v>
      </c>
      <c r="K1531" s="1" t="s">
        <v>298</v>
      </c>
      <c r="L1531" s="1" t="s">
        <v>267</v>
      </c>
      <c r="M1531" s="1"/>
      <c r="N1531" s="1">
        <f t="shared" si="75"/>
        <v>2</v>
      </c>
      <c r="O1531" s="87"/>
    </row>
    <row r="1532" spans="1:15" ht="15.75" hidden="1" x14ac:dyDescent="0.25">
      <c r="A1532" s="1" t="str">
        <f t="shared" si="74"/>
        <v>446124461362.4DINERSSHOPPINGBABYSHOP</v>
      </c>
      <c r="B1532" s="2">
        <v>44612</v>
      </c>
      <c r="C1532" s="2">
        <v>44613</v>
      </c>
      <c r="D1532" s="3" t="s">
        <v>1970</v>
      </c>
      <c r="E1532" s="3">
        <v>62.4</v>
      </c>
      <c r="F1532" s="3">
        <v>1</v>
      </c>
      <c r="G1532" s="3">
        <f t="shared" si="76"/>
        <v>62.4</v>
      </c>
      <c r="H1532" s="3" t="s">
        <v>266</v>
      </c>
      <c r="I1532" s="1" t="s">
        <v>194</v>
      </c>
      <c r="J1532" s="1" t="s">
        <v>1650</v>
      </c>
      <c r="K1532" s="1" t="s">
        <v>298</v>
      </c>
      <c r="L1532" s="1" t="s">
        <v>267</v>
      </c>
      <c r="M1532" s="1"/>
      <c r="N1532" s="1">
        <f t="shared" si="75"/>
        <v>2</v>
      </c>
      <c r="O1532" s="87"/>
    </row>
    <row r="1533" spans="1:15" ht="15.75" hidden="1" x14ac:dyDescent="0.25">
      <c r="A1533" s="1" t="str">
        <f t="shared" si="74"/>
        <v>446144461637MASTER CCFOODQATAR AIR</v>
      </c>
      <c r="B1533" s="2">
        <v>44614</v>
      </c>
      <c r="C1533" s="2">
        <v>44616</v>
      </c>
      <c r="D1533" s="3" t="s">
        <v>2041</v>
      </c>
      <c r="E1533" s="3">
        <v>37</v>
      </c>
      <c r="F1533" s="3">
        <v>1</v>
      </c>
      <c r="G1533" s="3">
        <f t="shared" si="76"/>
        <v>37</v>
      </c>
      <c r="H1533" s="3" t="s">
        <v>291</v>
      </c>
      <c r="I1533" s="1" t="s">
        <v>10</v>
      </c>
      <c r="J1533" s="1" t="s">
        <v>19</v>
      </c>
      <c r="K1533" s="1" t="s">
        <v>298</v>
      </c>
      <c r="L1533" s="1" t="s">
        <v>267</v>
      </c>
      <c r="M1533" s="1"/>
      <c r="N1533" s="1">
        <f t="shared" si="75"/>
        <v>2</v>
      </c>
      <c r="O1533" s="87"/>
    </row>
    <row r="1534" spans="1:15" ht="15.75" hidden="1" x14ac:dyDescent="0.25">
      <c r="A1534" s="1" t="str">
        <f t="shared" si="74"/>
        <v>446154461549CURRENTFOODQATAR AIR</v>
      </c>
      <c r="B1534" s="2">
        <v>44615</v>
      </c>
      <c r="C1534" s="2">
        <v>44615</v>
      </c>
      <c r="D1534" s="3" t="s">
        <v>2034</v>
      </c>
      <c r="E1534" s="3">
        <v>-49</v>
      </c>
      <c r="F1534" s="3">
        <v>1</v>
      </c>
      <c r="G1534" s="3">
        <f t="shared" si="76"/>
        <v>49</v>
      </c>
      <c r="H1534" s="3" t="s">
        <v>293</v>
      </c>
      <c r="I1534" s="1" t="s">
        <v>10</v>
      </c>
      <c r="J1534" s="1" t="s">
        <v>19</v>
      </c>
      <c r="K1534" s="1" t="s">
        <v>298</v>
      </c>
      <c r="L1534" s="1" t="s">
        <v>257</v>
      </c>
      <c r="M1534" s="1"/>
      <c r="N1534" s="1">
        <f t="shared" si="75"/>
        <v>2</v>
      </c>
      <c r="O1534" s="87"/>
    </row>
    <row r="1535" spans="1:15" ht="15.75" hidden="1" x14ac:dyDescent="0.25">
      <c r="A1535" s="1" t="str">
        <f t="shared" si="74"/>
        <v>446164461618CURRENTFOODQATAR AIR</v>
      </c>
      <c r="B1535" s="2">
        <v>44616</v>
      </c>
      <c r="C1535" s="2">
        <v>44616</v>
      </c>
      <c r="D1535" s="3" t="s">
        <v>2030</v>
      </c>
      <c r="E1535" s="3">
        <v>-18</v>
      </c>
      <c r="F1535" s="3">
        <v>1</v>
      </c>
      <c r="G1535" s="3">
        <f t="shared" si="76"/>
        <v>18</v>
      </c>
      <c r="H1535" s="3" t="s">
        <v>293</v>
      </c>
      <c r="I1535" s="1" t="s">
        <v>10</v>
      </c>
      <c r="J1535" s="1" t="s">
        <v>19</v>
      </c>
      <c r="K1535" s="1" t="s">
        <v>298</v>
      </c>
      <c r="L1535" s="1" t="s">
        <v>257</v>
      </c>
      <c r="M1535" s="1"/>
      <c r="N1535" s="1">
        <f t="shared" si="75"/>
        <v>2</v>
      </c>
      <c r="O1535" s="87"/>
    </row>
    <row r="1536" spans="1:15" ht="15.75" hidden="1" x14ac:dyDescent="0.25">
      <c r="A1536" s="1" t="str">
        <f t="shared" si="74"/>
        <v>446164461637CURRENTCC BILL PAYMENTBANK</v>
      </c>
      <c r="B1536" s="2">
        <v>44616</v>
      </c>
      <c r="C1536" s="2">
        <v>44616</v>
      </c>
      <c r="D1536" s="3" t="s">
        <v>2031</v>
      </c>
      <c r="E1536" s="3">
        <v>-37</v>
      </c>
      <c r="F1536" s="3">
        <v>1</v>
      </c>
      <c r="G1536" s="3">
        <f t="shared" si="76"/>
        <v>37</v>
      </c>
      <c r="H1536" s="3" t="s">
        <v>293</v>
      </c>
      <c r="I1536" s="1" t="s">
        <v>81</v>
      </c>
      <c r="J1536" s="1" t="s">
        <v>8</v>
      </c>
      <c r="K1536" s="1" t="s">
        <v>298</v>
      </c>
      <c r="L1536" s="1" t="s">
        <v>257</v>
      </c>
      <c r="M1536" s="1"/>
      <c r="N1536" s="1">
        <f t="shared" si="75"/>
        <v>2</v>
      </c>
      <c r="O1536" s="87"/>
    </row>
    <row r="1537" spans="1:15" ht="15.75" hidden="1" x14ac:dyDescent="0.25">
      <c r="A1537" s="1" t="str">
        <f t="shared" si="74"/>
        <v>44616446166717CURRENTCC BILL PAYMENTBANK</v>
      </c>
      <c r="B1537" s="2">
        <v>44616</v>
      </c>
      <c r="C1537" s="2">
        <v>44616</v>
      </c>
      <c r="D1537" s="3" t="s">
        <v>2032</v>
      </c>
      <c r="E1537" s="3">
        <v>-6717</v>
      </c>
      <c r="F1537" s="3">
        <v>1</v>
      </c>
      <c r="G1537" s="3">
        <f t="shared" si="76"/>
        <v>6717</v>
      </c>
      <c r="H1537" s="3" t="s">
        <v>293</v>
      </c>
      <c r="I1537" s="1" t="s">
        <v>81</v>
      </c>
      <c r="J1537" s="1" t="s">
        <v>8</v>
      </c>
      <c r="K1537" s="1" t="s">
        <v>298</v>
      </c>
      <c r="L1537" s="1" t="s">
        <v>257</v>
      </c>
      <c r="M1537" s="1"/>
      <c r="N1537" s="1">
        <f t="shared" si="75"/>
        <v>2</v>
      </c>
      <c r="O1537" s="87"/>
    </row>
    <row r="1538" spans="1:15" ht="15.75" hidden="1" x14ac:dyDescent="0.25">
      <c r="A1538" s="1" t="str">
        <f t="shared" ref="A1538:A1601" si="77">B1538&amp;C1538&amp;G1538&amp;H1538&amp;I1538&amp;J1538</f>
        <v>446164461620115CURRENTSALARYQATAR AIR</v>
      </c>
      <c r="B1538" s="2">
        <v>44616</v>
      </c>
      <c r="C1538" s="2">
        <v>44616</v>
      </c>
      <c r="D1538" s="3" t="s">
        <v>2033</v>
      </c>
      <c r="E1538" s="3">
        <v>20115</v>
      </c>
      <c r="F1538" s="3">
        <v>1</v>
      </c>
      <c r="G1538" s="3">
        <f t="shared" si="76"/>
        <v>20115</v>
      </c>
      <c r="H1538" s="3" t="s">
        <v>293</v>
      </c>
      <c r="I1538" s="1" t="s">
        <v>18</v>
      </c>
      <c r="J1538" s="1" t="s">
        <v>19</v>
      </c>
      <c r="K1538" s="1" t="s">
        <v>300</v>
      </c>
      <c r="L1538" s="1" t="s">
        <v>257</v>
      </c>
      <c r="M1538" s="1"/>
      <c r="N1538" s="1">
        <f t="shared" ref="N1538:N1601" si="78">MONTH(C1538)</f>
        <v>2</v>
      </c>
      <c r="O1538" s="87"/>
    </row>
    <row r="1539" spans="1:15" ht="15.75" hidden="1" x14ac:dyDescent="0.25">
      <c r="A1539" s="1" t="str">
        <f t="shared" si="77"/>
        <v>44616446166717DINERSCC BILL PAYMENTBANK</v>
      </c>
      <c r="B1539" s="2">
        <v>44616</v>
      </c>
      <c r="C1539" s="2">
        <v>44616</v>
      </c>
      <c r="D1539" s="3" t="s">
        <v>80</v>
      </c>
      <c r="E1539" s="3">
        <v>-6717</v>
      </c>
      <c r="F1539" s="3">
        <v>1</v>
      </c>
      <c r="G1539" s="3">
        <f t="shared" si="76"/>
        <v>6717</v>
      </c>
      <c r="H1539" s="3" t="s">
        <v>266</v>
      </c>
      <c r="I1539" s="1" t="s">
        <v>81</v>
      </c>
      <c r="J1539" s="1" t="s">
        <v>8</v>
      </c>
      <c r="K1539" s="1" t="s">
        <v>300</v>
      </c>
      <c r="L1539" s="1" t="s">
        <v>267</v>
      </c>
      <c r="M1539" s="1"/>
      <c r="N1539" s="1">
        <f t="shared" si="78"/>
        <v>2</v>
      </c>
      <c r="O1539" s="87"/>
    </row>
    <row r="1540" spans="1:15" ht="15.75" hidden="1" x14ac:dyDescent="0.25">
      <c r="A1540" s="1" t="str">
        <f t="shared" si="77"/>
        <v>446164461637DINERSCC BILL PAYMENTBANK</v>
      </c>
      <c r="B1540" s="2">
        <v>44616</v>
      </c>
      <c r="C1540" s="2">
        <v>44616</v>
      </c>
      <c r="D1540" s="3" t="s">
        <v>80</v>
      </c>
      <c r="E1540" s="3">
        <v>-37</v>
      </c>
      <c r="F1540" s="3">
        <v>1</v>
      </c>
      <c r="G1540" s="3">
        <f t="shared" si="76"/>
        <v>37</v>
      </c>
      <c r="H1540" s="3" t="s">
        <v>266</v>
      </c>
      <c r="I1540" s="1" t="s">
        <v>81</v>
      </c>
      <c r="J1540" s="1" t="s">
        <v>8</v>
      </c>
      <c r="K1540" s="1" t="s">
        <v>300</v>
      </c>
      <c r="L1540" s="1" t="s">
        <v>267</v>
      </c>
      <c r="M1540" s="1"/>
      <c r="N1540" s="1">
        <f t="shared" si="78"/>
        <v>2</v>
      </c>
      <c r="O1540" s="87"/>
    </row>
    <row r="1541" spans="1:15" ht="15.75" hidden="1" x14ac:dyDescent="0.25">
      <c r="A1541" s="1" t="str">
        <f t="shared" si="77"/>
        <v>446194461942CURRENTFOODQATAR AIR</v>
      </c>
      <c r="B1541" s="2">
        <v>44619</v>
      </c>
      <c r="C1541" s="2">
        <v>44619</v>
      </c>
      <c r="D1541" s="3" t="s">
        <v>2021</v>
      </c>
      <c r="E1541" s="3">
        <v>-42</v>
      </c>
      <c r="F1541" s="3">
        <v>1</v>
      </c>
      <c r="G1541" s="3">
        <f t="shared" si="76"/>
        <v>42</v>
      </c>
      <c r="H1541" s="3" t="s">
        <v>293</v>
      </c>
      <c r="I1541" s="1" t="s">
        <v>10</v>
      </c>
      <c r="J1541" s="1" t="s">
        <v>19</v>
      </c>
      <c r="K1541" s="1" t="s">
        <v>298</v>
      </c>
      <c r="L1541" s="1" t="s">
        <v>257</v>
      </c>
      <c r="M1541" s="1"/>
      <c r="N1541" s="1">
        <f t="shared" si="78"/>
        <v>2</v>
      </c>
      <c r="O1541" s="87"/>
    </row>
    <row r="1542" spans="1:15" ht="15.75" hidden="1" x14ac:dyDescent="0.25">
      <c r="A1542" s="1" t="str">
        <f t="shared" si="77"/>
        <v>446194461913.01CURRENTTRANSPORTCAREEM</v>
      </c>
      <c r="B1542" s="2">
        <v>44619</v>
      </c>
      <c r="C1542" s="2">
        <v>44619</v>
      </c>
      <c r="D1542" s="3" t="s">
        <v>2022</v>
      </c>
      <c r="E1542" s="3">
        <v>-13.01</v>
      </c>
      <c r="F1542" s="3">
        <v>1</v>
      </c>
      <c r="G1542" s="3">
        <f t="shared" si="76"/>
        <v>13.01</v>
      </c>
      <c r="H1542" s="3" t="s">
        <v>293</v>
      </c>
      <c r="I1542" s="1" t="s">
        <v>296</v>
      </c>
      <c r="J1542" s="1" t="s">
        <v>297</v>
      </c>
      <c r="K1542" s="1" t="s">
        <v>298</v>
      </c>
      <c r="L1542" s="1" t="s">
        <v>257</v>
      </c>
      <c r="M1542" s="1"/>
      <c r="N1542" s="1">
        <f t="shared" si="78"/>
        <v>2</v>
      </c>
      <c r="O1542" s="87"/>
    </row>
    <row r="1543" spans="1:15" ht="15.75" hidden="1" x14ac:dyDescent="0.25">
      <c r="A1543" s="1" t="str">
        <f t="shared" si="77"/>
        <v>446194461974.46CURRENTEDUCATIONAGIFORS</v>
      </c>
      <c r="B1543" s="2">
        <v>44619</v>
      </c>
      <c r="C1543" s="2">
        <v>44619</v>
      </c>
      <c r="D1543" s="3" t="s">
        <v>2023</v>
      </c>
      <c r="E1543" s="3">
        <v>-74.459999999999994</v>
      </c>
      <c r="F1543" s="3">
        <v>1</v>
      </c>
      <c r="G1543" s="3">
        <f t="shared" si="76"/>
        <v>74.459999999999994</v>
      </c>
      <c r="H1543" s="3" t="s">
        <v>293</v>
      </c>
      <c r="I1543" s="1" t="s">
        <v>543</v>
      </c>
      <c r="J1543" s="1" t="s">
        <v>2042</v>
      </c>
      <c r="K1543" s="1" t="s">
        <v>298</v>
      </c>
      <c r="L1543" s="1" t="s">
        <v>257</v>
      </c>
      <c r="M1543" s="1"/>
      <c r="N1543" s="1">
        <f t="shared" si="78"/>
        <v>2</v>
      </c>
      <c r="O1543" s="87"/>
    </row>
    <row r="1544" spans="1:15" ht="15.75" hidden="1" x14ac:dyDescent="0.25">
      <c r="A1544" s="1" t="str">
        <f t="shared" si="77"/>
        <v>446194461918.54CURRENTTRANSPORTCAREEM</v>
      </c>
      <c r="B1544" s="2">
        <v>44619</v>
      </c>
      <c r="C1544" s="2">
        <v>44619</v>
      </c>
      <c r="D1544" s="3" t="s">
        <v>2024</v>
      </c>
      <c r="E1544" s="3">
        <v>-18.54</v>
      </c>
      <c r="F1544" s="3">
        <v>1</v>
      </c>
      <c r="G1544" s="3">
        <f t="shared" si="76"/>
        <v>18.54</v>
      </c>
      <c r="H1544" s="3" t="s">
        <v>293</v>
      </c>
      <c r="I1544" s="1" t="s">
        <v>296</v>
      </c>
      <c r="J1544" s="1" t="s">
        <v>297</v>
      </c>
      <c r="K1544" s="1" t="s">
        <v>298</v>
      </c>
      <c r="L1544" s="1" t="s">
        <v>257</v>
      </c>
      <c r="M1544" s="1"/>
      <c r="N1544" s="1">
        <f t="shared" si="78"/>
        <v>2</v>
      </c>
      <c r="O1544" s="87"/>
    </row>
    <row r="1545" spans="1:15" ht="15.75" hidden="1" x14ac:dyDescent="0.25">
      <c r="A1545" s="1" t="str">
        <f t="shared" si="77"/>
        <v>4461944619102.17CURRENTGROCERYLULU</v>
      </c>
      <c r="B1545" s="2">
        <v>44619</v>
      </c>
      <c r="C1545" s="2">
        <v>44619</v>
      </c>
      <c r="D1545" s="3" t="s">
        <v>2025</v>
      </c>
      <c r="E1545" s="3">
        <v>-102.17</v>
      </c>
      <c r="F1545" s="3">
        <v>1</v>
      </c>
      <c r="G1545" s="3">
        <f t="shared" si="76"/>
        <v>102.17</v>
      </c>
      <c r="H1545" s="3" t="s">
        <v>293</v>
      </c>
      <c r="I1545" s="1" t="s">
        <v>43</v>
      </c>
      <c r="J1545" s="1" t="s">
        <v>44</v>
      </c>
      <c r="K1545" s="1" t="s">
        <v>298</v>
      </c>
      <c r="L1545" s="1" t="s">
        <v>257</v>
      </c>
      <c r="M1545" s="1"/>
      <c r="N1545" s="1">
        <f t="shared" si="78"/>
        <v>2</v>
      </c>
      <c r="O1545" s="87"/>
    </row>
    <row r="1546" spans="1:15" ht="15.75" hidden="1" x14ac:dyDescent="0.25">
      <c r="A1546" s="1" t="str">
        <f t="shared" si="77"/>
        <v>4461944619458CURRENTSHOPPINGLULU</v>
      </c>
      <c r="B1546" s="2">
        <v>44619</v>
      </c>
      <c r="C1546" s="2">
        <v>44619</v>
      </c>
      <c r="D1546" s="3" t="s">
        <v>2026</v>
      </c>
      <c r="E1546" s="3">
        <v>-458</v>
      </c>
      <c r="F1546" s="3">
        <v>1</v>
      </c>
      <c r="G1546" s="3">
        <f t="shared" si="76"/>
        <v>458</v>
      </c>
      <c r="H1546" s="3" t="s">
        <v>293</v>
      </c>
      <c r="I1546" s="1" t="s">
        <v>194</v>
      </c>
      <c r="J1546" s="1" t="s">
        <v>44</v>
      </c>
      <c r="K1546" s="1" t="s">
        <v>298</v>
      </c>
      <c r="L1546" s="1" t="s">
        <v>257</v>
      </c>
      <c r="M1546" s="1"/>
      <c r="N1546" s="1">
        <f t="shared" si="78"/>
        <v>2</v>
      </c>
      <c r="O1546" s="87"/>
    </row>
    <row r="1547" spans="1:15" ht="15.75" hidden="1" x14ac:dyDescent="0.25">
      <c r="A1547" s="1" t="str">
        <f t="shared" si="77"/>
        <v>44619446191031.1CURRENTTRANSFERINDIA</v>
      </c>
      <c r="B1547" s="2">
        <v>44619</v>
      </c>
      <c r="C1547" s="2">
        <v>44619</v>
      </c>
      <c r="D1547" s="3" t="s">
        <v>2027</v>
      </c>
      <c r="E1547" s="3">
        <v>-1031.0999999999999</v>
      </c>
      <c r="F1547" s="3">
        <v>1</v>
      </c>
      <c r="G1547" s="3">
        <f t="shared" ref="G1547:G1610" si="79">ABS(E1547)*F1547</f>
        <v>1031.0999999999999</v>
      </c>
      <c r="H1547" s="3" t="s">
        <v>293</v>
      </c>
      <c r="I1547" s="1" t="s">
        <v>22</v>
      </c>
      <c r="J1547" s="1" t="s">
        <v>23</v>
      </c>
      <c r="K1547" s="1" t="s">
        <v>298</v>
      </c>
      <c r="L1547" s="1" t="s">
        <v>257</v>
      </c>
      <c r="M1547" s="1"/>
      <c r="N1547" s="1">
        <f t="shared" si="78"/>
        <v>2</v>
      </c>
      <c r="O1547" s="87"/>
    </row>
    <row r="1548" spans="1:15" ht="15.75" hidden="1" x14ac:dyDescent="0.25">
      <c r="A1548" s="1" t="str">
        <f t="shared" si="77"/>
        <v>44619446190.98CURRENTSERVICEBANK</v>
      </c>
      <c r="B1548" s="2">
        <v>44619</v>
      </c>
      <c r="C1548" s="2">
        <v>44619</v>
      </c>
      <c r="D1548" s="3" t="s">
        <v>2028</v>
      </c>
      <c r="E1548" s="3">
        <v>-0.98</v>
      </c>
      <c r="F1548" s="3">
        <v>1</v>
      </c>
      <c r="G1548" s="3">
        <f t="shared" si="79"/>
        <v>0.98</v>
      </c>
      <c r="H1548" s="3" t="s">
        <v>293</v>
      </c>
      <c r="I1548" s="1" t="s">
        <v>7</v>
      </c>
      <c r="J1548" s="1" t="s">
        <v>8</v>
      </c>
      <c r="K1548" s="1" t="s">
        <v>298</v>
      </c>
      <c r="L1548" s="1" t="s">
        <v>257</v>
      </c>
      <c r="M1548" s="1"/>
      <c r="N1548" s="1">
        <f t="shared" si="78"/>
        <v>2</v>
      </c>
      <c r="O1548" s="87"/>
    </row>
    <row r="1549" spans="1:15" ht="15.75" hidden="1" x14ac:dyDescent="0.25">
      <c r="A1549" s="1" t="str">
        <f t="shared" si="77"/>
        <v>446194461915CURRENTSERVICEBANK</v>
      </c>
      <c r="B1549" s="2">
        <v>44619</v>
      </c>
      <c r="C1549" s="2">
        <v>44619</v>
      </c>
      <c r="D1549" s="3" t="s">
        <v>2029</v>
      </c>
      <c r="E1549" s="3">
        <v>-15</v>
      </c>
      <c r="F1549" s="3">
        <v>1</v>
      </c>
      <c r="G1549" s="3">
        <f t="shared" si="79"/>
        <v>15</v>
      </c>
      <c r="H1549" s="3" t="s">
        <v>293</v>
      </c>
      <c r="I1549" s="1" t="s">
        <v>7</v>
      </c>
      <c r="J1549" s="1" t="s">
        <v>8</v>
      </c>
      <c r="K1549" s="1" t="s">
        <v>298</v>
      </c>
      <c r="L1549" s="1" t="s">
        <v>257</v>
      </c>
      <c r="M1549" s="1"/>
      <c r="N1549" s="1">
        <f t="shared" si="78"/>
        <v>2</v>
      </c>
      <c r="O1549" s="87"/>
    </row>
    <row r="1550" spans="1:15" ht="15.75" hidden="1" x14ac:dyDescent="0.25">
      <c r="A1550" s="1" t="str">
        <f t="shared" si="77"/>
        <v>446204462013CURRENTFOODQATAR AIR</v>
      </c>
      <c r="B1550" s="2">
        <v>44620</v>
      </c>
      <c r="C1550" s="2">
        <v>44620</v>
      </c>
      <c r="D1550" s="3" t="s">
        <v>2018</v>
      </c>
      <c r="E1550" s="3">
        <v>-13</v>
      </c>
      <c r="F1550" s="3">
        <v>1</v>
      </c>
      <c r="G1550" s="3">
        <f t="shared" si="79"/>
        <v>13</v>
      </c>
      <c r="H1550" s="3" t="s">
        <v>293</v>
      </c>
      <c r="I1550" s="1" t="s">
        <v>10</v>
      </c>
      <c r="J1550" s="1" t="s">
        <v>19</v>
      </c>
      <c r="K1550" s="1" t="s">
        <v>298</v>
      </c>
      <c r="L1550" s="1" t="s">
        <v>257</v>
      </c>
      <c r="M1550" s="1"/>
      <c r="N1550" s="1">
        <f t="shared" si="78"/>
        <v>2</v>
      </c>
      <c r="O1550" s="87"/>
    </row>
    <row r="1551" spans="1:15" ht="15.75" hidden="1" x14ac:dyDescent="0.25">
      <c r="A1551" s="1" t="str">
        <f t="shared" si="77"/>
        <v>44620446209.7CURRENTTRANSPORTCAREEM</v>
      </c>
      <c r="B1551" s="2">
        <v>44620</v>
      </c>
      <c r="C1551" s="2">
        <v>44620</v>
      </c>
      <c r="D1551" s="3" t="s">
        <v>2019</v>
      </c>
      <c r="E1551" s="3">
        <v>-9.6999999999999993</v>
      </c>
      <c r="F1551" s="3">
        <v>1</v>
      </c>
      <c r="G1551" s="3">
        <f t="shared" si="79"/>
        <v>9.6999999999999993</v>
      </c>
      <c r="H1551" s="3" t="s">
        <v>293</v>
      </c>
      <c r="I1551" s="1" t="s">
        <v>296</v>
      </c>
      <c r="J1551" s="1" t="s">
        <v>297</v>
      </c>
      <c r="K1551" s="1" t="s">
        <v>298</v>
      </c>
      <c r="L1551" s="1" t="s">
        <v>257</v>
      </c>
      <c r="M1551" s="1"/>
      <c r="N1551" s="1">
        <f t="shared" si="78"/>
        <v>2</v>
      </c>
      <c r="O1551" s="87"/>
    </row>
    <row r="1552" spans="1:15" ht="15.75" hidden="1" x14ac:dyDescent="0.25">
      <c r="A1552" s="1" t="str">
        <f t="shared" si="77"/>
        <v>446204462010CURRENTTRANSPORTCAREEM</v>
      </c>
      <c r="B1552" s="2">
        <v>44620</v>
      </c>
      <c r="C1552" s="2">
        <v>44620</v>
      </c>
      <c r="D1552" s="3" t="s">
        <v>2020</v>
      </c>
      <c r="E1552" s="3">
        <v>-10</v>
      </c>
      <c r="F1552" s="3">
        <v>1</v>
      </c>
      <c r="G1552" s="3">
        <f t="shared" si="79"/>
        <v>10</v>
      </c>
      <c r="H1552" s="3" t="s">
        <v>293</v>
      </c>
      <c r="I1552" s="1" t="s">
        <v>296</v>
      </c>
      <c r="J1552" s="1" t="s">
        <v>297</v>
      </c>
      <c r="K1552" s="1" t="s">
        <v>298</v>
      </c>
      <c r="L1552" s="1" t="s">
        <v>257</v>
      </c>
      <c r="M1552" s="1"/>
      <c r="N1552" s="1">
        <f t="shared" si="78"/>
        <v>2</v>
      </c>
      <c r="O1552" s="87"/>
    </row>
    <row r="1553" spans="1:15" ht="15.75" hidden="1" x14ac:dyDescent="0.25">
      <c r="A1553" s="1" t="str">
        <f t="shared" si="77"/>
        <v>446214462131CURRENTFOODQATAR AIR</v>
      </c>
      <c r="B1553" s="2">
        <v>44621</v>
      </c>
      <c r="C1553" s="2">
        <v>44621</v>
      </c>
      <c r="D1553" s="3" t="s">
        <v>2015</v>
      </c>
      <c r="E1553" s="3">
        <v>-31</v>
      </c>
      <c r="F1553" s="3">
        <v>1</v>
      </c>
      <c r="G1553" s="3">
        <f t="shared" si="79"/>
        <v>31</v>
      </c>
      <c r="H1553" s="3" t="s">
        <v>293</v>
      </c>
      <c r="I1553" s="1" t="s">
        <v>10</v>
      </c>
      <c r="J1553" s="1" t="s">
        <v>19</v>
      </c>
      <c r="K1553" s="1" t="s">
        <v>298</v>
      </c>
      <c r="L1553" s="1" t="s">
        <v>257</v>
      </c>
      <c r="M1553" s="1"/>
      <c r="N1553" s="1">
        <f t="shared" si="78"/>
        <v>3</v>
      </c>
      <c r="O1553" s="87"/>
    </row>
    <row r="1554" spans="1:15" ht="15.75" hidden="1" x14ac:dyDescent="0.25">
      <c r="A1554" s="1" t="str">
        <f t="shared" si="77"/>
        <v>446214462112.76CURRENTTRANSPORTCAREEM</v>
      </c>
      <c r="B1554" s="2">
        <v>44621</v>
      </c>
      <c r="C1554" s="2">
        <v>44621</v>
      </c>
      <c r="D1554" s="3" t="s">
        <v>2016</v>
      </c>
      <c r="E1554" s="3">
        <v>-12.76</v>
      </c>
      <c r="F1554" s="3">
        <v>1</v>
      </c>
      <c r="G1554" s="3">
        <f t="shared" si="79"/>
        <v>12.76</v>
      </c>
      <c r="H1554" s="3" t="s">
        <v>293</v>
      </c>
      <c r="I1554" s="1" t="s">
        <v>296</v>
      </c>
      <c r="J1554" s="1" t="s">
        <v>297</v>
      </c>
      <c r="K1554" s="1" t="s">
        <v>298</v>
      </c>
      <c r="L1554" s="1" t="s">
        <v>257</v>
      </c>
      <c r="M1554" s="1"/>
      <c r="N1554" s="1">
        <f t="shared" si="78"/>
        <v>3</v>
      </c>
      <c r="O1554" s="87"/>
    </row>
    <row r="1555" spans="1:15" ht="15.75" hidden="1" x14ac:dyDescent="0.25">
      <c r="A1555" s="1" t="str">
        <f t="shared" si="77"/>
        <v>446214462133.59CURRENTTRANSPORTCAREEM</v>
      </c>
      <c r="B1555" s="2">
        <v>44621</v>
      </c>
      <c r="C1555" s="2">
        <v>44621</v>
      </c>
      <c r="D1555" s="3" t="s">
        <v>2017</v>
      </c>
      <c r="E1555" s="3">
        <v>-33.590000000000003</v>
      </c>
      <c r="F1555" s="3">
        <v>1</v>
      </c>
      <c r="G1555" s="3">
        <f t="shared" si="79"/>
        <v>33.590000000000003</v>
      </c>
      <c r="H1555" s="3" t="s">
        <v>293</v>
      </c>
      <c r="I1555" s="1" t="s">
        <v>296</v>
      </c>
      <c r="J1555" s="1" t="s">
        <v>297</v>
      </c>
      <c r="K1555" s="1" t="s">
        <v>298</v>
      </c>
      <c r="L1555" s="1" t="s">
        <v>257</v>
      </c>
      <c r="M1555" s="1"/>
      <c r="N1555" s="1">
        <f t="shared" si="78"/>
        <v>3</v>
      </c>
      <c r="O1555" s="87"/>
    </row>
    <row r="1556" spans="1:15" ht="15.75" hidden="1" x14ac:dyDescent="0.25">
      <c r="A1556" s="1" t="str">
        <f t="shared" si="77"/>
        <v>44621446213000CURRENTSAVINGSELF</v>
      </c>
      <c r="B1556" s="2">
        <v>44621</v>
      </c>
      <c r="C1556" s="2">
        <v>44621</v>
      </c>
      <c r="D1556" s="3" t="s">
        <v>1519</v>
      </c>
      <c r="E1556" s="3">
        <v>-3000</v>
      </c>
      <c r="F1556" s="3">
        <v>1</v>
      </c>
      <c r="G1556" s="3">
        <f t="shared" si="79"/>
        <v>3000</v>
      </c>
      <c r="H1556" s="3" t="s">
        <v>293</v>
      </c>
      <c r="I1556" s="1" t="s">
        <v>302</v>
      </c>
      <c r="J1556" s="1" t="s">
        <v>14</v>
      </c>
      <c r="K1556" s="1" t="s">
        <v>298</v>
      </c>
      <c r="L1556" s="1" t="s">
        <v>257</v>
      </c>
      <c r="M1556" s="1"/>
      <c r="N1556" s="1">
        <f t="shared" si="78"/>
        <v>3</v>
      </c>
      <c r="O1556" s="87"/>
    </row>
    <row r="1557" spans="1:15" ht="15.75" hidden="1" x14ac:dyDescent="0.25">
      <c r="A1557" s="1" t="str">
        <f t="shared" si="77"/>
        <v>4462144621500CURRENTSAVINGARTI</v>
      </c>
      <c r="B1557" s="2">
        <v>44621</v>
      </c>
      <c r="C1557" s="2">
        <v>44621</v>
      </c>
      <c r="D1557" s="3" t="s">
        <v>1588</v>
      </c>
      <c r="E1557" s="3">
        <v>-500</v>
      </c>
      <c r="F1557" s="3">
        <v>1</v>
      </c>
      <c r="G1557" s="3">
        <f t="shared" si="79"/>
        <v>500</v>
      </c>
      <c r="H1557" s="3" t="s">
        <v>293</v>
      </c>
      <c r="I1557" s="1" t="s">
        <v>302</v>
      </c>
      <c r="J1557" s="1" t="s">
        <v>453</v>
      </c>
      <c r="K1557" s="1" t="s">
        <v>298</v>
      </c>
      <c r="L1557" s="1" t="s">
        <v>257</v>
      </c>
      <c r="M1557" s="1"/>
      <c r="N1557" s="1">
        <f t="shared" si="78"/>
        <v>3</v>
      </c>
      <c r="O1557" s="87"/>
    </row>
    <row r="1558" spans="1:15" ht="15.75" hidden="1" x14ac:dyDescent="0.25">
      <c r="A1558" s="1" t="str">
        <f t="shared" si="77"/>
        <v>4462144621103DINERSRENTKAHRAMAA</v>
      </c>
      <c r="B1558" s="2">
        <v>44621</v>
      </c>
      <c r="C1558" s="2">
        <v>44621</v>
      </c>
      <c r="D1558" s="3" t="s">
        <v>2035</v>
      </c>
      <c r="E1558" s="3">
        <v>103</v>
      </c>
      <c r="F1558" s="3">
        <v>1</v>
      </c>
      <c r="G1558" s="3">
        <f t="shared" si="79"/>
        <v>103</v>
      </c>
      <c r="H1558" s="3" t="s">
        <v>266</v>
      </c>
      <c r="I1558" s="1" t="s">
        <v>83</v>
      </c>
      <c r="J1558" s="1" t="s">
        <v>4113</v>
      </c>
      <c r="K1558" s="1" t="s">
        <v>298</v>
      </c>
      <c r="L1558" s="1" t="s">
        <v>267</v>
      </c>
      <c r="M1558" s="1"/>
      <c r="N1558" s="1">
        <f t="shared" si="78"/>
        <v>3</v>
      </c>
      <c r="O1558" s="87"/>
    </row>
    <row r="1559" spans="1:15" ht="15.75" hidden="1" x14ac:dyDescent="0.25">
      <c r="A1559" s="1" t="str">
        <f t="shared" si="77"/>
        <v>446224462414MASTER CCFOODQATAR AIR</v>
      </c>
      <c r="B1559" s="2">
        <v>44622</v>
      </c>
      <c r="C1559" s="2">
        <v>44624</v>
      </c>
      <c r="D1559" s="3" t="s">
        <v>2039</v>
      </c>
      <c r="E1559" s="3">
        <v>14</v>
      </c>
      <c r="F1559" s="3">
        <v>1</v>
      </c>
      <c r="G1559" s="3">
        <f t="shared" si="79"/>
        <v>14</v>
      </c>
      <c r="H1559" s="3" t="s">
        <v>291</v>
      </c>
      <c r="I1559" s="1" t="s">
        <v>10</v>
      </c>
      <c r="J1559" s="1" t="s">
        <v>19</v>
      </c>
      <c r="K1559" s="1" t="s">
        <v>298</v>
      </c>
      <c r="L1559" s="1" t="s">
        <v>267</v>
      </c>
      <c r="M1559" s="1"/>
      <c r="N1559" s="1">
        <f t="shared" si="78"/>
        <v>3</v>
      </c>
      <c r="O1559" s="65"/>
    </row>
    <row r="1560" spans="1:15" ht="15.75" hidden="1" x14ac:dyDescent="0.25">
      <c r="A1560" s="1" t="str">
        <f t="shared" si="77"/>
        <v>446224462421.01MASTER CCFOODCAREEM</v>
      </c>
      <c r="B1560" s="2">
        <v>44622</v>
      </c>
      <c r="C1560" s="2">
        <v>44624</v>
      </c>
      <c r="D1560" s="3" t="s">
        <v>2040</v>
      </c>
      <c r="E1560" s="3">
        <v>21.01</v>
      </c>
      <c r="F1560" s="3">
        <v>1</v>
      </c>
      <c r="G1560" s="3">
        <f t="shared" si="79"/>
        <v>21.01</v>
      </c>
      <c r="H1560" s="3" t="s">
        <v>291</v>
      </c>
      <c r="I1560" s="1" t="s">
        <v>10</v>
      </c>
      <c r="J1560" s="1" t="s">
        <v>297</v>
      </c>
      <c r="K1560" s="1" t="s">
        <v>298</v>
      </c>
      <c r="L1560" s="1" t="s">
        <v>267</v>
      </c>
      <c r="M1560" s="1"/>
      <c r="N1560" s="1">
        <f t="shared" si="78"/>
        <v>3</v>
      </c>
      <c r="O1560" s="65"/>
    </row>
    <row r="1561" spans="1:15" ht="15.75" hidden="1" x14ac:dyDescent="0.25">
      <c r="A1561" s="1" t="str">
        <f t="shared" si="77"/>
        <v>446224462234.86CURRENTTRANSPORTCAREEM</v>
      </c>
      <c r="B1561" s="2">
        <v>44622</v>
      </c>
      <c r="C1561" s="2">
        <v>44622</v>
      </c>
      <c r="D1561" s="3" t="s">
        <v>2014</v>
      </c>
      <c r="E1561" s="3">
        <v>-34.86</v>
      </c>
      <c r="F1561" s="3">
        <v>1</v>
      </c>
      <c r="G1561" s="3">
        <f t="shared" si="79"/>
        <v>34.86</v>
      </c>
      <c r="H1561" s="3" t="s">
        <v>293</v>
      </c>
      <c r="I1561" s="1" t="s">
        <v>296</v>
      </c>
      <c r="J1561" s="1" t="s">
        <v>297</v>
      </c>
      <c r="K1561" s="1" t="s">
        <v>298</v>
      </c>
      <c r="L1561" s="1" t="s">
        <v>257</v>
      </c>
      <c r="M1561" s="1"/>
      <c r="N1561" s="1">
        <f t="shared" si="78"/>
        <v>3</v>
      </c>
      <c r="O1561" s="87"/>
    </row>
    <row r="1562" spans="1:15" ht="15.75" hidden="1" x14ac:dyDescent="0.25">
      <c r="A1562" s="1" t="str">
        <f t="shared" si="77"/>
        <v>446234462644MASTER CCFOODPAPA JOHN'S</v>
      </c>
      <c r="B1562" s="2">
        <v>44623</v>
      </c>
      <c r="C1562" s="2">
        <v>44626</v>
      </c>
      <c r="D1562" s="3" t="s">
        <v>2038</v>
      </c>
      <c r="E1562" s="3">
        <v>44</v>
      </c>
      <c r="F1562" s="3">
        <v>1</v>
      </c>
      <c r="G1562" s="3">
        <f t="shared" si="79"/>
        <v>44</v>
      </c>
      <c r="H1562" s="3" t="s">
        <v>291</v>
      </c>
      <c r="I1562" s="1" t="s">
        <v>10</v>
      </c>
      <c r="J1562" s="1" t="s">
        <v>1657</v>
      </c>
      <c r="K1562" s="1" t="s">
        <v>298</v>
      </c>
      <c r="L1562" s="1" t="s">
        <v>267</v>
      </c>
      <c r="M1562" s="1"/>
      <c r="N1562" s="1">
        <f t="shared" si="78"/>
        <v>3</v>
      </c>
      <c r="O1562" s="65"/>
    </row>
    <row r="1563" spans="1:15" ht="15.75" hidden="1" x14ac:dyDescent="0.25">
      <c r="A1563" s="1" t="str">
        <f t="shared" si="77"/>
        <v>44623446232000CURRENTSAVINGSELF</v>
      </c>
      <c r="B1563" s="2">
        <v>44623</v>
      </c>
      <c r="C1563" s="2">
        <v>44623</v>
      </c>
      <c r="D1563" s="3" t="s">
        <v>1939</v>
      </c>
      <c r="E1563" s="3">
        <v>-2000</v>
      </c>
      <c r="F1563" s="3">
        <v>1</v>
      </c>
      <c r="G1563" s="3">
        <f t="shared" si="79"/>
        <v>2000</v>
      </c>
      <c r="H1563" s="3" t="s">
        <v>293</v>
      </c>
      <c r="I1563" s="1" t="s">
        <v>302</v>
      </c>
      <c r="J1563" s="1" t="s">
        <v>14</v>
      </c>
      <c r="K1563" s="1" t="s">
        <v>298</v>
      </c>
      <c r="L1563" s="1" t="s">
        <v>257</v>
      </c>
      <c r="M1563" s="1"/>
      <c r="N1563" s="1">
        <f t="shared" si="78"/>
        <v>3</v>
      </c>
      <c r="O1563" s="87"/>
    </row>
    <row r="1564" spans="1:15" ht="15.75" hidden="1" x14ac:dyDescent="0.25">
      <c r="A1564" s="1" t="str">
        <f t="shared" si="77"/>
        <v>446244462627.01MASTER CCFOODCAREEM</v>
      </c>
      <c r="B1564" s="2">
        <v>44624</v>
      </c>
      <c r="C1564" s="2">
        <v>44626</v>
      </c>
      <c r="D1564" s="3" t="s">
        <v>2111</v>
      </c>
      <c r="E1564" s="3">
        <v>27.01</v>
      </c>
      <c r="F1564" s="3">
        <v>1</v>
      </c>
      <c r="G1564" s="3">
        <f t="shared" si="79"/>
        <v>27.01</v>
      </c>
      <c r="H1564" s="3" t="s">
        <v>291</v>
      </c>
      <c r="I1564" s="1" t="s">
        <v>10</v>
      </c>
      <c r="J1564" s="1" t="s">
        <v>297</v>
      </c>
      <c r="K1564" s="1" t="s">
        <v>298</v>
      </c>
      <c r="L1564" s="1" t="s">
        <v>267</v>
      </c>
      <c r="M1564" s="1"/>
      <c r="N1564" s="1">
        <f t="shared" si="78"/>
        <v>3</v>
      </c>
      <c r="O1564" s="87"/>
    </row>
    <row r="1565" spans="1:15" ht="15.75" hidden="1" x14ac:dyDescent="0.25">
      <c r="A1565" s="1" t="str">
        <f t="shared" si="77"/>
        <v>446254462724.81MASTER CCFOODCAREEM</v>
      </c>
      <c r="B1565" s="2">
        <v>44625</v>
      </c>
      <c r="C1565" s="2">
        <v>44627</v>
      </c>
      <c r="D1565" s="3" t="s">
        <v>2110</v>
      </c>
      <c r="E1565" s="3">
        <v>24.81</v>
      </c>
      <c r="F1565" s="3">
        <v>1</v>
      </c>
      <c r="G1565" s="3">
        <f t="shared" si="79"/>
        <v>24.81</v>
      </c>
      <c r="H1565" s="3" t="s">
        <v>291</v>
      </c>
      <c r="I1565" s="1" t="s">
        <v>10</v>
      </c>
      <c r="J1565" s="1" t="s">
        <v>297</v>
      </c>
      <c r="K1565" s="1" t="s">
        <v>298</v>
      </c>
      <c r="L1565" s="1" t="s">
        <v>267</v>
      </c>
      <c r="M1565" s="1"/>
      <c r="N1565" s="1">
        <f t="shared" si="78"/>
        <v>3</v>
      </c>
      <c r="O1565" s="87"/>
    </row>
    <row r="1566" spans="1:15" ht="15.75" hidden="1" x14ac:dyDescent="0.25">
      <c r="A1566" s="1" t="str">
        <f t="shared" si="77"/>
        <v>446264462912MASTER CCFOODQATAR AIR</v>
      </c>
      <c r="B1566" s="2">
        <v>44626</v>
      </c>
      <c r="C1566" s="2">
        <v>44629</v>
      </c>
      <c r="D1566" s="3" t="s">
        <v>2108</v>
      </c>
      <c r="E1566" s="3">
        <v>12</v>
      </c>
      <c r="F1566" s="3">
        <v>1</v>
      </c>
      <c r="G1566" s="3">
        <f t="shared" si="79"/>
        <v>12</v>
      </c>
      <c r="H1566" s="3" t="s">
        <v>291</v>
      </c>
      <c r="I1566" s="1" t="s">
        <v>10</v>
      </c>
      <c r="J1566" s="1" t="s">
        <v>19</v>
      </c>
      <c r="K1566" s="1" t="s">
        <v>298</v>
      </c>
      <c r="L1566" s="1" t="s">
        <v>267</v>
      </c>
      <c r="M1566" s="1"/>
      <c r="N1566" s="1">
        <f t="shared" si="78"/>
        <v>3</v>
      </c>
      <c r="O1566" s="87"/>
    </row>
    <row r="1567" spans="1:15" ht="15.75" hidden="1" x14ac:dyDescent="0.25">
      <c r="A1567" s="1" t="str">
        <f t="shared" si="77"/>
        <v>446264462813.61MASTER CCFOODCAREEM</v>
      </c>
      <c r="B1567" s="2">
        <v>44626</v>
      </c>
      <c r="C1567" s="2">
        <v>44628</v>
      </c>
      <c r="D1567" s="3" t="s">
        <v>2107</v>
      </c>
      <c r="E1567" s="3">
        <v>13.61</v>
      </c>
      <c r="F1567" s="3">
        <v>1</v>
      </c>
      <c r="G1567" s="3">
        <f t="shared" si="79"/>
        <v>13.61</v>
      </c>
      <c r="H1567" s="3" t="s">
        <v>291</v>
      </c>
      <c r="I1567" s="1" t="s">
        <v>10</v>
      </c>
      <c r="J1567" s="1" t="s">
        <v>297</v>
      </c>
      <c r="K1567" s="1" t="s">
        <v>298</v>
      </c>
      <c r="L1567" s="1" t="s">
        <v>267</v>
      </c>
      <c r="M1567" s="1"/>
      <c r="N1567" s="1">
        <f t="shared" si="78"/>
        <v>3</v>
      </c>
      <c r="O1567" s="87"/>
    </row>
    <row r="1568" spans="1:15" ht="15.75" hidden="1" x14ac:dyDescent="0.25">
      <c r="A1568" s="1" t="str">
        <f t="shared" si="77"/>
        <v>44626446288MASTER CCTRANSPORTCAREEM</v>
      </c>
      <c r="B1568" s="2">
        <v>44626</v>
      </c>
      <c r="C1568" s="2">
        <v>44628</v>
      </c>
      <c r="D1568" s="3" t="s">
        <v>2109</v>
      </c>
      <c r="E1568" s="3">
        <v>8</v>
      </c>
      <c r="F1568" s="3">
        <v>1</v>
      </c>
      <c r="G1568" s="3">
        <f t="shared" si="79"/>
        <v>8</v>
      </c>
      <c r="H1568" s="3" t="s">
        <v>291</v>
      </c>
      <c r="I1568" s="1" t="s">
        <v>296</v>
      </c>
      <c r="J1568" s="1" t="s">
        <v>297</v>
      </c>
      <c r="K1568" s="1" t="s">
        <v>298</v>
      </c>
      <c r="L1568" s="1" t="s">
        <v>267</v>
      </c>
      <c r="M1568" s="1"/>
      <c r="N1568" s="1">
        <f t="shared" si="78"/>
        <v>3</v>
      </c>
      <c r="O1568" s="87"/>
    </row>
    <row r="1569" spans="1:15" ht="15.75" hidden="1" x14ac:dyDescent="0.25">
      <c r="A1569" s="1" t="str">
        <f t="shared" si="77"/>
        <v>446274463026MASTER CCFOODQATAR AIR</v>
      </c>
      <c r="B1569" s="2">
        <v>44627</v>
      </c>
      <c r="C1569" s="2">
        <v>44630</v>
      </c>
      <c r="D1569" s="3" t="s">
        <v>2106</v>
      </c>
      <c r="E1569" s="3">
        <v>26</v>
      </c>
      <c r="F1569" s="3">
        <v>1</v>
      </c>
      <c r="G1569" s="3">
        <f t="shared" si="79"/>
        <v>26</v>
      </c>
      <c r="H1569" s="3" t="s">
        <v>291</v>
      </c>
      <c r="I1569" s="1" t="s">
        <v>10</v>
      </c>
      <c r="J1569" s="1" t="s">
        <v>19</v>
      </c>
      <c r="K1569" s="1" t="s">
        <v>298</v>
      </c>
      <c r="L1569" s="1" t="s">
        <v>267</v>
      </c>
      <c r="M1569" s="1"/>
      <c r="N1569" s="1">
        <f t="shared" si="78"/>
        <v>3</v>
      </c>
      <c r="O1569" s="87"/>
    </row>
    <row r="1570" spans="1:15" ht="15.75" hidden="1" x14ac:dyDescent="0.25">
      <c r="A1570" s="1" t="str">
        <f t="shared" si="77"/>
        <v>44627446272933.4CURRENTTRANSFERINDIA</v>
      </c>
      <c r="B1570" s="2">
        <v>44627</v>
      </c>
      <c r="C1570" s="2">
        <v>44627</v>
      </c>
      <c r="D1570" s="3" t="s">
        <v>2070</v>
      </c>
      <c r="E1570" s="3">
        <v>-2933.4</v>
      </c>
      <c r="F1570" s="3">
        <v>1</v>
      </c>
      <c r="G1570" s="3">
        <f t="shared" si="79"/>
        <v>2933.4</v>
      </c>
      <c r="H1570" s="3" t="s">
        <v>293</v>
      </c>
      <c r="I1570" s="1" t="s">
        <v>22</v>
      </c>
      <c r="J1570" s="1" t="s">
        <v>23</v>
      </c>
      <c r="K1570" s="1" t="s">
        <v>298</v>
      </c>
      <c r="L1570" s="1" t="s">
        <v>257</v>
      </c>
      <c r="M1570" s="1"/>
      <c r="N1570" s="1">
        <f t="shared" si="78"/>
        <v>3</v>
      </c>
      <c r="O1570" s="87"/>
    </row>
    <row r="1571" spans="1:15" ht="15.75" hidden="1" x14ac:dyDescent="0.25">
      <c r="A1571" s="1" t="str">
        <f t="shared" si="77"/>
        <v>44627446270.98CURRENTSERVICEBANK</v>
      </c>
      <c r="B1571" s="2">
        <v>44627</v>
      </c>
      <c r="C1571" s="2">
        <v>44627</v>
      </c>
      <c r="D1571" s="3" t="s">
        <v>2071</v>
      </c>
      <c r="E1571" s="3">
        <v>-0.98</v>
      </c>
      <c r="F1571" s="3">
        <v>1</v>
      </c>
      <c r="G1571" s="3">
        <f t="shared" si="79"/>
        <v>0.98</v>
      </c>
      <c r="H1571" s="3" t="s">
        <v>293</v>
      </c>
      <c r="I1571" s="1" t="s">
        <v>7</v>
      </c>
      <c r="J1571" s="1" t="s">
        <v>8</v>
      </c>
      <c r="K1571" s="1" t="s">
        <v>298</v>
      </c>
      <c r="L1571" s="1" t="s">
        <v>257</v>
      </c>
      <c r="M1571" s="1"/>
      <c r="N1571" s="1">
        <f t="shared" si="78"/>
        <v>3</v>
      </c>
      <c r="O1571" s="87"/>
    </row>
    <row r="1572" spans="1:15" ht="15.75" hidden="1" x14ac:dyDescent="0.25">
      <c r="A1572" s="1" t="str">
        <f t="shared" si="77"/>
        <v>446274462715CURRENTSERVICEBANK</v>
      </c>
      <c r="B1572" s="2">
        <v>44627</v>
      </c>
      <c r="C1572" s="2">
        <v>44627</v>
      </c>
      <c r="D1572" s="3" t="s">
        <v>2072</v>
      </c>
      <c r="E1572" s="3">
        <v>-15</v>
      </c>
      <c r="F1572" s="3">
        <v>1</v>
      </c>
      <c r="G1572" s="3">
        <f t="shared" si="79"/>
        <v>15</v>
      </c>
      <c r="H1572" s="3" t="s">
        <v>293</v>
      </c>
      <c r="I1572" s="1" t="s">
        <v>7</v>
      </c>
      <c r="J1572" s="1" t="s">
        <v>8</v>
      </c>
      <c r="K1572" s="1" t="s">
        <v>298</v>
      </c>
      <c r="L1572" s="1" t="s">
        <v>257</v>
      </c>
      <c r="M1572" s="1"/>
      <c r="N1572" s="1">
        <f t="shared" si="78"/>
        <v>3</v>
      </c>
      <c r="O1572" s="87"/>
    </row>
    <row r="1573" spans="1:15" ht="15.75" hidden="1" x14ac:dyDescent="0.25">
      <c r="A1573" s="1" t="str">
        <f t="shared" si="77"/>
        <v>44627446271250CURRENTSAVINGSELF</v>
      </c>
      <c r="B1573" s="2">
        <v>44627</v>
      </c>
      <c r="C1573" s="2">
        <v>44627</v>
      </c>
      <c r="D1573" s="3" t="s">
        <v>1167</v>
      </c>
      <c r="E1573" s="3">
        <v>-1250</v>
      </c>
      <c r="F1573" s="3">
        <v>1</v>
      </c>
      <c r="G1573" s="3">
        <f t="shared" si="79"/>
        <v>1250</v>
      </c>
      <c r="H1573" s="3" t="s">
        <v>293</v>
      </c>
      <c r="I1573" s="1" t="s">
        <v>302</v>
      </c>
      <c r="J1573" s="1" t="s">
        <v>14</v>
      </c>
      <c r="K1573" s="1" t="s">
        <v>298</v>
      </c>
      <c r="L1573" s="1" t="s">
        <v>257</v>
      </c>
      <c r="M1573" s="1"/>
      <c r="N1573" s="1">
        <f t="shared" si="78"/>
        <v>3</v>
      </c>
      <c r="O1573" s="87"/>
    </row>
    <row r="1574" spans="1:15" ht="15.75" hidden="1" x14ac:dyDescent="0.25">
      <c r="A1574" s="1" t="str">
        <f t="shared" si="77"/>
        <v>4462744628100DINERSTELECOMOOREDOO</v>
      </c>
      <c r="B1574" s="2">
        <v>44627</v>
      </c>
      <c r="C1574" s="2">
        <v>44628</v>
      </c>
      <c r="D1574" s="3" t="s">
        <v>2082</v>
      </c>
      <c r="E1574" s="3">
        <v>100</v>
      </c>
      <c r="F1574" s="3">
        <v>1</v>
      </c>
      <c r="G1574" s="3">
        <f t="shared" si="79"/>
        <v>100</v>
      </c>
      <c r="H1574" s="3" t="s">
        <v>266</v>
      </c>
      <c r="I1574" s="1" t="s">
        <v>58</v>
      </c>
      <c r="J1574" s="1" t="s">
        <v>59</v>
      </c>
      <c r="K1574" s="1" t="s">
        <v>298</v>
      </c>
      <c r="L1574" s="1" t="s">
        <v>267</v>
      </c>
      <c r="M1574" s="1"/>
      <c r="N1574" s="1">
        <f t="shared" si="78"/>
        <v>3</v>
      </c>
      <c r="O1574" s="87"/>
    </row>
    <row r="1575" spans="1:15" ht="15.75" hidden="1" x14ac:dyDescent="0.25">
      <c r="A1575" s="1" t="str">
        <f t="shared" si="77"/>
        <v>44627446287.25DINERSGROCERYTOTAL FRESH</v>
      </c>
      <c r="B1575" s="2">
        <v>44627</v>
      </c>
      <c r="C1575" s="2">
        <v>44628</v>
      </c>
      <c r="D1575" s="3" t="s">
        <v>2083</v>
      </c>
      <c r="E1575" s="3">
        <v>7.25</v>
      </c>
      <c r="F1575" s="3">
        <v>1</v>
      </c>
      <c r="G1575" s="3">
        <f t="shared" si="79"/>
        <v>7.25</v>
      </c>
      <c r="H1575" s="3" t="s">
        <v>266</v>
      </c>
      <c r="I1575" s="1" t="s">
        <v>43</v>
      </c>
      <c r="J1575" s="1" t="s">
        <v>1394</v>
      </c>
      <c r="K1575" s="1" t="s">
        <v>298</v>
      </c>
      <c r="L1575" s="1" t="s">
        <v>267</v>
      </c>
      <c r="M1575" s="1"/>
      <c r="N1575" s="1">
        <f t="shared" si="78"/>
        <v>3</v>
      </c>
      <c r="O1575" s="87"/>
    </row>
    <row r="1576" spans="1:15" ht="15.75" hidden="1" x14ac:dyDescent="0.25">
      <c r="A1576" s="1" t="str">
        <f t="shared" si="77"/>
        <v>446284463040MASTER CCFOODQATAR AIR</v>
      </c>
      <c r="B1576" s="2">
        <v>44628</v>
      </c>
      <c r="C1576" s="2">
        <v>44630</v>
      </c>
      <c r="D1576" s="3" t="s">
        <v>2104</v>
      </c>
      <c r="E1576" s="3">
        <v>40</v>
      </c>
      <c r="F1576" s="3">
        <v>1</v>
      </c>
      <c r="G1576" s="3">
        <f t="shared" si="79"/>
        <v>40</v>
      </c>
      <c r="H1576" s="3" t="s">
        <v>291</v>
      </c>
      <c r="I1576" s="1" t="s">
        <v>10</v>
      </c>
      <c r="J1576" s="1" t="s">
        <v>19</v>
      </c>
      <c r="K1576" s="1" t="s">
        <v>298</v>
      </c>
      <c r="L1576" s="1" t="s">
        <v>267</v>
      </c>
      <c r="M1576" s="1"/>
      <c r="N1576" s="1">
        <f t="shared" si="78"/>
        <v>3</v>
      </c>
      <c r="O1576" s="87"/>
    </row>
    <row r="1577" spans="1:15" ht="15.75" hidden="1" x14ac:dyDescent="0.25">
      <c r="A1577" s="1" t="str">
        <f t="shared" si="77"/>
        <v>446284463024.01MASTER CCFOODCAREEM</v>
      </c>
      <c r="B1577" s="2">
        <v>44628</v>
      </c>
      <c r="C1577" s="2">
        <v>44630</v>
      </c>
      <c r="D1577" s="3" t="s">
        <v>2105</v>
      </c>
      <c r="E1577" s="3">
        <v>24.01</v>
      </c>
      <c r="F1577" s="3">
        <v>1</v>
      </c>
      <c r="G1577" s="3">
        <f t="shared" si="79"/>
        <v>24.01</v>
      </c>
      <c r="H1577" s="3" t="s">
        <v>291</v>
      </c>
      <c r="I1577" s="1" t="s">
        <v>10</v>
      </c>
      <c r="J1577" s="1" t="s">
        <v>297</v>
      </c>
      <c r="K1577" s="1" t="s">
        <v>298</v>
      </c>
      <c r="L1577" s="1" t="s">
        <v>267</v>
      </c>
      <c r="M1577" s="1"/>
      <c r="N1577" s="1">
        <f t="shared" si="78"/>
        <v>3</v>
      </c>
      <c r="O1577" s="87"/>
    </row>
    <row r="1578" spans="1:15" ht="15.75" hidden="1" x14ac:dyDescent="0.25">
      <c r="A1578" s="1" t="str">
        <f t="shared" si="77"/>
        <v>446294463120MASTER CCFOODQATAR AIR</v>
      </c>
      <c r="B1578" s="2">
        <v>44629</v>
      </c>
      <c r="C1578" s="2">
        <v>44631</v>
      </c>
      <c r="D1578" s="3" t="s">
        <v>2102</v>
      </c>
      <c r="E1578" s="3">
        <v>20</v>
      </c>
      <c r="F1578" s="3">
        <v>1</v>
      </c>
      <c r="G1578" s="3">
        <f t="shared" si="79"/>
        <v>20</v>
      </c>
      <c r="H1578" s="3" t="s">
        <v>291</v>
      </c>
      <c r="I1578" s="1" t="s">
        <v>10</v>
      </c>
      <c r="J1578" s="1" t="s">
        <v>19</v>
      </c>
      <c r="K1578" s="1" t="s">
        <v>298</v>
      </c>
      <c r="L1578" s="1" t="s">
        <v>267</v>
      </c>
      <c r="M1578" s="1"/>
      <c r="N1578" s="1">
        <f t="shared" si="78"/>
        <v>3</v>
      </c>
      <c r="O1578" s="87"/>
    </row>
    <row r="1579" spans="1:15" ht="15.75" hidden="1" x14ac:dyDescent="0.25">
      <c r="A1579" s="1" t="str">
        <f t="shared" si="77"/>
        <v>446294463119.51MASTER CCFOODCAREEM</v>
      </c>
      <c r="B1579" s="2">
        <v>44629</v>
      </c>
      <c r="C1579" s="2">
        <v>44631</v>
      </c>
      <c r="D1579" s="3" t="s">
        <v>2103</v>
      </c>
      <c r="E1579" s="3">
        <v>19.510000000000002</v>
      </c>
      <c r="F1579" s="3">
        <v>1</v>
      </c>
      <c r="G1579" s="3">
        <f t="shared" si="79"/>
        <v>19.510000000000002</v>
      </c>
      <c r="H1579" s="3" t="s">
        <v>291</v>
      </c>
      <c r="I1579" s="1" t="s">
        <v>10</v>
      </c>
      <c r="J1579" s="1" t="s">
        <v>297</v>
      </c>
      <c r="K1579" s="1" t="s">
        <v>298</v>
      </c>
      <c r="L1579" s="1" t="s">
        <v>267</v>
      </c>
      <c r="M1579" s="1"/>
      <c r="N1579" s="1">
        <f t="shared" si="78"/>
        <v>3</v>
      </c>
      <c r="O1579" s="87"/>
    </row>
    <row r="1580" spans="1:15" ht="15.75" hidden="1" x14ac:dyDescent="0.25">
      <c r="A1580" s="1" t="str">
        <f t="shared" si="77"/>
        <v>4462944629450CURRENTEDUCATIONORYX</v>
      </c>
      <c r="B1580" s="2">
        <v>44629</v>
      </c>
      <c r="C1580" s="2">
        <v>44629</v>
      </c>
      <c r="D1580" s="3" t="s">
        <v>2069</v>
      </c>
      <c r="E1580" s="3">
        <v>-450</v>
      </c>
      <c r="F1580" s="3">
        <v>1</v>
      </c>
      <c r="G1580" s="3">
        <f t="shared" si="79"/>
        <v>450</v>
      </c>
      <c r="H1580" s="3" t="s">
        <v>293</v>
      </c>
      <c r="I1580" s="1" t="s">
        <v>543</v>
      </c>
      <c r="J1580" s="1" t="s">
        <v>2073</v>
      </c>
      <c r="K1580" s="1" t="s">
        <v>298</v>
      </c>
      <c r="L1580" s="1" t="s">
        <v>257</v>
      </c>
      <c r="M1580" s="1"/>
      <c r="N1580" s="1">
        <f t="shared" si="78"/>
        <v>3</v>
      </c>
      <c r="O1580" s="87"/>
    </row>
    <row r="1581" spans="1:15" ht="15.75" hidden="1" x14ac:dyDescent="0.25">
      <c r="A1581" s="1" t="str">
        <f t="shared" si="77"/>
        <v>446304463518MASTER CCFOODQATAR AIR</v>
      </c>
      <c r="B1581" s="2">
        <v>44630</v>
      </c>
      <c r="C1581" s="2">
        <v>44635</v>
      </c>
      <c r="D1581" s="3" t="s">
        <v>2100</v>
      </c>
      <c r="E1581" s="3">
        <v>18</v>
      </c>
      <c r="F1581" s="3">
        <v>1</v>
      </c>
      <c r="G1581" s="3">
        <f t="shared" si="79"/>
        <v>18</v>
      </c>
      <c r="H1581" s="3" t="s">
        <v>291</v>
      </c>
      <c r="I1581" s="1" t="s">
        <v>10</v>
      </c>
      <c r="J1581" s="1" t="s">
        <v>19</v>
      </c>
      <c r="K1581" s="1" t="s">
        <v>298</v>
      </c>
      <c r="L1581" s="1" t="s">
        <v>267</v>
      </c>
      <c r="M1581" s="1"/>
      <c r="N1581" s="1">
        <f t="shared" si="78"/>
        <v>3</v>
      </c>
      <c r="O1581" s="87"/>
    </row>
    <row r="1582" spans="1:15" ht="15.75" hidden="1" x14ac:dyDescent="0.25">
      <c r="A1582" s="1" t="str">
        <f t="shared" si="77"/>
        <v>446304463344MASTER CCFOODPAPA JOHN'S</v>
      </c>
      <c r="B1582" s="2">
        <v>44630</v>
      </c>
      <c r="C1582" s="2">
        <v>44633</v>
      </c>
      <c r="D1582" s="3" t="s">
        <v>2101</v>
      </c>
      <c r="E1582" s="3">
        <v>44</v>
      </c>
      <c r="F1582" s="3">
        <v>1</v>
      </c>
      <c r="G1582" s="3">
        <f t="shared" si="79"/>
        <v>44</v>
      </c>
      <c r="H1582" s="3" t="s">
        <v>291</v>
      </c>
      <c r="I1582" s="1" t="s">
        <v>10</v>
      </c>
      <c r="J1582" s="1" t="s">
        <v>1657</v>
      </c>
      <c r="K1582" s="1" t="s">
        <v>298</v>
      </c>
      <c r="L1582" s="1" t="s">
        <v>267</v>
      </c>
      <c r="M1582" s="1"/>
      <c r="N1582" s="1">
        <f t="shared" si="78"/>
        <v>3</v>
      </c>
      <c r="O1582" s="87"/>
    </row>
    <row r="1583" spans="1:15" ht="15.75" hidden="1" x14ac:dyDescent="0.25">
      <c r="A1583" s="1" t="str">
        <f t="shared" si="77"/>
        <v>44630446301210CURRENTTRANSFERINDIA</v>
      </c>
      <c r="B1583" s="2">
        <v>44630</v>
      </c>
      <c r="C1583" s="2">
        <v>44630</v>
      </c>
      <c r="D1583" s="3" t="s">
        <v>694</v>
      </c>
      <c r="E1583" s="3">
        <v>-1210</v>
      </c>
      <c r="F1583" s="3">
        <v>1</v>
      </c>
      <c r="G1583" s="3">
        <f t="shared" si="79"/>
        <v>1210</v>
      </c>
      <c r="H1583" s="3" t="s">
        <v>293</v>
      </c>
      <c r="I1583" s="1" t="s">
        <v>22</v>
      </c>
      <c r="J1583" s="1" t="s">
        <v>23</v>
      </c>
      <c r="K1583" s="1" t="s">
        <v>298</v>
      </c>
      <c r="L1583" s="1" t="s">
        <v>257</v>
      </c>
      <c r="M1583" s="1"/>
      <c r="N1583" s="1">
        <f t="shared" si="78"/>
        <v>3</v>
      </c>
      <c r="O1583" s="87"/>
    </row>
    <row r="1584" spans="1:15" ht="15.75" hidden="1" x14ac:dyDescent="0.25">
      <c r="A1584" s="1" t="str">
        <f t="shared" si="77"/>
        <v>446314463321.01MASTER CCFOODCAREEM</v>
      </c>
      <c r="B1584" s="2">
        <v>44631</v>
      </c>
      <c r="C1584" s="2">
        <v>44633</v>
      </c>
      <c r="D1584" s="3" t="s">
        <v>2099</v>
      </c>
      <c r="E1584" s="3">
        <v>21.01</v>
      </c>
      <c r="F1584" s="3">
        <v>1</v>
      </c>
      <c r="G1584" s="3">
        <f t="shared" si="79"/>
        <v>21.01</v>
      </c>
      <c r="H1584" s="3" t="s">
        <v>291</v>
      </c>
      <c r="I1584" s="1" t="s">
        <v>10</v>
      </c>
      <c r="J1584" s="1" t="s">
        <v>297</v>
      </c>
      <c r="K1584" s="1" t="s">
        <v>298</v>
      </c>
      <c r="L1584" s="1" t="s">
        <v>267</v>
      </c>
      <c r="M1584" s="1"/>
      <c r="N1584" s="1">
        <f t="shared" si="78"/>
        <v>3</v>
      </c>
      <c r="O1584" s="87"/>
    </row>
    <row r="1585" spans="1:15" ht="15.75" hidden="1" x14ac:dyDescent="0.25">
      <c r="A1585" s="1" t="str">
        <f t="shared" si="77"/>
        <v>446324463429.01MASTER CCFOODCAREEM</v>
      </c>
      <c r="B1585" s="2">
        <v>44632</v>
      </c>
      <c r="C1585" s="2">
        <v>44634</v>
      </c>
      <c r="D1585" s="3" t="s">
        <v>2098</v>
      </c>
      <c r="E1585" s="3">
        <v>29.01</v>
      </c>
      <c r="F1585" s="3">
        <v>1</v>
      </c>
      <c r="G1585" s="3">
        <f t="shared" si="79"/>
        <v>29.01</v>
      </c>
      <c r="H1585" s="3" t="s">
        <v>291</v>
      </c>
      <c r="I1585" s="1" t="s">
        <v>10</v>
      </c>
      <c r="J1585" s="1" t="s">
        <v>297</v>
      </c>
      <c r="K1585" s="1" t="s">
        <v>298</v>
      </c>
      <c r="L1585" s="1" t="s">
        <v>267</v>
      </c>
      <c r="M1585" s="1"/>
      <c r="N1585" s="1">
        <f t="shared" si="78"/>
        <v>3</v>
      </c>
      <c r="O1585" s="87"/>
    </row>
    <row r="1586" spans="1:15" ht="15.75" hidden="1" x14ac:dyDescent="0.25">
      <c r="A1586" s="1" t="str">
        <f t="shared" si="77"/>
        <v>4463344633500CURRENTWITHDRAWSELF</v>
      </c>
      <c r="B1586" s="2">
        <v>44633</v>
      </c>
      <c r="C1586" s="2">
        <v>44633</v>
      </c>
      <c r="D1586" s="3" t="s">
        <v>2068</v>
      </c>
      <c r="E1586" s="3">
        <v>-500</v>
      </c>
      <c r="F1586" s="3">
        <v>1</v>
      </c>
      <c r="G1586" s="3">
        <f t="shared" si="79"/>
        <v>500</v>
      </c>
      <c r="H1586" s="3" t="s">
        <v>293</v>
      </c>
      <c r="I1586" s="1" t="s">
        <v>13</v>
      </c>
      <c r="J1586" s="1" t="s">
        <v>14</v>
      </c>
      <c r="K1586" s="1" t="s">
        <v>298</v>
      </c>
      <c r="L1586" s="1" t="s">
        <v>257</v>
      </c>
      <c r="M1586" s="1"/>
      <c r="N1586" s="1">
        <f t="shared" si="78"/>
        <v>3</v>
      </c>
      <c r="O1586" s="87"/>
    </row>
    <row r="1587" spans="1:15" ht="15.75" hidden="1" x14ac:dyDescent="0.25">
      <c r="A1587" s="1" t="str">
        <f t="shared" si="77"/>
        <v>446334463418DINERSFOODAL AKER</v>
      </c>
      <c r="B1587" s="2">
        <v>44633</v>
      </c>
      <c r="C1587" s="2">
        <v>44634</v>
      </c>
      <c r="D1587" s="3" t="s">
        <v>2080</v>
      </c>
      <c r="E1587" s="3">
        <v>18</v>
      </c>
      <c r="F1587" s="3">
        <v>1</v>
      </c>
      <c r="G1587" s="3">
        <f t="shared" si="79"/>
        <v>18</v>
      </c>
      <c r="H1587" s="3" t="s">
        <v>266</v>
      </c>
      <c r="I1587" s="1" t="s">
        <v>10</v>
      </c>
      <c r="J1587" s="1" t="s">
        <v>1651</v>
      </c>
      <c r="K1587" s="1" t="s">
        <v>298</v>
      </c>
      <c r="L1587" s="1" t="s">
        <v>267</v>
      </c>
      <c r="M1587" s="1"/>
      <c r="N1587" s="1">
        <f t="shared" si="78"/>
        <v>3</v>
      </c>
      <c r="O1587" s="87"/>
    </row>
    <row r="1588" spans="1:15" ht="15.75" hidden="1" x14ac:dyDescent="0.25">
      <c r="A1588" s="1" t="str">
        <f t="shared" si="77"/>
        <v>446334463419DINERSFOODAL OSRA</v>
      </c>
      <c r="B1588" s="2">
        <v>44633</v>
      </c>
      <c r="C1588" s="2">
        <v>44634</v>
      </c>
      <c r="D1588" s="3" t="s">
        <v>2081</v>
      </c>
      <c r="E1588" s="3">
        <v>19</v>
      </c>
      <c r="F1588" s="3">
        <v>1</v>
      </c>
      <c r="G1588" s="3">
        <f t="shared" si="79"/>
        <v>19</v>
      </c>
      <c r="H1588" s="3" t="s">
        <v>266</v>
      </c>
      <c r="I1588" s="1" t="s">
        <v>10</v>
      </c>
      <c r="J1588" s="1" t="s">
        <v>1682</v>
      </c>
      <c r="K1588" s="1" t="s">
        <v>298</v>
      </c>
      <c r="L1588" s="1" t="s">
        <v>267</v>
      </c>
      <c r="M1588" s="1"/>
      <c r="N1588" s="1">
        <f t="shared" si="78"/>
        <v>3</v>
      </c>
      <c r="O1588" s="87"/>
    </row>
    <row r="1589" spans="1:15" ht="15.75" hidden="1" x14ac:dyDescent="0.25">
      <c r="A1589" s="1" t="str">
        <f t="shared" si="77"/>
        <v>446344463624MASTER CCFOODQATAR AIR</v>
      </c>
      <c r="B1589" s="2">
        <v>44634</v>
      </c>
      <c r="C1589" s="2">
        <v>44636</v>
      </c>
      <c r="D1589" s="3" t="s">
        <v>2097</v>
      </c>
      <c r="E1589" s="3">
        <v>24</v>
      </c>
      <c r="F1589" s="3">
        <v>1</v>
      </c>
      <c r="G1589" s="3">
        <f t="shared" si="79"/>
        <v>24</v>
      </c>
      <c r="H1589" s="3" t="s">
        <v>291</v>
      </c>
      <c r="I1589" s="1" t="s">
        <v>10</v>
      </c>
      <c r="J1589" s="1" t="s">
        <v>19</v>
      </c>
      <c r="K1589" s="1" t="s">
        <v>298</v>
      </c>
      <c r="L1589" s="1" t="s">
        <v>267</v>
      </c>
      <c r="M1589" s="1"/>
      <c r="N1589" s="1">
        <f t="shared" si="78"/>
        <v>3</v>
      </c>
      <c r="O1589" s="87"/>
    </row>
    <row r="1590" spans="1:15" ht="15.75" hidden="1" x14ac:dyDescent="0.25">
      <c r="A1590" s="1" t="str">
        <f t="shared" si="77"/>
        <v>446354463744MASTER CCGROCERYLULU</v>
      </c>
      <c r="B1590" s="2">
        <v>44635</v>
      </c>
      <c r="C1590" s="2">
        <v>44637</v>
      </c>
      <c r="D1590" s="3" t="s">
        <v>2096</v>
      </c>
      <c r="E1590" s="3">
        <v>44</v>
      </c>
      <c r="F1590" s="3">
        <v>1</v>
      </c>
      <c r="G1590" s="3">
        <f t="shared" si="79"/>
        <v>44</v>
      </c>
      <c r="H1590" s="3" t="s">
        <v>291</v>
      </c>
      <c r="I1590" s="1" t="s">
        <v>43</v>
      </c>
      <c r="J1590" s="1" t="s">
        <v>44</v>
      </c>
      <c r="K1590" s="1" t="s">
        <v>298</v>
      </c>
      <c r="L1590" s="1" t="s">
        <v>267</v>
      </c>
      <c r="M1590" s="1"/>
      <c r="N1590" s="1">
        <f t="shared" si="78"/>
        <v>3</v>
      </c>
      <c r="O1590" s="87"/>
    </row>
    <row r="1591" spans="1:15" ht="15.75" hidden="1" x14ac:dyDescent="0.25">
      <c r="A1591" s="1" t="str">
        <f t="shared" si="77"/>
        <v>446354463720.01MASTER CCFOODCAREEM</v>
      </c>
      <c r="B1591" s="2">
        <v>44635</v>
      </c>
      <c r="C1591" s="2">
        <v>44637</v>
      </c>
      <c r="D1591" s="3" t="s">
        <v>2095</v>
      </c>
      <c r="E1591" s="3">
        <v>20.010000000000002</v>
      </c>
      <c r="F1591" s="3">
        <v>1</v>
      </c>
      <c r="G1591" s="3">
        <f t="shared" si="79"/>
        <v>20.010000000000002</v>
      </c>
      <c r="H1591" s="3" t="s">
        <v>291</v>
      </c>
      <c r="I1591" s="1" t="s">
        <v>10</v>
      </c>
      <c r="J1591" s="1" t="s">
        <v>297</v>
      </c>
      <c r="K1591" s="1" t="s">
        <v>298</v>
      </c>
      <c r="L1591" s="1" t="s">
        <v>267</v>
      </c>
      <c r="M1591" s="1"/>
      <c r="N1591" s="1">
        <f t="shared" si="78"/>
        <v>3</v>
      </c>
      <c r="O1591" s="87"/>
    </row>
    <row r="1592" spans="1:15" ht="15.75" hidden="1" x14ac:dyDescent="0.25">
      <c r="A1592" s="1" t="str">
        <f t="shared" si="77"/>
        <v>44635446354000CURRENTRENTEZDAN</v>
      </c>
      <c r="B1592" s="2">
        <v>44635</v>
      </c>
      <c r="C1592" s="2">
        <v>44635</v>
      </c>
      <c r="D1592" s="3" t="s">
        <v>2067</v>
      </c>
      <c r="E1592" s="3">
        <v>-4000</v>
      </c>
      <c r="F1592" s="3">
        <v>1</v>
      </c>
      <c r="G1592" s="3">
        <f t="shared" si="79"/>
        <v>4000</v>
      </c>
      <c r="H1592" s="3" t="s">
        <v>293</v>
      </c>
      <c r="I1592" s="1" t="s">
        <v>83</v>
      </c>
      <c r="J1592" s="1" t="s">
        <v>1339</v>
      </c>
      <c r="K1592" s="1" t="s">
        <v>298</v>
      </c>
      <c r="L1592" s="1" t="s">
        <v>257</v>
      </c>
      <c r="M1592" s="1"/>
      <c r="N1592" s="1">
        <f t="shared" si="78"/>
        <v>3</v>
      </c>
      <c r="O1592" s="87"/>
    </row>
    <row r="1593" spans="1:15" ht="15.75" hidden="1" x14ac:dyDescent="0.25">
      <c r="A1593" s="1" t="str">
        <f t="shared" si="77"/>
        <v>44636446398MASTER CCTRANSPORTCAREEM</v>
      </c>
      <c r="B1593" s="2">
        <v>44636</v>
      </c>
      <c r="C1593" s="2">
        <v>44639</v>
      </c>
      <c r="D1593" s="3" t="s">
        <v>2093</v>
      </c>
      <c r="E1593" s="3">
        <v>8</v>
      </c>
      <c r="F1593" s="3">
        <v>1</v>
      </c>
      <c r="G1593" s="3">
        <f t="shared" si="79"/>
        <v>8</v>
      </c>
      <c r="H1593" s="3" t="s">
        <v>291</v>
      </c>
      <c r="I1593" s="1" t="s">
        <v>296</v>
      </c>
      <c r="J1593" s="1" t="s">
        <v>297</v>
      </c>
      <c r="K1593" s="1" t="s">
        <v>298</v>
      </c>
      <c r="L1593" s="1" t="s">
        <v>267</v>
      </c>
      <c r="M1593" s="1"/>
      <c r="N1593" s="1">
        <f t="shared" si="78"/>
        <v>3</v>
      </c>
      <c r="O1593" s="87"/>
    </row>
    <row r="1594" spans="1:15" ht="15.75" hidden="1" x14ac:dyDescent="0.25">
      <c r="A1594" s="1" t="str">
        <f t="shared" si="77"/>
        <v>44636446398MASTER CCTRANSPORTCAREEM</v>
      </c>
      <c r="B1594" s="2">
        <v>44636</v>
      </c>
      <c r="C1594" s="2">
        <v>44639</v>
      </c>
      <c r="D1594" s="3" t="s">
        <v>2094</v>
      </c>
      <c r="E1594" s="3">
        <v>8</v>
      </c>
      <c r="F1594" s="3">
        <v>1</v>
      </c>
      <c r="G1594" s="3">
        <f t="shared" si="79"/>
        <v>8</v>
      </c>
      <c r="H1594" s="3" t="s">
        <v>291</v>
      </c>
      <c r="I1594" s="1" t="s">
        <v>296</v>
      </c>
      <c r="J1594" s="1" t="s">
        <v>297</v>
      </c>
      <c r="K1594" s="1" t="s">
        <v>298</v>
      </c>
      <c r="L1594" s="1" t="s">
        <v>267</v>
      </c>
      <c r="M1594" s="1"/>
      <c r="N1594" s="1">
        <f t="shared" si="78"/>
        <v>3</v>
      </c>
      <c r="O1594" s="87"/>
    </row>
    <row r="1595" spans="1:15" ht="15.75" hidden="1" x14ac:dyDescent="0.25">
      <c r="A1595" s="1" t="str">
        <f t="shared" si="77"/>
        <v>44636446376DINERSFOODAL AKER</v>
      </c>
      <c r="B1595" s="2">
        <v>44636</v>
      </c>
      <c r="C1595" s="2">
        <v>44637</v>
      </c>
      <c r="D1595" s="3" t="s">
        <v>2079</v>
      </c>
      <c r="E1595" s="3">
        <v>6</v>
      </c>
      <c r="F1595" s="3">
        <v>1</v>
      </c>
      <c r="G1595" s="3">
        <f t="shared" si="79"/>
        <v>6</v>
      </c>
      <c r="H1595" s="3" t="s">
        <v>266</v>
      </c>
      <c r="I1595" s="1" t="s">
        <v>10</v>
      </c>
      <c r="J1595" s="1" t="s">
        <v>1651</v>
      </c>
      <c r="K1595" s="1" t="s">
        <v>298</v>
      </c>
      <c r="L1595" s="1" t="s">
        <v>267</v>
      </c>
      <c r="M1595" s="1"/>
      <c r="N1595" s="1">
        <f t="shared" si="78"/>
        <v>3</v>
      </c>
      <c r="O1595" s="87"/>
    </row>
    <row r="1596" spans="1:15" ht="15.75" hidden="1" x14ac:dyDescent="0.25">
      <c r="A1596" s="1" t="str">
        <f t="shared" si="77"/>
        <v>446374464230MASTER CCFOODQATAR AIR</v>
      </c>
      <c r="B1596" s="2">
        <v>44637</v>
      </c>
      <c r="C1596" s="2">
        <v>44642</v>
      </c>
      <c r="D1596" s="3" t="s">
        <v>2092</v>
      </c>
      <c r="E1596" s="3">
        <v>30</v>
      </c>
      <c r="F1596" s="3">
        <v>1</v>
      </c>
      <c r="G1596" s="3">
        <f t="shared" si="79"/>
        <v>30</v>
      </c>
      <c r="H1596" s="3" t="s">
        <v>291</v>
      </c>
      <c r="I1596" s="1" t="s">
        <v>10</v>
      </c>
      <c r="J1596" s="1" t="s">
        <v>19</v>
      </c>
      <c r="K1596" s="1" t="s">
        <v>298</v>
      </c>
      <c r="L1596" s="1" t="s">
        <v>267</v>
      </c>
      <c r="M1596" s="1"/>
      <c r="N1596" s="1">
        <f t="shared" si="78"/>
        <v>3</v>
      </c>
      <c r="O1596" s="87"/>
    </row>
    <row r="1597" spans="1:15" ht="15.75" hidden="1" x14ac:dyDescent="0.25">
      <c r="A1597" s="1" t="str">
        <f t="shared" si="77"/>
        <v>44637446398MASTER CCTRANSPORTCAREEM</v>
      </c>
      <c r="B1597" s="2">
        <v>44637</v>
      </c>
      <c r="C1597" s="2">
        <v>44639</v>
      </c>
      <c r="D1597" s="3" t="s">
        <v>2091</v>
      </c>
      <c r="E1597" s="3">
        <v>8</v>
      </c>
      <c r="F1597" s="3">
        <v>1</v>
      </c>
      <c r="G1597" s="3">
        <f t="shared" si="79"/>
        <v>8</v>
      </c>
      <c r="H1597" s="3" t="s">
        <v>291</v>
      </c>
      <c r="I1597" s="1" t="s">
        <v>296</v>
      </c>
      <c r="J1597" s="1" t="s">
        <v>297</v>
      </c>
      <c r="K1597" s="1" t="s">
        <v>298</v>
      </c>
      <c r="L1597" s="1" t="s">
        <v>267</v>
      </c>
      <c r="M1597" s="1"/>
      <c r="N1597" s="1">
        <f t="shared" si="78"/>
        <v>3</v>
      </c>
      <c r="O1597" s="87"/>
    </row>
    <row r="1598" spans="1:15" ht="15.75" hidden="1" x14ac:dyDescent="0.25">
      <c r="A1598" s="1" t="str">
        <f t="shared" si="77"/>
        <v>446384463930DINERSTELECOMOOREDOO</v>
      </c>
      <c r="B1598" s="2">
        <v>44638</v>
      </c>
      <c r="C1598" s="2">
        <v>44639</v>
      </c>
      <c r="D1598" s="3" t="s">
        <v>2078</v>
      </c>
      <c r="E1598" s="3">
        <v>30</v>
      </c>
      <c r="F1598" s="3">
        <v>1</v>
      </c>
      <c r="G1598" s="3">
        <f t="shared" si="79"/>
        <v>30</v>
      </c>
      <c r="H1598" s="3" t="s">
        <v>266</v>
      </c>
      <c r="I1598" s="1" t="s">
        <v>58</v>
      </c>
      <c r="J1598" s="1" t="s">
        <v>59</v>
      </c>
      <c r="K1598" s="1" t="s">
        <v>298</v>
      </c>
      <c r="L1598" s="1" t="s">
        <v>267</v>
      </c>
      <c r="M1598" s="1"/>
      <c r="N1598" s="1">
        <f t="shared" si="78"/>
        <v>3</v>
      </c>
      <c r="O1598" s="87"/>
    </row>
    <row r="1599" spans="1:15" ht="15.75" hidden="1" x14ac:dyDescent="0.25">
      <c r="A1599" s="1" t="str">
        <f t="shared" si="77"/>
        <v>446434464560MASTER CCTELECOMOOREDOO</v>
      </c>
      <c r="B1599" s="2">
        <v>44643</v>
      </c>
      <c r="C1599" s="2">
        <v>44645</v>
      </c>
      <c r="D1599" s="3" t="s">
        <v>2087</v>
      </c>
      <c r="E1599" s="3">
        <v>60</v>
      </c>
      <c r="F1599" s="3">
        <v>1</v>
      </c>
      <c r="G1599" s="3">
        <f t="shared" si="79"/>
        <v>60</v>
      </c>
      <c r="H1599" s="3" t="s">
        <v>291</v>
      </c>
      <c r="I1599" s="1" t="s">
        <v>58</v>
      </c>
      <c r="J1599" s="1" t="s">
        <v>59</v>
      </c>
      <c r="K1599" s="1" t="s">
        <v>298</v>
      </c>
      <c r="L1599" s="1" t="s">
        <v>267</v>
      </c>
      <c r="M1599" s="1"/>
      <c r="N1599" s="1">
        <f t="shared" si="78"/>
        <v>3</v>
      </c>
      <c r="O1599" s="87"/>
    </row>
    <row r="1600" spans="1:15" ht="15.75" hidden="1" x14ac:dyDescent="0.25">
      <c r="A1600" s="1" t="str">
        <f t="shared" si="77"/>
        <v>44643446458.3MASTER CCTRANSPORTCAREEM</v>
      </c>
      <c r="B1600" s="2">
        <v>44643</v>
      </c>
      <c r="C1600" s="2">
        <v>44645</v>
      </c>
      <c r="D1600" s="3" t="s">
        <v>2090</v>
      </c>
      <c r="E1600" s="3">
        <v>8.3000000000000007</v>
      </c>
      <c r="F1600" s="3">
        <v>1</v>
      </c>
      <c r="G1600" s="3">
        <f t="shared" si="79"/>
        <v>8.3000000000000007</v>
      </c>
      <c r="H1600" s="3" t="s">
        <v>291</v>
      </c>
      <c r="I1600" s="1" t="s">
        <v>296</v>
      </c>
      <c r="J1600" s="1" t="s">
        <v>297</v>
      </c>
      <c r="K1600" s="1" t="s">
        <v>298</v>
      </c>
      <c r="L1600" s="1" t="s">
        <v>267</v>
      </c>
      <c r="M1600" s="1"/>
      <c r="N1600" s="1">
        <f t="shared" si="78"/>
        <v>3</v>
      </c>
      <c r="O1600" s="87"/>
    </row>
    <row r="1601" spans="1:15" ht="15.75" hidden="1" x14ac:dyDescent="0.25">
      <c r="A1601" s="1" t="str">
        <f t="shared" si="77"/>
        <v>446434464512.4MASTER CCTRANSPORTCAREEM</v>
      </c>
      <c r="B1601" s="2">
        <v>44643</v>
      </c>
      <c r="C1601" s="2">
        <v>44645</v>
      </c>
      <c r="D1601" s="3" t="s">
        <v>2089</v>
      </c>
      <c r="E1601" s="3">
        <v>12.4</v>
      </c>
      <c r="F1601" s="3">
        <v>1</v>
      </c>
      <c r="G1601" s="3">
        <f t="shared" si="79"/>
        <v>12.4</v>
      </c>
      <c r="H1601" s="3" t="s">
        <v>291</v>
      </c>
      <c r="I1601" s="1" t="s">
        <v>296</v>
      </c>
      <c r="J1601" s="1" t="s">
        <v>297</v>
      </c>
      <c r="K1601" s="1" t="s">
        <v>298</v>
      </c>
      <c r="L1601" s="1" t="s">
        <v>267</v>
      </c>
      <c r="M1601" s="1"/>
      <c r="N1601" s="1">
        <f t="shared" si="78"/>
        <v>3</v>
      </c>
      <c r="O1601" s="87"/>
    </row>
    <row r="1602" spans="1:15" ht="15.75" hidden="1" x14ac:dyDescent="0.25">
      <c r="A1602" s="1" t="str">
        <f t="shared" ref="A1602:A1665" si="80">B1602&amp;C1602&amp;G1602&amp;H1602&amp;I1602&amp;J1602</f>
        <v>446434464521.7MASTER CCTRANSPORTCAREEM</v>
      </c>
      <c r="B1602" s="2">
        <v>44643</v>
      </c>
      <c r="C1602" s="2">
        <v>44645</v>
      </c>
      <c r="D1602" s="3" t="s">
        <v>2088</v>
      </c>
      <c r="E1602" s="3">
        <v>21.7</v>
      </c>
      <c r="F1602" s="3">
        <v>1</v>
      </c>
      <c r="G1602" s="3">
        <f t="shared" si="79"/>
        <v>21.7</v>
      </c>
      <c r="H1602" s="3" t="s">
        <v>291</v>
      </c>
      <c r="I1602" s="1" t="s">
        <v>296</v>
      </c>
      <c r="J1602" s="1" t="s">
        <v>297</v>
      </c>
      <c r="K1602" s="1" t="s">
        <v>298</v>
      </c>
      <c r="L1602" s="1" t="s">
        <v>267</v>
      </c>
      <c r="M1602" s="1"/>
      <c r="N1602" s="1">
        <f t="shared" ref="N1602:N1665" si="81">MONTH(C1602)</f>
        <v>3</v>
      </c>
      <c r="O1602" s="87"/>
    </row>
    <row r="1603" spans="1:15" ht="15.75" hidden="1" x14ac:dyDescent="0.25">
      <c r="A1603" s="1" t="str">
        <f t="shared" si="80"/>
        <v>4464344644100DINERSMEDICALNASEEM AL</v>
      </c>
      <c r="B1603" s="2">
        <v>44643</v>
      </c>
      <c r="C1603" s="2">
        <v>44644</v>
      </c>
      <c r="D1603" s="3" t="s">
        <v>2076</v>
      </c>
      <c r="E1603" s="3">
        <v>100</v>
      </c>
      <c r="F1603" s="3">
        <v>1</v>
      </c>
      <c r="G1603" s="3">
        <f t="shared" si="79"/>
        <v>100</v>
      </c>
      <c r="H1603" s="3" t="s">
        <v>266</v>
      </c>
      <c r="I1603" s="1" t="s">
        <v>301</v>
      </c>
      <c r="J1603" s="1" t="s">
        <v>1000</v>
      </c>
      <c r="K1603" s="1" t="s">
        <v>298</v>
      </c>
      <c r="L1603" s="1" t="s">
        <v>267</v>
      </c>
      <c r="M1603" s="1"/>
      <c r="N1603" s="1">
        <f t="shared" si="81"/>
        <v>3</v>
      </c>
      <c r="O1603" s="87"/>
    </row>
    <row r="1604" spans="1:15" ht="15.75" hidden="1" x14ac:dyDescent="0.25">
      <c r="A1604" s="1" t="str">
        <f t="shared" si="80"/>
        <v>4464344644115.85DINERSGROCERYTOTAL FRESH</v>
      </c>
      <c r="B1604" s="2">
        <v>44643</v>
      </c>
      <c r="C1604" s="2">
        <v>44644</v>
      </c>
      <c r="D1604" s="3" t="s">
        <v>2077</v>
      </c>
      <c r="E1604" s="3">
        <v>115.85</v>
      </c>
      <c r="F1604" s="3">
        <v>1</v>
      </c>
      <c r="G1604" s="3">
        <f t="shared" si="79"/>
        <v>115.85</v>
      </c>
      <c r="H1604" s="3" t="s">
        <v>266</v>
      </c>
      <c r="I1604" s="1" t="s">
        <v>43</v>
      </c>
      <c r="J1604" s="1" t="s">
        <v>1394</v>
      </c>
      <c r="K1604" s="1" t="s">
        <v>298</v>
      </c>
      <c r="L1604" s="1" t="s">
        <v>267</v>
      </c>
      <c r="M1604" s="1"/>
      <c r="N1604" s="1">
        <f t="shared" si="81"/>
        <v>3</v>
      </c>
      <c r="O1604" s="87"/>
    </row>
    <row r="1605" spans="1:15" ht="15.75" hidden="1" x14ac:dyDescent="0.25">
      <c r="A1605" s="1" t="str">
        <f t="shared" si="80"/>
        <v>4464444649100MASTER CCTRANSPORTMETRO</v>
      </c>
      <c r="B1605" s="2">
        <v>44644</v>
      </c>
      <c r="C1605" s="2">
        <v>44649</v>
      </c>
      <c r="D1605" s="3" t="s">
        <v>2086</v>
      </c>
      <c r="E1605" s="3">
        <v>100</v>
      </c>
      <c r="F1605" s="3">
        <v>1</v>
      </c>
      <c r="G1605" s="3">
        <f t="shared" si="79"/>
        <v>100</v>
      </c>
      <c r="H1605" s="3" t="s">
        <v>291</v>
      </c>
      <c r="I1605" s="1" t="s">
        <v>296</v>
      </c>
      <c r="J1605" s="1" t="s">
        <v>759</v>
      </c>
      <c r="K1605" s="1" t="s">
        <v>298</v>
      </c>
      <c r="L1605" s="1" t="s">
        <v>267</v>
      </c>
      <c r="M1605" s="1"/>
      <c r="N1605" s="1">
        <f t="shared" si="81"/>
        <v>3</v>
      </c>
      <c r="O1605" s="87"/>
    </row>
    <row r="1606" spans="1:15" ht="15.75" hidden="1" x14ac:dyDescent="0.25">
      <c r="A1606" s="1" t="str">
        <f t="shared" si="80"/>
        <v>446454464714.3MASTER CCTRANSPORTCAREEM</v>
      </c>
      <c r="B1606" s="2">
        <v>44645</v>
      </c>
      <c r="C1606" s="2">
        <v>44647</v>
      </c>
      <c r="D1606" s="3" t="s">
        <v>2085</v>
      </c>
      <c r="E1606" s="3">
        <v>14.3</v>
      </c>
      <c r="F1606" s="3">
        <v>1</v>
      </c>
      <c r="G1606" s="3">
        <f t="shared" si="79"/>
        <v>14.3</v>
      </c>
      <c r="H1606" s="3" t="s">
        <v>291</v>
      </c>
      <c r="I1606" s="1" t="s">
        <v>296</v>
      </c>
      <c r="J1606" s="1" t="s">
        <v>297</v>
      </c>
      <c r="K1606" s="1" t="s">
        <v>298</v>
      </c>
      <c r="L1606" s="1" t="s">
        <v>267</v>
      </c>
      <c r="M1606" s="1"/>
      <c r="N1606" s="1">
        <f t="shared" si="81"/>
        <v>3</v>
      </c>
      <c r="O1606" s="87"/>
    </row>
    <row r="1607" spans="1:15" ht="15.75" hidden="1" x14ac:dyDescent="0.25">
      <c r="A1607" s="1" t="str">
        <f t="shared" si="80"/>
        <v>446454464714.3MASTER CCTRANSPORTCAREEM</v>
      </c>
      <c r="B1607" s="2">
        <v>44645</v>
      </c>
      <c r="C1607" s="2">
        <v>44647</v>
      </c>
      <c r="D1607" s="3" t="s">
        <v>2085</v>
      </c>
      <c r="E1607" s="3">
        <v>14.3</v>
      </c>
      <c r="F1607" s="3">
        <v>1</v>
      </c>
      <c r="G1607" s="3">
        <f t="shared" si="79"/>
        <v>14.3</v>
      </c>
      <c r="H1607" s="3" t="s">
        <v>291</v>
      </c>
      <c r="I1607" s="1" t="s">
        <v>296</v>
      </c>
      <c r="J1607" s="1" t="s">
        <v>297</v>
      </c>
      <c r="K1607" s="1" t="s">
        <v>298</v>
      </c>
      <c r="L1607" s="1" t="s">
        <v>267</v>
      </c>
      <c r="M1607" s="1"/>
      <c r="N1607" s="1">
        <f t="shared" si="81"/>
        <v>3</v>
      </c>
      <c r="O1607" s="87"/>
    </row>
    <row r="1608" spans="1:15" ht="15.75" hidden="1" x14ac:dyDescent="0.25">
      <c r="A1608" s="1" t="str">
        <f t="shared" si="80"/>
        <v>446454464719.1MASTER CCTRANSPORTCAREEM</v>
      </c>
      <c r="B1608" s="2">
        <v>44645</v>
      </c>
      <c r="C1608" s="2">
        <v>44647</v>
      </c>
      <c r="D1608" s="3" t="s">
        <v>2084</v>
      </c>
      <c r="E1608" s="3">
        <v>19.100000000000001</v>
      </c>
      <c r="F1608" s="3">
        <v>1</v>
      </c>
      <c r="G1608" s="3">
        <f t="shared" si="79"/>
        <v>19.100000000000001</v>
      </c>
      <c r="H1608" s="3" t="s">
        <v>291</v>
      </c>
      <c r="I1608" s="1" t="s">
        <v>296</v>
      </c>
      <c r="J1608" s="1" t="s">
        <v>297</v>
      </c>
      <c r="K1608" s="1" t="s">
        <v>298</v>
      </c>
      <c r="L1608" s="1" t="s">
        <v>267</v>
      </c>
      <c r="M1608" s="1"/>
      <c r="N1608" s="1">
        <f t="shared" si="81"/>
        <v>3</v>
      </c>
      <c r="O1608" s="87"/>
    </row>
    <row r="1609" spans="1:15" ht="15.75" hidden="1" x14ac:dyDescent="0.25">
      <c r="A1609" s="1" t="str">
        <f t="shared" si="80"/>
        <v>446454464719.1MASTER CCTRANSPORTCAREEM</v>
      </c>
      <c r="B1609" s="2">
        <v>44645</v>
      </c>
      <c r="C1609" s="2">
        <v>44647</v>
      </c>
      <c r="D1609" s="3" t="s">
        <v>2084</v>
      </c>
      <c r="E1609" s="3">
        <v>19.100000000000001</v>
      </c>
      <c r="F1609" s="3">
        <v>1</v>
      </c>
      <c r="G1609" s="3">
        <f t="shared" si="79"/>
        <v>19.100000000000001</v>
      </c>
      <c r="H1609" s="3" t="s">
        <v>291</v>
      </c>
      <c r="I1609" s="1" t="s">
        <v>296</v>
      </c>
      <c r="J1609" s="1" t="s">
        <v>297</v>
      </c>
      <c r="K1609" s="1" t="s">
        <v>298</v>
      </c>
      <c r="L1609" s="1" t="s">
        <v>267</v>
      </c>
      <c r="M1609" s="1"/>
      <c r="N1609" s="1">
        <f t="shared" si="81"/>
        <v>3</v>
      </c>
      <c r="O1609" s="87"/>
    </row>
    <row r="1610" spans="1:15" ht="15.75" hidden="1" x14ac:dyDescent="0.25">
      <c r="A1610" s="1" t="str">
        <f t="shared" si="80"/>
        <v>446454464677DINERSSHOPPINGLULU</v>
      </c>
      <c r="B1610" s="2">
        <v>44645</v>
      </c>
      <c r="C1610" s="2">
        <v>44646</v>
      </c>
      <c r="D1610" s="3" t="s">
        <v>2074</v>
      </c>
      <c r="E1610" s="3">
        <v>77</v>
      </c>
      <c r="F1610" s="3">
        <v>1</v>
      </c>
      <c r="G1610" s="3">
        <f t="shared" si="79"/>
        <v>77</v>
      </c>
      <c r="H1610" s="3" t="s">
        <v>266</v>
      </c>
      <c r="I1610" s="1" t="s">
        <v>194</v>
      </c>
      <c r="J1610" s="1" t="s">
        <v>44</v>
      </c>
      <c r="K1610" s="1" t="s">
        <v>298</v>
      </c>
      <c r="L1610" s="1" t="s">
        <v>267</v>
      </c>
      <c r="M1610" s="1"/>
      <c r="N1610" s="1">
        <f t="shared" si="81"/>
        <v>3</v>
      </c>
      <c r="O1610" s="87"/>
    </row>
    <row r="1611" spans="1:15" ht="15.75" hidden="1" x14ac:dyDescent="0.25">
      <c r="A1611" s="1" t="str">
        <f t="shared" si="80"/>
        <v>4464544646472.86DINERSGROCERYLULU</v>
      </c>
      <c r="B1611" s="2">
        <v>44645</v>
      </c>
      <c r="C1611" s="2">
        <v>44646</v>
      </c>
      <c r="D1611" s="3" t="s">
        <v>2075</v>
      </c>
      <c r="E1611" s="3">
        <v>472.86</v>
      </c>
      <c r="F1611" s="3">
        <v>1</v>
      </c>
      <c r="G1611" s="3">
        <f t="shared" ref="G1611:G1674" si="82">ABS(E1611)*F1611</f>
        <v>472.86</v>
      </c>
      <c r="H1611" s="3" t="s">
        <v>266</v>
      </c>
      <c r="I1611" s="1" t="s">
        <v>43</v>
      </c>
      <c r="J1611" s="1" t="s">
        <v>44</v>
      </c>
      <c r="K1611" s="1" t="s">
        <v>298</v>
      </c>
      <c r="L1611" s="1" t="s">
        <v>267</v>
      </c>
      <c r="M1611" s="1"/>
      <c r="N1611" s="1">
        <f t="shared" si="81"/>
        <v>3</v>
      </c>
      <c r="O1611" s="87"/>
    </row>
    <row r="1612" spans="1:15" ht="15.75" hidden="1" x14ac:dyDescent="0.25">
      <c r="A1612" s="1" t="str">
        <f t="shared" si="80"/>
        <v>44646446489.8MASTER CCTRANSPORTCAREEM</v>
      </c>
      <c r="B1612" s="2">
        <v>44646</v>
      </c>
      <c r="C1612" s="2">
        <v>44648</v>
      </c>
      <c r="D1612" s="3" t="s">
        <v>2129</v>
      </c>
      <c r="E1612" s="3">
        <v>9.8000000000000007</v>
      </c>
      <c r="F1612" s="3">
        <v>1</v>
      </c>
      <c r="G1612" s="3">
        <f t="shared" si="82"/>
        <v>9.8000000000000007</v>
      </c>
      <c r="H1612" s="3" t="s">
        <v>291</v>
      </c>
      <c r="I1612" s="1" t="s">
        <v>296</v>
      </c>
      <c r="J1612" s="1" t="s">
        <v>297</v>
      </c>
      <c r="K1612" s="1" t="s">
        <v>298</v>
      </c>
      <c r="L1612" s="1" t="s">
        <v>267</v>
      </c>
      <c r="M1612" s="1"/>
      <c r="N1612" s="1">
        <f t="shared" si="81"/>
        <v>3</v>
      </c>
      <c r="O1612" s="87"/>
    </row>
    <row r="1613" spans="1:15" ht="15.75" hidden="1" x14ac:dyDescent="0.25">
      <c r="A1613" s="1" t="str">
        <f t="shared" si="80"/>
        <v>4464744647250CURRENTRENTVODAFONE</v>
      </c>
      <c r="B1613" s="2">
        <v>44647</v>
      </c>
      <c r="C1613" s="2">
        <v>44647</v>
      </c>
      <c r="D1613" s="3" t="s">
        <v>2119</v>
      </c>
      <c r="E1613" s="3">
        <v>-250</v>
      </c>
      <c r="F1613" s="3">
        <v>1</v>
      </c>
      <c r="G1613" s="3">
        <f t="shared" si="82"/>
        <v>250</v>
      </c>
      <c r="H1613" s="3" t="s">
        <v>293</v>
      </c>
      <c r="I1613" s="1" t="s">
        <v>83</v>
      </c>
      <c r="J1613" s="1" t="s">
        <v>78</v>
      </c>
      <c r="K1613" s="1" t="s">
        <v>298</v>
      </c>
      <c r="L1613" s="1" t="s">
        <v>257</v>
      </c>
      <c r="M1613" s="1"/>
      <c r="N1613" s="1">
        <f t="shared" si="81"/>
        <v>3</v>
      </c>
      <c r="O1613" s="87"/>
    </row>
    <row r="1614" spans="1:15" ht="15.75" hidden="1" x14ac:dyDescent="0.25">
      <c r="A1614" s="1" t="str">
        <f t="shared" si="80"/>
        <v>4464744647119.5CURRENTGROCERYTOTAL FRESH</v>
      </c>
      <c r="B1614" s="2">
        <v>44647</v>
      </c>
      <c r="C1614" s="2">
        <v>44647</v>
      </c>
      <c r="D1614" s="3" t="s">
        <v>2120</v>
      </c>
      <c r="E1614" s="3">
        <v>-119.5</v>
      </c>
      <c r="F1614" s="3">
        <v>1</v>
      </c>
      <c r="G1614" s="3">
        <f t="shared" si="82"/>
        <v>119.5</v>
      </c>
      <c r="H1614" s="3" t="s">
        <v>293</v>
      </c>
      <c r="I1614" s="1" t="s">
        <v>43</v>
      </c>
      <c r="J1614" s="1" t="s">
        <v>1394</v>
      </c>
      <c r="K1614" s="1" t="s">
        <v>298</v>
      </c>
      <c r="L1614" s="1" t="s">
        <v>257</v>
      </c>
      <c r="M1614" s="1"/>
      <c r="N1614" s="1">
        <f t="shared" si="81"/>
        <v>3</v>
      </c>
      <c r="O1614" s="87"/>
    </row>
    <row r="1615" spans="1:15" ht="15.75" hidden="1" x14ac:dyDescent="0.25">
      <c r="A1615" s="1" t="str">
        <f t="shared" si="80"/>
        <v>446484464814CURRENTFOODQATAR AIR</v>
      </c>
      <c r="B1615" s="2">
        <v>44648</v>
      </c>
      <c r="C1615" s="2">
        <v>44648</v>
      </c>
      <c r="D1615" s="3" t="s">
        <v>2116</v>
      </c>
      <c r="E1615" s="3">
        <v>-14</v>
      </c>
      <c r="F1615" s="3">
        <v>1</v>
      </c>
      <c r="G1615" s="3">
        <f t="shared" si="82"/>
        <v>14</v>
      </c>
      <c r="H1615" s="3" t="s">
        <v>293</v>
      </c>
      <c r="I1615" s="1" t="s">
        <v>10</v>
      </c>
      <c r="J1615" s="1" t="s">
        <v>19</v>
      </c>
      <c r="K1615" s="1" t="s">
        <v>298</v>
      </c>
      <c r="L1615" s="1" t="s">
        <v>257</v>
      </c>
      <c r="M1615" s="1"/>
      <c r="N1615" s="1">
        <f t="shared" si="81"/>
        <v>3</v>
      </c>
      <c r="O1615" s="87"/>
    </row>
    <row r="1616" spans="1:15" ht="15.75" hidden="1" x14ac:dyDescent="0.25">
      <c r="A1616" s="1" t="str">
        <f t="shared" si="80"/>
        <v>446484464817.53CURRENTGROCERYTOTAL FRESH</v>
      </c>
      <c r="B1616" s="2">
        <v>44648</v>
      </c>
      <c r="C1616" s="2">
        <v>44648</v>
      </c>
      <c r="D1616" s="3" t="s">
        <v>2117</v>
      </c>
      <c r="E1616" s="3">
        <v>-17.53</v>
      </c>
      <c r="F1616" s="3">
        <v>1</v>
      </c>
      <c r="G1616" s="3">
        <f t="shared" si="82"/>
        <v>17.53</v>
      </c>
      <c r="H1616" s="3" t="s">
        <v>293</v>
      </c>
      <c r="I1616" s="1" t="s">
        <v>43</v>
      </c>
      <c r="J1616" s="1" t="s">
        <v>1394</v>
      </c>
      <c r="K1616" s="1" t="s">
        <v>298</v>
      </c>
      <c r="L1616" s="1" t="s">
        <v>257</v>
      </c>
      <c r="M1616" s="1"/>
      <c r="N1616" s="1">
        <f t="shared" si="81"/>
        <v>3</v>
      </c>
      <c r="O1616" s="87"/>
    </row>
    <row r="1617" spans="1:15" ht="15.75" hidden="1" x14ac:dyDescent="0.25">
      <c r="A1617" s="1" t="str">
        <f t="shared" si="80"/>
        <v>446484464828CURRENTFOODCAFÉ/REST.</v>
      </c>
      <c r="B1617" s="2">
        <v>44648</v>
      </c>
      <c r="C1617" s="2">
        <v>44648</v>
      </c>
      <c r="D1617" s="3" t="s">
        <v>2118</v>
      </c>
      <c r="E1617" s="3">
        <v>-28</v>
      </c>
      <c r="F1617" s="3">
        <v>1</v>
      </c>
      <c r="G1617" s="3">
        <f t="shared" si="82"/>
        <v>28</v>
      </c>
      <c r="H1617" s="3" t="s">
        <v>293</v>
      </c>
      <c r="I1617" s="1" t="s">
        <v>10</v>
      </c>
      <c r="J1617" s="1" t="s">
        <v>11</v>
      </c>
      <c r="K1617" s="1" t="s">
        <v>298</v>
      </c>
      <c r="L1617" s="1" t="s">
        <v>257</v>
      </c>
      <c r="M1617" s="1"/>
      <c r="N1617" s="1">
        <f t="shared" si="81"/>
        <v>3</v>
      </c>
      <c r="O1617" s="87"/>
    </row>
    <row r="1618" spans="1:15" ht="15.75" hidden="1" x14ac:dyDescent="0.25">
      <c r="A1618" s="1" t="str">
        <f t="shared" si="80"/>
        <v>44649446491842.38CURRENTCC BILL PAYMENTBANK</v>
      </c>
      <c r="B1618" s="2">
        <v>44649</v>
      </c>
      <c r="C1618" s="2">
        <v>44649</v>
      </c>
      <c r="D1618" s="3" t="s">
        <v>2114</v>
      </c>
      <c r="E1618" s="3">
        <v>-1842.38</v>
      </c>
      <c r="F1618" s="3">
        <v>1</v>
      </c>
      <c r="G1618" s="3">
        <f t="shared" si="82"/>
        <v>1842.38</v>
      </c>
      <c r="H1618" s="3" t="s">
        <v>293</v>
      </c>
      <c r="I1618" s="1" t="s">
        <v>81</v>
      </c>
      <c r="J1618" s="1" t="s">
        <v>8</v>
      </c>
      <c r="K1618" s="1" t="s">
        <v>298</v>
      </c>
      <c r="L1618" s="1" t="s">
        <v>257</v>
      </c>
      <c r="M1618" s="1"/>
      <c r="N1618" s="1">
        <f t="shared" si="81"/>
        <v>3</v>
      </c>
      <c r="O1618" s="87"/>
    </row>
    <row r="1619" spans="1:15" ht="15.75" hidden="1" x14ac:dyDescent="0.25">
      <c r="A1619" s="1" t="str">
        <f t="shared" si="80"/>
        <v>446494464920345CURRENTSALARYQATAR AIR</v>
      </c>
      <c r="B1619" s="2">
        <v>44649</v>
      </c>
      <c r="C1619" s="2">
        <v>44649</v>
      </c>
      <c r="D1619" s="3" t="s">
        <v>2115</v>
      </c>
      <c r="E1619" s="3">
        <v>20345</v>
      </c>
      <c r="F1619" s="3">
        <v>1</v>
      </c>
      <c r="G1619" s="3">
        <f t="shared" si="82"/>
        <v>20345</v>
      </c>
      <c r="H1619" s="3" t="s">
        <v>293</v>
      </c>
      <c r="I1619" s="1" t="s">
        <v>18</v>
      </c>
      <c r="J1619" s="1" t="s">
        <v>19</v>
      </c>
      <c r="K1619" s="1" t="s">
        <v>300</v>
      </c>
      <c r="L1619" s="1" t="s">
        <v>257</v>
      </c>
      <c r="M1619" s="1"/>
      <c r="N1619" s="1">
        <f t="shared" si="81"/>
        <v>3</v>
      </c>
      <c r="O1619" s="87"/>
    </row>
    <row r="1620" spans="1:15" ht="15.75" hidden="1" x14ac:dyDescent="0.25">
      <c r="A1620" s="1" t="str">
        <f t="shared" si="80"/>
        <v>44649446491842.38DINERSCC BILL PAYMENTBANK</v>
      </c>
      <c r="B1620" s="2">
        <v>44649</v>
      </c>
      <c r="C1620" s="2">
        <v>44649</v>
      </c>
      <c r="D1620" s="3" t="s">
        <v>80</v>
      </c>
      <c r="E1620" s="3">
        <v>-1842.38</v>
      </c>
      <c r="F1620" s="3">
        <v>1</v>
      </c>
      <c r="G1620" s="3">
        <f t="shared" si="82"/>
        <v>1842.38</v>
      </c>
      <c r="H1620" s="3" t="s">
        <v>266</v>
      </c>
      <c r="I1620" s="1" t="s">
        <v>81</v>
      </c>
      <c r="J1620" s="1" t="s">
        <v>8</v>
      </c>
      <c r="K1620" s="1" t="s">
        <v>300</v>
      </c>
      <c r="L1620" s="1" t="s">
        <v>267</v>
      </c>
      <c r="M1620" s="1"/>
      <c r="N1620" s="1">
        <f t="shared" si="81"/>
        <v>3</v>
      </c>
      <c r="O1620" s="87"/>
    </row>
    <row r="1621" spans="1:15" ht="15.75" hidden="1" x14ac:dyDescent="0.25">
      <c r="A1621" s="1" t="str">
        <f t="shared" si="80"/>
        <v>44651446538.3MASTER CCTRANSPORTCAREEM</v>
      </c>
      <c r="B1621" s="2">
        <v>44651</v>
      </c>
      <c r="C1621" s="2">
        <v>44653</v>
      </c>
      <c r="D1621" s="3" t="s">
        <v>2128</v>
      </c>
      <c r="E1621" s="3">
        <v>8.3000000000000007</v>
      </c>
      <c r="F1621" s="3">
        <v>1</v>
      </c>
      <c r="G1621" s="3">
        <f t="shared" si="82"/>
        <v>8.3000000000000007</v>
      </c>
      <c r="H1621" s="3" t="s">
        <v>291</v>
      </c>
      <c r="I1621" s="1" t="s">
        <v>296</v>
      </c>
      <c r="J1621" s="1" t="s">
        <v>297</v>
      </c>
      <c r="K1621" s="1" t="s">
        <v>298</v>
      </c>
      <c r="L1621" s="1" t="s">
        <v>267</v>
      </c>
      <c r="M1621" s="1"/>
      <c r="N1621" s="1">
        <f t="shared" si="81"/>
        <v>4</v>
      </c>
      <c r="O1621" s="87"/>
    </row>
    <row r="1622" spans="1:15" ht="15.75" hidden="1" x14ac:dyDescent="0.25">
      <c r="A1622" s="1" t="str">
        <f t="shared" si="80"/>
        <v>446514465196CURRENTFOODCAFÉ/REST.</v>
      </c>
      <c r="B1622" s="2">
        <v>44651</v>
      </c>
      <c r="C1622" s="2">
        <v>44651</v>
      </c>
      <c r="D1622" s="3" t="s">
        <v>2112</v>
      </c>
      <c r="E1622" s="3">
        <v>-96</v>
      </c>
      <c r="F1622" s="3">
        <v>1</v>
      </c>
      <c r="G1622" s="3">
        <f t="shared" si="82"/>
        <v>96</v>
      </c>
      <c r="H1622" s="3" t="s">
        <v>293</v>
      </c>
      <c r="I1622" s="1" t="s">
        <v>10</v>
      </c>
      <c r="J1622" s="1" t="s">
        <v>11</v>
      </c>
      <c r="K1622" s="1" t="s">
        <v>298</v>
      </c>
      <c r="L1622" s="1" t="s">
        <v>257</v>
      </c>
      <c r="M1622" s="1"/>
      <c r="N1622" s="1">
        <f t="shared" si="81"/>
        <v>3</v>
      </c>
      <c r="O1622" s="87"/>
    </row>
    <row r="1623" spans="1:15" ht="15.75" hidden="1" x14ac:dyDescent="0.25">
      <c r="A1623" s="1" t="str">
        <f t="shared" si="80"/>
        <v>446514465120CURRENTTRANSPORTMETRO</v>
      </c>
      <c r="B1623" s="2">
        <v>44651</v>
      </c>
      <c r="C1623" s="2">
        <v>44651</v>
      </c>
      <c r="D1623" s="3" t="s">
        <v>2113</v>
      </c>
      <c r="E1623" s="3">
        <v>-20</v>
      </c>
      <c r="F1623" s="3">
        <v>1</v>
      </c>
      <c r="G1623" s="3">
        <f t="shared" si="82"/>
        <v>20</v>
      </c>
      <c r="H1623" s="3" t="s">
        <v>293</v>
      </c>
      <c r="I1623" s="1" t="s">
        <v>296</v>
      </c>
      <c r="J1623" s="1" t="s">
        <v>759</v>
      </c>
      <c r="K1623" s="1" t="s">
        <v>298</v>
      </c>
      <c r="L1623" s="1" t="s">
        <v>257</v>
      </c>
      <c r="M1623" s="1"/>
      <c r="N1623" s="1">
        <f t="shared" si="81"/>
        <v>3</v>
      </c>
      <c r="O1623" s="87"/>
    </row>
    <row r="1624" spans="1:15" ht="15.75" hidden="1" x14ac:dyDescent="0.25">
      <c r="A1624" s="1" t="str">
        <f t="shared" si="80"/>
        <v>446524465665MASTER CCSHOPPINGRNB</v>
      </c>
      <c r="B1624" s="2">
        <v>44652</v>
      </c>
      <c r="C1624" s="2">
        <v>44656</v>
      </c>
      <c r="D1624" s="3" t="s">
        <v>2124</v>
      </c>
      <c r="E1624" s="3">
        <v>65</v>
      </c>
      <c r="F1624" s="3">
        <v>1</v>
      </c>
      <c r="G1624" s="3">
        <f t="shared" si="82"/>
        <v>65</v>
      </c>
      <c r="H1624" s="3" t="s">
        <v>291</v>
      </c>
      <c r="I1624" s="1" t="s">
        <v>194</v>
      </c>
      <c r="J1624" s="1" t="s">
        <v>1658</v>
      </c>
      <c r="K1624" s="1" t="s">
        <v>298</v>
      </c>
      <c r="L1624" s="1" t="s">
        <v>267</v>
      </c>
      <c r="M1624" s="1"/>
      <c r="N1624" s="1">
        <f t="shared" si="81"/>
        <v>4</v>
      </c>
      <c r="O1624" s="87"/>
    </row>
    <row r="1625" spans="1:15" ht="15.75" hidden="1" x14ac:dyDescent="0.25">
      <c r="A1625" s="1" t="str">
        <f t="shared" si="80"/>
        <v>446524465665MASTER CCSHOPPINGRNB</v>
      </c>
      <c r="B1625" s="2">
        <v>44652</v>
      </c>
      <c r="C1625" s="2">
        <v>44656</v>
      </c>
      <c r="D1625" s="3" t="s">
        <v>2124</v>
      </c>
      <c r="E1625" s="3">
        <v>65</v>
      </c>
      <c r="F1625" s="3">
        <v>1</v>
      </c>
      <c r="G1625" s="3">
        <f t="shared" si="82"/>
        <v>65</v>
      </c>
      <c r="H1625" s="3" t="s">
        <v>291</v>
      </c>
      <c r="I1625" s="1" t="s">
        <v>194</v>
      </c>
      <c r="J1625" s="1" t="s">
        <v>1658</v>
      </c>
      <c r="K1625" s="1" t="s">
        <v>298</v>
      </c>
      <c r="L1625" s="1" t="s">
        <v>267</v>
      </c>
      <c r="M1625" s="1"/>
      <c r="N1625" s="1">
        <f t="shared" si="81"/>
        <v>4</v>
      </c>
      <c r="O1625" s="87"/>
    </row>
    <row r="1626" spans="1:15" ht="15.75" hidden="1" x14ac:dyDescent="0.25">
      <c r="A1626" s="1" t="str">
        <f t="shared" si="80"/>
        <v>446524465647MASTER CCFOODPAPA JOHN'S</v>
      </c>
      <c r="B1626" s="2">
        <v>44652</v>
      </c>
      <c r="C1626" s="2">
        <v>44656</v>
      </c>
      <c r="D1626" s="3" t="s">
        <v>2126</v>
      </c>
      <c r="E1626" s="3">
        <v>47</v>
      </c>
      <c r="F1626" s="3">
        <v>1</v>
      </c>
      <c r="G1626" s="3">
        <f t="shared" si="82"/>
        <v>47</v>
      </c>
      <c r="H1626" s="3" t="s">
        <v>291</v>
      </c>
      <c r="I1626" s="1" t="s">
        <v>10</v>
      </c>
      <c r="J1626" s="1" t="s">
        <v>1657</v>
      </c>
      <c r="K1626" s="1" t="s">
        <v>298</v>
      </c>
      <c r="L1626" s="1" t="s">
        <v>267</v>
      </c>
      <c r="M1626" s="1"/>
      <c r="N1626" s="1">
        <f t="shared" si="81"/>
        <v>4</v>
      </c>
      <c r="O1626" s="87"/>
    </row>
    <row r="1627" spans="1:15" ht="15.75" hidden="1" x14ac:dyDescent="0.25">
      <c r="A1627" s="1" t="str">
        <f t="shared" si="80"/>
        <v>446524465547MASTER CCFOODPAPA JOHN'S</v>
      </c>
      <c r="B1627" s="2">
        <v>44652</v>
      </c>
      <c r="C1627" s="2">
        <v>44655</v>
      </c>
      <c r="D1627" s="3" t="s">
        <v>2262</v>
      </c>
      <c r="E1627" s="3">
        <v>47</v>
      </c>
      <c r="F1627" s="3">
        <v>1</v>
      </c>
      <c r="G1627" s="3">
        <f t="shared" si="82"/>
        <v>47</v>
      </c>
      <c r="H1627" s="3" t="s">
        <v>291</v>
      </c>
      <c r="I1627" s="1" t="s">
        <v>10</v>
      </c>
      <c r="J1627" s="1" t="s">
        <v>1657</v>
      </c>
      <c r="K1627" s="1" t="s">
        <v>298</v>
      </c>
      <c r="L1627" s="1" t="s">
        <v>267</v>
      </c>
      <c r="M1627" s="1"/>
      <c r="N1627" s="1">
        <f t="shared" si="81"/>
        <v>4</v>
      </c>
      <c r="O1627" s="87"/>
    </row>
    <row r="1628" spans="1:15" ht="15.75" hidden="1" x14ac:dyDescent="0.25">
      <c r="A1628" s="1" t="str">
        <f t="shared" si="80"/>
        <v>446524465630MASTER CCSHOPPINGMAX</v>
      </c>
      <c r="B1628" s="2">
        <v>44652</v>
      </c>
      <c r="C1628" s="2">
        <v>44656</v>
      </c>
      <c r="D1628" s="3" t="s">
        <v>2125</v>
      </c>
      <c r="E1628" s="3">
        <v>30</v>
      </c>
      <c r="F1628" s="3">
        <v>1</v>
      </c>
      <c r="G1628" s="3">
        <f t="shared" si="82"/>
        <v>30</v>
      </c>
      <c r="H1628" s="3" t="s">
        <v>291</v>
      </c>
      <c r="I1628" s="1" t="s">
        <v>194</v>
      </c>
      <c r="J1628" s="1" t="s">
        <v>776</v>
      </c>
      <c r="K1628" s="1" t="s">
        <v>298</v>
      </c>
      <c r="L1628" s="1" t="s">
        <v>267</v>
      </c>
      <c r="M1628" s="1"/>
      <c r="N1628" s="1">
        <f t="shared" si="81"/>
        <v>4</v>
      </c>
      <c r="O1628" s="87"/>
    </row>
    <row r="1629" spans="1:15" ht="15.75" hidden="1" x14ac:dyDescent="0.25">
      <c r="A1629" s="1" t="str">
        <f t="shared" si="80"/>
        <v>446524465630MASTER CCSHOPPINGMAX</v>
      </c>
      <c r="B1629" s="2">
        <v>44652</v>
      </c>
      <c r="C1629" s="2">
        <v>44656</v>
      </c>
      <c r="D1629" s="3" t="s">
        <v>2125</v>
      </c>
      <c r="E1629" s="3">
        <v>30</v>
      </c>
      <c r="F1629" s="3">
        <v>1</v>
      </c>
      <c r="G1629" s="3">
        <f t="shared" si="82"/>
        <v>30</v>
      </c>
      <c r="H1629" s="3" t="s">
        <v>291</v>
      </c>
      <c r="I1629" s="1" t="s">
        <v>194</v>
      </c>
      <c r="J1629" s="1" t="s">
        <v>776</v>
      </c>
      <c r="K1629" s="1" t="s">
        <v>298</v>
      </c>
      <c r="L1629" s="1" t="s">
        <v>267</v>
      </c>
      <c r="M1629" s="1"/>
      <c r="N1629" s="1">
        <f t="shared" si="81"/>
        <v>4</v>
      </c>
      <c r="O1629" s="87"/>
    </row>
    <row r="1630" spans="1:15" ht="15.75" hidden="1" x14ac:dyDescent="0.25">
      <c r="A1630" s="1" t="str">
        <f t="shared" si="80"/>
        <v>44652446565MASTER CCFOODCAFÉ/REST.</v>
      </c>
      <c r="B1630" s="2">
        <v>44652</v>
      </c>
      <c r="C1630" s="2">
        <v>44656</v>
      </c>
      <c r="D1630" s="3" t="s">
        <v>2127</v>
      </c>
      <c r="E1630" s="3">
        <v>5</v>
      </c>
      <c r="F1630" s="3">
        <v>1</v>
      </c>
      <c r="G1630" s="3">
        <f t="shared" si="82"/>
        <v>5</v>
      </c>
      <c r="H1630" s="3" t="s">
        <v>291</v>
      </c>
      <c r="I1630" s="1" t="s">
        <v>10</v>
      </c>
      <c r="J1630" s="1" t="s">
        <v>11</v>
      </c>
      <c r="K1630" s="1" t="s">
        <v>298</v>
      </c>
      <c r="L1630" s="1" t="s">
        <v>267</v>
      </c>
      <c r="M1630" s="1"/>
      <c r="N1630" s="1">
        <f t="shared" si="81"/>
        <v>4</v>
      </c>
      <c r="O1630" s="87"/>
    </row>
    <row r="1631" spans="1:15" ht="15.75" hidden="1" x14ac:dyDescent="0.25">
      <c r="A1631" s="1" t="str">
        <f t="shared" si="80"/>
        <v>44652446565MASTER CCFOODCAFÉ/REST.</v>
      </c>
      <c r="B1631" s="2">
        <v>44652</v>
      </c>
      <c r="C1631" s="2">
        <v>44656</v>
      </c>
      <c r="D1631" s="3" t="s">
        <v>2127</v>
      </c>
      <c r="E1631" s="3">
        <v>5</v>
      </c>
      <c r="F1631" s="3">
        <v>1</v>
      </c>
      <c r="G1631" s="3">
        <f t="shared" si="82"/>
        <v>5</v>
      </c>
      <c r="H1631" s="3" t="s">
        <v>291</v>
      </c>
      <c r="I1631" s="1" t="s">
        <v>10</v>
      </c>
      <c r="J1631" s="1" t="s">
        <v>11</v>
      </c>
      <c r="K1631" s="1" t="s">
        <v>298</v>
      </c>
      <c r="L1631" s="1" t="s">
        <v>267</v>
      </c>
      <c r="M1631" s="1"/>
      <c r="N1631" s="1">
        <f t="shared" si="81"/>
        <v>4</v>
      </c>
      <c r="O1631" s="87"/>
    </row>
    <row r="1632" spans="1:15" ht="15.75" hidden="1" x14ac:dyDescent="0.25">
      <c r="A1632" s="1" t="str">
        <f t="shared" si="80"/>
        <v>4465244656147MASTER CCGROCERYCARREFOUR</v>
      </c>
      <c r="B1632" s="2">
        <v>44652</v>
      </c>
      <c r="C1632" s="2">
        <v>44656</v>
      </c>
      <c r="D1632" s="3" t="s">
        <v>2123</v>
      </c>
      <c r="E1632" s="3">
        <v>147</v>
      </c>
      <c r="F1632" s="3">
        <v>1</v>
      </c>
      <c r="G1632" s="3">
        <f t="shared" si="82"/>
        <v>147</v>
      </c>
      <c r="H1632" s="3" t="s">
        <v>291</v>
      </c>
      <c r="I1632" s="1" t="s">
        <v>43</v>
      </c>
      <c r="J1632" s="1" t="s">
        <v>67</v>
      </c>
      <c r="K1632" s="1" t="s">
        <v>298</v>
      </c>
      <c r="L1632" s="1" t="s">
        <v>267</v>
      </c>
      <c r="M1632" s="1"/>
      <c r="N1632" s="1">
        <f t="shared" si="81"/>
        <v>4</v>
      </c>
      <c r="O1632" s="87"/>
    </row>
    <row r="1633" spans="1:15" ht="15.75" hidden="1" x14ac:dyDescent="0.25">
      <c r="A1633" s="1" t="str">
        <f t="shared" si="80"/>
        <v>4465244656147MASTER CCGROCERYCARREFOUR</v>
      </c>
      <c r="B1633" s="2">
        <v>44652</v>
      </c>
      <c r="C1633" s="2">
        <v>44656</v>
      </c>
      <c r="D1633" s="3" t="s">
        <v>2123</v>
      </c>
      <c r="E1633" s="3">
        <v>147</v>
      </c>
      <c r="F1633" s="3">
        <v>1</v>
      </c>
      <c r="G1633" s="3">
        <f t="shared" si="82"/>
        <v>147</v>
      </c>
      <c r="H1633" s="3" t="s">
        <v>291</v>
      </c>
      <c r="I1633" s="1" t="s">
        <v>43</v>
      </c>
      <c r="J1633" s="1" t="s">
        <v>67</v>
      </c>
      <c r="K1633" s="1" t="s">
        <v>298</v>
      </c>
      <c r="L1633" s="1" t="s">
        <v>267</v>
      </c>
      <c r="M1633" s="1"/>
      <c r="N1633" s="1">
        <f t="shared" si="81"/>
        <v>4</v>
      </c>
      <c r="O1633" s="87"/>
    </row>
    <row r="1634" spans="1:15" ht="15.75" hidden="1" x14ac:dyDescent="0.25">
      <c r="A1634" s="1" t="str">
        <f t="shared" si="80"/>
        <v>4465244653135DINERSGROCERYTOTAL FRESH</v>
      </c>
      <c r="B1634" s="2">
        <v>44652</v>
      </c>
      <c r="C1634" s="2">
        <v>44653</v>
      </c>
      <c r="D1634" s="3" t="s">
        <v>2122</v>
      </c>
      <c r="E1634" s="3">
        <v>135</v>
      </c>
      <c r="F1634" s="3">
        <v>1</v>
      </c>
      <c r="G1634" s="3">
        <f t="shared" si="82"/>
        <v>135</v>
      </c>
      <c r="H1634" s="3" t="s">
        <v>266</v>
      </c>
      <c r="I1634" s="1" t="s">
        <v>43</v>
      </c>
      <c r="J1634" s="1" t="s">
        <v>1394</v>
      </c>
      <c r="K1634" s="1" t="s">
        <v>298</v>
      </c>
      <c r="L1634" s="1" t="s">
        <v>267</v>
      </c>
      <c r="M1634" s="1"/>
      <c r="N1634" s="1">
        <f t="shared" si="81"/>
        <v>4</v>
      </c>
      <c r="O1634" s="87"/>
    </row>
    <row r="1635" spans="1:15" ht="15.75" hidden="1" x14ac:dyDescent="0.25">
      <c r="A1635" s="1" t="str">
        <f t="shared" si="80"/>
        <v>4465244653135DINERSGROCERYTOTAL FRESH</v>
      </c>
      <c r="B1635" s="2">
        <v>44652</v>
      </c>
      <c r="C1635" s="2">
        <v>44653</v>
      </c>
      <c r="D1635" s="3" t="s">
        <v>2181</v>
      </c>
      <c r="E1635" s="3">
        <v>135</v>
      </c>
      <c r="F1635" s="3">
        <v>1</v>
      </c>
      <c r="G1635" s="3">
        <f t="shared" si="82"/>
        <v>135</v>
      </c>
      <c r="H1635" s="3" t="s">
        <v>266</v>
      </c>
      <c r="I1635" s="1" t="s">
        <v>43</v>
      </c>
      <c r="J1635" s="1" t="s">
        <v>1394</v>
      </c>
      <c r="K1635" s="1" t="s">
        <v>298</v>
      </c>
      <c r="L1635" s="1" t="s">
        <v>267</v>
      </c>
      <c r="M1635" s="1"/>
      <c r="N1635" s="1">
        <f t="shared" si="81"/>
        <v>4</v>
      </c>
      <c r="O1635" s="87"/>
    </row>
    <row r="1636" spans="1:15" ht="15.75" hidden="1" x14ac:dyDescent="0.25">
      <c r="A1636" s="1" t="str">
        <f t="shared" si="80"/>
        <v>446534465476.26DINERSGROCERYTOTAL FRESH</v>
      </c>
      <c r="B1636" s="2">
        <v>44653</v>
      </c>
      <c r="C1636" s="2">
        <v>44654</v>
      </c>
      <c r="D1636" s="3" t="s">
        <v>2121</v>
      </c>
      <c r="E1636" s="3">
        <v>76.260000000000005</v>
      </c>
      <c r="F1636" s="3">
        <v>1</v>
      </c>
      <c r="G1636" s="3">
        <f t="shared" si="82"/>
        <v>76.260000000000005</v>
      </c>
      <c r="H1636" s="3" t="s">
        <v>266</v>
      </c>
      <c r="I1636" s="1" t="s">
        <v>43</v>
      </c>
      <c r="J1636" s="1" t="s">
        <v>1394</v>
      </c>
      <c r="K1636" s="1" t="s">
        <v>298</v>
      </c>
      <c r="L1636" s="1" t="s">
        <v>267</v>
      </c>
      <c r="M1636" s="1"/>
      <c r="N1636" s="1">
        <f t="shared" si="81"/>
        <v>4</v>
      </c>
      <c r="O1636" s="87"/>
    </row>
    <row r="1637" spans="1:15" ht="15.75" hidden="1" x14ac:dyDescent="0.25">
      <c r="A1637" s="1" t="str">
        <f t="shared" si="80"/>
        <v>446534465476.26DINERSGROCERYTOTAL FRESH</v>
      </c>
      <c r="B1637" s="2">
        <v>44653</v>
      </c>
      <c r="C1637" s="2">
        <v>44654</v>
      </c>
      <c r="D1637" s="3" t="s">
        <v>2179</v>
      </c>
      <c r="E1637" s="3">
        <v>76.260000000000005</v>
      </c>
      <c r="F1637" s="3">
        <v>1</v>
      </c>
      <c r="G1637" s="3">
        <f t="shared" si="82"/>
        <v>76.260000000000005</v>
      </c>
      <c r="H1637" s="3" t="s">
        <v>266</v>
      </c>
      <c r="I1637" s="1" t="s">
        <v>43</v>
      </c>
      <c r="J1637" s="1" t="s">
        <v>1394</v>
      </c>
      <c r="K1637" s="1" t="s">
        <v>298</v>
      </c>
      <c r="L1637" s="1" t="s">
        <v>267</v>
      </c>
      <c r="M1637" s="1"/>
      <c r="N1637" s="1">
        <f t="shared" si="81"/>
        <v>4</v>
      </c>
      <c r="O1637" s="87"/>
    </row>
    <row r="1638" spans="1:15" ht="15.75" hidden="1" x14ac:dyDescent="0.25">
      <c r="A1638" s="1" t="str">
        <f t="shared" si="80"/>
        <v>446534465423DINERSGROCERYTOTAL FRESH</v>
      </c>
      <c r="B1638" s="2">
        <v>44653</v>
      </c>
      <c r="C1638" s="2">
        <v>44654</v>
      </c>
      <c r="D1638" s="3" t="s">
        <v>2180</v>
      </c>
      <c r="E1638" s="3">
        <v>23</v>
      </c>
      <c r="F1638" s="3">
        <v>1</v>
      </c>
      <c r="G1638" s="3">
        <f t="shared" si="82"/>
        <v>23</v>
      </c>
      <c r="H1638" s="3" t="s">
        <v>266</v>
      </c>
      <c r="I1638" s="1" t="s">
        <v>43</v>
      </c>
      <c r="J1638" s="1" t="s">
        <v>1394</v>
      </c>
      <c r="K1638" s="1" t="s">
        <v>298</v>
      </c>
      <c r="L1638" s="1" t="s">
        <v>267</v>
      </c>
      <c r="M1638" s="1"/>
      <c r="N1638" s="1">
        <f t="shared" si="81"/>
        <v>4</v>
      </c>
      <c r="O1638" s="87"/>
    </row>
    <row r="1639" spans="1:15" ht="15.75" hidden="1" x14ac:dyDescent="0.25">
      <c r="A1639" s="1" t="str">
        <f t="shared" si="80"/>
        <v>44654446543000CURRENTSAVINGSELF</v>
      </c>
      <c r="B1639" s="2">
        <v>44654</v>
      </c>
      <c r="C1639" s="2">
        <v>44654</v>
      </c>
      <c r="D1639" s="3" t="s">
        <v>1519</v>
      </c>
      <c r="E1639" s="3">
        <v>-3000</v>
      </c>
      <c r="F1639" s="3">
        <v>1</v>
      </c>
      <c r="G1639" s="3">
        <f t="shared" si="82"/>
        <v>3000</v>
      </c>
      <c r="H1639" s="3" t="s">
        <v>293</v>
      </c>
      <c r="I1639" s="1" t="s">
        <v>302</v>
      </c>
      <c r="J1639" s="1" t="s">
        <v>14</v>
      </c>
      <c r="K1639" s="1" t="s">
        <v>298</v>
      </c>
      <c r="L1639" s="1" t="s">
        <v>257</v>
      </c>
      <c r="M1639" s="1"/>
      <c r="N1639" s="1">
        <f t="shared" si="81"/>
        <v>4</v>
      </c>
      <c r="O1639" s="87"/>
    </row>
    <row r="1640" spans="1:15" ht="15.75" hidden="1" x14ac:dyDescent="0.25">
      <c r="A1640" s="1" t="str">
        <f t="shared" si="80"/>
        <v>44654446542000CURRENTSAVINGSELF</v>
      </c>
      <c r="B1640" s="2">
        <v>44654</v>
      </c>
      <c r="C1640" s="2">
        <v>44654</v>
      </c>
      <c r="D1640" s="3" t="s">
        <v>1939</v>
      </c>
      <c r="E1640" s="3">
        <v>-2000</v>
      </c>
      <c r="F1640" s="3">
        <v>1</v>
      </c>
      <c r="G1640" s="3">
        <f t="shared" si="82"/>
        <v>2000</v>
      </c>
      <c r="H1640" s="3" t="s">
        <v>293</v>
      </c>
      <c r="I1640" s="1" t="s">
        <v>302</v>
      </c>
      <c r="J1640" s="1" t="s">
        <v>14</v>
      </c>
      <c r="K1640" s="1" t="s">
        <v>298</v>
      </c>
      <c r="L1640" s="1" t="s">
        <v>257</v>
      </c>
      <c r="M1640" s="1"/>
      <c r="N1640" s="1">
        <f t="shared" si="81"/>
        <v>4</v>
      </c>
      <c r="O1640" s="87"/>
    </row>
    <row r="1641" spans="1:15" ht="15.75" hidden="1" x14ac:dyDescent="0.25">
      <c r="A1641" s="1" t="str">
        <f t="shared" si="80"/>
        <v>4465444654500CURRENTSAVINGARTI</v>
      </c>
      <c r="B1641" s="2">
        <v>44654</v>
      </c>
      <c r="C1641" s="2">
        <v>44654</v>
      </c>
      <c r="D1641" s="3" t="s">
        <v>1588</v>
      </c>
      <c r="E1641" s="3">
        <v>-500</v>
      </c>
      <c r="F1641" s="3">
        <v>1</v>
      </c>
      <c r="G1641" s="3">
        <f t="shared" si="82"/>
        <v>500</v>
      </c>
      <c r="H1641" s="3" t="s">
        <v>293</v>
      </c>
      <c r="I1641" s="1" t="s">
        <v>302</v>
      </c>
      <c r="J1641" s="1" t="s">
        <v>453</v>
      </c>
      <c r="K1641" s="1" t="s">
        <v>298</v>
      </c>
      <c r="L1641" s="1" t="s">
        <v>257</v>
      </c>
      <c r="M1641" s="1"/>
      <c r="N1641" s="1">
        <f t="shared" si="81"/>
        <v>4</v>
      </c>
      <c r="O1641" s="87"/>
    </row>
    <row r="1642" spans="1:15" ht="15.75" hidden="1" x14ac:dyDescent="0.25">
      <c r="A1642" s="1" t="str">
        <f t="shared" si="80"/>
        <v>44654446558MASTER CCFOODCAFÉ/REST.</v>
      </c>
      <c r="B1642" s="2">
        <v>44654</v>
      </c>
      <c r="C1642" s="2">
        <v>44655</v>
      </c>
      <c r="D1642" s="3" t="s">
        <v>2261</v>
      </c>
      <c r="E1642" s="3">
        <v>8</v>
      </c>
      <c r="F1642" s="3">
        <v>1</v>
      </c>
      <c r="G1642" s="3">
        <f t="shared" si="82"/>
        <v>8</v>
      </c>
      <c r="H1642" s="3" t="s">
        <v>291</v>
      </c>
      <c r="I1642" s="1" t="s">
        <v>10</v>
      </c>
      <c r="J1642" s="1" t="s">
        <v>11</v>
      </c>
      <c r="K1642" s="1" t="s">
        <v>298</v>
      </c>
      <c r="L1642" s="1" t="s">
        <v>267</v>
      </c>
      <c r="M1642" s="1"/>
      <c r="N1642" s="1">
        <f t="shared" si="81"/>
        <v>4</v>
      </c>
      <c r="O1642" s="87"/>
    </row>
    <row r="1643" spans="1:15" ht="15.75" hidden="1" x14ac:dyDescent="0.25">
      <c r="A1643" s="1" t="str">
        <f t="shared" si="80"/>
        <v>4465544655600CURRENTWITHDRAWSELF</v>
      </c>
      <c r="B1643" s="2">
        <v>44655</v>
      </c>
      <c r="C1643" s="2">
        <v>44655</v>
      </c>
      <c r="D1643" s="3" t="s">
        <v>2147</v>
      </c>
      <c r="E1643" s="3">
        <v>-600</v>
      </c>
      <c r="F1643" s="3">
        <v>1</v>
      </c>
      <c r="G1643" s="3">
        <f t="shared" si="82"/>
        <v>600</v>
      </c>
      <c r="H1643" s="3" t="s">
        <v>293</v>
      </c>
      <c r="I1643" s="1" t="s">
        <v>13</v>
      </c>
      <c r="J1643" s="1" t="s">
        <v>14</v>
      </c>
      <c r="K1643" s="1" t="s">
        <v>298</v>
      </c>
      <c r="L1643" s="1" t="s">
        <v>257</v>
      </c>
      <c r="M1643" s="1"/>
      <c r="N1643" s="1">
        <f t="shared" si="81"/>
        <v>4</v>
      </c>
      <c r="O1643" s="87"/>
    </row>
    <row r="1644" spans="1:15" ht="15.75" hidden="1" x14ac:dyDescent="0.25">
      <c r="A1644" s="1" t="str">
        <f t="shared" si="80"/>
        <v>446554465644DINERSGROCERYTOTAL FRESH</v>
      </c>
      <c r="B1644" s="2">
        <v>44655</v>
      </c>
      <c r="C1644" s="2">
        <v>44656</v>
      </c>
      <c r="D1644" s="3" t="s">
        <v>2178</v>
      </c>
      <c r="E1644" s="3">
        <v>44</v>
      </c>
      <c r="F1644" s="3">
        <v>1</v>
      </c>
      <c r="G1644" s="3">
        <f t="shared" si="82"/>
        <v>44</v>
      </c>
      <c r="H1644" s="3" t="s">
        <v>266</v>
      </c>
      <c r="I1644" s="1" t="s">
        <v>43</v>
      </c>
      <c r="J1644" s="1" t="s">
        <v>1394</v>
      </c>
      <c r="K1644" s="1" t="s">
        <v>298</v>
      </c>
      <c r="L1644" s="1" t="s">
        <v>267</v>
      </c>
      <c r="M1644" s="1"/>
      <c r="N1644" s="1">
        <f t="shared" si="81"/>
        <v>4</v>
      </c>
      <c r="O1644" s="87"/>
    </row>
    <row r="1645" spans="1:15" ht="15.75" hidden="1" x14ac:dyDescent="0.25">
      <c r="A1645" s="1" t="str">
        <f t="shared" si="80"/>
        <v>44656446561250CURRENTSAVINGSELF</v>
      </c>
      <c r="B1645" s="2">
        <v>44656</v>
      </c>
      <c r="C1645" s="2">
        <v>44656</v>
      </c>
      <c r="D1645" s="3" t="s">
        <v>1167</v>
      </c>
      <c r="E1645" s="3">
        <v>-1250</v>
      </c>
      <c r="F1645" s="3">
        <v>1</v>
      </c>
      <c r="G1645" s="3">
        <f t="shared" si="82"/>
        <v>1250</v>
      </c>
      <c r="H1645" s="3" t="s">
        <v>293</v>
      </c>
      <c r="I1645" s="1" t="s">
        <v>302</v>
      </c>
      <c r="J1645" s="1" t="s">
        <v>14</v>
      </c>
      <c r="K1645" s="1" t="s">
        <v>298</v>
      </c>
      <c r="L1645" s="1" t="s">
        <v>257</v>
      </c>
      <c r="M1645" s="1"/>
      <c r="N1645" s="1">
        <f t="shared" si="81"/>
        <v>4</v>
      </c>
      <c r="O1645" s="87"/>
    </row>
    <row r="1646" spans="1:15" ht="15.75" hidden="1" x14ac:dyDescent="0.25">
      <c r="A1646" s="1" t="str">
        <f t="shared" si="80"/>
        <v>446564465750DINERSTELECOMOOREDOO</v>
      </c>
      <c r="B1646" s="2">
        <v>44656</v>
      </c>
      <c r="C1646" s="2">
        <v>44657</v>
      </c>
      <c r="D1646" s="3" t="s">
        <v>2177</v>
      </c>
      <c r="E1646" s="3">
        <v>50</v>
      </c>
      <c r="F1646" s="3">
        <v>1</v>
      </c>
      <c r="G1646" s="3">
        <f t="shared" si="82"/>
        <v>50</v>
      </c>
      <c r="H1646" s="3" t="s">
        <v>266</v>
      </c>
      <c r="I1646" s="1" t="s">
        <v>58</v>
      </c>
      <c r="J1646" s="1" t="s">
        <v>59</v>
      </c>
      <c r="K1646" s="1" t="s">
        <v>298</v>
      </c>
      <c r="L1646" s="1" t="s">
        <v>267</v>
      </c>
      <c r="M1646" s="1"/>
      <c r="N1646" s="1">
        <f t="shared" si="81"/>
        <v>4</v>
      </c>
      <c r="O1646" s="87"/>
    </row>
    <row r="1647" spans="1:15" ht="15.75" hidden="1" x14ac:dyDescent="0.25">
      <c r="A1647" s="1" t="str">
        <f t="shared" si="80"/>
        <v>446574465959MASTER CCFOODCAFÉ/REST.</v>
      </c>
      <c r="B1647" s="2">
        <v>44657</v>
      </c>
      <c r="C1647" s="2">
        <v>44659</v>
      </c>
      <c r="D1647" s="3" t="s">
        <v>2259</v>
      </c>
      <c r="E1647" s="3">
        <v>59</v>
      </c>
      <c r="F1647" s="3">
        <v>1</v>
      </c>
      <c r="G1647" s="3">
        <f t="shared" si="82"/>
        <v>59</v>
      </c>
      <c r="H1647" s="3" t="s">
        <v>291</v>
      </c>
      <c r="I1647" s="1" t="s">
        <v>10</v>
      </c>
      <c r="J1647" s="1" t="s">
        <v>11</v>
      </c>
      <c r="K1647" s="1" t="s">
        <v>298</v>
      </c>
      <c r="L1647" s="1" t="s">
        <v>267</v>
      </c>
      <c r="M1647" s="1"/>
      <c r="N1647" s="1">
        <f t="shared" si="81"/>
        <v>4</v>
      </c>
      <c r="O1647" s="87"/>
    </row>
    <row r="1648" spans="1:15" ht="15.75" hidden="1" x14ac:dyDescent="0.25">
      <c r="A1648" s="1" t="str">
        <f t="shared" si="80"/>
        <v>446574465863.75MASTER CCMEDICALNASEEM AL</v>
      </c>
      <c r="B1648" s="2">
        <v>44657</v>
      </c>
      <c r="C1648" s="2">
        <v>44658</v>
      </c>
      <c r="D1648" s="3" t="s">
        <v>2258</v>
      </c>
      <c r="E1648" s="3">
        <v>63.75</v>
      </c>
      <c r="F1648" s="3">
        <v>1</v>
      </c>
      <c r="G1648" s="3">
        <f t="shared" si="82"/>
        <v>63.75</v>
      </c>
      <c r="H1648" s="3" t="s">
        <v>291</v>
      </c>
      <c r="I1648" s="1" t="s">
        <v>301</v>
      </c>
      <c r="J1648" s="1" t="s">
        <v>1000</v>
      </c>
      <c r="K1648" s="1" t="s">
        <v>298</v>
      </c>
      <c r="L1648" s="1" t="s">
        <v>267</v>
      </c>
      <c r="M1648" s="1"/>
      <c r="N1648" s="1">
        <f t="shared" si="81"/>
        <v>4</v>
      </c>
      <c r="O1648" s="87"/>
    </row>
    <row r="1649" spans="1:15" ht="15.75" hidden="1" x14ac:dyDescent="0.25">
      <c r="A1649" s="1" t="str">
        <f t="shared" si="80"/>
        <v>446574465870MASTER CCMEDICALNASEEM AL</v>
      </c>
      <c r="B1649" s="2">
        <v>44657</v>
      </c>
      <c r="C1649" s="2">
        <v>44658</v>
      </c>
      <c r="D1649" s="3" t="s">
        <v>2257</v>
      </c>
      <c r="E1649" s="3">
        <v>70</v>
      </c>
      <c r="F1649" s="3">
        <v>1</v>
      </c>
      <c r="G1649" s="3">
        <f t="shared" si="82"/>
        <v>70</v>
      </c>
      <c r="H1649" s="3" t="s">
        <v>291</v>
      </c>
      <c r="I1649" s="1" t="s">
        <v>301</v>
      </c>
      <c r="J1649" s="1" t="s">
        <v>1000</v>
      </c>
      <c r="K1649" s="1" t="s">
        <v>298</v>
      </c>
      <c r="L1649" s="1" t="s">
        <v>267</v>
      </c>
      <c r="M1649" s="1"/>
      <c r="N1649" s="1">
        <f t="shared" si="81"/>
        <v>4</v>
      </c>
      <c r="O1649" s="87"/>
    </row>
    <row r="1650" spans="1:15" ht="15.75" hidden="1" x14ac:dyDescent="0.25">
      <c r="A1650" s="1" t="str">
        <f t="shared" si="80"/>
        <v>44657446596.9MASTER CCTRANSPORTCAREEM</v>
      </c>
      <c r="B1650" s="2">
        <v>44657</v>
      </c>
      <c r="C1650" s="2">
        <v>44659</v>
      </c>
      <c r="D1650" s="3" t="s">
        <v>2260</v>
      </c>
      <c r="E1650" s="3">
        <v>6.9</v>
      </c>
      <c r="F1650" s="3">
        <v>1</v>
      </c>
      <c r="G1650" s="3">
        <f t="shared" si="82"/>
        <v>6.9</v>
      </c>
      <c r="H1650" s="3" t="s">
        <v>291</v>
      </c>
      <c r="I1650" s="1" t="s">
        <v>296</v>
      </c>
      <c r="J1650" s="1" t="s">
        <v>297</v>
      </c>
      <c r="K1650" s="1" t="s">
        <v>298</v>
      </c>
      <c r="L1650" s="1" t="s">
        <v>267</v>
      </c>
      <c r="M1650" s="1"/>
      <c r="N1650" s="1">
        <f t="shared" si="81"/>
        <v>4</v>
      </c>
      <c r="O1650" s="87"/>
    </row>
    <row r="1651" spans="1:15" ht="15.75" hidden="1" x14ac:dyDescent="0.25">
      <c r="A1651" s="1" t="str">
        <f t="shared" si="80"/>
        <v>4465844661159.5MASTER CCGROCERYINDIAN SUPER</v>
      </c>
      <c r="B1651" s="2">
        <v>44658</v>
      </c>
      <c r="C1651" s="2">
        <v>44661</v>
      </c>
      <c r="D1651" s="3" t="s">
        <v>2254</v>
      </c>
      <c r="E1651" s="3">
        <v>159.5</v>
      </c>
      <c r="F1651" s="3">
        <v>1</v>
      </c>
      <c r="G1651" s="3">
        <f t="shared" si="82"/>
        <v>159.5</v>
      </c>
      <c r="H1651" s="3" t="s">
        <v>291</v>
      </c>
      <c r="I1651" s="1" t="s">
        <v>43</v>
      </c>
      <c r="J1651" s="1" t="s">
        <v>2273</v>
      </c>
      <c r="K1651" s="1" t="s">
        <v>298</v>
      </c>
      <c r="L1651" s="1" t="s">
        <v>267</v>
      </c>
      <c r="M1651" s="1"/>
      <c r="N1651" s="1">
        <f t="shared" si="81"/>
        <v>4</v>
      </c>
      <c r="O1651" s="87"/>
    </row>
    <row r="1652" spans="1:15" ht="15.75" hidden="1" x14ac:dyDescent="0.25">
      <c r="A1652" s="1" t="str">
        <f t="shared" si="80"/>
        <v>446584466376.5MASTER CCMEDICALNASEEM AL</v>
      </c>
      <c r="B1652" s="2">
        <v>44658</v>
      </c>
      <c r="C1652" s="2">
        <v>44663</v>
      </c>
      <c r="D1652" s="3" t="s">
        <v>2252</v>
      </c>
      <c r="E1652" s="3">
        <v>76.5</v>
      </c>
      <c r="F1652" s="3">
        <v>1</v>
      </c>
      <c r="G1652" s="3">
        <f t="shared" si="82"/>
        <v>76.5</v>
      </c>
      <c r="H1652" s="3" t="s">
        <v>291</v>
      </c>
      <c r="I1652" s="1" t="s">
        <v>301</v>
      </c>
      <c r="J1652" s="1" t="s">
        <v>1000</v>
      </c>
      <c r="K1652" s="1" t="s">
        <v>298</v>
      </c>
      <c r="L1652" s="1" t="s">
        <v>267</v>
      </c>
      <c r="M1652" s="1"/>
      <c r="N1652" s="1">
        <f t="shared" si="81"/>
        <v>4</v>
      </c>
      <c r="O1652" s="87"/>
    </row>
    <row r="1653" spans="1:15" ht="15.75" hidden="1" x14ac:dyDescent="0.25">
      <c r="A1653" s="1" t="str">
        <f t="shared" si="80"/>
        <v>44658446605.6MASTER CCTRANSPORTCAREEM</v>
      </c>
      <c r="B1653" s="2">
        <v>44658</v>
      </c>
      <c r="C1653" s="2">
        <v>44660</v>
      </c>
      <c r="D1653" s="3" t="s">
        <v>2255</v>
      </c>
      <c r="E1653" s="3">
        <v>5.6</v>
      </c>
      <c r="F1653" s="3">
        <v>1</v>
      </c>
      <c r="G1653" s="3">
        <f t="shared" si="82"/>
        <v>5.6</v>
      </c>
      <c r="H1653" s="3" t="s">
        <v>291</v>
      </c>
      <c r="I1653" s="1" t="s">
        <v>296</v>
      </c>
      <c r="J1653" s="1" t="s">
        <v>297</v>
      </c>
      <c r="K1653" s="1" t="s">
        <v>298</v>
      </c>
      <c r="L1653" s="1" t="s">
        <v>267</v>
      </c>
      <c r="M1653" s="1"/>
      <c r="N1653" s="1">
        <f t="shared" si="81"/>
        <v>4</v>
      </c>
      <c r="O1653" s="87"/>
    </row>
    <row r="1654" spans="1:15" ht="15.75" hidden="1" x14ac:dyDescent="0.25">
      <c r="A1654" s="1" t="str">
        <f t="shared" si="80"/>
        <v>44658446609.3MASTER CCTRANSPORTCAREEM</v>
      </c>
      <c r="B1654" s="2">
        <v>44658</v>
      </c>
      <c r="C1654" s="2">
        <v>44660</v>
      </c>
      <c r="D1654" s="3" t="s">
        <v>2251</v>
      </c>
      <c r="E1654" s="3">
        <v>9.3000000000000007</v>
      </c>
      <c r="F1654" s="3">
        <v>1</v>
      </c>
      <c r="G1654" s="3">
        <f t="shared" si="82"/>
        <v>9.3000000000000007</v>
      </c>
      <c r="H1654" s="3" t="s">
        <v>291</v>
      </c>
      <c r="I1654" s="1" t="s">
        <v>296</v>
      </c>
      <c r="J1654" s="1" t="s">
        <v>297</v>
      </c>
      <c r="K1654" s="1" t="s">
        <v>298</v>
      </c>
      <c r="L1654" s="1" t="s">
        <v>267</v>
      </c>
      <c r="M1654" s="1"/>
      <c r="N1654" s="1">
        <f t="shared" si="81"/>
        <v>4</v>
      </c>
      <c r="O1654" s="87"/>
    </row>
    <row r="1655" spans="1:15" ht="15.75" hidden="1" x14ac:dyDescent="0.25">
      <c r="A1655" s="1" t="str">
        <f t="shared" si="80"/>
        <v>44658446608.4MASTER CCTRANSPORTCAREEM</v>
      </c>
      <c r="B1655" s="2">
        <v>44658</v>
      </c>
      <c r="C1655" s="2">
        <v>44660</v>
      </c>
      <c r="D1655" s="3" t="s">
        <v>2253</v>
      </c>
      <c r="E1655" s="3">
        <v>8.4</v>
      </c>
      <c r="F1655" s="3">
        <v>1</v>
      </c>
      <c r="G1655" s="3">
        <f t="shared" si="82"/>
        <v>8.4</v>
      </c>
      <c r="H1655" s="3" t="s">
        <v>291</v>
      </c>
      <c r="I1655" s="1" t="s">
        <v>296</v>
      </c>
      <c r="J1655" s="1" t="s">
        <v>297</v>
      </c>
      <c r="K1655" s="1" t="s">
        <v>298</v>
      </c>
      <c r="L1655" s="1" t="s">
        <v>267</v>
      </c>
      <c r="M1655" s="1"/>
      <c r="N1655" s="1">
        <f t="shared" si="81"/>
        <v>4</v>
      </c>
      <c r="O1655" s="87"/>
    </row>
    <row r="1656" spans="1:15" ht="15.75" hidden="1" x14ac:dyDescent="0.25">
      <c r="A1656" s="1" t="str">
        <f t="shared" si="80"/>
        <v>446584466013.7MASTER CCTRANSPORTCAREEM</v>
      </c>
      <c r="B1656" s="2">
        <v>44658</v>
      </c>
      <c r="C1656" s="2">
        <v>44660</v>
      </c>
      <c r="D1656" s="3" t="s">
        <v>2256</v>
      </c>
      <c r="E1656" s="3">
        <v>13.7</v>
      </c>
      <c r="F1656" s="3">
        <v>1</v>
      </c>
      <c r="G1656" s="3">
        <f t="shared" si="82"/>
        <v>13.7</v>
      </c>
      <c r="H1656" s="3" t="s">
        <v>291</v>
      </c>
      <c r="I1656" s="1" t="s">
        <v>296</v>
      </c>
      <c r="J1656" s="1" t="s">
        <v>297</v>
      </c>
      <c r="K1656" s="1" t="s">
        <v>298</v>
      </c>
      <c r="L1656" s="1" t="s">
        <v>267</v>
      </c>
      <c r="M1656" s="1"/>
      <c r="N1656" s="1">
        <f t="shared" si="81"/>
        <v>4</v>
      </c>
      <c r="O1656" s="87"/>
    </row>
    <row r="1657" spans="1:15" ht="15.75" hidden="1" x14ac:dyDescent="0.25">
      <c r="A1657" s="1" t="str">
        <f t="shared" si="80"/>
        <v>446584465967.2DINERSGROCERYSHOPRITE</v>
      </c>
      <c r="B1657" s="2">
        <v>44658</v>
      </c>
      <c r="C1657" s="2">
        <v>44659</v>
      </c>
      <c r="D1657" s="3" t="s">
        <v>2176</v>
      </c>
      <c r="E1657" s="3">
        <v>67.2</v>
      </c>
      <c r="F1657" s="3">
        <v>1</v>
      </c>
      <c r="G1657" s="3">
        <f t="shared" si="82"/>
        <v>67.2</v>
      </c>
      <c r="H1657" s="3" t="s">
        <v>266</v>
      </c>
      <c r="I1657" s="1" t="s">
        <v>43</v>
      </c>
      <c r="J1657" s="1" t="s">
        <v>1681</v>
      </c>
      <c r="K1657" s="1" t="s">
        <v>298</v>
      </c>
      <c r="L1657" s="1" t="s">
        <v>267</v>
      </c>
      <c r="M1657" s="1"/>
      <c r="N1657" s="1">
        <f t="shared" si="81"/>
        <v>4</v>
      </c>
      <c r="O1657" s="87"/>
    </row>
    <row r="1658" spans="1:15" ht="15.75" hidden="1" x14ac:dyDescent="0.25">
      <c r="A1658" s="1" t="str">
        <f t="shared" si="80"/>
        <v>4465944659250DINERSRENTVODAFONE</v>
      </c>
      <c r="B1658" s="2">
        <v>44659</v>
      </c>
      <c r="C1658" s="2">
        <v>44659</v>
      </c>
      <c r="D1658" s="3" t="s">
        <v>2172</v>
      </c>
      <c r="E1658" s="3">
        <v>250</v>
      </c>
      <c r="F1658" s="3">
        <v>1</v>
      </c>
      <c r="G1658" s="3">
        <f t="shared" si="82"/>
        <v>250</v>
      </c>
      <c r="H1658" s="3" t="s">
        <v>266</v>
      </c>
      <c r="I1658" s="1" t="s">
        <v>83</v>
      </c>
      <c r="J1658" s="1" t="s">
        <v>78</v>
      </c>
      <c r="K1658" s="1" t="s">
        <v>298</v>
      </c>
      <c r="L1658" s="1" t="s">
        <v>267</v>
      </c>
      <c r="M1658" s="1"/>
      <c r="N1658" s="1">
        <f t="shared" si="81"/>
        <v>4</v>
      </c>
      <c r="O1658" s="87"/>
    </row>
    <row r="1659" spans="1:15" ht="15.75" hidden="1" x14ac:dyDescent="0.25">
      <c r="A1659" s="1" t="str">
        <f t="shared" si="80"/>
        <v>446594465940DINERSRENTKAHRAMAA</v>
      </c>
      <c r="B1659" s="2">
        <v>44659</v>
      </c>
      <c r="C1659" s="2">
        <v>44659</v>
      </c>
      <c r="D1659" s="3" t="s">
        <v>2173</v>
      </c>
      <c r="E1659" s="3">
        <v>40</v>
      </c>
      <c r="F1659" s="3">
        <v>1</v>
      </c>
      <c r="G1659" s="3">
        <f t="shared" si="82"/>
        <v>40</v>
      </c>
      <c r="H1659" s="3" t="s">
        <v>266</v>
      </c>
      <c r="I1659" s="1" t="s">
        <v>83</v>
      </c>
      <c r="J1659" s="1" t="s">
        <v>4113</v>
      </c>
      <c r="K1659" s="1" t="s">
        <v>298</v>
      </c>
      <c r="L1659" s="1" t="s">
        <v>267</v>
      </c>
      <c r="M1659" s="1"/>
      <c r="N1659" s="1">
        <f t="shared" si="81"/>
        <v>4</v>
      </c>
      <c r="O1659" s="87"/>
    </row>
    <row r="1660" spans="1:15" ht="15.75" hidden="1" x14ac:dyDescent="0.25">
      <c r="A1660" s="1" t="str">
        <f t="shared" si="80"/>
        <v>4465944663244.66DINERSEDUCATIONGODADDY</v>
      </c>
      <c r="B1660" s="2">
        <v>44659</v>
      </c>
      <c r="C1660" s="2">
        <v>44663</v>
      </c>
      <c r="D1660" s="3" t="s">
        <v>2174</v>
      </c>
      <c r="E1660" s="3">
        <v>244.66</v>
      </c>
      <c r="F1660" s="3">
        <v>1</v>
      </c>
      <c r="G1660" s="3">
        <f t="shared" si="82"/>
        <v>244.66</v>
      </c>
      <c r="H1660" s="3" t="s">
        <v>266</v>
      </c>
      <c r="I1660" s="1" t="s">
        <v>543</v>
      </c>
      <c r="J1660" s="1" t="s">
        <v>589</v>
      </c>
      <c r="K1660" s="1" t="s">
        <v>298</v>
      </c>
      <c r="L1660" s="1" t="s">
        <v>267</v>
      </c>
      <c r="M1660" s="1"/>
      <c r="N1660" s="1">
        <f t="shared" si="81"/>
        <v>4</v>
      </c>
      <c r="O1660" s="87"/>
    </row>
    <row r="1661" spans="1:15" ht="15.75" hidden="1" x14ac:dyDescent="0.25">
      <c r="A1661" s="1" t="str">
        <f t="shared" si="80"/>
        <v>446594466026.5DINERSGROCERYTOTAL FRESH</v>
      </c>
      <c r="B1661" s="2">
        <v>44659</v>
      </c>
      <c r="C1661" s="2">
        <v>44660</v>
      </c>
      <c r="D1661" s="3" t="s">
        <v>2175</v>
      </c>
      <c r="E1661" s="3">
        <v>26.5</v>
      </c>
      <c r="F1661" s="3">
        <v>1</v>
      </c>
      <c r="G1661" s="3">
        <f t="shared" si="82"/>
        <v>26.5</v>
      </c>
      <c r="H1661" s="3" t="s">
        <v>266</v>
      </c>
      <c r="I1661" s="1" t="s">
        <v>43</v>
      </c>
      <c r="J1661" s="1" t="s">
        <v>1394</v>
      </c>
      <c r="K1661" s="1" t="s">
        <v>298</v>
      </c>
      <c r="L1661" s="1" t="s">
        <v>267</v>
      </c>
      <c r="M1661" s="1"/>
      <c r="N1661" s="1">
        <f t="shared" si="81"/>
        <v>4</v>
      </c>
      <c r="O1661" s="87"/>
    </row>
    <row r="1662" spans="1:15" ht="15.75" hidden="1" x14ac:dyDescent="0.25">
      <c r="A1662" s="1" t="str">
        <f t="shared" si="80"/>
        <v>446604466213.8MASTER CCTRANSPORTCAREEM</v>
      </c>
      <c r="B1662" s="2">
        <v>44660</v>
      </c>
      <c r="C1662" s="2">
        <v>44662</v>
      </c>
      <c r="D1662" s="3" t="s">
        <v>2248</v>
      </c>
      <c r="E1662" s="3">
        <v>13.8</v>
      </c>
      <c r="F1662" s="3">
        <v>1</v>
      </c>
      <c r="G1662" s="3">
        <f t="shared" si="82"/>
        <v>13.8</v>
      </c>
      <c r="H1662" s="3" t="s">
        <v>291</v>
      </c>
      <c r="I1662" s="1" t="s">
        <v>296</v>
      </c>
      <c r="J1662" s="1" t="s">
        <v>297</v>
      </c>
      <c r="K1662" s="1" t="s">
        <v>298</v>
      </c>
      <c r="L1662" s="1" t="s">
        <v>267</v>
      </c>
      <c r="M1662" s="1"/>
      <c r="N1662" s="1">
        <f t="shared" si="81"/>
        <v>4</v>
      </c>
      <c r="O1662" s="87"/>
    </row>
    <row r="1663" spans="1:15" ht="15.75" hidden="1" x14ac:dyDescent="0.25">
      <c r="A1663" s="1" t="str">
        <f t="shared" si="80"/>
        <v>44660446627.5MASTER CCTRANSPORTCAREEM</v>
      </c>
      <c r="B1663" s="2">
        <v>44660</v>
      </c>
      <c r="C1663" s="2">
        <v>44662</v>
      </c>
      <c r="D1663" s="3" t="s">
        <v>2249</v>
      </c>
      <c r="E1663" s="3">
        <v>7.5</v>
      </c>
      <c r="F1663" s="3">
        <v>1</v>
      </c>
      <c r="G1663" s="3">
        <f t="shared" si="82"/>
        <v>7.5</v>
      </c>
      <c r="H1663" s="3" t="s">
        <v>291</v>
      </c>
      <c r="I1663" s="1" t="s">
        <v>296</v>
      </c>
      <c r="J1663" s="1" t="s">
        <v>297</v>
      </c>
      <c r="K1663" s="1" t="s">
        <v>298</v>
      </c>
      <c r="L1663" s="1" t="s">
        <v>267</v>
      </c>
      <c r="M1663" s="1"/>
      <c r="N1663" s="1">
        <f t="shared" si="81"/>
        <v>4</v>
      </c>
      <c r="O1663" s="87"/>
    </row>
    <row r="1664" spans="1:15" ht="15.75" hidden="1" x14ac:dyDescent="0.25">
      <c r="A1664" s="1" t="str">
        <f t="shared" si="80"/>
        <v>446604466212.2MASTER CCTRANSPORTCAREEM</v>
      </c>
      <c r="B1664" s="2">
        <v>44660</v>
      </c>
      <c r="C1664" s="2">
        <v>44662</v>
      </c>
      <c r="D1664" s="3" t="s">
        <v>2247</v>
      </c>
      <c r="E1664" s="3">
        <v>12.2</v>
      </c>
      <c r="F1664" s="3">
        <v>1</v>
      </c>
      <c r="G1664" s="3">
        <f t="shared" si="82"/>
        <v>12.2</v>
      </c>
      <c r="H1664" s="3" t="s">
        <v>291</v>
      </c>
      <c r="I1664" s="1" t="s">
        <v>296</v>
      </c>
      <c r="J1664" s="1" t="s">
        <v>297</v>
      </c>
      <c r="K1664" s="1" t="s">
        <v>298</v>
      </c>
      <c r="L1664" s="1" t="s">
        <v>267</v>
      </c>
      <c r="M1664" s="1"/>
      <c r="N1664" s="1">
        <f t="shared" si="81"/>
        <v>4</v>
      </c>
      <c r="O1664" s="87"/>
    </row>
    <row r="1665" spans="1:15" ht="15.75" hidden="1" x14ac:dyDescent="0.25">
      <c r="A1665" s="1" t="str">
        <f t="shared" si="80"/>
        <v>44660446628.4MASTER CCTRANSPORTCAREEM</v>
      </c>
      <c r="B1665" s="2">
        <v>44660</v>
      </c>
      <c r="C1665" s="2">
        <v>44662</v>
      </c>
      <c r="D1665" s="3" t="s">
        <v>2250</v>
      </c>
      <c r="E1665" s="3">
        <v>8.4</v>
      </c>
      <c r="F1665" s="3">
        <v>1</v>
      </c>
      <c r="G1665" s="3">
        <f t="shared" si="82"/>
        <v>8.4</v>
      </c>
      <c r="H1665" s="3" t="s">
        <v>291</v>
      </c>
      <c r="I1665" s="1" t="s">
        <v>296</v>
      </c>
      <c r="J1665" s="1" t="s">
        <v>297</v>
      </c>
      <c r="K1665" s="1" t="s">
        <v>298</v>
      </c>
      <c r="L1665" s="1" t="s">
        <v>267</v>
      </c>
      <c r="M1665" s="1"/>
      <c r="N1665" s="1">
        <f t="shared" si="81"/>
        <v>4</v>
      </c>
      <c r="O1665" s="87"/>
    </row>
    <row r="1666" spans="1:15" ht="15.75" hidden="1" x14ac:dyDescent="0.25">
      <c r="A1666" s="1" t="str">
        <f t="shared" ref="A1666:A1729" si="83">B1666&amp;C1666&amp;G1666&amp;H1666&amp;I1666&amp;J1666</f>
        <v>4466044661138DINERSGROCERYLULU</v>
      </c>
      <c r="B1666" s="2">
        <v>44660</v>
      </c>
      <c r="C1666" s="2">
        <v>44661</v>
      </c>
      <c r="D1666" s="3" t="s">
        <v>2168</v>
      </c>
      <c r="E1666" s="3">
        <v>138</v>
      </c>
      <c r="F1666" s="3">
        <v>1</v>
      </c>
      <c r="G1666" s="3">
        <f t="shared" si="82"/>
        <v>138</v>
      </c>
      <c r="H1666" s="3" t="s">
        <v>266</v>
      </c>
      <c r="I1666" s="1" t="s">
        <v>43</v>
      </c>
      <c r="J1666" s="1" t="s">
        <v>44</v>
      </c>
      <c r="K1666" s="1" t="s">
        <v>298</v>
      </c>
      <c r="L1666" s="1" t="s">
        <v>267</v>
      </c>
      <c r="M1666" s="1"/>
      <c r="N1666" s="1">
        <f t="shared" ref="N1666:N1729" si="84">MONTH(C1666)</f>
        <v>4</v>
      </c>
      <c r="O1666" s="87"/>
    </row>
    <row r="1667" spans="1:15" ht="15.75" hidden="1" x14ac:dyDescent="0.25">
      <c r="A1667" s="1" t="str">
        <f t="shared" si="83"/>
        <v>446604466174DINERSGROCERYLULU</v>
      </c>
      <c r="B1667" s="2">
        <v>44660</v>
      </c>
      <c r="C1667" s="2">
        <v>44661</v>
      </c>
      <c r="D1667" s="3" t="s">
        <v>2169</v>
      </c>
      <c r="E1667" s="3">
        <v>74</v>
      </c>
      <c r="F1667" s="3">
        <v>1</v>
      </c>
      <c r="G1667" s="3">
        <f t="shared" si="82"/>
        <v>74</v>
      </c>
      <c r="H1667" s="3" t="s">
        <v>266</v>
      </c>
      <c r="I1667" s="1" t="s">
        <v>43</v>
      </c>
      <c r="J1667" s="1" t="s">
        <v>44</v>
      </c>
      <c r="K1667" s="1" t="s">
        <v>298</v>
      </c>
      <c r="L1667" s="1" t="s">
        <v>267</v>
      </c>
      <c r="M1667" s="1"/>
      <c r="N1667" s="1">
        <f t="shared" si="84"/>
        <v>4</v>
      </c>
      <c r="O1667" s="87"/>
    </row>
    <row r="1668" spans="1:15" ht="15.75" hidden="1" x14ac:dyDescent="0.25">
      <c r="A1668" s="1" t="str">
        <f t="shared" si="83"/>
        <v>4466044661110.53DINERSGROCERYLULU</v>
      </c>
      <c r="B1668" s="2">
        <v>44660</v>
      </c>
      <c r="C1668" s="2">
        <v>44661</v>
      </c>
      <c r="D1668" s="3" t="s">
        <v>2170</v>
      </c>
      <c r="E1668" s="3">
        <v>110.53</v>
      </c>
      <c r="F1668" s="3">
        <v>1</v>
      </c>
      <c r="G1668" s="3">
        <f t="shared" si="82"/>
        <v>110.53</v>
      </c>
      <c r="H1668" s="3" t="s">
        <v>266</v>
      </c>
      <c r="I1668" s="1" t="s">
        <v>43</v>
      </c>
      <c r="J1668" s="1" t="s">
        <v>44</v>
      </c>
      <c r="K1668" s="1" t="s">
        <v>298</v>
      </c>
      <c r="L1668" s="1" t="s">
        <v>267</v>
      </c>
      <c r="M1668" s="1"/>
      <c r="N1668" s="1">
        <f t="shared" si="84"/>
        <v>4</v>
      </c>
      <c r="O1668" s="87"/>
    </row>
    <row r="1669" spans="1:15" ht="15.75" hidden="1" x14ac:dyDescent="0.25">
      <c r="A1669" s="1" t="str">
        <f t="shared" si="83"/>
        <v>446604466132DINERSGROCERYTOTAL FRESH</v>
      </c>
      <c r="B1669" s="2">
        <v>44660</v>
      </c>
      <c r="C1669" s="2">
        <v>44661</v>
      </c>
      <c r="D1669" s="3" t="s">
        <v>2171</v>
      </c>
      <c r="E1669" s="3">
        <v>32</v>
      </c>
      <c r="F1669" s="3">
        <v>1</v>
      </c>
      <c r="G1669" s="3">
        <f t="shared" si="82"/>
        <v>32</v>
      </c>
      <c r="H1669" s="3" t="s">
        <v>266</v>
      </c>
      <c r="I1669" s="1" t="s">
        <v>43</v>
      </c>
      <c r="J1669" s="1" t="s">
        <v>1394</v>
      </c>
      <c r="K1669" s="1" t="s">
        <v>298</v>
      </c>
      <c r="L1669" s="1" t="s">
        <v>267</v>
      </c>
      <c r="M1669" s="1"/>
      <c r="N1669" s="1">
        <f t="shared" si="84"/>
        <v>4</v>
      </c>
      <c r="O1669" s="87"/>
    </row>
    <row r="1670" spans="1:15" ht="15.75" hidden="1" x14ac:dyDescent="0.25">
      <c r="A1670" s="1" t="str">
        <f t="shared" si="83"/>
        <v>44661446638.3MASTER CCTRANSPORTCAREEM</v>
      </c>
      <c r="B1670" s="2">
        <v>44661</v>
      </c>
      <c r="C1670" s="2">
        <v>44663</v>
      </c>
      <c r="D1670" s="3" t="s">
        <v>2246</v>
      </c>
      <c r="E1670" s="3">
        <v>8.3000000000000007</v>
      </c>
      <c r="F1670" s="3">
        <v>1</v>
      </c>
      <c r="G1670" s="3">
        <f t="shared" si="82"/>
        <v>8.3000000000000007</v>
      </c>
      <c r="H1670" s="3" t="s">
        <v>291</v>
      </c>
      <c r="I1670" s="1" t="s">
        <v>296</v>
      </c>
      <c r="J1670" s="1" t="s">
        <v>297</v>
      </c>
      <c r="K1670" s="1" t="s">
        <v>298</v>
      </c>
      <c r="L1670" s="1" t="s">
        <v>267</v>
      </c>
      <c r="M1670" s="1"/>
      <c r="N1670" s="1">
        <f t="shared" si="84"/>
        <v>4</v>
      </c>
      <c r="O1670" s="87"/>
    </row>
    <row r="1671" spans="1:15" ht="15.75" hidden="1" x14ac:dyDescent="0.25">
      <c r="A1671" s="1" t="str">
        <f t="shared" si="83"/>
        <v>44661446611221.75CURRENTTRANSFERINDIA</v>
      </c>
      <c r="B1671" s="2">
        <v>44661</v>
      </c>
      <c r="C1671" s="2">
        <v>44661</v>
      </c>
      <c r="D1671" s="3" t="s">
        <v>694</v>
      </c>
      <c r="E1671" s="3">
        <v>-1221.75</v>
      </c>
      <c r="F1671" s="3">
        <v>1</v>
      </c>
      <c r="G1671" s="3">
        <f t="shared" si="82"/>
        <v>1221.75</v>
      </c>
      <c r="H1671" s="3" t="s">
        <v>293</v>
      </c>
      <c r="I1671" s="1" t="s">
        <v>22</v>
      </c>
      <c r="J1671" s="1" t="s">
        <v>23</v>
      </c>
      <c r="K1671" s="1" t="s">
        <v>298</v>
      </c>
      <c r="L1671" s="1" t="s">
        <v>257</v>
      </c>
      <c r="M1671" s="1"/>
      <c r="N1671" s="1">
        <f t="shared" si="84"/>
        <v>4</v>
      </c>
      <c r="O1671" s="87"/>
    </row>
    <row r="1672" spans="1:15" ht="15.75" hidden="1" x14ac:dyDescent="0.25">
      <c r="A1672" s="1" t="str">
        <f t="shared" si="83"/>
        <v>44661446638.74DINERSTRANSPORTUBER</v>
      </c>
      <c r="B1672" s="2">
        <v>44661</v>
      </c>
      <c r="C1672" s="2">
        <v>44663</v>
      </c>
      <c r="D1672" s="3" t="s">
        <v>2167</v>
      </c>
      <c r="E1672" s="3">
        <v>8.74</v>
      </c>
      <c r="F1672" s="3">
        <v>1</v>
      </c>
      <c r="G1672" s="3">
        <f t="shared" si="82"/>
        <v>8.74</v>
      </c>
      <c r="H1672" s="3" t="s">
        <v>266</v>
      </c>
      <c r="I1672" s="1" t="s">
        <v>296</v>
      </c>
      <c r="J1672" s="1" t="s">
        <v>299</v>
      </c>
      <c r="K1672" s="1" t="s">
        <v>298</v>
      </c>
      <c r="L1672" s="1" t="s">
        <v>267</v>
      </c>
      <c r="M1672" s="1"/>
      <c r="N1672" s="1">
        <f t="shared" si="84"/>
        <v>4</v>
      </c>
      <c r="O1672" s="87"/>
    </row>
    <row r="1673" spans="1:15" ht="15.75" hidden="1" x14ac:dyDescent="0.25">
      <c r="A1673" s="1" t="str">
        <f t="shared" si="83"/>
        <v>446624466410.9MASTER CCTRANSPORTCAREEM</v>
      </c>
      <c r="B1673" s="2">
        <v>44662</v>
      </c>
      <c r="C1673" s="2">
        <v>44664</v>
      </c>
      <c r="D1673" s="3" t="s">
        <v>2245</v>
      </c>
      <c r="E1673" s="3">
        <v>10.9</v>
      </c>
      <c r="F1673" s="3">
        <v>1</v>
      </c>
      <c r="G1673" s="3">
        <f t="shared" si="82"/>
        <v>10.9</v>
      </c>
      <c r="H1673" s="3" t="s">
        <v>291</v>
      </c>
      <c r="I1673" s="1" t="s">
        <v>296</v>
      </c>
      <c r="J1673" s="1" t="s">
        <v>297</v>
      </c>
      <c r="K1673" s="1" t="s">
        <v>298</v>
      </c>
      <c r="L1673" s="1" t="s">
        <v>267</v>
      </c>
      <c r="M1673" s="1"/>
      <c r="N1673" s="1">
        <f t="shared" si="84"/>
        <v>4</v>
      </c>
      <c r="O1673" s="87"/>
    </row>
    <row r="1674" spans="1:15" ht="15.75" hidden="1" x14ac:dyDescent="0.25">
      <c r="A1674" s="1" t="str">
        <f t="shared" si="83"/>
        <v>44662446648.97DINERSTRANSPORTUBER</v>
      </c>
      <c r="B1674" s="2">
        <v>44662</v>
      </c>
      <c r="C1674" s="2">
        <v>44664</v>
      </c>
      <c r="D1674" s="3" t="s">
        <v>2164</v>
      </c>
      <c r="E1674" s="3">
        <v>8.9700000000000006</v>
      </c>
      <c r="F1674" s="3">
        <v>1</v>
      </c>
      <c r="G1674" s="3">
        <f t="shared" si="82"/>
        <v>8.9700000000000006</v>
      </c>
      <c r="H1674" s="3" t="s">
        <v>266</v>
      </c>
      <c r="I1674" s="1" t="s">
        <v>296</v>
      </c>
      <c r="J1674" s="1" t="s">
        <v>299</v>
      </c>
      <c r="K1674" s="1" t="s">
        <v>298</v>
      </c>
      <c r="L1674" s="1" t="s">
        <v>267</v>
      </c>
      <c r="M1674" s="1"/>
      <c r="N1674" s="1">
        <f t="shared" si="84"/>
        <v>4</v>
      </c>
      <c r="O1674" s="87"/>
    </row>
    <row r="1675" spans="1:15" ht="15.75" hidden="1" x14ac:dyDescent="0.25">
      <c r="A1675" s="1" t="str">
        <f t="shared" si="83"/>
        <v>44662446632399DINERSRENTDOHA CITY</v>
      </c>
      <c r="B1675" s="2">
        <v>44662</v>
      </c>
      <c r="C1675" s="2">
        <v>44663</v>
      </c>
      <c r="D1675" s="3" t="s">
        <v>2165</v>
      </c>
      <c r="E1675" s="3">
        <v>2399</v>
      </c>
      <c r="F1675" s="3">
        <v>1</v>
      </c>
      <c r="G1675" s="3">
        <f t="shared" ref="G1675:G1738" si="85">ABS(E1675)*F1675</f>
        <v>2399</v>
      </c>
      <c r="H1675" s="3" t="s">
        <v>266</v>
      </c>
      <c r="I1675" s="1" t="s">
        <v>83</v>
      </c>
      <c r="J1675" s="1" t="s">
        <v>2268</v>
      </c>
      <c r="K1675" s="1" t="s">
        <v>298</v>
      </c>
      <c r="L1675" s="1" t="s">
        <v>267</v>
      </c>
      <c r="M1675" s="1"/>
      <c r="N1675" s="1">
        <f t="shared" si="84"/>
        <v>4</v>
      </c>
      <c r="O1675" s="87"/>
    </row>
    <row r="1676" spans="1:15" ht="15.75" hidden="1" x14ac:dyDescent="0.25">
      <c r="A1676" s="1" t="str">
        <f t="shared" si="83"/>
        <v>446624466338.75DINERSRENTDOHA CITY</v>
      </c>
      <c r="B1676" s="2">
        <v>44662</v>
      </c>
      <c r="C1676" s="2">
        <v>44663</v>
      </c>
      <c r="D1676" s="3" t="s">
        <v>2166</v>
      </c>
      <c r="E1676" s="3">
        <v>38.75</v>
      </c>
      <c r="F1676" s="3">
        <v>1</v>
      </c>
      <c r="G1676" s="3">
        <f t="shared" si="85"/>
        <v>38.75</v>
      </c>
      <c r="H1676" s="3" t="s">
        <v>266</v>
      </c>
      <c r="I1676" s="1" t="s">
        <v>83</v>
      </c>
      <c r="J1676" s="1" t="s">
        <v>2268</v>
      </c>
      <c r="K1676" s="1" t="s">
        <v>298</v>
      </c>
      <c r="L1676" s="1" t="s">
        <v>267</v>
      </c>
      <c r="M1676" s="1"/>
      <c r="N1676" s="1">
        <f t="shared" si="84"/>
        <v>4</v>
      </c>
      <c r="O1676" s="87"/>
    </row>
    <row r="1677" spans="1:15" ht="15.75" hidden="1" x14ac:dyDescent="0.25">
      <c r="A1677" s="1" t="str">
        <f t="shared" si="83"/>
        <v>4466344664116.71DINERSGROCERYTOTAL FRESH</v>
      </c>
      <c r="B1677" s="2">
        <v>44663</v>
      </c>
      <c r="C1677" s="2">
        <v>44664</v>
      </c>
      <c r="D1677" s="3" t="s">
        <v>2163</v>
      </c>
      <c r="E1677" s="3">
        <v>116.71</v>
      </c>
      <c r="F1677" s="3">
        <v>1</v>
      </c>
      <c r="G1677" s="3">
        <f t="shared" si="85"/>
        <v>116.71</v>
      </c>
      <c r="H1677" s="3" t="s">
        <v>266</v>
      </c>
      <c r="I1677" s="1" t="s">
        <v>43</v>
      </c>
      <c r="J1677" s="1" t="s">
        <v>1394</v>
      </c>
      <c r="K1677" s="1" t="s">
        <v>298</v>
      </c>
      <c r="L1677" s="1" t="s">
        <v>267</v>
      </c>
      <c r="M1677" s="1"/>
      <c r="N1677" s="1">
        <f t="shared" si="84"/>
        <v>4</v>
      </c>
      <c r="O1677" s="87"/>
    </row>
    <row r="1678" spans="1:15" ht="15.75" hidden="1" x14ac:dyDescent="0.25">
      <c r="A1678" s="1" t="str">
        <f t="shared" si="83"/>
        <v>44665446713.75MASTER CCGROCERYMAAR</v>
      </c>
      <c r="B1678" s="2">
        <v>44665</v>
      </c>
      <c r="C1678" s="2">
        <v>44671</v>
      </c>
      <c r="D1678" s="3" t="s">
        <v>2244</v>
      </c>
      <c r="E1678" s="3">
        <v>3.75</v>
      </c>
      <c r="F1678" s="3">
        <v>1</v>
      </c>
      <c r="G1678" s="3">
        <f t="shared" si="85"/>
        <v>3.75</v>
      </c>
      <c r="H1678" s="3" t="s">
        <v>291</v>
      </c>
      <c r="I1678" s="1" t="s">
        <v>43</v>
      </c>
      <c r="J1678" s="1" t="s">
        <v>2274</v>
      </c>
      <c r="K1678" s="1" t="s">
        <v>298</v>
      </c>
      <c r="L1678" s="1" t="s">
        <v>267</v>
      </c>
      <c r="M1678" s="1"/>
      <c r="N1678" s="1">
        <f t="shared" si="84"/>
        <v>4</v>
      </c>
      <c r="O1678" s="87"/>
    </row>
    <row r="1679" spans="1:15" ht="15.75" hidden="1" x14ac:dyDescent="0.25">
      <c r="A1679" s="1" t="str">
        <f t="shared" si="83"/>
        <v>446664466726.5DINERSGROCERYTOTAL FRESH</v>
      </c>
      <c r="B1679" s="2">
        <v>44666</v>
      </c>
      <c r="C1679" s="2">
        <v>44667</v>
      </c>
      <c r="D1679" s="3" t="s">
        <v>2161</v>
      </c>
      <c r="E1679" s="3">
        <v>26.5</v>
      </c>
      <c r="F1679" s="3">
        <v>1</v>
      </c>
      <c r="G1679" s="3">
        <f t="shared" si="85"/>
        <v>26.5</v>
      </c>
      <c r="H1679" s="3" t="s">
        <v>266</v>
      </c>
      <c r="I1679" s="1" t="s">
        <v>43</v>
      </c>
      <c r="J1679" s="1" t="s">
        <v>1394</v>
      </c>
      <c r="K1679" s="1" t="s">
        <v>298</v>
      </c>
      <c r="L1679" s="1" t="s">
        <v>267</v>
      </c>
      <c r="M1679" s="1"/>
      <c r="N1679" s="1">
        <f t="shared" si="84"/>
        <v>4</v>
      </c>
      <c r="O1679" s="87"/>
    </row>
    <row r="1680" spans="1:15" ht="15.75" hidden="1" x14ac:dyDescent="0.25">
      <c r="A1680" s="1" t="str">
        <f t="shared" si="83"/>
        <v>446664466710DINERSSHOPPINGBABYSHOP</v>
      </c>
      <c r="B1680" s="2">
        <v>44666</v>
      </c>
      <c r="C1680" s="2">
        <v>44667</v>
      </c>
      <c r="D1680" s="3" t="s">
        <v>2162</v>
      </c>
      <c r="E1680" s="3">
        <v>10</v>
      </c>
      <c r="F1680" s="3">
        <v>1</v>
      </c>
      <c r="G1680" s="3">
        <f t="shared" si="85"/>
        <v>10</v>
      </c>
      <c r="H1680" s="3" t="s">
        <v>266</v>
      </c>
      <c r="I1680" s="1" t="s">
        <v>194</v>
      </c>
      <c r="J1680" s="1" t="s">
        <v>1650</v>
      </c>
      <c r="K1680" s="1" t="s">
        <v>298</v>
      </c>
      <c r="L1680" s="1" t="s">
        <v>267</v>
      </c>
      <c r="M1680" s="1"/>
      <c r="N1680" s="1">
        <f t="shared" si="84"/>
        <v>4</v>
      </c>
      <c r="O1680" s="87"/>
    </row>
    <row r="1681" spans="1:15" ht="15.75" hidden="1" x14ac:dyDescent="0.25">
      <c r="A1681" s="1" t="str">
        <f t="shared" si="83"/>
        <v>446674467024.5MASTER CCGROCERYWAQOD</v>
      </c>
      <c r="B1681" s="2">
        <v>44667</v>
      </c>
      <c r="C1681" s="2">
        <v>44670</v>
      </c>
      <c r="D1681" s="3" t="s">
        <v>2243</v>
      </c>
      <c r="E1681" s="3">
        <v>24.5</v>
      </c>
      <c r="F1681" s="3">
        <v>1</v>
      </c>
      <c r="G1681" s="3">
        <f t="shared" si="85"/>
        <v>24.5</v>
      </c>
      <c r="H1681" s="3" t="s">
        <v>291</v>
      </c>
      <c r="I1681" s="1" t="s">
        <v>43</v>
      </c>
      <c r="J1681" s="1" t="s">
        <v>2275</v>
      </c>
      <c r="K1681" s="1" t="s">
        <v>298</v>
      </c>
      <c r="L1681" s="1" t="s">
        <v>267</v>
      </c>
      <c r="M1681" s="1"/>
      <c r="N1681" s="1">
        <f t="shared" si="84"/>
        <v>4</v>
      </c>
      <c r="O1681" s="87"/>
    </row>
    <row r="1682" spans="1:15" ht="15.75" hidden="1" x14ac:dyDescent="0.25">
      <c r="A1682" s="1" t="str">
        <f t="shared" si="83"/>
        <v>446674466912.9MASTER CCTRANSPORTCAREEM</v>
      </c>
      <c r="B1682" s="2">
        <v>44667</v>
      </c>
      <c r="C1682" s="2">
        <v>44669</v>
      </c>
      <c r="D1682" s="3" t="s">
        <v>2242</v>
      </c>
      <c r="E1682" s="3">
        <v>12.9</v>
      </c>
      <c r="F1682" s="3">
        <v>1</v>
      </c>
      <c r="G1682" s="3">
        <f t="shared" si="85"/>
        <v>12.9</v>
      </c>
      <c r="H1682" s="3" t="s">
        <v>291</v>
      </c>
      <c r="I1682" s="1" t="s">
        <v>296</v>
      </c>
      <c r="J1682" s="1" t="s">
        <v>297</v>
      </c>
      <c r="K1682" s="1" t="s">
        <v>298</v>
      </c>
      <c r="L1682" s="1" t="s">
        <v>267</v>
      </c>
      <c r="M1682" s="1"/>
      <c r="N1682" s="1">
        <f t="shared" si="84"/>
        <v>4</v>
      </c>
      <c r="O1682" s="87"/>
    </row>
    <row r="1683" spans="1:15" ht="15.75" hidden="1" x14ac:dyDescent="0.25">
      <c r="A1683" s="1" t="str">
        <f t="shared" si="83"/>
        <v>4466844670110.1MASTER CCSHOPPINGSHEIN</v>
      </c>
      <c r="B1683" s="2">
        <v>44668</v>
      </c>
      <c r="C1683" s="2">
        <v>44670</v>
      </c>
      <c r="D1683" s="3" t="s">
        <v>2241</v>
      </c>
      <c r="E1683" s="3">
        <v>110.1</v>
      </c>
      <c r="F1683" s="3">
        <v>1</v>
      </c>
      <c r="G1683" s="3">
        <f t="shared" si="85"/>
        <v>110.1</v>
      </c>
      <c r="H1683" s="3" t="s">
        <v>291</v>
      </c>
      <c r="I1683" s="1" t="s">
        <v>194</v>
      </c>
      <c r="J1683" s="1" t="s">
        <v>2272</v>
      </c>
      <c r="K1683" s="1" t="s">
        <v>298</v>
      </c>
      <c r="L1683" s="1" t="s">
        <v>267</v>
      </c>
      <c r="M1683" s="1"/>
      <c r="N1683" s="1">
        <f t="shared" si="84"/>
        <v>4</v>
      </c>
      <c r="O1683" s="87"/>
    </row>
    <row r="1684" spans="1:15" ht="15.75" hidden="1" x14ac:dyDescent="0.25">
      <c r="A1684" s="1" t="str">
        <f t="shared" si="83"/>
        <v>44668446684000CURRENTRENTEZDAN</v>
      </c>
      <c r="B1684" s="2">
        <v>44668</v>
      </c>
      <c r="C1684" s="2">
        <v>44668</v>
      </c>
      <c r="D1684" s="3" t="s">
        <v>2145</v>
      </c>
      <c r="E1684" s="3">
        <v>-4000</v>
      </c>
      <c r="F1684" s="3">
        <v>1</v>
      </c>
      <c r="G1684" s="3">
        <f t="shared" si="85"/>
        <v>4000</v>
      </c>
      <c r="H1684" s="3" t="s">
        <v>293</v>
      </c>
      <c r="I1684" s="1" t="s">
        <v>83</v>
      </c>
      <c r="J1684" s="1" t="s">
        <v>1339</v>
      </c>
      <c r="K1684" s="1" t="s">
        <v>298</v>
      </c>
      <c r="L1684" s="1" t="s">
        <v>257</v>
      </c>
      <c r="M1684" s="1"/>
      <c r="N1684" s="1">
        <f t="shared" si="84"/>
        <v>4</v>
      </c>
      <c r="O1684" s="87"/>
    </row>
    <row r="1685" spans="1:15" ht="15.75" hidden="1" x14ac:dyDescent="0.25">
      <c r="A1685" s="1" t="str">
        <f t="shared" si="83"/>
        <v>44668446681000CURRENTWITHDRAWSELF</v>
      </c>
      <c r="B1685" s="2">
        <v>44668</v>
      </c>
      <c r="C1685" s="2">
        <v>44668</v>
      </c>
      <c r="D1685" s="3" t="s">
        <v>2146</v>
      </c>
      <c r="E1685" s="3">
        <v>-1000</v>
      </c>
      <c r="F1685" s="3">
        <v>1</v>
      </c>
      <c r="G1685" s="3">
        <f t="shared" si="85"/>
        <v>1000</v>
      </c>
      <c r="H1685" s="3" t="s">
        <v>293</v>
      </c>
      <c r="I1685" s="1" t="s">
        <v>13</v>
      </c>
      <c r="J1685" s="1" t="s">
        <v>14</v>
      </c>
      <c r="K1685" s="1" t="s">
        <v>298</v>
      </c>
      <c r="L1685" s="1" t="s">
        <v>257</v>
      </c>
      <c r="M1685" s="1"/>
      <c r="N1685" s="1">
        <f t="shared" si="84"/>
        <v>4</v>
      </c>
      <c r="O1685" s="87"/>
    </row>
    <row r="1686" spans="1:15" ht="15.75" hidden="1" x14ac:dyDescent="0.25">
      <c r="A1686" s="1" t="str">
        <f t="shared" si="83"/>
        <v>446684466977.64DINERSGROCERYTOTAL FRESH</v>
      </c>
      <c r="B1686" s="2">
        <v>44668</v>
      </c>
      <c r="C1686" s="2">
        <v>44669</v>
      </c>
      <c r="D1686" s="3" t="s">
        <v>2159</v>
      </c>
      <c r="E1686" s="3">
        <v>77.64</v>
      </c>
      <c r="F1686" s="3">
        <v>1</v>
      </c>
      <c r="G1686" s="3">
        <f t="shared" si="85"/>
        <v>77.64</v>
      </c>
      <c r="H1686" s="3" t="s">
        <v>266</v>
      </c>
      <c r="I1686" s="1" t="s">
        <v>43</v>
      </c>
      <c r="J1686" s="1" t="s">
        <v>1394</v>
      </c>
      <c r="K1686" s="1" t="s">
        <v>298</v>
      </c>
      <c r="L1686" s="1" t="s">
        <v>267</v>
      </c>
      <c r="M1686" s="1"/>
      <c r="N1686" s="1">
        <f t="shared" si="84"/>
        <v>4</v>
      </c>
      <c r="O1686" s="87"/>
    </row>
    <row r="1687" spans="1:15" ht="15.75" hidden="1" x14ac:dyDescent="0.25">
      <c r="A1687" s="1" t="str">
        <f t="shared" si="83"/>
        <v>446684466997.32DINERSGROCERYTOTAL FRESH</v>
      </c>
      <c r="B1687" s="2">
        <v>44668</v>
      </c>
      <c r="C1687" s="2">
        <v>44669</v>
      </c>
      <c r="D1687" s="3" t="s">
        <v>2160</v>
      </c>
      <c r="E1687" s="3">
        <v>97.32</v>
      </c>
      <c r="F1687" s="3">
        <v>1</v>
      </c>
      <c r="G1687" s="3">
        <f t="shared" si="85"/>
        <v>97.32</v>
      </c>
      <c r="H1687" s="3" t="s">
        <v>266</v>
      </c>
      <c r="I1687" s="1" t="s">
        <v>43</v>
      </c>
      <c r="J1687" s="1" t="s">
        <v>1394</v>
      </c>
      <c r="K1687" s="1" t="s">
        <v>298</v>
      </c>
      <c r="L1687" s="1" t="s">
        <v>267</v>
      </c>
      <c r="M1687" s="1"/>
      <c r="N1687" s="1">
        <f t="shared" si="84"/>
        <v>4</v>
      </c>
      <c r="O1687" s="87"/>
    </row>
    <row r="1688" spans="1:15" ht="15.75" hidden="1" x14ac:dyDescent="0.25">
      <c r="A1688" s="1" t="str">
        <f t="shared" si="83"/>
        <v>446694467267.26MASTER CCGROCERYTOTAL FRESH</v>
      </c>
      <c r="B1688" s="2">
        <v>44669</v>
      </c>
      <c r="C1688" s="2">
        <v>44672</v>
      </c>
      <c r="D1688" s="3" t="s">
        <v>2240</v>
      </c>
      <c r="E1688" s="3">
        <v>67.260000000000005</v>
      </c>
      <c r="F1688" s="3">
        <v>1</v>
      </c>
      <c r="G1688" s="3">
        <f t="shared" si="85"/>
        <v>67.260000000000005</v>
      </c>
      <c r="H1688" s="3" t="s">
        <v>291</v>
      </c>
      <c r="I1688" s="1" t="s">
        <v>43</v>
      </c>
      <c r="J1688" s="1" t="s">
        <v>1394</v>
      </c>
      <c r="K1688" s="1" t="s">
        <v>298</v>
      </c>
      <c r="L1688" s="1" t="s">
        <v>267</v>
      </c>
      <c r="M1688" s="1"/>
      <c r="N1688" s="1">
        <f t="shared" si="84"/>
        <v>4</v>
      </c>
      <c r="O1688" s="87"/>
    </row>
    <row r="1689" spans="1:15" ht="15.75" hidden="1" x14ac:dyDescent="0.25">
      <c r="A1689" s="1" t="str">
        <f t="shared" si="83"/>
        <v>446714467329MASTER CCFOODCAFÉ/REST.</v>
      </c>
      <c r="B1689" s="2">
        <v>44671</v>
      </c>
      <c r="C1689" s="2">
        <v>44673</v>
      </c>
      <c r="D1689" s="3" t="s">
        <v>2237</v>
      </c>
      <c r="E1689" s="3">
        <v>29</v>
      </c>
      <c r="F1689" s="3">
        <v>1</v>
      </c>
      <c r="G1689" s="3">
        <f t="shared" si="85"/>
        <v>29</v>
      </c>
      <c r="H1689" s="3" t="s">
        <v>291</v>
      </c>
      <c r="I1689" s="1" t="s">
        <v>10</v>
      </c>
      <c r="J1689" s="1" t="s">
        <v>11</v>
      </c>
      <c r="K1689" s="1" t="s">
        <v>298</v>
      </c>
      <c r="L1689" s="1" t="s">
        <v>267</v>
      </c>
      <c r="M1689" s="1"/>
      <c r="N1689" s="1">
        <f t="shared" si="84"/>
        <v>4</v>
      </c>
      <c r="O1689" s="87"/>
    </row>
    <row r="1690" spans="1:15" ht="15.75" hidden="1" x14ac:dyDescent="0.25">
      <c r="A1690" s="1" t="str">
        <f t="shared" si="83"/>
        <v>446714467338.4MASTER CCFOODPAPA JOHN'S</v>
      </c>
      <c r="B1690" s="2">
        <v>44671</v>
      </c>
      <c r="C1690" s="2">
        <v>44673</v>
      </c>
      <c r="D1690" s="3" t="s">
        <v>2236</v>
      </c>
      <c r="E1690" s="3">
        <v>38.4</v>
      </c>
      <c r="F1690" s="3">
        <v>1</v>
      </c>
      <c r="G1690" s="3">
        <f t="shared" si="85"/>
        <v>38.4</v>
      </c>
      <c r="H1690" s="3" t="s">
        <v>291</v>
      </c>
      <c r="I1690" s="1" t="s">
        <v>10</v>
      </c>
      <c r="J1690" s="1" t="s">
        <v>1657</v>
      </c>
      <c r="K1690" s="1" t="s">
        <v>298</v>
      </c>
      <c r="L1690" s="1" t="s">
        <v>267</v>
      </c>
      <c r="M1690" s="1"/>
      <c r="N1690" s="1">
        <f t="shared" si="84"/>
        <v>4</v>
      </c>
      <c r="O1690" s="87"/>
    </row>
    <row r="1691" spans="1:15" ht="15.75" hidden="1" x14ac:dyDescent="0.25">
      <c r="A1691" s="1" t="str">
        <f t="shared" si="83"/>
        <v>4467144673160MASTER CCGROCERYCARREFOUR</v>
      </c>
      <c r="B1691" s="2">
        <v>44671</v>
      </c>
      <c r="C1691" s="2">
        <v>44673</v>
      </c>
      <c r="D1691" s="3" t="s">
        <v>2238</v>
      </c>
      <c r="E1691" s="3">
        <v>160</v>
      </c>
      <c r="F1691" s="3">
        <v>1</v>
      </c>
      <c r="G1691" s="3">
        <f t="shared" si="85"/>
        <v>160</v>
      </c>
      <c r="H1691" s="3" t="s">
        <v>291</v>
      </c>
      <c r="I1691" s="1" t="s">
        <v>43</v>
      </c>
      <c r="J1691" s="1" t="s">
        <v>67</v>
      </c>
      <c r="K1691" s="1" t="s">
        <v>298</v>
      </c>
      <c r="L1691" s="1" t="s">
        <v>267</v>
      </c>
      <c r="M1691" s="1"/>
      <c r="N1691" s="1">
        <f t="shared" si="84"/>
        <v>4</v>
      </c>
      <c r="O1691" s="87"/>
    </row>
    <row r="1692" spans="1:15" ht="15.75" hidden="1" x14ac:dyDescent="0.25">
      <c r="A1692" s="1" t="str">
        <f t="shared" si="83"/>
        <v>44671446739MASTER CCTRANSPORTCAREEM</v>
      </c>
      <c r="B1692" s="2">
        <v>44671</v>
      </c>
      <c r="C1692" s="2">
        <v>44673</v>
      </c>
      <c r="D1692" s="3" t="s">
        <v>2239</v>
      </c>
      <c r="E1692" s="3">
        <v>9</v>
      </c>
      <c r="F1692" s="3">
        <v>1</v>
      </c>
      <c r="G1692" s="3">
        <f t="shared" si="85"/>
        <v>9</v>
      </c>
      <c r="H1692" s="3" t="s">
        <v>291</v>
      </c>
      <c r="I1692" s="1" t="s">
        <v>296</v>
      </c>
      <c r="J1692" s="1" t="s">
        <v>297</v>
      </c>
      <c r="K1692" s="1" t="s">
        <v>298</v>
      </c>
      <c r="L1692" s="1" t="s">
        <v>267</v>
      </c>
      <c r="M1692" s="1"/>
      <c r="N1692" s="1">
        <f t="shared" si="84"/>
        <v>4</v>
      </c>
      <c r="O1692" s="87"/>
    </row>
    <row r="1693" spans="1:15" ht="15.75" hidden="1" x14ac:dyDescent="0.25">
      <c r="A1693" s="1" t="str">
        <f t="shared" si="83"/>
        <v>4467144672228DINERSSHOPPINGHOME CENTER</v>
      </c>
      <c r="B1693" s="2">
        <v>44671</v>
      </c>
      <c r="C1693" s="2">
        <v>44672</v>
      </c>
      <c r="D1693" s="3" t="s">
        <v>2158</v>
      </c>
      <c r="E1693" s="3">
        <v>228</v>
      </c>
      <c r="F1693" s="3">
        <v>1</v>
      </c>
      <c r="G1693" s="3">
        <f t="shared" si="85"/>
        <v>228</v>
      </c>
      <c r="H1693" s="3" t="s">
        <v>266</v>
      </c>
      <c r="I1693" s="1" t="s">
        <v>194</v>
      </c>
      <c r="J1693" s="1" t="s">
        <v>2269</v>
      </c>
      <c r="K1693" s="1" t="s">
        <v>298</v>
      </c>
      <c r="L1693" s="1" t="s">
        <v>267</v>
      </c>
      <c r="M1693" s="1"/>
      <c r="N1693" s="1">
        <f t="shared" si="84"/>
        <v>4</v>
      </c>
      <c r="O1693" s="87"/>
    </row>
    <row r="1694" spans="1:15" ht="15.75" hidden="1" x14ac:dyDescent="0.25">
      <c r="A1694" s="1" t="str">
        <f t="shared" si="83"/>
        <v>446724467760MASTER CCTELECOMOOREDOO</v>
      </c>
      <c r="B1694" s="2">
        <v>44672</v>
      </c>
      <c r="C1694" s="2">
        <v>44677</v>
      </c>
      <c r="D1694" s="3" t="s">
        <v>2233</v>
      </c>
      <c r="E1694" s="3">
        <v>60</v>
      </c>
      <c r="F1694" s="3">
        <v>1</v>
      </c>
      <c r="G1694" s="3">
        <f t="shared" si="85"/>
        <v>60</v>
      </c>
      <c r="H1694" s="3" t="s">
        <v>291</v>
      </c>
      <c r="I1694" s="1" t="s">
        <v>58</v>
      </c>
      <c r="J1694" s="1" t="s">
        <v>59</v>
      </c>
      <c r="K1694" s="1" t="s">
        <v>298</v>
      </c>
      <c r="L1694" s="1" t="s">
        <v>267</v>
      </c>
      <c r="M1694" s="1"/>
      <c r="N1694" s="1">
        <f t="shared" si="84"/>
        <v>4</v>
      </c>
      <c r="O1694" s="87"/>
    </row>
    <row r="1695" spans="1:15" ht="15.75" hidden="1" x14ac:dyDescent="0.25">
      <c r="A1695" s="1" t="str">
        <f t="shared" si="83"/>
        <v>44672446748.9MASTER CCTRANSPORTCAREEM</v>
      </c>
      <c r="B1695" s="2">
        <v>44672</v>
      </c>
      <c r="C1695" s="2">
        <v>44674</v>
      </c>
      <c r="D1695" s="3" t="s">
        <v>2235</v>
      </c>
      <c r="E1695" s="3">
        <v>8.9</v>
      </c>
      <c r="F1695" s="3">
        <v>1</v>
      </c>
      <c r="G1695" s="3">
        <f t="shared" si="85"/>
        <v>8.9</v>
      </c>
      <c r="H1695" s="3" t="s">
        <v>291</v>
      </c>
      <c r="I1695" s="1" t="s">
        <v>296</v>
      </c>
      <c r="J1695" s="1" t="s">
        <v>297</v>
      </c>
      <c r="K1695" s="1" t="s">
        <v>298</v>
      </c>
      <c r="L1695" s="1" t="s">
        <v>267</v>
      </c>
      <c r="M1695" s="1"/>
      <c r="N1695" s="1">
        <f t="shared" si="84"/>
        <v>4</v>
      </c>
      <c r="O1695" s="87"/>
    </row>
    <row r="1696" spans="1:15" ht="15.75" hidden="1" x14ac:dyDescent="0.25">
      <c r="A1696" s="1" t="str">
        <f t="shared" si="83"/>
        <v>44672446748MASTER CCTRANSPORTCAREEM</v>
      </c>
      <c r="B1696" s="2">
        <v>44672</v>
      </c>
      <c r="C1696" s="2">
        <v>44674</v>
      </c>
      <c r="D1696" s="3" t="s">
        <v>2234</v>
      </c>
      <c r="E1696" s="3">
        <v>8</v>
      </c>
      <c r="F1696" s="3">
        <v>1</v>
      </c>
      <c r="G1696" s="3">
        <f t="shared" si="85"/>
        <v>8</v>
      </c>
      <c r="H1696" s="3" t="s">
        <v>291</v>
      </c>
      <c r="I1696" s="1" t="s">
        <v>296</v>
      </c>
      <c r="J1696" s="1" t="s">
        <v>297</v>
      </c>
      <c r="K1696" s="1" t="s">
        <v>298</v>
      </c>
      <c r="L1696" s="1" t="s">
        <v>267</v>
      </c>
      <c r="M1696" s="1"/>
      <c r="N1696" s="1">
        <f t="shared" si="84"/>
        <v>4</v>
      </c>
      <c r="O1696" s="87"/>
    </row>
    <row r="1697" spans="1:15" ht="15.75" hidden="1" x14ac:dyDescent="0.25">
      <c r="A1697" s="1" t="str">
        <f t="shared" si="83"/>
        <v>446724467350DINERSTELECOMOOREDOO</v>
      </c>
      <c r="B1697" s="2">
        <v>44672</v>
      </c>
      <c r="C1697" s="2">
        <v>44673</v>
      </c>
      <c r="D1697" s="3" t="s">
        <v>2156</v>
      </c>
      <c r="E1697" s="3">
        <v>50</v>
      </c>
      <c r="F1697" s="3">
        <v>1</v>
      </c>
      <c r="G1697" s="3">
        <f t="shared" si="85"/>
        <v>50</v>
      </c>
      <c r="H1697" s="3" t="s">
        <v>266</v>
      </c>
      <c r="I1697" s="1" t="s">
        <v>58</v>
      </c>
      <c r="J1697" s="1" t="s">
        <v>59</v>
      </c>
      <c r="K1697" s="1" t="s">
        <v>298</v>
      </c>
      <c r="L1697" s="1" t="s">
        <v>267</v>
      </c>
      <c r="M1697" s="1"/>
      <c r="N1697" s="1">
        <f t="shared" si="84"/>
        <v>4</v>
      </c>
      <c r="O1697" s="87"/>
    </row>
    <row r="1698" spans="1:15" ht="15.75" hidden="1" x14ac:dyDescent="0.25">
      <c r="A1698" s="1" t="str">
        <f t="shared" si="83"/>
        <v>446724467330DINERSTELECOMOOREDOO</v>
      </c>
      <c r="B1698" s="2">
        <v>44672</v>
      </c>
      <c r="C1698" s="2">
        <v>44673</v>
      </c>
      <c r="D1698" s="3" t="s">
        <v>2157</v>
      </c>
      <c r="E1698" s="3">
        <v>30</v>
      </c>
      <c r="F1698" s="3">
        <v>1</v>
      </c>
      <c r="G1698" s="3">
        <f t="shared" si="85"/>
        <v>30</v>
      </c>
      <c r="H1698" s="3" t="s">
        <v>266</v>
      </c>
      <c r="I1698" s="1" t="s">
        <v>58</v>
      </c>
      <c r="J1698" s="1" t="s">
        <v>59</v>
      </c>
      <c r="K1698" s="1" t="s">
        <v>298</v>
      </c>
      <c r="L1698" s="1" t="s">
        <v>267</v>
      </c>
      <c r="M1698" s="1"/>
      <c r="N1698" s="1">
        <f t="shared" si="84"/>
        <v>4</v>
      </c>
      <c r="O1698" s="87"/>
    </row>
    <row r="1699" spans="1:15" ht="15.75" hidden="1" x14ac:dyDescent="0.25">
      <c r="A1699" s="1" t="str">
        <f t="shared" si="83"/>
        <v>4467344677178MASTER CCSHOPPINGRNB</v>
      </c>
      <c r="B1699" s="2">
        <v>44673</v>
      </c>
      <c r="C1699" s="2">
        <v>44677</v>
      </c>
      <c r="D1699" s="3" t="s">
        <v>2231</v>
      </c>
      <c r="E1699" s="3">
        <v>178</v>
      </c>
      <c r="F1699" s="3">
        <v>1</v>
      </c>
      <c r="G1699" s="3">
        <f t="shared" si="85"/>
        <v>178</v>
      </c>
      <c r="H1699" s="3" t="s">
        <v>291</v>
      </c>
      <c r="I1699" s="1" t="s">
        <v>194</v>
      </c>
      <c r="J1699" s="1" t="s">
        <v>1658</v>
      </c>
      <c r="K1699" s="1" t="s">
        <v>298</v>
      </c>
      <c r="L1699" s="1" t="s">
        <v>267</v>
      </c>
      <c r="M1699" s="1"/>
      <c r="N1699" s="1">
        <f t="shared" si="84"/>
        <v>4</v>
      </c>
      <c r="O1699" s="87"/>
    </row>
    <row r="1700" spans="1:15" ht="15.75" hidden="1" x14ac:dyDescent="0.25">
      <c r="A1700" s="1" t="str">
        <f t="shared" si="83"/>
        <v>446734467714MASTER CCFOODCAFÉ/REST.</v>
      </c>
      <c r="B1700" s="2">
        <v>44673</v>
      </c>
      <c r="C1700" s="2">
        <v>44677</v>
      </c>
      <c r="D1700" s="3" t="s">
        <v>2232</v>
      </c>
      <c r="E1700" s="3">
        <v>14</v>
      </c>
      <c r="F1700" s="3">
        <v>1</v>
      </c>
      <c r="G1700" s="3">
        <f t="shared" si="85"/>
        <v>14</v>
      </c>
      <c r="H1700" s="3" t="s">
        <v>291</v>
      </c>
      <c r="I1700" s="1" t="s">
        <v>10</v>
      </c>
      <c r="J1700" s="1" t="s">
        <v>11</v>
      </c>
      <c r="K1700" s="1" t="s">
        <v>298</v>
      </c>
      <c r="L1700" s="1" t="s">
        <v>267</v>
      </c>
      <c r="M1700" s="1"/>
      <c r="N1700" s="1">
        <f t="shared" si="84"/>
        <v>4</v>
      </c>
      <c r="O1700" s="87"/>
    </row>
    <row r="1701" spans="1:15" ht="15.75" hidden="1" x14ac:dyDescent="0.25">
      <c r="A1701" s="1" t="str">
        <f t="shared" si="83"/>
        <v>446734467625.61MASTER CCTRANSPORTCAREEM</v>
      </c>
      <c r="B1701" s="2">
        <v>44673</v>
      </c>
      <c r="C1701" s="2">
        <v>44676</v>
      </c>
      <c r="D1701" s="3" t="s">
        <v>2228</v>
      </c>
      <c r="E1701" s="3">
        <v>25.61</v>
      </c>
      <c r="F1701" s="3">
        <v>1</v>
      </c>
      <c r="G1701" s="3">
        <f t="shared" si="85"/>
        <v>25.61</v>
      </c>
      <c r="H1701" s="3" t="s">
        <v>291</v>
      </c>
      <c r="I1701" s="1" t="s">
        <v>296</v>
      </c>
      <c r="J1701" s="1" t="s">
        <v>297</v>
      </c>
      <c r="K1701" s="1" t="s">
        <v>298</v>
      </c>
      <c r="L1701" s="1" t="s">
        <v>267</v>
      </c>
      <c r="M1701" s="1"/>
      <c r="N1701" s="1">
        <f t="shared" si="84"/>
        <v>4</v>
      </c>
      <c r="O1701" s="87"/>
    </row>
    <row r="1702" spans="1:15" ht="15.75" hidden="1" x14ac:dyDescent="0.25">
      <c r="A1702" s="1" t="str">
        <f t="shared" si="83"/>
        <v>446734467711.94DINERSTRANSPORTUBER</v>
      </c>
      <c r="B1702" s="2">
        <v>44673</v>
      </c>
      <c r="C1702" s="2">
        <v>44677</v>
      </c>
      <c r="D1702" s="3" t="s">
        <v>2153</v>
      </c>
      <c r="E1702" s="3">
        <v>11.94</v>
      </c>
      <c r="F1702" s="3">
        <v>1</v>
      </c>
      <c r="G1702" s="3">
        <f t="shared" si="85"/>
        <v>11.94</v>
      </c>
      <c r="H1702" s="3" t="s">
        <v>266</v>
      </c>
      <c r="I1702" s="1" t="s">
        <v>296</v>
      </c>
      <c r="J1702" s="1" t="s">
        <v>299</v>
      </c>
      <c r="K1702" s="1" t="s">
        <v>298</v>
      </c>
      <c r="L1702" s="1" t="s">
        <v>267</v>
      </c>
      <c r="M1702" s="1"/>
      <c r="N1702" s="1">
        <f t="shared" si="84"/>
        <v>4</v>
      </c>
      <c r="O1702" s="87"/>
    </row>
    <row r="1703" spans="1:15" ht="15.75" hidden="1" x14ac:dyDescent="0.25">
      <c r="A1703" s="1" t="str">
        <f t="shared" si="83"/>
        <v>446734467711.87DINERSTRANSPORTUBER</v>
      </c>
      <c r="B1703" s="2">
        <v>44673</v>
      </c>
      <c r="C1703" s="2">
        <v>44677</v>
      </c>
      <c r="D1703" s="3" t="s">
        <v>2154</v>
      </c>
      <c r="E1703" s="3">
        <v>11.87</v>
      </c>
      <c r="F1703" s="3">
        <v>1</v>
      </c>
      <c r="G1703" s="3">
        <f t="shared" si="85"/>
        <v>11.87</v>
      </c>
      <c r="H1703" s="3" t="s">
        <v>266</v>
      </c>
      <c r="I1703" s="1" t="s">
        <v>296</v>
      </c>
      <c r="J1703" s="1" t="s">
        <v>299</v>
      </c>
      <c r="K1703" s="1" t="s">
        <v>298</v>
      </c>
      <c r="L1703" s="1" t="s">
        <v>267</v>
      </c>
      <c r="M1703" s="1"/>
      <c r="N1703" s="1">
        <f t="shared" si="84"/>
        <v>4</v>
      </c>
      <c r="O1703" s="87"/>
    </row>
    <row r="1704" spans="1:15" ht="15.75" hidden="1" x14ac:dyDescent="0.25">
      <c r="A1704" s="1" t="str">
        <f t="shared" si="83"/>
        <v>4467344674100.22DINERSGROCERYTOTAL FRESH</v>
      </c>
      <c r="B1704" s="2">
        <v>44673</v>
      </c>
      <c r="C1704" s="2">
        <v>44674</v>
      </c>
      <c r="D1704" s="3" t="s">
        <v>2155</v>
      </c>
      <c r="E1704" s="3">
        <v>100.22</v>
      </c>
      <c r="F1704" s="3">
        <v>1</v>
      </c>
      <c r="G1704" s="3">
        <f t="shared" si="85"/>
        <v>100.22</v>
      </c>
      <c r="H1704" s="3" t="s">
        <v>266</v>
      </c>
      <c r="I1704" s="1" t="s">
        <v>43</v>
      </c>
      <c r="J1704" s="1" t="s">
        <v>1394</v>
      </c>
      <c r="K1704" s="1" t="s">
        <v>298</v>
      </c>
      <c r="L1704" s="1" t="s">
        <v>267</v>
      </c>
      <c r="M1704" s="1"/>
      <c r="N1704" s="1">
        <f t="shared" si="84"/>
        <v>4</v>
      </c>
      <c r="O1704" s="87"/>
    </row>
    <row r="1705" spans="1:15" ht="15.75" hidden="1" x14ac:dyDescent="0.25">
      <c r="A1705" s="1" t="str">
        <f t="shared" si="83"/>
        <v>446734467779MASTER CCSHOPPINGRNB</v>
      </c>
      <c r="B1705" s="2">
        <v>44673</v>
      </c>
      <c r="C1705" s="2">
        <v>44677</v>
      </c>
      <c r="D1705" s="3" t="s">
        <v>2230</v>
      </c>
      <c r="E1705" s="3">
        <v>79</v>
      </c>
      <c r="F1705" s="3">
        <v>1</v>
      </c>
      <c r="G1705" s="3">
        <f t="shared" si="85"/>
        <v>79</v>
      </c>
      <c r="H1705" s="3" t="s">
        <v>291</v>
      </c>
      <c r="I1705" s="1" t="s">
        <v>194</v>
      </c>
      <c r="J1705" s="1" t="s">
        <v>1658</v>
      </c>
      <c r="K1705" s="1" t="s">
        <v>298</v>
      </c>
      <c r="L1705" s="1" t="s">
        <v>267</v>
      </c>
      <c r="M1705" s="1"/>
      <c r="N1705" s="1">
        <f t="shared" si="84"/>
        <v>4</v>
      </c>
      <c r="O1705" s="87"/>
    </row>
    <row r="1706" spans="1:15" ht="15.75" hidden="1" x14ac:dyDescent="0.25">
      <c r="A1706" s="1" t="str">
        <f t="shared" si="83"/>
        <v>4467344674277.75MASTER CCSHOPPINGANSAR</v>
      </c>
      <c r="B1706" s="2">
        <v>44673</v>
      </c>
      <c r="C1706" s="2">
        <v>44674</v>
      </c>
      <c r="D1706" s="3" t="s">
        <v>2229</v>
      </c>
      <c r="E1706" s="3">
        <v>277.75</v>
      </c>
      <c r="F1706" s="3">
        <v>1</v>
      </c>
      <c r="G1706" s="3">
        <f t="shared" si="85"/>
        <v>277.75</v>
      </c>
      <c r="H1706" s="3" t="s">
        <v>291</v>
      </c>
      <c r="I1706" s="1" t="s">
        <v>194</v>
      </c>
      <c r="J1706" s="1" t="s">
        <v>1656</v>
      </c>
      <c r="K1706" s="1" t="s">
        <v>298</v>
      </c>
      <c r="L1706" s="1" t="s">
        <v>267</v>
      </c>
      <c r="M1706" s="1"/>
      <c r="N1706" s="1">
        <f t="shared" si="84"/>
        <v>4</v>
      </c>
      <c r="O1706" s="87"/>
    </row>
    <row r="1707" spans="1:15" ht="15.75" hidden="1" x14ac:dyDescent="0.25">
      <c r="A1707" s="1" t="str">
        <f t="shared" si="83"/>
        <v>44674446772MASTER CCGROCERYTOTAL FRESH</v>
      </c>
      <c r="B1707" s="2">
        <v>44674</v>
      </c>
      <c r="C1707" s="2">
        <v>44677</v>
      </c>
      <c r="D1707" s="3" t="s">
        <v>2227</v>
      </c>
      <c r="E1707" s="3">
        <v>2</v>
      </c>
      <c r="F1707" s="3">
        <v>1</v>
      </c>
      <c r="G1707" s="3">
        <f t="shared" si="85"/>
        <v>2</v>
      </c>
      <c r="H1707" s="3" t="s">
        <v>291</v>
      </c>
      <c r="I1707" s="1" t="s">
        <v>43</v>
      </c>
      <c r="J1707" s="1" t="s">
        <v>1394</v>
      </c>
      <c r="K1707" s="1" t="s">
        <v>298</v>
      </c>
      <c r="L1707" s="1" t="s">
        <v>267</v>
      </c>
      <c r="M1707" s="1"/>
      <c r="N1707" s="1">
        <f t="shared" si="84"/>
        <v>4</v>
      </c>
      <c r="O1707" s="87"/>
    </row>
    <row r="1708" spans="1:15" ht="15.75" hidden="1" x14ac:dyDescent="0.25">
      <c r="A1708" s="1" t="str">
        <f t="shared" si="83"/>
        <v>446744467611.9MASTER CCTRANSPORTCAREEM</v>
      </c>
      <c r="B1708" s="2">
        <v>44674</v>
      </c>
      <c r="C1708" s="2">
        <v>44676</v>
      </c>
      <c r="D1708" s="3" t="s">
        <v>2224</v>
      </c>
      <c r="E1708" s="3">
        <v>11.9</v>
      </c>
      <c r="F1708" s="3">
        <v>1</v>
      </c>
      <c r="G1708" s="3">
        <f t="shared" si="85"/>
        <v>11.9</v>
      </c>
      <c r="H1708" s="3" t="s">
        <v>291</v>
      </c>
      <c r="I1708" s="1" t="s">
        <v>296</v>
      </c>
      <c r="J1708" s="1" t="s">
        <v>297</v>
      </c>
      <c r="K1708" s="1" t="s">
        <v>298</v>
      </c>
      <c r="L1708" s="1" t="s">
        <v>267</v>
      </c>
      <c r="M1708" s="1"/>
      <c r="N1708" s="1">
        <f t="shared" si="84"/>
        <v>4</v>
      </c>
      <c r="O1708" s="87"/>
    </row>
    <row r="1709" spans="1:15" ht="15.75" hidden="1" x14ac:dyDescent="0.25">
      <c r="A1709" s="1" t="str">
        <f t="shared" si="83"/>
        <v>44674446769.7MASTER CCTRANSPORTCAREEM</v>
      </c>
      <c r="B1709" s="2">
        <v>44674</v>
      </c>
      <c r="C1709" s="2">
        <v>44676</v>
      </c>
      <c r="D1709" s="3" t="s">
        <v>2225</v>
      </c>
      <c r="E1709" s="3">
        <v>9.6999999999999993</v>
      </c>
      <c r="F1709" s="3">
        <v>1</v>
      </c>
      <c r="G1709" s="3">
        <f t="shared" si="85"/>
        <v>9.6999999999999993</v>
      </c>
      <c r="H1709" s="3" t="s">
        <v>291</v>
      </c>
      <c r="I1709" s="1" t="s">
        <v>296</v>
      </c>
      <c r="J1709" s="1" t="s">
        <v>297</v>
      </c>
      <c r="K1709" s="1" t="s">
        <v>298</v>
      </c>
      <c r="L1709" s="1" t="s">
        <v>267</v>
      </c>
      <c r="M1709" s="1"/>
      <c r="N1709" s="1">
        <f t="shared" si="84"/>
        <v>4</v>
      </c>
      <c r="O1709" s="87"/>
    </row>
    <row r="1710" spans="1:15" ht="15.75" hidden="1" x14ac:dyDescent="0.25">
      <c r="A1710" s="1" t="str">
        <f t="shared" si="83"/>
        <v>44674446767.5MASTER CCTRANSPORTCAREEM</v>
      </c>
      <c r="B1710" s="2">
        <v>44674</v>
      </c>
      <c r="C1710" s="2">
        <v>44676</v>
      </c>
      <c r="D1710" s="3" t="s">
        <v>2226</v>
      </c>
      <c r="E1710" s="3">
        <v>7.5</v>
      </c>
      <c r="F1710" s="3">
        <v>1</v>
      </c>
      <c r="G1710" s="3">
        <f t="shared" si="85"/>
        <v>7.5</v>
      </c>
      <c r="H1710" s="3" t="s">
        <v>291</v>
      </c>
      <c r="I1710" s="1" t="s">
        <v>296</v>
      </c>
      <c r="J1710" s="1" t="s">
        <v>297</v>
      </c>
      <c r="K1710" s="1" t="s">
        <v>298</v>
      </c>
      <c r="L1710" s="1" t="s">
        <v>267</v>
      </c>
      <c r="M1710" s="1"/>
      <c r="N1710" s="1">
        <f t="shared" si="84"/>
        <v>4</v>
      </c>
      <c r="O1710" s="87"/>
    </row>
    <row r="1711" spans="1:15" ht="15.75" hidden="1" x14ac:dyDescent="0.25">
      <c r="A1711" s="1" t="str">
        <f t="shared" si="83"/>
        <v>44674446778.8DINERSTRANSPORTUBER</v>
      </c>
      <c r="B1711" s="2">
        <v>44674</v>
      </c>
      <c r="C1711" s="2">
        <v>44677</v>
      </c>
      <c r="D1711" s="3" t="s">
        <v>2151</v>
      </c>
      <c r="E1711" s="3">
        <v>8.8000000000000007</v>
      </c>
      <c r="F1711" s="3">
        <v>1</v>
      </c>
      <c r="G1711" s="3">
        <f t="shared" si="85"/>
        <v>8.8000000000000007</v>
      </c>
      <c r="H1711" s="3" t="s">
        <v>266</v>
      </c>
      <c r="I1711" s="1" t="s">
        <v>296</v>
      </c>
      <c r="J1711" s="1" t="s">
        <v>299</v>
      </c>
      <c r="K1711" s="1" t="s">
        <v>298</v>
      </c>
      <c r="L1711" s="1" t="s">
        <v>267</v>
      </c>
      <c r="M1711" s="1"/>
      <c r="N1711" s="1">
        <f t="shared" si="84"/>
        <v>4</v>
      </c>
      <c r="O1711" s="87"/>
    </row>
    <row r="1712" spans="1:15" ht="15.75" hidden="1" x14ac:dyDescent="0.25">
      <c r="A1712" s="1" t="str">
        <f t="shared" si="83"/>
        <v>4467444675363.65DINERSGROCERYLULU</v>
      </c>
      <c r="B1712" s="2">
        <v>44674</v>
      </c>
      <c r="C1712" s="2">
        <v>44675</v>
      </c>
      <c r="D1712" s="3" t="s">
        <v>2152</v>
      </c>
      <c r="E1712" s="3">
        <v>363.65</v>
      </c>
      <c r="F1712" s="3">
        <v>1</v>
      </c>
      <c r="G1712" s="3">
        <f t="shared" si="85"/>
        <v>363.65</v>
      </c>
      <c r="H1712" s="3" t="s">
        <v>266</v>
      </c>
      <c r="I1712" s="1" t="s">
        <v>43</v>
      </c>
      <c r="J1712" s="1" t="s">
        <v>44</v>
      </c>
      <c r="K1712" s="1" t="s">
        <v>298</v>
      </c>
      <c r="L1712" s="1" t="s">
        <v>267</v>
      </c>
      <c r="M1712" s="1"/>
      <c r="N1712" s="1">
        <f t="shared" si="84"/>
        <v>4</v>
      </c>
      <c r="O1712" s="87"/>
    </row>
    <row r="1713" spans="1:15" ht="15.75" hidden="1" x14ac:dyDescent="0.25">
      <c r="A1713" s="1" t="str">
        <f t="shared" si="83"/>
        <v>446754467894.06MASTER CCGROCERYTOTAL FRESH</v>
      </c>
      <c r="B1713" s="2">
        <v>44675</v>
      </c>
      <c r="C1713" s="2">
        <v>44678</v>
      </c>
      <c r="D1713" s="3" t="s">
        <v>2223</v>
      </c>
      <c r="E1713" s="3">
        <v>94.06</v>
      </c>
      <c r="F1713" s="3">
        <v>1</v>
      </c>
      <c r="G1713" s="3">
        <f t="shared" si="85"/>
        <v>94.06</v>
      </c>
      <c r="H1713" s="3" t="s">
        <v>291</v>
      </c>
      <c r="I1713" s="1" t="s">
        <v>43</v>
      </c>
      <c r="J1713" s="1" t="s">
        <v>1394</v>
      </c>
      <c r="K1713" s="1" t="s">
        <v>298</v>
      </c>
      <c r="L1713" s="1" t="s">
        <v>267</v>
      </c>
      <c r="M1713" s="1"/>
      <c r="N1713" s="1">
        <f t="shared" si="84"/>
        <v>4</v>
      </c>
      <c r="O1713" s="87"/>
    </row>
    <row r="1714" spans="1:15" ht="15.75" hidden="1" x14ac:dyDescent="0.25">
      <c r="A1714" s="1" t="str">
        <f t="shared" si="83"/>
        <v>4467744677549CURRENTSHOPPINGSKCHR</v>
      </c>
      <c r="B1714" s="2">
        <v>44677</v>
      </c>
      <c r="C1714" s="2">
        <v>44677</v>
      </c>
      <c r="D1714" s="3" t="s">
        <v>2142</v>
      </c>
      <c r="E1714" s="3">
        <v>-549</v>
      </c>
      <c r="F1714" s="3">
        <v>1</v>
      </c>
      <c r="G1714" s="3">
        <f t="shared" si="85"/>
        <v>549</v>
      </c>
      <c r="H1714" s="3" t="s">
        <v>293</v>
      </c>
      <c r="I1714" s="1" t="s">
        <v>194</v>
      </c>
      <c r="J1714" s="1" t="s">
        <v>2264</v>
      </c>
      <c r="K1714" s="1" t="s">
        <v>298</v>
      </c>
      <c r="L1714" s="1" t="s">
        <v>257</v>
      </c>
      <c r="M1714" s="1"/>
      <c r="N1714" s="1">
        <f t="shared" si="84"/>
        <v>4</v>
      </c>
      <c r="O1714" s="87"/>
    </row>
    <row r="1715" spans="1:15" ht="15.75" hidden="1" x14ac:dyDescent="0.25">
      <c r="A1715" s="1" t="str">
        <f t="shared" si="83"/>
        <v>4467744677599CURRENTSHOPPINGCARREFOUR</v>
      </c>
      <c r="B1715" s="2">
        <v>44677</v>
      </c>
      <c r="C1715" s="2">
        <v>44677</v>
      </c>
      <c r="D1715" s="3" t="s">
        <v>2143</v>
      </c>
      <c r="E1715" s="3">
        <v>-599</v>
      </c>
      <c r="F1715" s="3">
        <v>1</v>
      </c>
      <c r="G1715" s="3">
        <f t="shared" si="85"/>
        <v>599</v>
      </c>
      <c r="H1715" s="3" t="s">
        <v>293</v>
      </c>
      <c r="I1715" s="1" t="s">
        <v>194</v>
      </c>
      <c r="J1715" s="1" t="s">
        <v>67</v>
      </c>
      <c r="K1715" s="1" t="s">
        <v>298</v>
      </c>
      <c r="L1715" s="1" t="s">
        <v>257</v>
      </c>
      <c r="M1715" s="1"/>
      <c r="N1715" s="1">
        <f t="shared" si="84"/>
        <v>4</v>
      </c>
      <c r="O1715" s="87"/>
    </row>
    <row r="1716" spans="1:15" ht="15.75" hidden="1" x14ac:dyDescent="0.25">
      <c r="A1716" s="1" t="str">
        <f t="shared" si="83"/>
        <v>4467744677472.25CURRENTSHOPPINGCARREFOUR</v>
      </c>
      <c r="B1716" s="2">
        <v>44677</v>
      </c>
      <c r="C1716" s="2">
        <v>44677</v>
      </c>
      <c r="D1716" s="3" t="s">
        <v>2144</v>
      </c>
      <c r="E1716" s="3">
        <v>-472.25</v>
      </c>
      <c r="F1716" s="3">
        <v>1</v>
      </c>
      <c r="G1716" s="3">
        <f t="shared" si="85"/>
        <v>472.25</v>
      </c>
      <c r="H1716" s="3" t="s">
        <v>293</v>
      </c>
      <c r="I1716" s="1" t="s">
        <v>194</v>
      </c>
      <c r="J1716" s="1" t="s">
        <v>67</v>
      </c>
      <c r="K1716" s="1" t="s">
        <v>298</v>
      </c>
      <c r="L1716" s="1" t="s">
        <v>257</v>
      </c>
      <c r="M1716" s="1"/>
      <c r="N1716" s="1">
        <f t="shared" si="84"/>
        <v>4</v>
      </c>
      <c r="O1716" s="87"/>
    </row>
    <row r="1717" spans="1:15" ht="15.75" hidden="1" x14ac:dyDescent="0.25">
      <c r="A1717" s="1" t="str">
        <f t="shared" si="83"/>
        <v>4467844678352CURRENTFOODRITZ CARTON</v>
      </c>
      <c r="B1717" s="2">
        <v>44678</v>
      </c>
      <c r="C1717" s="2">
        <v>44678</v>
      </c>
      <c r="D1717" s="3" t="s">
        <v>2139</v>
      </c>
      <c r="E1717" s="3">
        <v>-352</v>
      </c>
      <c r="F1717" s="3">
        <v>1</v>
      </c>
      <c r="G1717" s="3">
        <f t="shared" si="85"/>
        <v>352</v>
      </c>
      <c r="H1717" s="3" t="s">
        <v>293</v>
      </c>
      <c r="I1717" s="1" t="s">
        <v>10</v>
      </c>
      <c r="J1717" s="1" t="s">
        <v>2265</v>
      </c>
      <c r="K1717" s="1" t="s">
        <v>298</v>
      </c>
      <c r="L1717" s="1" t="s">
        <v>257</v>
      </c>
      <c r="M1717" s="1"/>
      <c r="N1717" s="1">
        <f t="shared" si="84"/>
        <v>4</v>
      </c>
      <c r="O1717" s="87"/>
    </row>
    <row r="1718" spans="1:15" ht="15.75" hidden="1" x14ac:dyDescent="0.25">
      <c r="A1718" s="1" t="str">
        <f t="shared" si="83"/>
        <v>44678446786975CURRENTCC BILL PAYMENTBANK</v>
      </c>
      <c r="B1718" s="2">
        <v>44678</v>
      </c>
      <c r="C1718" s="2">
        <v>44678</v>
      </c>
      <c r="D1718" s="3" t="s">
        <v>2140</v>
      </c>
      <c r="E1718" s="3">
        <v>-6975</v>
      </c>
      <c r="F1718" s="3">
        <v>1</v>
      </c>
      <c r="G1718" s="3">
        <f t="shared" si="85"/>
        <v>6975</v>
      </c>
      <c r="H1718" s="3" t="s">
        <v>293</v>
      </c>
      <c r="I1718" s="1" t="s">
        <v>81</v>
      </c>
      <c r="J1718" s="1" t="s">
        <v>8</v>
      </c>
      <c r="K1718" s="1" t="s">
        <v>298</v>
      </c>
      <c r="L1718" s="1" t="s">
        <v>257</v>
      </c>
      <c r="M1718" s="1"/>
      <c r="N1718" s="1">
        <f t="shared" si="84"/>
        <v>4</v>
      </c>
      <c r="O1718" s="87"/>
    </row>
    <row r="1719" spans="1:15" ht="15.75" hidden="1" x14ac:dyDescent="0.25">
      <c r="A1719" s="1" t="str">
        <f t="shared" si="83"/>
        <v>446784467820820CURRENTSALARYQATAR AIR</v>
      </c>
      <c r="B1719" s="2">
        <v>44678</v>
      </c>
      <c r="C1719" s="2">
        <v>44678</v>
      </c>
      <c r="D1719" s="3" t="s">
        <v>2141</v>
      </c>
      <c r="E1719" s="3">
        <v>20820</v>
      </c>
      <c r="F1719" s="3">
        <v>1</v>
      </c>
      <c r="G1719" s="3">
        <f t="shared" si="85"/>
        <v>20820</v>
      </c>
      <c r="H1719" s="3" t="s">
        <v>293</v>
      </c>
      <c r="I1719" s="1" t="s">
        <v>18</v>
      </c>
      <c r="J1719" s="1" t="s">
        <v>19</v>
      </c>
      <c r="K1719" s="1" t="s">
        <v>300</v>
      </c>
      <c r="L1719" s="1" t="s">
        <v>257</v>
      </c>
      <c r="M1719" s="1"/>
      <c r="N1719" s="1">
        <f t="shared" si="84"/>
        <v>4</v>
      </c>
      <c r="O1719" s="87"/>
    </row>
    <row r="1720" spans="1:15" ht="15.75" hidden="1" x14ac:dyDescent="0.25">
      <c r="A1720" s="1" t="str">
        <f t="shared" si="83"/>
        <v>44678446786975DINERSCC BILL PAYMENTBANK</v>
      </c>
      <c r="B1720" s="2">
        <v>44678</v>
      </c>
      <c r="C1720" s="2">
        <v>44678</v>
      </c>
      <c r="D1720" s="3" t="s">
        <v>80</v>
      </c>
      <c r="E1720" s="3">
        <v>-6975</v>
      </c>
      <c r="F1720" s="3">
        <v>1</v>
      </c>
      <c r="G1720" s="3">
        <f t="shared" si="85"/>
        <v>6975</v>
      </c>
      <c r="H1720" s="3" t="s">
        <v>266</v>
      </c>
      <c r="I1720" s="1" t="s">
        <v>81</v>
      </c>
      <c r="J1720" s="1" t="s">
        <v>8</v>
      </c>
      <c r="K1720" s="1" t="s">
        <v>300</v>
      </c>
      <c r="L1720" s="1" t="s">
        <v>267</v>
      </c>
      <c r="M1720" s="1"/>
      <c r="N1720" s="1">
        <f t="shared" si="84"/>
        <v>4</v>
      </c>
      <c r="O1720" s="87"/>
    </row>
    <row r="1721" spans="1:15" ht="15.75" hidden="1" x14ac:dyDescent="0.25">
      <c r="A1721" s="1" t="str">
        <f t="shared" si="83"/>
        <v>446794468049.5MASTER CCGROCERYTOTAL FRESH</v>
      </c>
      <c r="B1721" s="2">
        <v>44679</v>
      </c>
      <c r="C1721" s="2">
        <v>44680</v>
      </c>
      <c r="D1721" s="3" t="s">
        <v>2222</v>
      </c>
      <c r="E1721" s="3">
        <v>49.5</v>
      </c>
      <c r="F1721" s="3">
        <v>1</v>
      </c>
      <c r="G1721" s="3">
        <f t="shared" si="85"/>
        <v>49.5</v>
      </c>
      <c r="H1721" s="3" t="s">
        <v>291</v>
      </c>
      <c r="I1721" s="1" t="s">
        <v>43</v>
      </c>
      <c r="J1721" s="1" t="s">
        <v>1394</v>
      </c>
      <c r="K1721" s="1" t="s">
        <v>298</v>
      </c>
      <c r="L1721" s="1" t="s">
        <v>267</v>
      </c>
      <c r="M1721" s="1"/>
      <c r="N1721" s="1">
        <f t="shared" si="84"/>
        <v>4</v>
      </c>
      <c r="O1721" s="87"/>
    </row>
    <row r="1722" spans="1:15" ht="15.75" hidden="1" x14ac:dyDescent="0.25">
      <c r="A1722" s="1" t="str">
        <f t="shared" si="83"/>
        <v>44679446797.5CURRENTTRANSPORTCAREEM</v>
      </c>
      <c r="B1722" s="2">
        <v>44679</v>
      </c>
      <c r="C1722" s="2">
        <v>44679</v>
      </c>
      <c r="D1722" s="3" t="s">
        <v>2137</v>
      </c>
      <c r="E1722" s="3">
        <v>-7.5</v>
      </c>
      <c r="F1722" s="3">
        <v>1</v>
      </c>
      <c r="G1722" s="3">
        <f t="shared" si="85"/>
        <v>7.5</v>
      </c>
      <c r="H1722" s="3" t="s">
        <v>293</v>
      </c>
      <c r="I1722" s="1" t="s">
        <v>296</v>
      </c>
      <c r="J1722" s="1" t="s">
        <v>297</v>
      </c>
      <c r="K1722" s="1" t="s">
        <v>298</v>
      </c>
      <c r="L1722" s="1" t="s">
        <v>257</v>
      </c>
      <c r="M1722" s="1"/>
      <c r="N1722" s="1">
        <f t="shared" si="84"/>
        <v>4</v>
      </c>
      <c r="O1722" s="87"/>
    </row>
    <row r="1723" spans="1:15" ht="15.75" hidden="1" x14ac:dyDescent="0.25">
      <c r="A1723" s="1" t="str">
        <f t="shared" si="83"/>
        <v>44679446799.6CURRENTTRANSPORTCAREEM</v>
      </c>
      <c r="B1723" s="2">
        <v>44679</v>
      </c>
      <c r="C1723" s="2">
        <v>44679</v>
      </c>
      <c r="D1723" s="3" t="s">
        <v>2138</v>
      </c>
      <c r="E1723" s="3">
        <v>-9.6</v>
      </c>
      <c r="F1723" s="3">
        <v>1</v>
      </c>
      <c r="G1723" s="3">
        <f t="shared" si="85"/>
        <v>9.6</v>
      </c>
      <c r="H1723" s="3" t="s">
        <v>293</v>
      </c>
      <c r="I1723" s="1" t="s">
        <v>296</v>
      </c>
      <c r="J1723" s="1" t="s">
        <v>297</v>
      </c>
      <c r="K1723" s="1" t="s">
        <v>298</v>
      </c>
      <c r="L1723" s="1" t="s">
        <v>257</v>
      </c>
      <c r="M1723" s="1"/>
      <c r="N1723" s="1">
        <f t="shared" si="84"/>
        <v>4</v>
      </c>
      <c r="O1723" s="87"/>
    </row>
    <row r="1724" spans="1:15" ht="15.75" hidden="1" x14ac:dyDescent="0.25">
      <c r="A1724" s="1" t="str">
        <f t="shared" si="83"/>
        <v>4468044684100MASTER CCTELECOMSIN</v>
      </c>
      <c r="B1724" s="2">
        <v>44680</v>
      </c>
      <c r="C1724" s="2">
        <v>44684</v>
      </c>
      <c r="D1724" s="3" t="s">
        <v>2221</v>
      </c>
      <c r="E1724" s="3">
        <v>100</v>
      </c>
      <c r="F1724" s="3">
        <v>1</v>
      </c>
      <c r="G1724" s="3">
        <f t="shared" si="85"/>
        <v>100</v>
      </c>
      <c r="H1724" s="3" t="s">
        <v>291</v>
      </c>
      <c r="I1724" s="1" t="s">
        <v>58</v>
      </c>
      <c r="J1724" s="1" t="s">
        <v>2263</v>
      </c>
      <c r="K1724" s="1" t="s">
        <v>298</v>
      </c>
      <c r="L1724" s="1" t="s">
        <v>267</v>
      </c>
      <c r="M1724" s="1"/>
      <c r="N1724" s="1">
        <f t="shared" si="84"/>
        <v>5</v>
      </c>
      <c r="O1724" s="87"/>
    </row>
    <row r="1725" spans="1:15" ht="15.75" hidden="1" x14ac:dyDescent="0.25">
      <c r="A1725" s="1" t="str">
        <f t="shared" si="83"/>
        <v>4468044681190.93MASTER CCTRANSPORTSIN</v>
      </c>
      <c r="B1725" s="2">
        <v>44680</v>
      </c>
      <c r="C1725" s="2">
        <v>44681</v>
      </c>
      <c r="D1725" s="3" t="s">
        <v>2220</v>
      </c>
      <c r="E1725" s="3">
        <v>190.93</v>
      </c>
      <c r="F1725" s="3">
        <v>1</v>
      </c>
      <c r="G1725" s="3">
        <f t="shared" si="85"/>
        <v>190.93</v>
      </c>
      <c r="H1725" s="3" t="s">
        <v>291</v>
      </c>
      <c r="I1725" s="1" t="s">
        <v>296</v>
      </c>
      <c r="J1725" s="1" t="s">
        <v>2263</v>
      </c>
      <c r="K1725" s="1" t="s">
        <v>298</v>
      </c>
      <c r="L1725" s="1" t="s">
        <v>267</v>
      </c>
      <c r="M1725" s="1"/>
      <c r="N1725" s="1">
        <f t="shared" si="84"/>
        <v>4</v>
      </c>
      <c r="O1725" s="87" t="s">
        <v>2263</v>
      </c>
    </row>
    <row r="1726" spans="1:15" ht="15.75" hidden="1" x14ac:dyDescent="0.25">
      <c r="A1726" s="1" t="str">
        <f t="shared" si="83"/>
        <v>4468144683769.42MASTER CCTELECOMSIN</v>
      </c>
      <c r="B1726" s="2">
        <v>44681</v>
      </c>
      <c r="C1726" s="2">
        <v>44683</v>
      </c>
      <c r="D1726" s="3" t="s">
        <v>2216</v>
      </c>
      <c r="E1726" s="3">
        <v>769.42</v>
      </c>
      <c r="F1726" s="3">
        <v>1</v>
      </c>
      <c r="G1726" s="3">
        <f t="shared" si="85"/>
        <v>769.42</v>
      </c>
      <c r="H1726" s="3" t="s">
        <v>291</v>
      </c>
      <c r="I1726" s="1" t="s">
        <v>58</v>
      </c>
      <c r="J1726" s="1" t="s">
        <v>2263</v>
      </c>
      <c r="K1726" s="1" t="s">
        <v>298</v>
      </c>
      <c r="L1726" s="1" t="s">
        <v>267</v>
      </c>
      <c r="M1726" s="1"/>
      <c r="N1726" s="1">
        <f t="shared" si="84"/>
        <v>5</v>
      </c>
      <c r="O1726" s="87" t="s">
        <v>2263</v>
      </c>
    </row>
    <row r="1727" spans="1:15" ht="15.75" hidden="1" x14ac:dyDescent="0.25">
      <c r="A1727" s="1" t="str">
        <f t="shared" si="83"/>
        <v>446814468384.59MASTER CCFOODSIN</v>
      </c>
      <c r="B1727" s="2">
        <v>44681</v>
      </c>
      <c r="C1727" s="2">
        <v>44683</v>
      </c>
      <c r="D1727" s="3" t="s">
        <v>2218</v>
      </c>
      <c r="E1727" s="3">
        <v>84.59</v>
      </c>
      <c r="F1727" s="3">
        <v>1</v>
      </c>
      <c r="G1727" s="3">
        <f t="shared" si="85"/>
        <v>84.59</v>
      </c>
      <c r="H1727" s="3" t="s">
        <v>291</v>
      </c>
      <c r="I1727" s="1" t="s">
        <v>10</v>
      </c>
      <c r="J1727" s="1" t="s">
        <v>2263</v>
      </c>
      <c r="K1727" s="1" t="s">
        <v>298</v>
      </c>
      <c r="L1727" s="1" t="s">
        <v>267</v>
      </c>
      <c r="M1727" s="1"/>
      <c r="N1727" s="1">
        <f t="shared" si="84"/>
        <v>5</v>
      </c>
      <c r="O1727" s="87" t="s">
        <v>2263</v>
      </c>
    </row>
    <row r="1728" spans="1:15" ht="15.75" hidden="1" x14ac:dyDescent="0.25">
      <c r="A1728" s="1" t="str">
        <f t="shared" si="83"/>
        <v>446814468373.66MASTER CCFOODSIN</v>
      </c>
      <c r="B1728" s="2">
        <v>44681</v>
      </c>
      <c r="C1728" s="2">
        <v>44683</v>
      </c>
      <c r="D1728" s="3" t="s">
        <v>2217</v>
      </c>
      <c r="E1728" s="3">
        <v>73.66</v>
      </c>
      <c r="F1728" s="3">
        <v>1</v>
      </c>
      <c r="G1728" s="3">
        <f t="shared" si="85"/>
        <v>73.66</v>
      </c>
      <c r="H1728" s="3" t="s">
        <v>291</v>
      </c>
      <c r="I1728" s="1" t="s">
        <v>10</v>
      </c>
      <c r="J1728" s="1" t="s">
        <v>2263</v>
      </c>
      <c r="K1728" s="1" t="s">
        <v>298</v>
      </c>
      <c r="L1728" s="1" t="s">
        <v>267</v>
      </c>
      <c r="M1728" s="1"/>
      <c r="N1728" s="1">
        <f t="shared" si="84"/>
        <v>5</v>
      </c>
      <c r="O1728" s="87" t="s">
        <v>2263</v>
      </c>
    </row>
    <row r="1729" spans="1:15" ht="15.75" hidden="1" x14ac:dyDescent="0.25">
      <c r="A1729" s="1" t="str">
        <f t="shared" si="83"/>
        <v>446814468132.18MASTER CCTRANSPORTSIN</v>
      </c>
      <c r="B1729" s="2">
        <v>44681</v>
      </c>
      <c r="C1729" s="2">
        <v>44681</v>
      </c>
      <c r="D1729" s="3" t="s">
        <v>2215</v>
      </c>
      <c r="E1729" s="3">
        <v>32.18</v>
      </c>
      <c r="F1729" s="3">
        <v>1</v>
      </c>
      <c r="G1729" s="3">
        <f t="shared" si="85"/>
        <v>32.18</v>
      </c>
      <c r="H1729" s="3" t="s">
        <v>291</v>
      </c>
      <c r="I1729" s="1" t="s">
        <v>296</v>
      </c>
      <c r="J1729" s="1" t="s">
        <v>2263</v>
      </c>
      <c r="K1729" s="1" t="s">
        <v>298</v>
      </c>
      <c r="L1729" s="1" t="s">
        <v>267</v>
      </c>
      <c r="M1729" s="1"/>
      <c r="N1729" s="1">
        <f t="shared" si="84"/>
        <v>4</v>
      </c>
      <c r="O1729" s="87" t="s">
        <v>2263</v>
      </c>
    </row>
    <row r="1730" spans="1:15" ht="15.75" hidden="1" x14ac:dyDescent="0.25">
      <c r="A1730" s="1" t="str">
        <f t="shared" ref="A1730:A1793" si="86">B1730&amp;C1730&amp;G1730&amp;H1730&amp;I1730&amp;J1730</f>
        <v>446814468459.21MASTER CCFOODSIN</v>
      </c>
      <c r="B1730" s="2">
        <v>44681</v>
      </c>
      <c r="C1730" s="2">
        <v>44684</v>
      </c>
      <c r="D1730" s="3" t="s">
        <v>2219</v>
      </c>
      <c r="E1730" s="3">
        <v>59.21</v>
      </c>
      <c r="F1730" s="3">
        <v>1</v>
      </c>
      <c r="G1730" s="3">
        <f t="shared" si="85"/>
        <v>59.21</v>
      </c>
      <c r="H1730" s="3" t="s">
        <v>291</v>
      </c>
      <c r="I1730" s="1" t="s">
        <v>10</v>
      </c>
      <c r="J1730" s="1" t="s">
        <v>2263</v>
      </c>
      <c r="K1730" s="1" t="s">
        <v>298</v>
      </c>
      <c r="L1730" s="1" t="s">
        <v>267</v>
      </c>
      <c r="M1730" s="1"/>
      <c r="N1730" s="1">
        <f t="shared" ref="N1730:N1793" si="87">MONTH(C1730)</f>
        <v>5</v>
      </c>
      <c r="O1730" s="87" t="s">
        <v>2263</v>
      </c>
    </row>
    <row r="1731" spans="1:15" ht="15.75" hidden="1" x14ac:dyDescent="0.25">
      <c r="A1731" s="1" t="str">
        <f t="shared" si="86"/>
        <v>446814468112CURRENTTRANSPORTCAREEM</v>
      </c>
      <c r="B1731" s="2">
        <v>44681</v>
      </c>
      <c r="C1731" s="2">
        <v>44681</v>
      </c>
      <c r="D1731" s="3" t="s">
        <v>2135</v>
      </c>
      <c r="E1731" s="3">
        <v>-12</v>
      </c>
      <c r="F1731" s="3">
        <v>1</v>
      </c>
      <c r="G1731" s="3">
        <f t="shared" si="85"/>
        <v>12</v>
      </c>
      <c r="H1731" s="3" t="s">
        <v>293</v>
      </c>
      <c r="I1731" s="1" t="s">
        <v>296</v>
      </c>
      <c r="J1731" s="1" t="s">
        <v>297</v>
      </c>
      <c r="K1731" s="1" t="s">
        <v>298</v>
      </c>
      <c r="L1731" s="1" t="s">
        <v>257</v>
      </c>
      <c r="M1731" s="1"/>
      <c r="N1731" s="1">
        <f t="shared" si="87"/>
        <v>4</v>
      </c>
      <c r="O1731" s="87"/>
    </row>
    <row r="1732" spans="1:15" ht="15.75" hidden="1" x14ac:dyDescent="0.25">
      <c r="A1732" s="1" t="str">
        <f t="shared" si="86"/>
        <v>44681446810CURRENTTRAVELSIN</v>
      </c>
      <c r="B1732" s="2">
        <v>44681</v>
      </c>
      <c r="C1732" s="2">
        <v>44681</v>
      </c>
      <c r="D1732" s="3" t="s">
        <v>2136</v>
      </c>
      <c r="E1732" s="3">
        <v>-4339</v>
      </c>
      <c r="F1732" s="3">
        <v>0</v>
      </c>
      <c r="G1732" s="3">
        <f t="shared" si="85"/>
        <v>0</v>
      </c>
      <c r="H1732" s="3" t="s">
        <v>293</v>
      </c>
      <c r="I1732" s="1" t="s">
        <v>393</v>
      </c>
      <c r="J1732" s="1" t="s">
        <v>2263</v>
      </c>
      <c r="K1732" s="1" t="s">
        <v>298</v>
      </c>
      <c r="L1732" s="1" t="s">
        <v>257</v>
      </c>
      <c r="M1732" s="1"/>
      <c r="N1732" s="1">
        <f t="shared" si="87"/>
        <v>4</v>
      </c>
      <c r="O1732" s="87" t="s">
        <v>2410</v>
      </c>
    </row>
    <row r="1733" spans="1:15" ht="15.75" hidden="1" x14ac:dyDescent="0.25">
      <c r="A1733" s="1" t="str">
        <f t="shared" si="86"/>
        <v>44681446811.77DINERSSERVICEBANK</v>
      </c>
      <c r="B1733" s="2">
        <v>44681</v>
      </c>
      <c r="C1733" s="2">
        <v>44681</v>
      </c>
      <c r="D1733" s="3" t="s">
        <v>1102</v>
      </c>
      <c r="E1733" s="3">
        <v>1.77</v>
      </c>
      <c r="F1733" s="3">
        <v>1</v>
      </c>
      <c r="G1733" s="3">
        <f t="shared" si="85"/>
        <v>1.77</v>
      </c>
      <c r="H1733" s="3" t="s">
        <v>266</v>
      </c>
      <c r="I1733" s="1" t="s">
        <v>7</v>
      </c>
      <c r="J1733" s="1" t="s">
        <v>8</v>
      </c>
      <c r="K1733" s="1" t="s">
        <v>298</v>
      </c>
      <c r="L1733" s="1" t="s">
        <v>267</v>
      </c>
      <c r="M1733" s="1"/>
      <c r="N1733" s="1">
        <f t="shared" si="87"/>
        <v>4</v>
      </c>
      <c r="O1733" s="87"/>
    </row>
    <row r="1734" spans="1:15" ht="15.75" hidden="1" x14ac:dyDescent="0.25">
      <c r="A1734" s="1" t="str">
        <f t="shared" si="86"/>
        <v>44681446810CURRENTTRAVELSIN</v>
      </c>
      <c r="B1734" s="2">
        <v>44681</v>
      </c>
      <c r="C1734" s="2">
        <v>44681</v>
      </c>
      <c r="D1734" s="3" t="s">
        <v>2136</v>
      </c>
      <c r="E1734" s="3">
        <v>1200</v>
      </c>
      <c r="F1734" s="3">
        <v>0</v>
      </c>
      <c r="G1734" s="3">
        <f t="shared" si="85"/>
        <v>0</v>
      </c>
      <c r="H1734" s="3" t="s">
        <v>293</v>
      </c>
      <c r="I1734" s="1" t="s">
        <v>393</v>
      </c>
      <c r="J1734" s="1" t="s">
        <v>2263</v>
      </c>
      <c r="K1734" s="1" t="s">
        <v>300</v>
      </c>
      <c r="L1734" s="1" t="s">
        <v>257</v>
      </c>
      <c r="M1734" s="1"/>
      <c r="N1734" s="1">
        <f t="shared" si="87"/>
        <v>4</v>
      </c>
      <c r="O1734" s="87" t="s">
        <v>2266</v>
      </c>
    </row>
    <row r="1735" spans="1:15" ht="15.75" hidden="1" x14ac:dyDescent="0.25">
      <c r="A1735" s="1" t="str">
        <f t="shared" si="86"/>
        <v>44681446810CURRENTTRAVELSIN</v>
      </c>
      <c r="B1735" s="2">
        <v>44681</v>
      </c>
      <c r="C1735" s="2">
        <v>44681</v>
      </c>
      <c r="D1735" s="3" t="s">
        <v>2136</v>
      </c>
      <c r="E1735" s="3">
        <v>-5539</v>
      </c>
      <c r="F1735" s="3">
        <v>0</v>
      </c>
      <c r="G1735" s="3">
        <f t="shared" si="85"/>
        <v>0</v>
      </c>
      <c r="H1735" s="3" t="s">
        <v>293</v>
      </c>
      <c r="I1735" s="1" t="s">
        <v>393</v>
      </c>
      <c r="J1735" s="1" t="s">
        <v>2263</v>
      </c>
      <c r="K1735" s="1" t="s">
        <v>298</v>
      </c>
      <c r="L1735" s="1" t="s">
        <v>257</v>
      </c>
      <c r="M1735" s="1"/>
      <c r="N1735" s="1">
        <f t="shared" si="87"/>
        <v>4</v>
      </c>
      <c r="O1735" s="87" t="s">
        <v>2267</v>
      </c>
    </row>
    <row r="1736" spans="1:15" ht="15.75" hidden="1" x14ac:dyDescent="0.25">
      <c r="A1736" s="1" t="str">
        <f t="shared" si="86"/>
        <v>44681446812339CURRENTHOTELSIN</v>
      </c>
      <c r="B1736" s="2">
        <v>44681</v>
      </c>
      <c r="C1736" s="2">
        <v>44681</v>
      </c>
      <c r="D1736" s="3" t="s">
        <v>2136</v>
      </c>
      <c r="E1736" s="3">
        <v>-2339</v>
      </c>
      <c r="F1736" s="3">
        <v>1</v>
      </c>
      <c r="G1736" s="3">
        <f t="shared" si="85"/>
        <v>2339</v>
      </c>
      <c r="H1736" s="3" t="s">
        <v>293</v>
      </c>
      <c r="I1736" s="1" t="s">
        <v>1128</v>
      </c>
      <c r="J1736" s="1" t="s">
        <v>2263</v>
      </c>
      <c r="K1736" s="1" t="s">
        <v>298</v>
      </c>
      <c r="L1736" s="1" t="s">
        <v>257</v>
      </c>
      <c r="M1736" s="1"/>
      <c r="N1736" s="1">
        <f t="shared" si="87"/>
        <v>4</v>
      </c>
      <c r="O1736" s="87" t="s">
        <v>2409</v>
      </c>
    </row>
    <row r="1737" spans="1:15" ht="15.75" x14ac:dyDescent="0.25">
      <c r="A1737" s="1" t="str">
        <f t="shared" si="86"/>
        <v>44681446811000CURRENTGOLDSIN</v>
      </c>
      <c r="B1737" s="2">
        <v>44681</v>
      </c>
      <c r="C1737" s="2">
        <v>44681</v>
      </c>
      <c r="D1737" s="3" t="s">
        <v>2136</v>
      </c>
      <c r="E1737" s="3">
        <v>-1000</v>
      </c>
      <c r="F1737" s="3">
        <v>1</v>
      </c>
      <c r="G1737" s="3">
        <f t="shared" si="85"/>
        <v>1000</v>
      </c>
      <c r="H1737" s="3" t="s">
        <v>293</v>
      </c>
      <c r="I1737" s="1" t="s">
        <v>106</v>
      </c>
      <c r="J1737" s="1" t="s">
        <v>2263</v>
      </c>
      <c r="K1737" s="1" t="s">
        <v>298</v>
      </c>
      <c r="L1737" s="1" t="s">
        <v>257</v>
      </c>
      <c r="M1737" s="1"/>
      <c r="N1737" s="1">
        <f t="shared" si="87"/>
        <v>4</v>
      </c>
      <c r="O1737" s="87" t="s">
        <v>2409</v>
      </c>
    </row>
    <row r="1738" spans="1:15" ht="15.75" hidden="1" x14ac:dyDescent="0.25">
      <c r="A1738" s="1" t="str">
        <f t="shared" si="86"/>
        <v>44681446811000CURRENTATTRACTIONSIN</v>
      </c>
      <c r="B1738" s="2">
        <v>44681</v>
      </c>
      <c r="C1738" s="2">
        <v>44681</v>
      </c>
      <c r="D1738" s="3" t="s">
        <v>2136</v>
      </c>
      <c r="E1738" s="3">
        <v>-1000</v>
      </c>
      <c r="F1738" s="3">
        <v>1</v>
      </c>
      <c r="G1738" s="3">
        <f t="shared" si="85"/>
        <v>1000</v>
      </c>
      <c r="H1738" s="3" t="s">
        <v>293</v>
      </c>
      <c r="I1738" s="1" t="s">
        <v>2408</v>
      </c>
      <c r="J1738" s="1" t="s">
        <v>2263</v>
      </c>
      <c r="K1738" s="1" t="s">
        <v>298</v>
      </c>
      <c r="L1738" s="1" t="s">
        <v>257</v>
      </c>
      <c r="M1738" s="1"/>
      <c r="N1738" s="1">
        <f t="shared" si="87"/>
        <v>4</v>
      </c>
      <c r="O1738" s="87" t="s">
        <v>2409</v>
      </c>
    </row>
    <row r="1739" spans="1:15" ht="15.75" hidden="1" x14ac:dyDescent="0.25">
      <c r="A1739" s="1" t="str">
        <f t="shared" si="86"/>
        <v>446824468237.08MASTER CCFOODSIN</v>
      </c>
      <c r="B1739" s="2">
        <v>44682</v>
      </c>
      <c r="C1739" s="118">
        <f>B1739</f>
        <v>44682</v>
      </c>
      <c r="D1739" s="3" t="s">
        <v>2208</v>
      </c>
      <c r="E1739" s="3">
        <v>37.08</v>
      </c>
      <c r="F1739" s="3">
        <v>1</v>
      </c>
      <c r="G1739" s="3">
        <f t="shared" ref="G1739:G1802" si="88">ABS(E1739)*F1739</f>
        <v>37.08</v>
      </c>
      <c r="H1739" s="3" t="s">
        <v>291</v>
      </c>
      <c r="I1739" s="1" t="s">
        <v>10</v>
      </c>
      <c r="J1739" s="1" t="s">
        <v>2263</v>
      </c>
      <c r="K1739" s="1" t="s">
        <v>298</v>
      </c>
      <c r="L1739" s="1" t="s">
        <v>267</v>
      </c>
      <c r="M1739" s="1"/>
      <c r="N1739" s="1">
        <f t="shared" si="87"/>
        <v>5</v>
      </c>
      <c r="O1739" s="87" t="s">
        <v>2263</v>
      </c>
    </row>
    <row r="1740" spans="1:15" ht="15.75" hidden="1" x14ac:dyDescent="0.25">
      <c r="A1740" s="1" t="str">
        <f t="shared" si="86"/>
        <v>446824468410.9MASTER CCSHOPPINGSIN</v>
      </c>
      <c r="B1740" s="2">
        <v>44682</v>
      </c>
      <c r="C1740" s="2">
        <v>44684</v>
      </c>
      <c r="D1740" s="3" t="s">
        <v>2213</v>
      </c>
      <c r="E1740" s="3">
        <v>10.9</v>
      </c>
      <c r="F1740" s="3">
        <v>1</v>
      </c>
      <c r="G1740" s="3">
        <f t="shared" si="88"/>
        <v>10.9</v>
      </c>
      <c r="H1740" s="3" t="s">
        <v>291</v>
      </c>
      <c r="I1740" s="1" t="s">
        <v>194</v>
      </c>
      <c r="J1740" s="1" t="s">
        <v>2263</v>
      </c>
      <c r="K1740" s="1" t="s">
        <v>298</v>
      </c>
      <c r="L1740" s="1" t="s">
        <v>267</v>
      </c>
      <c r="M1740" s="1"/>
      <c r="N1740" s="1">
        <f t="shared" si="87"/>
        <v>5</v>
      </c>
      <c r="O1740" s="87" t="s">
        <v>2263</v>
      </c>
    </row>
    <row r="1741" spans="1:15" ht="15.75" hidden="1" x14ac:dyDescent="0.25">
      <c r="A1741" s="1" t="str">
        <f t="shared" si="86"/>
        <v>4468244684589.32MASTER CCATTRACTIONSIN</v>
      </c>
      <c r="B1741" s="2">
        <v>44682</v>
      </c>
      <c r="C1741" s="2">
        <v>44684</v>
      </c>
      <c r="D1741" s="3" t="s">
        <v>2210</v>
      </c>
      <c r="E1741" s="3">
        <v>589.32000000000005</v>
      </c>
      <c r="F1741" s="3">
        <v>1</v>
      </c>
      <c r="G1741" s="3">
        <f t="shared" si="88"/>
        <v>589.32000000000005</v>
      </c>
      <c r="H1741" s="3" t="s">
        <v>291</v>
      </c>
      <c r="I1741" s="1" t="s">
        <v>2408</v>
      </c>
      <c r="J1741" s="1" t="s">
        <v>2263</v>
      </c>
      <c r="K1741" s="1" t="s">
        <v>298</v>
      </c>
      <c r="L1741" s="1" t="s">
        <v>267</v>
      </c>
      <c r="M1741" s="1"/>
      <c r="N1741" s="1">
        <f t="shared" si="87"/>
        <v>5</v>
      </c>
      <c r="O1741" s="87" t="s">
        <v>2263</v>
      </c>
    </row>
    <row r="1742" spans="1:15" ht="15.75" hidden="1" x14ac:dyDescent="0.25">
      <c r="A1742" s="1" t="str">
        <f t="shared" si="86"/>
        <v>446824468412.3MASTER CCSHOPPINGSIN</v>
      </c>
      <c r="B1742" s="2">
        <v>44682</v>
      </c>
      <c r="C1742" s="2">
        <v>44684</v>
      </c>
      <c r="D1742" s="3" t="s">
        <v>2212</v>
      </c>
      <c r="E1742" s="3">
        <v>12.3</v>
      </c>
      <c r="F1742" s="3">
        <v>1</v>
      </c>
      <c r="G1742" s="3">
        <f t="shared" si="88"/>
        <v>12.3</v>
      </c>
      <c r="H1742" s="3" t="s">
        <v>291</v>
      </c>
      <c r="I1742" s="1" t="s">
        <v>194</v>
      </c>
      <c r="J1742" s="1" t="s">
        <v>2263</v>
      </c>
      <c r="K1742" s="1" t="s">
        <v>298</v>
      </c>
      <c r="L1742" s="1" t="s">
        <v>267</v>
      </c>
      <c r="M1742" s="1"/>
      <c r="N1742" s="1">
        <f t="shared" si="87"/>
        <v>5</v>
      </c>
      <c r="O1742" s="87" t="s">
        <v>2263</v>
      </c>
    </row>
    <row r="1743" spans="1:15" ht="15.75" hidden="1" x14ac:dyDescent="0.25">
      <c r="A1743" s="1" t="str">
        <f t="shared" si="86"/>
        <v>446824468255.63MASTER CCTRANSPORTSIN</v>
      </c>
      <c r="B1743" s="2">
        <v>44682</v>
      </c>
      <c r="C1743" s="118">
        <f>B1743</f>
        <v>44682</v>
      </c>
      <c r="D1743" s="3" t="s">
        <v>2209</v>
      </c>
      <c r="E1743" s="3">
        <v>55.63</v>
      </c>
      <c r="F1743" s="3">
        <v>1</v>
      </c>
      <c r="G1743" s="3">
        <f t="shared" si="88"/>
        <v>55.63</v>
      </c>
      <c r="H1743" s="3" t="s">
        <v>291</v>
      </c>
      <c r="I1743" s="1" t="s">
        <v>296</v>
      </c>
      <c r="J1743" s="1" t="s">
        <v>2263</v>
      </c>
      <c r="K1743" s="1" t="s">
        <v>298</v>
      </c>
      <c r="L1743" s="1" t="s">
        <v>267</v>
      </c>
      <c r="M1743" s="1"/>
      <c r="N1743" s="1">
        <f t="shared" si="87"/>
        <v>5</v>
      </c>
      <c r="O1743" s="87" t="s">
        <v>2263</v>
      </c>
    </row>
    <row r="1744" spans="1:15" ht="15.75" hidden="1" x14ac:dyDescent="0.25">
      <c r="A1744" s="1" t="str">
        <f t="shared" si="86"/>
        <v>4468244684142.46MASTER CCFOODSIN</v>
      </c>
      <c r="B1744" s="2">
        <v>44682</v>
      </c>
      <c r="C1744" s="2">
        <v>44684</v>
      </c>
      <c r="D1744" s="3" t="s">
        <v>2214</v>
      </c>
      <c r="E1744" s="3">
        <v>142.46</v>
      </c>
      <c r="F1744" s="3">
        <v>1</v>
      </c>
      <c r="G1744" s="3">
        <f t="shared" si="88"/>
        <v>142.46</v>
      </c>
      <c r="H1744" s="3" t="s">
        <v>291</v>
      </c>
      <c r="I1744" s="1" t="s">
        <v>10</v>
      </c>
      <c r="J1744" s="1" t="s">
        <v>2263</v>
      </c>
      <c r="K1744" s="1" t="s">
        <v>298</v>
      </c>
      <c r="L1744" s="1" t="s">
        <v>267</v>
      </c>
      <c r="M1744" s="1"/>
      <c r="N1744" s="1">
        <f t="shared" si="87"/>
        <v>5</v>
      </c>
      <c r="O1744" s="87" t="s">
        <v>2263</v>
      </c>
    </row>
    <row r="1745" spans="1:15" ht="15.75" hidden="1" x14ac:dyDescent="0.25">
      <c r="A1745" s="1" t="str">
        <f t="shared" si="86"/>
        <v>44682446823000CURRENTSAVINGSELF</v>
      </c>
      <c r="B1745" s="2">
        <v>44682</v>
      </c>
      <c r="C1745" s="2">
        <v>44682</v>
      </c>
      <c r="D1745" s="3" t="s">
        <v>1519</v>
      </c>
      <c r="E1745" s="3">
        <v>-3000</v>
      </c>
      <c r="F1745" s="3">
        <v>1</v>
      </c>
      <c r="G1745" s="3">
        <f t="shared" si="88"/>
        <v>3000</v>
      </c>
      <c r="H1745" s="3" t="s">
        <v>293</v>
      </c>
      <c r="I1745" s="1" t="s">
        <v>302</v>
      </c>
      <c r="J1745" s="1" t="s">
        <v>14</v>
      </c>
      <c r="K1745" s="1" t="s">
        <v>298</v>
      </c>
      <c r="L1745" s="1" t="s">
        <v>257</v>
      </c>
      <c r="M1745" s="1"/>
      <c r="N1745" s="1">
        <f t="shared" si="87"/>
        <v>5</v>
      </c>
      <c r="O1745" s="87"/>
    </row>
    <row r="1746" spans="1:15" ht="15.75" hidden="1" x14ac:dyDescent="0.25">
      <c r="A1746" s="1" t="str">
        <f t="shared" si="86"/>
        <v>4468244682500CURRENTSAVINGARTI</v>
      </c>
      <c r="B1746" s="2">
        <v>44682</v>
      </c>
      <c r="C1746" s="2">
        <v>44682</v>
      </c>
      <c r="D1746" s="3" t="s">
        <v>1588</v>
      </c>
      <c r="E1746" s="3">
        <v>-500</v>
      </c>
      <c r="F1746" s="3">
        <v>1</v>
      </c>
      <c r="G1746" s="3">
        <f t="shared" si="88"/>
        <v>500</v>
      </c>
      <c r="H1746" s="3" t="s">
        <v>293</v>
      </c>
      <c r="I1746" s="1" t="s">
        <v>302</v>
      </c>
      <c r="J1746" s="1" t="s">
        <v>453</v>
      </c>
      <c r="K1746" s="1" t="s">
        <v>298</v>
      </c>
      <c r="L1746" s="1" t="s">
        <v>257</v>
      </c>
      <c r="M1746" s="1"/>
      <c r="N1746" s="1">
        <f t="shared" si="87"/>
        <v>5</v>
      </c>
      <c r="O1746" s="87"/>
    </row>
    <row r="1747" spans="1:15" ht="15.75" hidden="1" x14ac:dyDescent="0.25">
      <c r="A1747" s="1" t="str">
        <f t="shared" si="86"/>
        <v>44682446822950SAVINGEDUCATIONDAFFODILES</v>
      </c>
      <c r="B1747" s="2">
        <v>44682</v>
      </c>
      <c r="C1747" s="2">
        <v>44682</v>
      </c>
      <c r="D1747" s="3" t="s">
        <v>2148</v>
      </c>
      <c r="E1747" s="3">
        <v>-2950</v>
      </c>
      <c r="F1747" s="3">
        <v>1</v>
      </c>
      <c r="G1747" s="3">
        <f t="shared" si="88"/>
        <v>2950</v>
      </c>
      <c r="H1747" s="3" t="s">
        <v>302</v>
      </c>
      <c r="I1747" s="1" t="s">
        <v>543</v>
      </c>
      <c r="J1747" s="1" t="s">
        <v>2271</v>
      </c>
      <c r="K1747" s="1" t="s">
        <v>22</v>
      </c>
      <c r="L1747" s="1" t="s">
        <v>257</v>
      </c>
      <c r="M1747" s="1"/>
      <c r="N1747" s="1">
        <f t="shared" si="87"/>
        <v>5</v>
      </c>
      <c r="O1747" s="87"/>
    </row>
    <row r="1748" spans="1:15" ht="15.75" hidden="1" x14ac:dyDescent="0.25">
      <c r="A1748" s="1" t="str">
        <f t="shared" si="86"/>
        <v>44682446822210CURRENTTRAVELSIN</v>
      </c>
      <c r="B1748" s="2">
        <v>44682</v>
      </c>
      <c r="C1748" s="2">
        <v>44682</v>
      </c>
      <c r="D1748" s="3" t="s">
        <v>2270</v>
      </c>
      <c r="E1748" s="3">
        <v>2210</v>
      </c>
      <c r="F1748" s="3">
        <v>1</v>
      </c>
      <c r="G1748" s="3">
        <f t="shared" si="88"/>
        <v>2210</v>
      </c>
      <c r="H1748" s="3" t="s">
        <v>293</v>
      </c>
      <c r="I1748" s="1" t="s">
        <v>393</v>
      </c>
      <c r="J1748" s="1" t="s">
        <v>2263</v>
      </c>
      <c r="K1748" s="1" t="s">
        <v>298</v>
      </c>
      <c r="L1748" s="1" t="s">
        <v>257</v>
      </c>
      <c r="M1748" s="1"/>
      <c r="N1748" s="1">
        <f t="shared" si="87"/>
        <v>5</v>
      </c>
      <c r="O1748" s="87"/>
    </row>
    <row r="1749" spans="1:15" ht="15.75" hidden="1" x14ac:dyDescent="0.25">
      <c r="A1749" s="1" t="str">
        <f t="shared" si="86"/>
        <v>44682446822210CURRENTSALARYQATAR AIR</v>
      </c>
      <c r="B1749" s="2">
        <v>44682</v>
      </c>
      <c r="C1749" s="2">
        <v>44682</v>
      </c>
      <c r="D1749" s="3" t="s">
        <v>2270</v>
      </c>
      <c r="E1749" s="3">
        <v>2210</v>
      </c>
      <c r="F1749" s="3">
        <v>1</v>
      </c>
      <c r="G1749" s="3">
        <f t="shared" si="88"/>
        <v>2210</v>
      </c>
      <c r="H1749" s="3" t="s">
        <v>293</v>
      </c>
      <c r="I1749" s="1" t="s">
        <v>18</v>
      </c>
      <c r="J1749" s="1" t="s">
        <v>19</v>
      </c>
      <c r="K1749" s="1" t="s">
        <v>300</v>
      </c>
      <c r="L1749" s="1" t="s">
        <v>257</v>
      </c>
      <c r="M1749" s="1"/>
      <c r="N1749" s="1">
        <f t="shared" si="87"/>
        <v>5</v>
      </c>
      <c r="O1749" s="87"/>
    </row>
    <row r="1750" spans="1:15" ht="15.75" hidden="1" x14ac:dyDescent="0.25">
      <c r="A1750" s="1" t="str">
        <f t="shared" si="86"/>
        <v>44682446848.2MASTER CCSHOPPINGSIN</v>
      </c>
      <c r="B1750" s="2">
        <v>44682</v>
      </c>
      <c r="C1750" s="2">
        <v>44684</v>
      </c>
      <c r="D1750" s="3" t="s">
        <v>2211</v>
      </c>
      <c r="E1750" s="3">
        <v>8.1999999999999993</v>
      </c>
      <c r="F1750" s="3">
        <v>1</v>
      </c>
      <c r="G1750" s="3">
        <f t="shared" si="88"/>
        <v>8.1999999999999993</v>
      </c>
      <c r="H1750" s="3" t="s">
        <v>291</v>
      </c>
      <c r="I1750" s="1" t="s">
        <v>194</v>
      </c>
      <c r="J1750" s="1" t="s">
        <v>2263</v>
      </c>
      <c r="K1750" s="1" t="s">
        <v>298</v>
      </c>
      <c r="L1750" s="1" t="s">
        <v>267</v>
      </c>
      <c r="M1750" s="1"/>
      <c r="N1750" s="1">
        <f t="shared" si="87"/>
        <v>5</v>
      </c>
      <c r="O1750" s="87" t="s">
        <v>2263</v>
      </c>
    </row>
    <row r="1751" spans="1:15" ht="15.75" hidden="1" x14ac:dyDescent="0.25">
      <c r="A1751" s="1" t="str">
        <f t="shared" si="86"/>
        <v>4468344683174.8MASTER CCATTRACTIONSIN</v>
      </c>
      <c r="B1751" s="2">
        <v>44683</v>
      </c>
      <c r="C1751" s="118">
        <f>B1751</f>
        <v>44683</v>
      </c>
      <c r="D1751" s="3" t="s">
        <v>2200</v>
      </c>
      <c r="E1751" s="3">
        <v>174.8</v>
      </c>
      <c r="F1751" s="3">
        <v>1</v>
      </c>
      <c r="G1751" s="3">
        <f t="shared" si="88"/>
        <v>174.8</v>
      </c>
      <c r="H1751" s="3" t="s">
        <v>291</v>
      </c>
      <c r="I1751" s="1" t="s">
        <v>2408</v>
      </c>
      <c r="J1751" s="1" t="s">
        <v>2263</v>
      </c>
      <c r="K1751" s="1" t="s">
        <v>298</v>
      </c>
      <c r="L1751" s="1" t="s">
        <v>267</v>
      </c>
      <c r="M1751" s="1"/>
      <c r="N1751" s="1">
        <f t="shared" si="87"/>
        <v>5</v>
      </c>
      <c r="O1751" s="87" t="s">
        <v>2263</v>
      </c>
    </row>
    <row r="1752" spans="1:15" ht="15.75" hidden="1" x14ac:dyDescent="0.25">
      <c r="A1752" s="1" t="str">
        <f t="shared" si="86"/>
        <v>446834468352.45MASTER CCSHOPPINGSIN</v>
      </c>
      <c r="B1752" s="2">
        <v>44683</v>
      </c>
      <c r="C1752" s="118">
        <f>B1752</f>
        <v>44683</v>
      </c>
      <c r="D1752" s="3" t="s">
        <v>2193</v>
      </c>
      <c r="E1752" s="3">
        <v>52.45</v>
      </c>
      <c r="F1752" s="3">
        <v>1</v>
      </c>
      <c r="G1752" s="3">
        <f t="shared" si="88"/>
        <v>52.45</v>
      </c>
      <c r="H1752" s="3" t="s">
        <v>291</v>
      </c>
      <c r="I1752" s="1" t="s">
        <v>194</v>
      </c>
      <c r="J1752" s="1" t="s">
        <v>2263</v>
      </c>
      <c r="K1752" s="1" t="s">
        <v>298</v>
      </c>
      <c r="L1752" s="1" t="s">
        <v>267</v>
      </c>
      <c r="M1752" s="1"/>
      <c r="N1752" s="1">
        <f t="shared" si="87"/>
        <v>5</v>
      </c>
      <c r="O1752" s="87" t="s">
        <v>2263</v>
      </c>
    </row>
    <row r="1753" spans="1:15" ht="15.75" hidden="1" x14ac:dyDescent="0.25">
      <c r="A1753" s="1" t="str">
        <f t="shared" si="86"/>
        <v>446834468322.63MASTER CCFOODSIN</v>
      </c>
      <c r="B1753" s="2">
        <v>44683</v>
      </c>
      <c r="C1753" s="118">
        <f>B1753</f>
        <v>44683</v>
      </c>
      <c r="D1753" s="3" t="s">
        <v>2194</v>
      </c>
      <c r="E1753" s="3">
        <v>22.63</v>
      </c>
      <c r="F1753" s="3">
        <v>1</v>
      </c>
      <c r="G1753" s="3">
        <f t="shared" si="88"/>
        <v>22.63</v>
      </c>
      <c r="H1753" s="3" t="s">
        <v>291</v>
      </c>
      <c r="I1753" s="1" t="s">
        <v>10</v>
      </c>
      <c r="J1753" s="1" t="s">
        <v>2263</v>
      </c>
      <c r="K1753" s="1" t="s">
        <v>298</v>
      </c>
      <c r="L1753" s="1" t="s">
        <v>267</v>
      </c>
      <c r="M1753" s="1"/>
      <c r="N1753" s="1">
        <f t="shared" si="87"/>
        <v>5</v>
      </c>
      <c r="O1753" s="87" t="s">
        <v>2263</v>
      </c>
    </row>
    <row r="1754" spans="1:15" ht="15.75" hidden="1" x14ac:dyDescent="0.25">
      <c r="A1754" s="1" t="str">
        <f t="shared" si="86"/>
        <v>446834468427.56MASTER CCATTRACTIONSIN</v>
      </c>
      <c r="B1754" s="2">
        <v>44683</v>
      </c>
      <c r="C1754" s="2">
        <v>44684</v>
      </c>
      <c r="D1754" s="3" t="s">
        <v>2204</v>
      </c>
      <c r="E1754" s="3">
        <v>27.56</v>
      </c>
      <c r="F1754" s="3">
        <v>1</v>
      </c>
      <c r="G1754" s="3">
        <f t="shared" si="88"/>
        <v>27.56</v>
      </c>
      <c r="H1754" s="3" t="s">
        <v>291</v>
      </c>
      <c r="I1754" s="1" t="s">
        <v>2408</v>
      </c>
      <c r="J1754" s="1" t="s">
        <v>2263</v>
      </c>
      <c r="K1754" s="1" t="s">
        <v>298</v>
      </c>
      <c r="L1754" s="1" t="s">
        <v>267</v>
      </c>
      <c r="M1754" s="1"/>
      <c r="N1754" s="1">
        <f t="shared" si="87"/>
        <v>5</v>
      </c>
      <c r="O1754" s="87" t="s">
        <v>2263</v>
      </c>
    </row>
    <row r="1755" spans="1:15" ht="15.75" hidden="1" x14ac:dyDescent="0.25">
      <c r="A1755" s="1" t="str">
        <f t="shared" si="86"/>
        <v>446834468432.75MASTER CCATTRACTIONSIN</v>
      </c>
      <c r="B1755" s="2">
        <v>44683</v>
      </c>
      <c r="C1755" s="2">
        <v>44684</v>
      </c>
      <c r="D1755" s="3" t="s">
        <v>2206</v>
      </c>
      <c r="E1755" s="3">
        <v>32.75</v>
      </c>
      <c r="F1755" s="3">
        <v>1</v>
      </c>
      <c r="G1755" s="3">
        <f t="shared" si="88"/>
        <v>32.75</v>
      </c>
      <c r="H1755" s="3" t="s">
        <v>291</v>
      </c>
      <c r="I1755" s="1" t="s">
        <v>2408</v>
      </c>
      <c r="J1755" s="1" t="s">
        <v>2263</v>
      </c>
      <c r="K1755" s="1" t="s">
        <v>298</v>
      </c>
      <c r="L1755" s="1" t="s">
        <v>267</v>
      </c>
      <c r="M1755" s="1"/>
      <c r="N1755" s="1">
        <f t="shared" si="87"/>
        <v>5</v>
      </c>
      <c r="O1755" s="87" t="s">
        <v>2263</v>
      </c>
    </row>
    <row r="1756" spans="1:15" ht="15.75" hidden="1" x14ac:dyDescent="0.25">
      <c r="A1756" s="1" t="str">
        <f t="shared" si="86"/>
        <v>446834468410.65MASTER CCATTRACTIONSIN</v>
      </c>
      <c r="B1756" s="2">
        <v>44683</v>
      </c>
      <c r="C1756" s="2">
        <v>44684</v>
      </c>
      <c r="D1756" s="3" t="s">
        <v>2203</v>
      </c>
      <c r="E1756" s="3">
        <v>10.65</v>
      </c>
      <c r="F1756" s="3">
        <v>1</v>
      </c>
      <c r="G1756" s="3">
        <f t="shared" si="88"/>
        <v>10.65</v>
      </c>
      <c r="H1756" s="3" t="s">
        <v>291</v>
      </c>
      <c r="I1756" s="1" t="s">
        <v>2408</v>
      </c>
      <c r="J1756" s="1" t="s">
        <v>2263</v>
      </c>
      <c r="K1756" s="1" t="s">
        <v>298</v>
      </c>
      <c r="L1756" s="1" t="s">
        <v>267</v>
      </c>
      <c r="M1756" s="1"/>
      <c r="N1756" s="1">
        <f t="shared" si="87"/>
        <v>5</v>
      </c>
      <c r="O1756" s="87" t="s">
        <v>2263</v>
      </c>
    </row>
    <row r="1757" spans="1:15" ht="15.75" hidden="1" x14ac:dyDescent="0.25">
      <c r="A1757" s="1" t="str">
        <f t="shared" si="86"/>
        <v>4468344684114.6MASTER CCATTRACTIONSIN</v>
      </c>
      <c r="B1757" s="2">
        <v>44683</v>
      </c>
      <c r="C1757" s="2">
        <v>44684</v>
      </c>
      <c r="D1757" s="3" t="s">
        <v>2202</v>
      </c>
      <c r="E1757" s="3">
        <v>114.6</v>
      </c>
      <c r="F1757" s="3">
        <v>1</v>
      </c>
      <c r="G1757" s="3">
        <f t="shared" si="88"/>
        <v>114.6</v>
      </c>
      <c r="H1757" s="3" t="s">
        <v>291</v>
      </c>
      <c r="I1757" s="1" t="s">
        <v>2408</v>
      </c>
      <c r="J1757" s="1" t="s">
        <v>2263</v>
      </c>
      <c r="K1757" s="1" t="s">
        <v>298</v>
      </c>
      <c r="L1757" s="1" t="s">
        <v>267</v>
      </c>
      <c r="M1757" s="1"/>
      <c r="N1757" s="1">
        <f t="shared" si="87"/>
        <v>5</v>
      </c>
      <c r="O1757" s="87" t="s">
        <v>2263</v>
      </c>
    </row>
    <row r="1758" spans="1:15" ht="15.75" hidden="1" x14ac:dyDescent="0.25">
      <c r="A1758" s="1" t="str">
        <f t="shared" si="86"/>
        <v>44683446852.18MASTER CCTRANSPORTSIN</v>
      </c>
      <c r="B1758" s="2">
        <v>44683</v>
      </c>
      <c r="C1758" s="2">
        <v>44685</v>
      </c>
      <c r="D1758" s="3" t="s">
        <v>2201</v>
      </c>
      <c r="E1758" s="3">
        <v>2.1800000000000002</v>
      </c>
      <c r="F1758" s="3">
        <v>1</v>
      </c>
      <c r="G1758" s="3">
        <f t="shared" si="88"/>
        <v>2.1800000000000002</v>
      </c>
      <c r="H1758" s="3" t="s">
        <v>291</v>
      </c>
      <c r="I1758" s="1" t="s">
        <v>296</v>
      </c>
      <c r="J1758" s="1" t="s">
        <v>2263</v>
      </c>
      <c r="K1758" s="1" t="s">
        <v>298</v>
      </c>
      <c r="L1758" s="1" t="s">
        <v>267</v>
      </c>
      <c r="M1758" s="1"/>
      <c r="N1758" s="1">
        <f t="shared" si="87"/>
        <v>5</v>
      </c>
      <c r="O1758" s="87" t="s">
        <v>2263</v>
      </c>
    </row>
    <row r="1759" spans="1:15" ht="15.75" hidden="1" x14ac:dyDescent="0.25">
      <c r="A1759" s="1" t="str">
        <f t="shared" si="86"/>
        <v>446834468350.84MASTER CCTRANSPORTSIN</v>
      </c>
      <c r="B1759" s="2">
        <v>44683</v>
      </c>
      <c r="C1759" s="118">
        <f>B1759</f>
        <v>44683</v>
      </c>
      <c r="D1759" s="3" t="s">
        <v>2199</v>
      </c>
      <c r="E1759" s="3">
        <v>50.84</v>
      </c>
      <c r="F1759" s="3">
        <v>1</v>
      </c>
      <c r="G1759" s="3">
        <f t="shared" si="88"/>
        <v>50.84</v>
      </c>
      <c r="H1759" s="3" t="s">
        <v>291</v>
      </c>
      <c r="I1759" s="1" t="s">
        <v>296</v>
      </c>
      <c r="J1759" s="1" t="s">
        <v>2263</v>
      </c>
      <c r="K1759" s="1" t="s">
        <v>298</v>
      </c>
      <c r="L1759" s="1" t="s">
        <v>267</v>
      </c>
      <c r="M1759" s="1"/>
      <c r="N1759" s="1">
        <f t="shared" si="87"/>
        <v>5</v>
      </c>
      <c r="O1759" s="87" t="s">
        <v>2263</v>
      </c>
    </row>
    <row r="1760" spans="1:15" ht="15.75" hidden="1" x14ac:dyDescent="0.25">
      <c r="A1760" s="1" t="str">
        <f t="shared" si="86"/>
        <v>4468344685354.71MASTER CCATTRACTIONSIN</v>
      </c>
      <c r="B1760" s="2">
        <v>44683</v>
      </c>
      <c r="C1760" s="2">
        <v>44685</v>
      </c>
      <c r="D1760" s="3" t="s">
        <v>2205</v>
      </c>
      <c r="E1760" s="3">
        <v>354.71</v>
      </c>
      <c r="F1760" s="3">
        <v>1</v>
      </c>
      <c r="G1760" s="3">
        <f t="shared" si="88"/>
        <v>354.71</v>
      </c>
      <c r="H1760" s="3" t="s">
        <v>291</v>
      </c>
      <c r="I1760" s="1" t="s">
        <v>2408</v>
      </c>
      <c r="J1760" s="1" t="s">
        <v>2263</v>
      </c>
      <c r="K1760" s="1" t="s">
        <v>298</v>
      </c>
      <c r="L1760" s="1" t="s">
        <v>267</v>
      </c>
      <c r="M1760" s="1"/>
      <c r="N1760" s="1">
        <f t="shared" si="87"/>
        <v>5</v>
      </c>
      <c r="O1760" s="87" t="s">
        <v>2263</v>
      </c>
    </row>
    <row r="1761" spans="1:15" ht="15.75" hidden="1" x14ac:dyDescent="0.25">
      <c r="A1761" s="1" t="str">
        <f t="shared" si="86"/>
        <v>4468344685105.57MASTER CCFOODSIN</v>
      </c>
      <c r="B1761" s="2">
        <v>44683</v>
      </c>
      <c r="C1761" s="2">
        <v>44685</v>
      </c>
      <c r="D1761" s="3" t="s">
        <v>2207</v>
      </c>
      <c r="E1761" s="3">
        <v>105.57</v>
      </c>
      <c r="F1761" s="3">
        <v>1</v>
      </c>
      <c r="G1761" s="3">
        <f t="shared" si="88"/>
        <v>105.57</v>
      </c>
      <c r="H1761" s="3" t="s">
        <v>291</v>
      </c>
      <c r="I1761" s="1" t="s">
        <v>10</v>
      </c>
      <c r="J1761" s="1" t="s">
        <v>2263</v>
      </c>
      <c r="K1761" s="1" t="s">
        <v>298</v>
      </c>
      <c r="L1761" s="1" t="s">
        <v>267</v>
      </c>
      <c r="M1761" s="1"/>
      <c r="N1761" s="1">
        <f t="shared" si="87"/>
        <v>5</v>
      </c>
      <c r="O1761" s="87" t="s">
        <v>2263</v>
      </c>
    </row>
    <row r="1762" spans="1:15" ht="15.75" hidden="1" x14ac:dyDescent="0.25">
      <c r="A1762" s="1" t="str">
        <f t="shared" si="86"/>
        <v>446834468320.81MASTER CCTRANSPORTSIN</v>
      </c>
      <c r="B1762" s="2">
        <v>44683</v>
      </c>
      <c r="C1762" s="118">
        <f t="shared" ref="C1762:C1776" si="89">B1762</f>
        <v>44683</v>
      </c>
      <c r="D1762" s="3" t="s">
        <v>2195</v>
      </c>
      <c r="E1762" s="3">
        <v>20.81</v>
      </c>
      <c r="F1762" s="3">
        <v>1</v>
      </c>
      <c r="G1762" s="3">
        <f t="shared" si="88"/>
        <v>20.81</v>
      </c>
      <c r="H1762" s="3" t="s">
        <v>291</v>
      </c>
      <c r="I1762" s="1" t="s">
        <v>296</v>
      </c>
      <c r="J1762" s="1" t="s">
        <v>2263</v>
      </c>
      <c r="K1762" s="1" t="s">
        <v>298</v>
      </c>
      <c r="L1762" s="1" t="s">
        <v>267</v>
      </c>
      <c r="M1762" s="1"/>
      <c r="N1762" s="1">
        <f t="shared" si="87"/>
        <v>5</v>
      </c>
      <c r="O1762" s="87" t="s">
        <v>2263</v>
      </c>
    </row>
    <row r="1763" spans="1:15" ht="15.75" hidden="1" x14ac:dyDescent="0.25">
      <c r="A1763" s="1" t="str">
        <f t="shared" si="86"/>
        <v>446834468347.19MASTER CCTRANSPORTSIN</v>
      </c>
      <c r="B1763" s="2">
        <v>44683</v>
      </c>
      <c r="C1763" s="118">
        <f t="shared" si="89"/>
        <v>44683</v>
      </c>
      <c r="D1763" s="3" t="s">
        <v>2198</v>
      </c>
      <c r="E1763" s="3">
        <v>47.19</v>
      </c>
      <c r="F1763" s="3">
        <v>1</v>
      </c>
      <c r="G1763" s="3">
        <f t="shared" si="88"/>
        <v>47.19</v>
      </c>
      <c r="H1763" s="3" t="s">
        <v>291</v>
      </c>
      <c r="I1763" s="1" t="s">
        <v>296</v>
      </c>
      <c r="J1763" s="1" t="s">
        <v>2263</v>
      </c>
      <c r="K1763" s="1" t="s">
        <v>298</v>
      </c>
      <c r="L1763" s="1" t="s">
        <v>267</v>
      </c>
      <c r="M1763" s="1"/>
      <c r="N1763" s="1">
        <f t="shared" si="87"/>
        <v>5</v>
      </c>
      <c r="O1763" s="87" t="s">
        <v>2263</v>
      </c>
    </row>
    <row r="1764" spans="1:15" ht="15.75" hidden="1" x14ac:dyDescent="0.25">
      <c r="A1764" s="1" t="str">
        <f t="shared" si="86"/>
        <v>446834468312.19MASTER CCFOODSIN</v>
      </c>
      <c r="B1764" s="2">
        <v>44683</v>
      </c>
      <c r="C1764" s="118">
        <f t="shared" si="89"/>
        <v>44683</v>
      </c>
      <c r="D1764" s="3" t="s">
        <v>2197</v>
      </c>
      <c r="E1764" s="3">
        <v>12.19</v>
      </c>
      <c r="F1764" s="3">
        <v>1</v>
      </c>
      <c r="G1764" s="3">
        <f t="shared" si="88"/>
        <v>12.19</v>
      </c>
      <c r="H1764" s="3" t="s">
        <v>291</v>
      </c>
      <c r="I1764" s="1" t="s">
        <v>10</v>
      </c>
      <c r="J1764" s="1" t="s">
        <v>2263</v>
      </c>
      <c r="K1764" s="1" t="s">
        <v>298</v>
      </c>
      <c r="L1764" s="1" t="s">
        <v>267</v>
      </c>
      <c r="M1764" s="1"/>
      <c r="N1764" s="1">
        <f t="shared" si="87"/>
        <v>5</v>
      </c>
      <c r="O1764" s="87" t="s">
        <v>2263</v>
      </c>
    </row>
    <row r="1765" spans="1:15" ht="15.75" hidden="1" x14ac:dyDescent="0.25">
      <c r="A1765" s="1" t="str">
        <f t="shared" si="86"/>
        <v>446834468399.86MASTER CCFOODSIN</v>
      </c>
      <c r="B1765" s="2">
        <v>44683</v>
      </c>
      <c r="C1765" s="118">
        <f t="shared" si="89"/>
        <v>44683</v>
      </c>
      <c r="D1765" s="3" t="s">
        <v>2196</v>
      </c>
      <c r="E1765" s="3">
        <v>99.86</v>
      </c>
      <c r="F1765" s="3">
        <v>1</v>
      </c>
      <c r="G1765" s="3">
        <f t="shared" si="88"/>
        <v>99.86</v>
      </c>
      <c r="H1765" s="3" t="s">
        <v>291</v>
      </c>
      <c r="I1765" s="1" t="s">
        <v>10</v>
      </c>
      <c r="J1765" s="1" t="s">
        <v>2263</v>
      </c>
      <c r="K1765" s="1" t="s">
        <v>298</v>
      </c>
      <c r="L1765" s="1" t="s">
        <v>267</v>
      </c>
      <c r="M1765" s="1"/>
      <c r="N1765" s="1">
        <f t="shared" si="87"/>
        <v>5</v>
      </c>
      <c r="O1765" s="87" t="s">
        <v>2263</v>
      </c>
    </row>
    <row r="1766" spans="1:15" ht="15.75" hidden="1" x14ac:dyDescent="0.25">
      <c r="A1766" s="1" t="str">
        <f t="shared" si="86"/>
        <v>4468444684134.72MASTER CCATTRACTIONSIN</v>
      </c>
      <c r="B1766" s="2">
        <v>44684</v>
      </c>
      <c r="C1766" s="118">
        <f t="shared" si="89"/>
        <v>44684</v>
      </c>
      <c r="D1766" s="3" t="s">
        <v>2191</v>
      </c>
      <c r="E1766" s="3">
        <v>134.72</v>
      </c>
      <c r="F1766" s="3">
        <v>1</v>
      </c>
      <c r="G1766" s="3">
        <f t="shared" si="88"/>
        <v>134.72</v>
      </c>
      <c r="H1766" s="3" t="s">
        <v>291</v>
      </c>
      <c r="I1766" s="1" t="s">
        <v>2408</v>
      </c>
      <c r="J1766" s="1" t="s">
        <v>2263</v>
      </c>
      <c r="K1766" s="1" t="s">
        <v>298</v>
      </c>
      <c r="L1766" s="1" t="s">
        <v>267</v>
      </c>
      <c r="M1766" s="1"/>
      <c r="N1766" s="1">
        <f t="shared" si="87"/>
        <v>5</v>
      </c>
      <c r="O1766" s="87" t="s">
        <v>2263</v>
      </c>
    </row>
    <row r="1767" spans="1:15" ht="15.75" hidden="1" x14ac:dyDescent="0.25">
      <c r="A1767" s="1" t="str">
        <f t="shared" si="86"/>
        <v>4468444684216.63MASTER CCATTRACTIONSIN</v>
      </c>
      <c r="B1767" s="2">
        <v>44684</v>
      </c>
      <c r="C1767" s="118">
        <f t="shared" si="89"/>
        <v>44684</v>
      </c>
      <c r="D1767" s="3" t="s">
        <v>2188</v>
      </c>
      <c r="E1767" s="3">
        <v>216.63</v>
      </c>
      <c r="F1767" s="3">
        <v>1</v>
      </c>
      <c r="G1767" s="3">
        <f t="shared" si="88"/>
        <v>216.63</v>
      </c>
      <c r="H1767" s="3" t="s">
        <v>291</v>
      </c>
      <c r="I1767" s="1" t="s">
        <v>2408</v>
      </c>
      <c r="J1767" s="1" t="s">
        <v>2263</v>
      </c>
      <c r="K1767" s="1" t="s">
        <v>298</v>
      </c>
      <c r="L1767" s="1" t="s">
        <v>267</v>
      </c>
      <c r="M1767" s="1"/>
      <c r="N1767" s="1">
        <f t="shared" si="87"/>
        <v>5</v>
      </c>
      <c r="O1767" s="87" t="s">
        <v>2263</v>
      </c>
    </row>
    <row r="1768" spans="1:15" ht="15.75" hidden="1" x14ac:dyDescent="0.25">
      <c r="A1768" s="1" t="str">
        <f t="shared" si="86"/>
        <v>4468444684216.63MASTER CCFOODSIN</v>
      </c>
      <c r="B1768" s="2">
        <v>44684</v>
      </c>
      <c r="C1768" s="118">
        <f t="shared" si="89"/>
        <v>44684</v>
      </c>
      <c r="D1768" s="3" t="s">
        <v>2189</v>
      </c>
      <c r="E1768" s="3">
        <v>216.63</v>
      </c>
      <c r="F1768" s="3">
        <v>1</v>
      </c>
      <c r="G1768" s="3">
        <f t="shared" si="88"/>
        <v>216.63</v>
      </c>
      <c r="H1768" s="3" t="s">
        <v>291</v>
      </c>
      <c r="I1768" s="1" t="s">
        <v>10</v>
      </c>
      <c r="J1768" s="1" t="s">
        <v>2263</v>
      </c>
      <c r="K1768" s="1" t="s">
        <v>298</v>
      </c>
      <c r="L1768" s="1" t="s">
        <v>267</v>
      </c>
      <c r="M1768" s="1"/>
      <c r="N1768" s="1">
        <f t="shared" si="87"/>
        <v>5</v>
      </c>
      <c r="O1768" s="87" t="s">
        <v>2276</v>
      </c>
    </row>
    <row r="1769" spans="1:15" ht="15.75" hidden="1" x14ac:dyDescent="0.25">
      <c r="A1769" s="1" t="str">
        <f t="shared" si="86"/>
        <v>446844468492.35MASTER CCFOODSIN</v>
      </c>
      <c r="B1769" s="2">
        <v>44684</v>
      </c>
      <c r="C1769" s="118">
        <f t="shared" si="89"/>
        <v>44684</v>
      </c>
      <c r="D1769" s="3" t="s">
        <v>2192</v>
      </c>
      <c r="E1769" s="3">
        <v>92.35</v>
      </c>
      <c r="F1769" s="3">
        <v>1</v>
      </c>
      <c r="G1769" s="3">
        <f t="shared" si="88"/>
        <v>92.35</v>
      </c>
      <c r="H1769" s="3" t="s">
        <v>291</v>
      </c>
      <c r="I1769" s="1" t="s">
        <v>10</v>
      </c>
      <c r="J1769" s="1" t="s">
        <v>2263</v>
      </c>
      <c r="K1769" s="1" t="s">
        <v>298</v>
      </c>
      <c r="L1769" s="1" t="s">
        <v>267</v>
      </c>
      <c r="M1769" s="1"/>
      <c r="N1769" s="1">
        <f t="shared" si="87"/>
        <v>5</v>
      </c>
      <c r="O1769" s="87" t="s">
        <v>2263</v>
      </c>
    </row>
    <row r="1770" spans="1:15" ht="15.75" hidden="1" x14ac:dyDescent="0.25">
      <c r="A1770" s="1" t="str">
        <f t="shared" si="86"/>
        <v>4468444684171.7MASTER CCSHOPPINGSIN</v>
      </c>
      <c r="B1770" s="2">
        <v>44684</v>
      </c>
      <c r="C1770" s="118">
        <f t="shared" si="89"/>
        <v>44684</v>
      </c>
      <c r="D1770" s="3" t="s">
        <v>2190</v>
      </c>
      <c r="E1770" s="3">
        <v>171.7</v>
      </c>
      <c r="F1770" s="3">
        <v>1</v>
      </c>
      <c r="G1770" s="3">
        <f t="shared" si="88"/>
        <v>171.7</v>
      </c>
      <c r="H1770" s="3" t="s">
        <v>291</v>
      </c>
      <c r="I1770" s="1" t="s">
        <v>194</v>
      </c>
      <c r="J1770" s="1" t="s">
        <v>2263</v>
      </c>
      <c r="K1770" s="1" t="s">
        <v>298</v>
      </c>
      <c r="L1770" s="1" t="s">
        <v>267</v>
      </c>
      <c r="M1770" s="1"/>
      <c r="N1770" s="1">
        <f t="shared" si="87"/>
        <v>5</v>
      </c>
      <c r="O1770" s="87" t="s">
        <v>2263</v>
      </c>
    </row>
    <row r="1771" spans="1:15" ht="15.75" hidden="1" x14ac:dyDescent="0.25">
      <c r="A1771" s="1" t="str">
        <f t="shared" si="86"/>
        <v>446844468473.04MASTER CCFOODSIN</v>
      </c>
      <c r="B1771" s="2">
        <v>44684</v>
      </c>
      <c r="C1771" s="118">
        <f t="shared" si="89"/>
        <v>44684</v>
      </c>
      <c r="D1771" s="3" t="s">
        <v>2187</v>
      </c>
      <c r="E1771" s="3">
        <v>73.040000000000006</v>
      </c>
      <c r="F1771" s="3">
        <v>1</v>
      </c>
      <c r="G1771" s="3">
        <f t="shared" si="88"/>
        <v>73.040000000000006</v>
      </c>
      <c r="H1771" s="3" t="s">
        <v>291</v>
      </c>
      <c r="I1771" s="1" t="s">
        <v>10</v>
      </c>
      <c r="J1771" s="1" t="s">
        <v>2263</v>
      </c>
      <c r="K1771" s="1" t="s">
        <v>298</v>
      </c>
      <c r="L1771" s="1" t="s">
        <v>267</v>
      </c>
      <c r="M1771" s="1"/>
      <c r="N1771" s="1">
        <f t="shared" si="87"/>
        <v>5</v>
      </c>
      <c r="O1771" s="87" t="s">
        <v>2263</v>
      </c>
    </row>
    <row r="1772" spans="1:15" ht="15.75" hidden="1" x14ac:dyDescent="0.25">
      <c r="A1772" s="1" t="str">
        <f t="shared" si="86"/>
        <v>446854468552.82MASTER CCFOODSIN</v>
      </c>
      <c r="B1772" s="2">
        <v>44685</v>
      </c>
      <c r="C1772" s="118">
        <f t="shared" si="89"/>
        <v>44685</v>
      </c>
      <c r="D1772" s="3" t="s">
        <v>2185</v>
      </c>
      <c r="E1772" s="3">
        <v>52.82</v>
      </c>
      <c r="F1772" s="3">
        <v>1</v>
      </c>
      <c r="G1772" s="3">
        <f t="shared" si="88"/>
        <v>52.82</v>
      </c>
      <c r="H1772" s="3" t="s">
        <v>291</v>
      </c>
      <c r="I1772" s="1" t="s">
        <v>10</v>
      </c>
      <c r="J1772" s="1" t="s">
        <v>2263</v>
      </c>
      <c r="K1772" s="1" t="s">
        <v>298</v>
      </c>
      <c r="L1772" s="1" t="s">
        <v>267</v>
      </c>
      <c r="M1772" s="1"/>
      <c r="N1772" s="1">
        <f t="shared" si="87"/>
        <v>5</v>
      </c>
      <c r="O1772" s="87" t="s">
        <v>2263</v>
      </c>
    </row>
    <row r="1773" spans="1:15" ht="15.75" hidden="1" x14ac:dyDescent="0.25">
      <c r="A1773" s="1" t="str">
        <f t="shared" si="86"/>
        <v>4468544685290.54MASTER CCFOODSIN</v>
      </c>
      <c r="B1773" s="2">
        <v>44685</v>
      </c>
      <c r="C1773" s="118">
        <f t="shared" si="89"/>
        <v>44685</v>
      </c>
      <c r="D1773" s="3" t="s">
        <v>2186</v>
      </c>
      <c r="E1773" s="3">
        <v>290.54000000000002</v>
      </c>
      <c r="F1773" s="3">
        <v>1</v>
      </c>
      <c r="G1773" s="3">
        <f t="shared" si="88"/>
        <v>290.54000000000002</v>
      </c>
      <c r="H1773" s="3" t="s">
        <v>291</v>
      </c>
      <c r="I1773" s="1" t="s">
        <v>10</v>
      </c>
      <c r="J1773" s="1" t="s">
        <v>2263</v>
      </c>
      <c r="K1773" s="1" t="s">
        <v>298</v>
      </c>
      <c r="L1773" s="1" t="s">
        <v>267</v>
      </c>
      <c r="M1773" s="1"/>
      <c r="N1773" s="1">
        <f t="shared" si="87"/>
        <v>5</v>
      </c>
      <c r="O1773" s="87" t="s">
        <v>2263</v>
      </c>
    </row>
    <row r="1774" spans="1:15" ht="15.75" x14ac:dyDescent="0.25">
      <c r="A1774" s="1" t="str">
        <f t="shared" si="86"/>
        <v>44685446858621.26MASTER CCGOLDSIN</v>
      </c>
      <c r="B1774" s="2">
        <v>44685</v>
      </c>
      <c r="C1774" s="118">
        <f t="shared" si="89"/>
        <v>44685</v>
      </c>
      <c r="D1774" s="3" t="s">
        <v>2182</v>
      </c>
      <c r="E1774" s="3">
        <v>8621.26</v>
      </c>
      <c r="F1774" s="3">
        <v>1</v>
      </c>
      <c r="G1774" s="3">
        <f t="shared" si="88"/>
        <v>8621.26</v>
      </c>
      <c r="H1774" s="3" t="s">
        <v>291</v>
      </c>
      <c r="I1774" s="1" t="s">
        <v>106</v>
      </c>
      <c r="J1774" s="1" t="s">
        <v>2263</v>
      </c>
      <c r="K1774" s="1" t="s">
        <v>298</v>
      </c>
      <c r="L1774" s="1" t="s">
        <v>267</v>
      </c>
      <c r="M1774" s="1"/>
      <c r="N1774" s="1">
        <f t="shared" si="87"/>
        <v>5</v>
      </c>
      <c r="O1774" s="87" t="s">
        <v>2263</v>
      </c>
    </row>
    <row r="1775" spans="1:15" ht="15.75" hidden="1" x14ac:dyDescent="0.25">
      <c r="A1775" s="1" t="str">
        <f t="shared" si="86"/>
        <v>44685446858.76MASTER CCTRANSPORTSIN</v>
      </c>
      <c r="B1775" s="2">
        <v>44685</v>
      </c>
      <c r="C1775" s="118">
        <f t="shared" si="89"/>
        <v>44685</v>
      </c>
      <c r="D1775" s="3" t="s">
        <v>2184</v>
      </c>
      <c r="E1775" s="3">
        <v>8.76</v>
      </c>
      <c r="F1775" s="3">
        <v>1</v>
      </c>
      <c r="G1775" s="3">
        <f t="shared" si="88"/>
        <v>8.76</v>
      </c>
      <c r="H1775" s="3" t="s">
        <v>291</v>
      </c>
      <c r="I1775" s="1" t="s">
        <v>296</v>
      </c>
      <c r="J1775" s="1" t="s">
        <v>2263</v>
      </c>
      <c r="K1775" s="1" t="s">
        <v>298</v>
      </c>
      <c r="L1775" s="1" t="s">
        <v>267</v>
      </c>
      <c r="M1775" s="1"/>
      <c r="N1775" s="1">
        <f t="shared" si="87"/>
        <v>5</v>
      </c>
      <c r="O1775" s="87" t="s">
        <v>2263</v>
      </c>
    </row>
    <row r="1776" spans="1:15" ht="15.75" hidden="1" x14ac:dyDescent="0.25">
      <c r="A1776" s="1" t="str">
        <f t="shared" si="86"/>
        <v>44685446852.63MASTER CCTRANSPORTSIN</v>
      </c>
      <c r="B1776" s="2">
        <v>44685</v>
      </c>
      <c r="C1776" s="118">
        <f t="shared" si="89"/>
        <v>44685</v>
      </c>
      <c r="D1776" s="3" t="s">
        <v>2183</v>
      </c>
      <c r="E1776" s="3">
        <v>2.63</v>
      </c>
      <c r="F1776" s="3">
        <v>1</v>
      </c>
      <c r="G1776" s="3">
        <f t="shared" si="88"/>
        <v>2.63</v>
      </c>
      <c r="H1776" s="3" t="s">
        <v>291</v>
      </c>
      <c r="I1776" s="1" t="s">
        <v>296</v>
      </c>
      <c r="J1776" s="1" t="s">
        <v>2263</v>
      </c>
      <c r="K1776" s="1" t="s">
        <v>298</v>
      </c>
      <c r="L1776" s="1" t="s">
        <v>267</v>
      </c>
      <c r="M1776" s="1"/>
      <c r="N1776" s="1">
        <f t="shared" si="87"/>
        <v>5</v>
      </c>
      <c r="O1776" s="87" t="s">
        <v>2263</v>
      </c>
    </row>
    <row r="1777" spans="1:15" ht="15.75" hidden="1" x14ac:dyDescent="0.25">
      <c r="A1777" s="1" t="str">
        <f t="shared" si="86"/>
        <v>44686446866600SAVINGTRANSFERARTI</v>
      </c>
      <c r="B1777" s="2">
        <v>44686</v>
      </c>
      <c r="C1777" s="2">
        <v>44686</v>
      </c>
      <c r="D1777" s="3" t="s">
        <v>2149</v>
      </c>
      <c r="E1777" s="3">
        <v>-6600</v>
      </c>
      <c r="F1777" s="3">
        <v>1</v>
      </c>
      <c r="G1777" s="3">
        <f t="shared" si="88"/>
        <v>6600</v>
      </c>
      <c r="H1777" s="3" t="s">
        <v>302</v>
      </c>
      <c r="I1777" s="1" t="s">
        <v>22</v>
      </c>
      <c r="J1777" s="1" t="s">
        <v>453</v>
      </c>
      <c r="K1777" s="1" t="s">
        <v>22</v>
      </c>
      <c r="L1777" s="1" t="s">
        <v>257</v>
      </c>
      <c r="M1777" s="1"/>
      <c r="N1777" s="1">
        <f t="shared" si="87"/>
        <v>5</v>
      </c>
      <c r="O1777" s="87"/>
    </row>
    <row r="1778" spans="1:15" ht="15.75" hidden="1" x14ac:dyDescent="0.25">
      <c r="A1778" s="1" t="str">
        <f t="shared" si="86"/>
        <v>446864468635DINERSGROCERYTOTAL FRESH</v>
      </c>
      <c r="B1778" s="2">
        <v>44686</v>
      </c>
      <c r="C1778" s="118">
        <f>B1778</f>
        <v>44686</v>
      </c>
      <c r="D1778" s="3" t="s">
        <v>2150</v>
      </c>
      <c r="E1778" s="3">
        <v>35</v>
      </c>
      <c r="F1778" s="3">
        <v>1</v>
      </c>
      <c r="G1778" s="3">
        <f t="shared" si="88"/>
        <v>35</v>
      </c>
      <c r="H1778" s="3" t="s">
        <v>266</v>
      </c>
      <c r="I1778" s="1" t="s">
        <v>43</v>
      </c>
      <c r="J1778" s="1" t="s">
        <v>1394</v>
      </c>
      <c r="K1778" s="1" t="s">
        <v>298</v>
      </c>
      <c r="L1778" s="1" t="s">
        <v>267</v>
      </c>
      <c r="M1778" s="1"/>
      <c r="N1778" s="1">
        <f t="shared" si="87"/>
        <v>5</v>
      </c>
      <c r="O1778" s="87"/>
    </row>
    <row r="1779" spans="1:15" ht="15.75" hidden="1" x14ac:dyDescent="0.25">
      <c r="A1779" s="1" t="str">
        <f t="shared" si="86"/>
        <v>44686446866600SAVINGTRANSFERSELF</v>
      </c>
      <c r="B1779" s="2">
        <v>44686</v>
      </c>
      <c r="C1779" s="2">
        <v>44686</v>
      </c>
      <c r="D1779" s="3" t="s">
        <v>2149</v>
      </c>
      <c r="E1779" s="3">
        <v>-6600</v>
      </c>
      <c r="F1779" s="3">
        <v>1</v>
      </c>
      <c r="G1779" s="3">
        <f t="shared" si="88"/>
        <v>6600</v>
      </c>
      <c r="H1779" s="3" t="s">
        <v>302</v>
      </c>
      <c r="I1779" s="1" t="s">
        <v>22</v>
      </c>
      <c r="J1779" s="1" t="s">
        <v>14</v>
      </c>
      <c r="K1779" s="1" t="s">
        <v>300</v>
      </c>
      <c r="L1779" s="1" t="s">
        <v>257</v>
      </c>
      <c r="M1779" s="1"/>
      <c r="N1779" s="1">
        <f t="shared" si="87"/>
        <v>5</v>
      </c>
      <c r="O1779" s="87"/>
    </row>
    <row r="1780" spans="1:15" ht="15.75" hidden="1" x14ac:dyDescent="0.25">
      <c r="A1780" s="1" t="str">
        <f t="shared" si="86"/>
        <v>446864468912.38DINERSTRANSPORTUBER</v>
      </c>
      <c r="B1780" s="2">
        <v>44686</v>
      </c>
      <c r="C1780" s="2">
        <v>44689</v>
      </c>
      <c r="D1780" s="3" t="s">
        <v>2326</v>
      </c>
      <c r="E1780" s="3">
        <v>12.38</v>
      </c>
      <c r="F1780" s="3">
        <v>1</v>
      </c>
      <c r="G1780" s="3">
        <f t="shared" si="88"/>
        <v>12.38</v>
      </c>
      <c r="H1780" s="3" t="s">
        <v>266</v>
      </c>
      <c r="I1780" s="1" t="s">
        <v>296</v>
      </c>
      <c r="J1780" s="1" t="s">
        <v>299</v>
      </c>
      <c r="K1780" s="1" t="s">
        <v>298</v>
      </c>
      <c r="L1780" s="1" t="s">
        <v>267</v>
      </c>
      <c r="M1780" s="1"/>
      <c r="N1780" s="1">
        <f t="shared" si="87"/>
        <v>5</v>
      </c>
      <c r="O1780" s="87"/>
    </row>
    <row r="1781" spans="1:15" ht="15.75" hidden="1" x14ac:dyDescent="0.25">
      <c r="A1781" s="1" t="str">
        <f t="shared" si="86"/>
        <v>446874469170MASTER CCSHOPPINGRNB</v>
      </c>
      <c r="B1781" s="2">
        <v>44687</v>
      </c>
      <c r="C1781" s="2">
        <v>44691</v>
      </c>
      <c r="D1781" s="3" t="s">
        <v>2366</v>
      </c>
      <c r="E1781" s="3">
        <v>70</v>
      </c>
      <c r="F1781" s="3">
        <v>1</v>
      </c>
      <c r="G1781" s="3">
        <f t="shared" si="88"/>
        <v>70</v>
      </c>
      <c r="H1781" s="3" t="s">
        <v>291</v>
      </c>
      <c r="I1781" s="1" t="s">
        <v>194</v>
      </c>
      <c r="J1781" s="1" t="s">
        <v>1658</v>
      </c>
      <c r="K1781" s="1" t="s">
        <v>298</v>
      </c>
      <c r="L1781" s="1" t="s">
        <v>267</v>
      </c>
      <c r="M1781" s="1"/>
      <c r="N1781" s="1">
        <f t="shared" si="87"/>
        <v>5</v>
      </c>
      <c r="O1781" s="87"/>
    </row>
    <row r="1782" spans="1:15" ht="15.75" hidden="1" x14ac:dyDescent="0.25">
      <c r="A1782" s="1" t="str">
        <f t="shared" si="86"/>
        <v>4468744691100.5MASTER CCGROCERYCARREFOUR</v>
      </c>
      <c r="B1782" s="2">
        <v>44687</v>
      </c>
      <c r="C1782" s="2">
        <v>44691</v>
      </c>
      <c r="D1782" s="3" t="s">
        <v>2367</v>
      </c>
      <c r="E1782" s="3">
        <v>100.5</v>
      </c>
      <c r="F1782" s="3">
        <v>1</v>
      </c>
      <c r="G1782" s="3">
        <f t="shared" si="88"/>
        <v>100.5</v>
      </c>
      <c r="H1782" s="3" t="s">
        <v>291</v>
      </c>
      <c r="I1782" s="1" t="s">
        <v>43</v>
      </c>
      <c r="J1782" s="1" t="s">
        <v>67</v>
      </c>
      <c r="K1782" s="1" t="s">
        <v>298</v>
      </c>
      <c r="L1782" s="1" t="s">
        <v>267</v>
      </c>
      <c r="M1782" s="1"/>
      <c r="N1782" s="1">
        <f t="shared" si="87"/>
        <v>5</v>
      </c>
      <c r="O1782" s="87"/>
    </row>
    <row r="1783" spans="1:15" ht="15.75" hidden="1" x14ac:dyDescent="0.25">
      <c r="A1783" s="1" t="str">
        <f t="shared" si="86"/>
        <v>446874469112.21DINERSTRANSPORTUBER</v>
      </c>
      <c r="B1783" s="2">
        <v>44687</v>
      </c>
      <c r="C1783" s="2">
        <v>44691</v>
      </c>
      <c r="D1783" s="3" t="s">
        <v>2324</v>
      </c>
      <c r="E1783" s="3">
        <v>12.21</v>
      </c>
      <c r="F1783" s="3">
        <v>1</v>
      </c>
      <c r="G1783" s="3">
        <f t="shared" si="88"/>
        <v>12.21</v>
      </c>
      <c r="H1783" s="3" t="s">
        <v>266</v>
      </c>
      <c r="I1783" s="1" t="s">
        <v>296</v>
      </c>
      <c r="J1783" s="1" t="s">
        <v>299</v>
      </c>
      <c r="K1783" s="1" t="s">
        <v>298</v>
      </c>
      <c r="L1783" s="1" t="s">
        <v>267</v>
      </c>
      <c r="M1783" s="1"/>
      <c r="N1783" s="1">
        <f t="shared" si="87"/>
        <v>5</v>
      </c>
      <c r="O1783" s="87"/>
    </row>
    <row r="1784" spans="1:15" ht="15.75" hidden="1" x14ac:dyDescent="0.25">
      <c r="A1784" s="1" t="str">
        <f t="shared" si="86"/>
        <v>4468744688307DINERSSHOPPINGMAX</v>
      </c>
      <c r="B1784" s="2">
        <v>44687</v>
      </c>
      <c r="C1784" s="2">
        <v>44688</v>
      </c>
      <c r="D1784" s="3" t="s">
        <v>2325</v>
      </c>
      <c r="E1784" s="3">
        <v>307</v>
      </c>
      <c r="F1784" s="3">
        <v>1</v>
      </c>
      <c r="G1784" s="3">
        <f t="shared" si="88"/>
        <v>307</v>
      </c>
      <c r="H1784" s="3" t="s">
        <v>266</v>
      </c>
      <c r="I1784" s="1" t="s">
        <v>194</v>
      </c>
      <c r="J1784" s="1" t="s">
        <v>776</v>
      </c>
      <c r="K1784" s="1" t="s">
        <v>298</v>
      </c>
      <c r="L1784" s="1" t="s">
        <v>267</v>
      </c>
      <c r="M1784" s="1"/>
      <c r="N1784" s="1">
        <f t="shared" si="87"/>
        <v>5</v>
      </c>
      <c r="O1784" s="87"/>
    </row>
    <row r="1785" spans="1:15" ht="15.75" hidden="1" x14ac:dyDescent="0.25">
      <c r="A1785" s="1" t="str">
        <f t="shared" si="86"/>
        <v>446884468928DINERSGROCERYTOTAL FRESH</v>
      </c>
      <c r="B1785" s="2">
        <v>44688</v>
      </c>
      <c r="C1785" s="2">
        <v>44689</v>
      </c>
      <c r="D1785" s="3" t="s">
        <v>2323</v>
      </c>
      <c r="E1785" s="3">
        <v>28</v>
      </c>
      <c r="F1785" s="3">
        <v>1</v>
      </c>
      <c r="G1785" s="3">
        <f t="shared" si="88"/>
        <v>28</v>
      </c>
      <c r="H1785" s="3" t="s">
        <v>266</v>
      </c>
      <c r="I1785" s="1" t="s">
        <v>43</v>
      </c>
      <c r="J1785" s="1" t="s">
        <v>1394</v>
      </c>
      <c r="K1785" s="1" t="s">
        <v>298</v>
      </c>
      <c r="L1785" s="1" t="s">
        <v>267</v>
      </c>
      <c r="M1785" s="1"/>
      <c r="N1785" s="1">
        <f t="shared" si="87"/>
        <v>5</v>
      </c>
      <c r="O1785" s="87"/>
    </row>
    <row r="1786" spans="1:15" ht="15.75" hidden="1" x14ac:dyDescent="0.25">
      <c r="A1786" s="1" t="str">
        <f t="shared" si="86"/>
        <v>446894469120MASTER CCTELECOMOOREDOO</v>
      </c>
      <c r="B1786" s="2">
        <v>44689</v>
      </c>
      <c r="C1786" s="2">
        <v>44691</v>
      </c>
      <c r="D1786" s="3" t="s">
        <v>2365</v>
      </c>
      <c r="E1786" s="3">
        <v>20</v>
      </c>
      <c r="F1786" s="3">
        <v>1</v>
      </c>
      <c r="G1786" s="3">
        <f t="shared" si="88"/>
        <v>20</v>
      </c>
      <c r="H1786" s="3" t="s">
        <v>291</v>
      </c>
      <c r="I1786" s="1" t="s">
        <v>58</v>
      </c>
      <c r="J1786" s="1" t="s">
        <v>59</v>
      </c>
      <c r="K1786" s="1" t="s">
        <v>298</v>
      </c>
      <c r="L1786" s="1" t="s">
        <v>267</v>
      </c>
      <c r="M1786" s="1"/>
      <c r="N1786" s="1">
        <f t="shared" si="87"/>
        <v>5</v>
      </c>
      <c r="O1786" s="87"/>
    </row>
    <row r="1787" spans="1:15" ht="15.75" hidden="1" x14ac:dyDescent="0.25">
      <c r="A1787" s="1" t="str">
        <f t="shared" si="86"/>
        <v>446894469160MASTER CCTELECOMOOREDOO</v>
      </c>
      <c r="B1787" s="2">
        <v>44689</v>
      </c>
      <c r="C1787" s="2">
        <v>44691</v>
      </c>
      <c r="D1787" s="3" t="s">
        <v>2364</v>
      </c>
      <c r="E1787" s="3">
        <v>60</v>
      </c>
      <c r="F1787" s="3">
        <v>1</v>
      </c>
      <c r="G1787" s="3">
        <f t="shared" si="88"/>
        <v>60</v>
      </c>
      <c r="H1787" s="3" t="s">
        <v>291</v>
      </c>
      <c r="I1787" s="1" t="s">
        <v>58</v>
      </c>
      <c r="J1787" s="1" t="s">
        <v>59</v>
      </c>
      <c r="K1787" s="1" t="s">
        <v>298</v>
      </c>
      <c r="L1787" s="1" t="s">
        <v>267</v>
      </c>
      <c r="M1787" s="1"/>
      <c r="N1787" s="1">
        <f t="shared" si="87"/>
        <v>5</v>
      </c>
      <c r="O1787" s="87"/>
    </row>
    <row r="1788" spans="1:15" ht="15.75" hidden="1" x14ac:dyDescent="0.25">
      <c r="A1788" s="1" t="str">
        <f t="shared" si="86"/>
        <v>446894469114.26DINERSTRANSPORTUBER</v>
      </c>
      <c r="B1788" s="2">
        <v>44689</v>
      </c>
      <c r="C1788" s="2">
        <v>44691</v>
      </c>
      <c r="D1788" s="3" t="s">
        <v>2318</v>
      </c>
      <c r="E1788" s="3">
        <v>14.26</v>
      </c>
      <c r="F1788" s="3">
        <v>1</v>
      </c>
      <c r="G1788" s="3">
        <f t="shared" si="88"/>
        <v>14.26</v>
      </c>
      <c r="H1788" s="3" t="s">
        <v>266</v>
      </c>
      <c r="I1788" s="1" t="s">
        <v>296</v>
      </c>
      <c r="J1788" s="1" t="s">
        <v>299</v>
      </c>
      <c r="K1788" s="1" t="s">
        <v>298</v>
      </c>
      <c r="L1788" s="1" t="s">
        <v>267</v>
      </c>
      <c r="M1788" s="1"/>
      <c r="N1788" s="1">
        <f t="shared" si="87"/>
        <v>5</v>
      </c>
      <c r="O1788" s="87"/>
    </row>
    <row r="1789" spans="1:15" ht="15.75" hidden="1" x14ac:dyDescent="0.25">
      <c r="A1789" s="1" t="str">
        <f t="shared" si="86"/>
        <v>44689446918DINERSTRANSPORTUBER</v>
      </c>
      <c r="B1789" s="2">
        <v>44689</v>
      </c>
      <c r="C1789" s="2">
        <v>44691</v>
      </c>
      <c r="D1789" s="3" t="s">
        <v>2319</v>
      </c>
      <c r="E1789" s="3">
        <v>8</v>
      </c>
      <c r="F1789" s="3">
        <v>1</v>
      </c>
      <c r="G1789" s="3">
        <f t="shared" si="88"/>
        <v>8</v>
      </c>
      <c r="H1789" s="3" t="s">
        <v>266</v>
      </c>
      <c r="I1789" s="1" t="s">
        <v>296</v>
      </c>
      <c r="J1789" s="1" t="s">
        <v>299</v>
      </c>
      <c r="K1789" s="1" t="s">
        <v>298</v>
      </c>
      <c r="L1789" s="1" t="s">
        <v>267</v>
      </c>
      <c r="M1789" s="1"/>
      <c r="N1789" s="1">
        <f t="shared" si="87"/>
        <v>5</v>
      </c>
      <c r="O1789" s="87"/>
    </row>
    <row r="1790" spans="1:15" ht="15.75" hidden="1" x14ac:dyDescent="0.25">
      <c r="A1790" s="1" t="str">
        <f t="shared" si="86"/>
        <v>44689446915DINERSTRANSPORTUBER</v>
      </c>
      <c r="B1790" s="2">
        <v>44689</v>
      </c>
      <c r="C1790" s="2">
        <v>44691</v>
      </c>
      <c r="D1790" s="3" t="s">
        <v>2320</v>
      </c>
      <c r="E1790" s="3">
        <v>5</v>
      </c>
      <c r="F1790" s="3">
        <v>1</v>
      </c>
      <c r="G1790" s="3">
        <f t="shared" si="88"/>
        <v>5</v>
      </c>
      <c r="H1790" s="3" t="s">
        <v>266</v>
      </c>
      <c r="I1790" s="1" t="s">
        <v>296</v>
      </c>
      <c r="J1790" s="1" t="s">
        <v>299</v>
      </c>
      <c r="K1790" s="1" t="s">
        <v>298</v>
      </c>
      <c r="L1790" s="1" t="s">
        <v>267</v>
      </c>
      <c r="M1790" s="1"/>
      <c r="N1790" s="1">
        <f t="shared" si="87"/>
        <v>5</v>
      </c>
      <c r="O1790" s="87"/>
    </row>
    <row r="1791" spans="1:15" ht="15.75" hidden="1" x14ac:dyDescent="0.25">
      <c r="A1791" s="1" t="str">
        <f t="shared" si="86"/>
        <v>446894469113.1DINERSTRANSPORTUBER</v>
      </c>
      <c r="B1791" s="2">
        <v>44689</v>
      </c>
      <c r="C1791" s="2">
        <v>44691</v>
      </c>
      <c r="D1791" s="3" t="s">
        <v>2321</v>
      </c>
      <c r="E1791" s="3">
        <v>13.1</v>
      </c>
      <c r="F1791" s="3">
        <v>1</v>
      </c>
      <c r="G1791" s="3">
        <f t="shared" si="88"/>
        <v>13.1</v>
      </c>
      <c r="H1791" s="3" t="s">
        <v>266</v>
      </c>
      <c r="I1791" s="1" t="s">
        <v>296</v>
      </c>
      <c r="J1791" s="1" t="s">
        <v>299</v>
      </c>
      <c r="K1791" s="1" t="s">
        <v>298</v>
      </c>
      <c r="L1791" s="1" t="s">
        <v>267</v>
      </c>
      <c r="M1791" s="1"/>
      <c r="N1791" s="1">
        <f t="shared" si="87"/>
        <v>5</v>
      </c>
      <c r="O1791" s="87"/>
    </row>
    <row r="1792" spans="1:15" ht="15.75" hidden="1" x14ac:dyDescent="0.25">
      <c r="A1792" s="1" t="str">
        <f t="shared" si="86"/>
        <v>446894469036.28DINERSGROCERYLULU</v>
      </c>
      <c r="B1792" s="2">
        <v>44689</v>
      </c>
      <c r="C1792" s="2">
        <v>44690</v>
      </c>
      <c r="D1792" s="3" t="s">
        <v>2322</v>
      </c>
      <c r="E1792" s="3">
        <v>36.28</v>
      </c>
      <c r="F1792" s="3">
        <v>1</v>
      </c>
      <c r="G1792" s="3">
        <f t="shared" si="88"/>
        <v>36.28</v>
      </c>
      <c r="H1792" s="3" t="s">
        <v>266</v>
      </c>
      <c r="I1792" s="1" t="s">
        <v>43</v>
      </c>
      <c r="J1792" s="1" t="s">
        <v>44</v>
      </c>
      <c r="K1792" s="1" t="s">
        <v>298</v>
      </c>
      <c r="L1792" s="1" t="s">
        <v>267</v>
      </c>
      <c r="M1792" s="1"/>
      <c r="N1792" s="1">
        <f t="shared" si="87"/>
        <v>5</v>
      </c>
      <c r="O1792" s="87"/>
    </row>
    <row r="1793" spans="1:15" ht="15.75" hidden="1" x14ac:dyDescent="0.25">
      <c r="A1793" s="1" t="str">
        <f t="shared" si="86"/>
        <v>44689446891250CURRENTSAVINGSELF</v>
      </c>
      <c r="B1793" s="2">
        <v>44689</v>
      </c>
      <c r="C1793" s="2">
        <v>44689</v>
      </c>
      <c r="D1793" s="3" t="s">
        <v>1167</v>
      </c>
      <c r="E1793" s="3">
        <v>-1250</v>
      </c>
      <c r="F1793" s="3">
        <v>1</v>
      </c>
      <c r="G1793" s="3">
        <f t="shared" si="88"/>
        <v>1250</v>
      </c>
      <c r="H1793" s="3" t="s">
        <v>293</v>
      </c>
      <c r="I1793" s="1" t="s">
        <v>302</v>
      </c>
      <c r="J1793" s="1" t="s">
        <v>14</v>
      </c>
      <c r="K1793" s="1" t="s">
        <v>298</v>
      </c>
      <c r="L1793" s="1" t="s">
        <v>257</v>
      </c>
      <c r="M1793" s="1"/>
      <c r="N1793" s="1">
        <f t="shared" si="87"/>
        <v>5</v>
      </c>
      <c r="O1793" s="87"/>
    </row>
    <row r="1794" spans="1:15" ht="15.75" hidden="1" x14ac:dyDescent="0.25">
      <c r="A1794" s="1" t="str">
        <f t="shared" ref="A1794:A1857" si="90">B1794&amp;C1794&amp;G1794&amp;H1794&amp;I1794&amp;J1794</f>
        <v>44689446892000CURRENTSAVINGSELF</v>
      </c>
      <c r="B1794" s="2">
        <v>44689</v>
      </c>
      <c r="C1794" s="2">
        <v>44689</v>
      </c>
      <c r="D1794" s="3" t="s">
        <v>1939</v>
      </c>
      <c r="E1794" s="3">
        <v>-2000</v>
      </c>
      <c r="F1794" s="3">
        <v>1</v>
      </c>
      <c r="G1794" s="3">
        <f t="shared" si="88"/>
        <v>2000</v>
      </c>
      <c r="H1794" s="3" t="s">
        <v>293</v>
      </c>
      <c r="I1794" s="1" t="s">
        <v>302</v>
      </c>
      <c r="J1794" s="1" t="s">
        <v>14</v>
      </c>
      <c r="K1794" s="1" t="s">
        <v>298</v>
      </c>
      <c r="L1794" s="1" t="s">
        <v>257</v>
      </c>
      <c r="M1794" s="1"/>
      <c r="N1794" s="1">
        <f t="shared" ref="N1794:N1857" si="91">MONTH(C1794)</f>
        <v>5</v>
      </c>
      <c r="O1794" s="87"/>
    </row>
    <row r="1795" spans="1:15" ht="15.75" hidden="1" x14ac:dyDescent="0.25">
      <c r="A1795" s="1" t="str">
        <f t="shared" si="90"/>
        <v>4468944690165DINERSSHOPPINGLULU</v>
      </c>
      <c r="B1795" s="2">
        <v>44689</v>
      </c>
      <c r="C1795" s="2">
        <v>44690</v>
      </c>
      <c r="D1795" s="3" t="s">
        <v>2401</v>
      </c>
      <c r="E1795" s="3">
        <v>165</v>
      </c>
      <c r="F1795" s="3">
        <v>1</v>
      </c>
      <c r="G1795" s="3">
        <f t="shared" si="88"/>
        <v>165</v>
      </c>
      <c r="H1795" s="3" t="s">
        <v>266</v>
      </c>
      <c r="I1795" s="1" t="s">
        <v>194</v>
      </c>
      <c r="J1795" s="1" t="s">
        <v>44</v>
      </c>
      <c r="K1795" s="1" t="s">
        <v>298</v>
      </c>
      <c r="L1795" s="1" t="s">
        <v>267</v>
      </c>
      <c r="M1795" s="1"/>
      <c r="N1795" s="1">
        <f t="shared" si="91"/>
        <v>5</v>
      </c>
      <c r="O1795" s="87"/>
    </row>
    <row r="1796" spans="1:15" ht="15.75" hidden="1" x14ac:dyDescent="0.25">
      <c r="A1796" s="1" t="str">
        <f t="shared" si="90"/>
        <v>446894468911.2CURRENTTRANSPORTCAREEM</v>
      </c>
      <c r="B1796" s="2">
        <v>44689</v>
      </c>
      <c r="C1796" s="2">
        <v>44689</v>
      </c>
      <c r="D1796" s="3" t="s">
        <v>2399</v>
      </c>
      <c r="E1796" s="3">
        <v>-11.2</v>
      </c>
      <c r="F1796" s="3">
        <v>1</v>
      </c>
      <c r="G1796" s="3">
        <f t="shared" si="88"/>
        <v>11.2</v>
      </c>
      <c r="H1796" s="3" t="s">
        <v>293</v>
      </c>
      <c r="I1796" s="1" t="s">
        <v>296</v>
      </c>
      <c r="J1796" s="1" t="s">
        <v>297</v>
      </c>
      <c r="K1796" s="1" t="s">
        <v>298</v>
      </c>
      <c r="L1796" s="1" t="s">
        <v>257</v>
      </c>
      <c r="M1796" s="1"/>
      <c r="N1796" s="1">
        <f t="shared" si="91"/>
        <v>5</v>
      </c>
      <c r="O1796" s="87"/>
    </row>
    <row r="1797" spans="1:15" ht="15.75" hidden="1" x14ac:dyDescent="0.25">
      <c r="A1797" s="1" t="str">
        <f t="shared" si="90"/>
        <v>44689446899.3CURRENTTRANSPORTCAREEM</v>
      </c>
      <c r="B1797" s="2">
        <v>44689</v>
      </c>
      <c r="C1797" s="2">
        <v>44689</v>
      </c>
      <c r="D1797" s="3" t="s">
        <v>2400</v>
      </c>
      <c r="E1797" s="3">
        <v>-9.3000000000000007</v>
      </c>
      <c r="F1797" s="3">
        <v>1</v>
      </c>
      <c r="G1797" s="3">
        <f t="shared" si="88"/>
        <v>9.3000000000000007</v>
      </c>
      <c r="H1797" s="3" t="s">
        <v>293</v>
      </c>
      <c r="I1797" s="1" t="s">
        <v>296</v>
      </c>
      <c r="J1797" s="1" t="s">
        <v>297</v>
      </c>
      <c r="K1797" s="1" t="s">
        <v>298</v>
      </c>
      <c r="L1797" s="1" t="s">
        <v>257</v>
      </c>
      <c r="M1797" s="1"/>
      <c r="N1797" s="1">
        <f t="shared" si="91"/>
        <v>5</v>
      </c>
      <c r="O1797" s="87"/>
    </row>
    <row r="1798" spans="1:15" ht="15.75" hidden="1" x14ac:dyDescent="0.25">
      <c r="A1798" s="1" t="str">
        <f t="shared" si="90"/>
        <v>446904469232MASTER CCFOODQATAR AIR</v>
      </c>
      <c r="B1798" s="2">
        <v>44690</v>
      </c>
      <c r="C1798" s="2">
        <v>44692</v>
      </c>
      <c r="D1798" s="3" t="s">
        <v>2362</v>
      </c>
      <c r="E1798" s="3">
        <v>32</v>
      </c>
      <c r="F1798" s="3">
        <v>1</v>
      </c>
      <c r="G1798" s="3">
        <f t="shared" si="88"/>
        <v>32</v>
      </c>
      <c r="H1798" s="3" t="s">
        <v>291</v>
      </c>
      <c r="I1798" s="1" t="s">
        <v>10</v>
      </c>
      <c r="J1798" s="1" t="s">
        <v>19</v>
      </c>
      <c r="K1798" s="1" t="s">
        <v>298</v>
      </c>
      <c r="L1798" s="1" t="s">
        <v>267</v>
      </c>
      <c r="M1798" s="1"/>
      <c r="N1798" s="1">
        <f t="shared" si="91"/>
        <v>5</v>
      </c>
      <c r="O1798" s="87"/>
    </row>
    <row r="1799" spans="1:15" ht="15.75" hidden="1" x14ac:dyDescent="0.25">
      <c r="A1799" s="1" t="str">
        <f t="shared" si="90"/>
        <v>446904469250MASTER CCTRANSPORTMETRO</v>
      </c>
      <c r="B1799" s="2">
        <v>44690</v>
      </c>
      <c r="C1799" s="2">
        <v>44692</v>
      </c>
      <c r="D1799" s="3" t="s">
        <v>2363</v>
      </c>
      <c r="E1799" s="3">
        <v>50</v>
      </c>
      <c r="F1799" s="3">
        <v>1</v>
      </c>
      <c r="G1799" s="3">
        <f t="shared" si="88"/>
        <v>50</v>
      </c>
      <c r="H1799" s="3" t="s">
        <v>291</v>
      </c>
      <c r="I1799" s="1" t="s">
        <v>296</v>
      </c>
      <c r="J1799" s="1" t="s">
        <v>759</v>
      </c>
      <c r="K1799" s="1" t="s">
        <v>298</v>
      </c>
      <c r="L1799" s="1" t="s">
        <v>267</v>
      </c>
      <c r="M1799" s="1"/>
      <c r="N1799" s="1">
        <f t="shared" si="91"/>
        <v>5</v>
      </c>
      <c r="O1799" s="87"/>
    </row>
    <row r="1800" spans="1:15" ht="15.75" hidden="1" x14ac:dyDescent="0.25">
      <c r="A1800" s="1" t="str">
        <f t="shared" si="90"/>
        <v>446904469110MASTER CCTELECOMOOREDOO</v>
      </c>
      <c r="B1800" s="2">
        <v>44690</v>
      </c>
      <c r="C1800" s="2">
        <v>44691</v>
      </c>
      <c r="D1800" s="3" t="s">
        <v>2361</v>
      </c>
      <c r="E1800" s="3">
        <v>10</v>
      </c>
      <c r="F1800" s="3">
        <v>1</v>
      </c>
      <c r="G1800" s="3">
        <f t="shared" si="88"/>
        <v>10</v>
      </c>
      <c r="H1800" s="3" t="s">
        <v>291</v>
      </c>
      <c r="I1800" s="1" t="s">
        <v>58</v>
      </c>
      <c r="J1800" s="1" t="s">
        <v>59</v>
      </c>
      <c r="K1800" s="1" t="s">
        <v>298</v>
      </c>
      <c r="L1800" s="1" t="s">
        <v>267</v>
      </c>
      <c r="M1800" s="1"/>
      <c r="N1800" s="1">
        <f t="shared" si="91"/>
        <v>5</v>
      </c>
      <c r="O1800" s="87"/>
    </row>
    <row r="1801" spans="1:15" ht="15.75" hidden="1" x14ac:dyDescent="0.25">
      <c r="A1801" s="1" t="str">
        <f t="shared" si="90"/>
        <v>44690446925DINERSTRANSPORTUBER</v>
      </c>
      <c r="B1801" s="2">
        <v>44690</v>
      </c>
      <c r="C1801" s="2">
        <v>44692</v>
      </c>
      <c r="D1801" s="3" t="s">
        <v>2314</v>
      </c>
      <c r="E1801" s="3">
        <v>5</v>
      </c>
      <c r="F1801" s="3">
        <v>1</v>
      </c>
      <c r="G1801" s="3">
        <f t="shared" si="88"/>
        <v>5</v>
      </c>
      <c r="H1801" s="3" t="s">
        <v>266</v>
      </c>
      <c r="I1801" s="1" t="s">
        <v>296</v>
      </c>
      <c r="J1801" s="1" t="s">
        <v>299</v>
      </c>
      <c r="K1801" s="1" t="s">
        <v>298</v>
      </c>
      <c r="L1801" s="1" t="s">
        <v>267</v>
      </c>
      <c r="M1801" s="1"/>
      <c r="N1801" s="1">
        <f t="shared" si="91"/>
        <v>5</v>
      </c>
      <c r="O1801" s="87"/>
    </row>
    <row r="1802" spans="1:15" ht="15.75" hidden="1" x14ac:dyDescent="0.25">
      <c r="A1802" s="1" t="str">
        <f t="shared" si="90"/>
        <v>446904469214.19DINERSTRANSPORTUBER</v>
      </c>
      <c r="B1802" s="2">
        <v>44690</v>
      </c>
      <c r="C1802" s="2">
        <v>44692</v>
      </c>
      <c r="D1802" s="3" t="s">
        <v>2315</v>
      </c>
      <c r="E1802" s="3">
        <v>14.19</v>
      </c>
      <c r="F1802" s="3">
        <v>1</v>
      </c>
      <c r="G1802" s="3">
        <f t="shared" si="88"/>
        <v>14.19</v>
      </c>
      <c r="H1802" s="3" t="s">
        <v>266</v>
      </c>
      <c r="I1802" s="1" t="s">
        <v>296</v>
      </c>
      <c r="J1802" s="1" t="s">
        <v>299</v>
      </c>
      <c r="K1802" s="1" t="s">
        <v>298</v>
      </c>
      <c r="L1802" s="1" t="s">
        <v>267</v>
      </c>
      <c r="M1802" s="1"/>
      <c r="N1802" s="1">
        <f t="shared" si="91"/>
        <v>5</v>
      </c>
      <c r="O1802" s="87"/>
    </row>
    <row r="1803" spans="1:15" ht="15.75" hidden="1" x14ac:dyDescent="0.25">
      <c r="A1803" s="1" t="str">
        <f t="shared" si="90"/>
        <v>446904469095DINERSRENTKAHRAMAA</v>
      </c>
      <c r="B1803" s="2">
        <v>44690</v>
      </c>
      <c r="C1803" s="2">
        <v>44690</v>
      </c>
      <c r="D1803" s="3" t="s">
        <v>2316</v>
      </c>
      <c r="E1803" s="3">
        <v>95</v>
      </c>
      <c r="F1803" s="3">
        <v>1</v>
      </c>
      <c r="G1803" s="3">
        <f t="shared" ref="G1803:G1866" si="92">ABS(E1803)*F1803</f>
        <v>95</v>
      </c>
      <c r="H1803" s="3" t="s">
        <v>266</v>
      </c>
      <c r="I1803" s="1" t="s">
        <v>83</v>
      </c>
      <c r="J1803" s="1" t="s">
        <v>4113</v>
      </c>
      <c r="K1803" s="1" t="s">
        <v>298</v>
      </c>
      <c r="L1803" s="1" t="s">
        <v>267</v>
      </c>
      <c r="M1803" s="1"/>
      <c r="N1803" s="1">
        <f t="shared" si="91"/>
        <v>5</v>
      </c>
      <c r="O1803" s="87"/>
    </row>
    <row r="1804" spans="1:15" ht="15.75" hidden="1" x14ac:dyDescent="0.25">
      <c r="A1804" s="1" t="str">
        <f t="shared" si="90"/>
        <v>446904469165.75DINERSGROCERYLULU</v>
      </c>
      <c r="B1804" s="2">
        <v>44690</v>
      </c>
      <c r="C1804" s="2">
        <v>44691</v>
      </c>
      <c r="D1804" s="3" t="s">
        <v>2317</v>
      </c>
      <c r="E1804" s="3">
        <v>65.75</v>
      </c>
      <c r="F1804" s="3">
        <v>1</v>
      </c>
      <c r="G1804" s="3">
        <f t="shared" si="92"/>
        <v>65.75</v>
      </c>
      <c r="H1804" s="3" t="s">
        <v>266</v>
      </c>
      <c r="I1804" s="1" t="s">
        <v>43</v>
      </c>
      <c r="J1804" s="1" t="s">
        <v>44</v>
      </c>
      <c r="K1804" s="1" t="s">
        <v>298</v>
      </c>
      <c r="L1804" s="1" t="s">
        <v>267</v>
      </c>
      <c r="M1804" s="1"/>
      <c r="N1804" s="1">
        <f t="shared" si="91"/>
        <v>5</v>
      </c>
      <c r="O1804" s="87"/>
    </row>
    <row r="1805" spans="1:15" ht="15.75" hidden="1" x14ac:dyDescent="0.25">
      <c r="A1805" s="1" t="str">
        <f t="shared" si="90"/>
        <v>44691446931484MASTER CCPARTYCAFÉ/REST.</v>
      </c>
      <c r="B1805" s="2">
        <v>44691</v>
      </c>
      <c r="C1805" s="2">
        <v>44693</v>
      </c>
      <c r="D1805" s="3" t="s">
        <v>2360</v>
      </c>
      <c r="E1805" s="3">
        <v>1484</v>
      </c>
      <c r="F1805" s="3">
        <v>1</v>
      </c>
      <c r="G1805" s="3">
        <f t="shared" si="92"/>
        <v>1484</v>
      </c>
      <c r="H1805" s="3" t="s">
        <v>291</v>
      </c>
      <c r="I1805" s="1" t="s">
        <v>1472</v>
      </c>
      <c r="J1805" s="1" t="s">
        <v>11</v>
      </c>
      <c r="K1805" s="1" t="s">
        <v>298</v>
      </c>
      <c r="L1805" s="1" t="s">
        <v>267</v>
      </c>
      <c r="M1805" s="1"/>
      <c r="N1805" s="1">
        <f t="shared" si="91"/>
        <v>5</v>
      </c>
      <c r="O1805" s="87"/>
    </row>
    <row r="1806" spans="1:15" ht="15.75" hidden="1" x14ac:dyDescent="0.25">
      <c r="A1806" s="1" t="str">
        <f t="shared" si="90"/>
        <v>44691446939.71DINERSTRANSPORTUBER</v>
      </c>
      <c r="B1806" s="2">
        <v>44691</v>
      </c>
      <c r="C1806" s="2">
        <v>44693</v>
      </c>
      <c r="D1806" s="3" t="s">
        <v>2311</v>
      </c>
      <c r="E1806" s="3">
        <v>9.7100000000000009</v>
      </c>
      <c r="F1806" s="3">
        <v>1</v>
      </c>
      <c r="G1806" s="3">
        <f t="shared" si="92"/>
        <v>9.7100000000000009</v>
      </c>
      <c r="H1806" s="3" t="s">
        <v>266</v>
      </c>
      <c r="I1806" s="1" t="s">
        <v>296</v>
      </c>
      <c r="J1806" s="1" t="s">
        <v>299</v>
      </c>
      <c r="K1806" s="1" t="s">
        <v>298</v>
      </c>
      <c r="L1806" s="1" t="s">
        <v>267</v>
      </c>
      <c r="M1806" s="1"/>
      <c r="N1806" s="1">
        <f t="shared" si="91"/>
        <v>5</v>
      </c>
      <c r="O1806" s="87"/>
    </row>
    <row r="1807" spans="1:15" ht="15.75" hidden="1" x14ac:dyDescent="0.25">
      <c r="A1807" s="1" t="str">
        <f t="shared" si="90"/>
        <v>446914469260.17DINERSGROCERYTOTAL FRESH</v>
      </c>
      <c r="B1807" s="2">
        <v>44691</v>
      </c>
      <c r="C1807" s="2">
        <v>44692</v>
      </c>
      <c r="D1807" s="3" t="s">
        <v>2312</v>
      </c>
      <c r="E1807" s="3">
        <v>60.17</v>
      </c>
      <c r="F1807" s="3">
        <v>1</v>
      </c>
      <c r="G1807" s="3">
        <f t="shared" si="92"/>
        <v>60.17</v>
      </c>
      <c r="H1807" s="3" t="s">
        <v>266</v>
      </c>
      <c r="I1807" s="1" t="s">
        <v>43</v>
      </c>
      <c r="J1807" s="1" t="s">
        <v>1394</v>
      </c>
      <c r="K1807" s="1" t="s">
        <v>298</v>
      </c>
      <c r="L1807" s="1" t="s">
        <v>267</v>
      </c>
      <c r="M1807" s="1"/>
      <c r="N1807" s="1">
        <f t="shared" si="91"/>
        <v>5</v>
      </c>
      <c r="O1807" s="87"/>
    </row>
    <row r="1808" spans="1:15" ht="15.75" hidden="1" x14ac:dyDescent="0.25">
      <c r="A1808" s="1" t="str">
        <f t="shared" si="90"/>
        <v>4469144692240DINERSGROCERYLULU</v>
      </c>
      <c r="B1808" s="2">
        <v>44691</v>
      </c>
      <c r="C1808" s="2">
        <v>44692</v>
      </c>
      <c r="D1808" s="3" t="s">
        <v>2313</v>
      </c>
      <c r="E1808" s="3">
        <v>240</v>
      </c>
      <c r="F1808" s="3">
        <v>1</v>
      </c>
      <c r="G1808" s="3">
        <f t="shared" si="92"/>
        <v>240</v>
      </c>
      <c r="H1808" s="3" t="s">
        <v>266</v>
      </c>
      <c r="I1808" s="1" t="s">
        <v>43</v>
      </c>
      <c r="J1808" s="1" t="s">
        <v>44</v>
      </c>
      <c r="K1808" s="1" t="s">
        <v>298</v>
      </c>
      <c r="L1808" s="1" t="s">
        <v>267</v>
      </c>
      <c r="M1808" s="1"/>
      <c r="N1808" s="1">
        <f t="shared" si="91"/>
        <v>5</v>
      </c>
      <c r="O1808" s="87"/>
    </row>
    <row r="1809" spans="1:15" ht="15.75" hidden="1" x14ac:dyDescent="0.25">
      <c r="A1809" s="1" t="str">
        <f t="shared" si="90"/>
        <v>44691446911200.75CURRENTTRANSFERINDIA</v>
      </c>
      <c r="B1809" s="2">
        <v>44691</v>
      </c>
      <c r="C1809" s="2">
        <v>44691</v>
      </c>
      <c r="D1809" s="3" t="s">
        <v>694</v>
      </c>
      <c r="E1809" s="3">
        <v>-1200.75</v>
      </c>
      <c r="F1809" s="3">
        <v>1</v>
      </c>
      <c r="G1809" s="3">
        <f t="shared" si="92"/>
        <v>1200.75</v>
      </c>
      <c r="H1809" s="3" t="s">
        <v>293</v>
      </c>
      <c r="I1809" s="1" t="s">
        <v>22</v>
      </c>
      <c r="J1809" s="1" t="s">
        <v>23</v>
      </c>
      <c r="K1809" s="1" t="s">
        <v>298</v>
      </c>
      <c r="L1809" s="1" t="s">
        <v>257</v>
      </c>
      <c r="M1809" s="1"/>
      <c r="N1809" s="1">
        <f t="shared" si="91"/>
        <v>5</v>
      </c>
      <c r="O1809" s="87"/>
    </row>
    <row r="1810" spans="1:15" ht="15.75" hidden="1" x14ac:dyDescent="0.25">
      <c r="A1810" s="1" t="str">
        <f t="shared" si="90"/>
        <v>44691446912000CURRENTSAVINGSELF</v>
      </c>
      <c r="B1810" s="2">
        <v>44691</v>
      </c>
      <c r="C1810" s="2">
        <v>44691</v>
      </c>
      <c r="D1810" s="3" t="s">
        <v>2398</v>
      </c>
      <c r="E1810" s="3">
        <v>2000</v>
      </c>
      <c r="F1810" s="3">
        <v>1</v>
      </c>
      <c r="G1810" s="3">
        <f t="shared" si="92"/>
        <v>2000</v>
      </c>
      <c r="H1810" s="3" t="s">
        <v>293</v>
      </c>
      <c r="I1810" s="1" t="s">
        <v>302</v>
      </c>
      <c r="J1810" s="1" t="s">
        <v>14</v>
      </c>
      <c r="K1810" s="1" t="s">
        <v>300</v>
      </c>
      <c r="L1810" s="1" t="s">
        <v>257</v>
      </c>
      <c r="M1810" s="1"/>
      <c r="N1810" s="1">
        <f t="shared" si="91"/>
        <v>5</v>
      </c>
      <c r="O1810" s="87"/>
    </row>
    <row r="1811" spans="1:15" ht="15.75" hidden="1" x14ac:dyDescent="0.25">
      <c r="A1811" s="1" t="str">
        <f t="shared" si="90"/>
        <v>44691446917.5CURRENTTRANSPORTCAREEM</v>
      </c>
      <c r="B1811" s="2">
        <v>44691</v>
      </c>
      <c r="C1811" s="2">
        <v>44691</v>
      </c>
      <c r="D1811" s="3" t="s">
        <v>2396</v>
      </c>
      <c r="E1811" s="3">
        <v>-7.5</v>
      </c>
      <c r="F1811" s="3">
        <v>1</v>
      </c>
      <c r="G1811" s="3">
        <f t="shared" si="92"/>
        <v>7.5</v>
      </c>
      <c r="H1811" s="3" t="s">
        <v>293</v>
      </c>
      <c r="I1811" s="1" t="s">
        <v>296</v>
      </c>
      <c r="J1811" s="1" t="s">
        <v>297</v>
      </c>
      <c r="K1811" s="1" t="s">
        <v>298</v>
      </c>
      <c r="L1811" s="1" t="s">
        <v>257</v>
      </c>
      <c r="M1811" s="1"/>
      <c r="N1811" s="1">
        <f t="shared" si="91"/>
        <v>5</v>
      </c>
      <c r="O1811" s="87"/>
    </row>
    <row r="1812" spans="1:15" ht="15.75" hidden="1" x14ac:dyDescent="0.25">
      <c r="A1812" s="1" t="str">
        <f t="shared" si="90"/>
        <v>44691446917.5CURRENTTRANSPORTCAREEM</v>
      </c>
      <c r="B1812" s="2">
        <v>44691</v>
      </c>
      <c r="C1812" s="2">
        <v>44691</v>
      </c>
      <c r="D1812" s="3" t="s">
        <v>2397</v>
      </c>
      <c r="E1812" s="3">
        <v>-7.5</v>
      </c>
      <c r="F1812" s="3">
        <v>1</v>
      </c>
      <c r="G1812" s="3">
        <f t="shared" si="92"/>
        <v>7.5</v>
      </c>
      <c r="H1812" s="3" t="s">
        <v>293</v>
      </c>
      <c r="I1812" s="1" t="s">
        <v>296</v>
      </c>
      <c r="J1812" s="1" t="s">
        <v>297</v>
      </c>
      <c r="K1812" s="1" t="s">
        <v>298</v>
      </c>
      <c r="L1812" s="1" t="s">
        <v>257</v>
      </c>
      <c r="M1812" s="1"/>
      <c r="N1812" s="1">
        <f t="shared" si="91"/>
        <v>5</v>
      </c>
      <c r="O1812" s="87"/>
    </row>
    <row r="1813" spans="1:15" ht="15.75" hidden="1" x14ac:dyDescent="0.25">
      <c r="A1813" s="1" t="str">
        <f t="shared" si="90"/>
        <v>44691446912000SAVINGTRANSFERSELF</v>
      </c>
      <c r="B1813" s="2">
        <v>44691</v>
      </c>
      <c r="C1813" s="2">
        <v>44691</v>
      </c>
      <c r="D1813" s="3" t="s">
        <v>2407</v>
      </c>
      <c r="E1813" s="3">
        <v>-2000</v>
      </c>
      <c r="F1813" s="3">
        <v>1</v>
      </c>
      <c r="G1813" s="3">
        <f t="shared" si="92"/>
        <v>2000</v>
      </c>
      <c r="H1813" s="3" t="s">
        <v>302</v>
      </c>
      <c r="I1813" s="1" t="s">
        <v>22</v>
      </c>
      <c r="J1813" s="1" t="s">
        <v>14</v>
      </c>
      <c r="K1813" s="1" t="s">
        <v>22</v>
      </c>
      <c r="L1813" s="1" t="s">
        <v>257</v>
      </c>
      <c r="M1813" s="1"/>
      <c r="N1813" s="1">
        <f t="shared" si="91"/>
        <v>5</v>
      </c>
      <c r="O1813" s="87"/>
    </row>
    <row r="1814" spans="1:15" ht="15.75" hidden="1" x14ac:dyDescent="0.25">
      <c r="A1814" s="1" t="str">
        <f t="shared" si="90"/>
        <v>446924469410MASTER CCTELECOMOOREDOO</v>
      </c>
      <c r="B1814" s="2">
        <v>44692</v>
      </c>
      <c r="C1814" s="2">
        <v>44694</v>
      </c>
      <c r="D1814" s="3" t="s">
        <v>2359</v>
      </c>
      <c r="E1814" s="3">
        <v>10</v>
      </c>
      <c r="F1814" s="3">
        <v>1</v>
      </c>
      <c r="G1814" s="3">
        <f t="shared" si="92"/>
        <v>10</v>
      </c>
      <c r="H1814" s="3" t="s">
        <v>291</v>
      </c>
      <c r="I1814" s="1" t="s">
        <v>58</v>
      </c>
      <c r="J1814" s="1" t="s">
        <v>59</v>
      </c>
      <c r="K1814" s="1" t="s">
        <v>298</v>
      </c>
      <c r="L1814" s="1" t="s">
        <v>267</v>
      </c>
      <c r="M1814" s="1"/>
      <c r="N1814" s="1">
        <f t="shared" si="91"/>
        <v>5</v>
      </c>
      <c r="O1814" s="87"/>
    </row>
    <row r="1815" spans="1:15" ht="15.75" hidden="1" x14ac:dyDescent="0.25">
      <c r="A1815" s="1" t="str">
        <f t="shared" si="90"/>
        <v>446924469460MASTER CCTELECOMOOREDOO</v>
      </c>
      <c r="B1815" s="2">
        <v>44692</v>
      </c>
      <c r="C1815" s="2">
        <v>44694</v>
      </c>
      <c r="D1815" s="3" t="s">
        <v>2358</v>
      </c>
      <c r="E1815" s="3">
        <v>60</v>
      </c>
      <c r="F1815" s="3">
        <v>1</v>
      </c>
      <c r="G1815" s="3">
        <f t="shared" si="92"/>
        <v>60</v>
      </c>
      <c r="H1815" s="3" t="s">
        <v>291</v>
      </c>
      <c r="I1815" s="1" t="s">
        <v>58</v>
      </c>
      <c r="J1815" s="1" t="s">
        <v>59</v>
      </c>
      <c r="K1815" s="1" t="s">
        <v>298</v>
      </c>
      <c r="L1815" s="1" t="s">
        <v>267</v>
      </c>
      <c r="M1815" s="1"/>
      <c r="N1815" s="1">
        <f t="shared" si="91"/>
        <v>5</v>
      </c>
      <c r="O1815" s="87"/>
    </row>
    <row r="1816" spans="1:15" ht="15.75" hidden="1" x14ac:dyDescent="0.25">
      <c r="A1816" s="1" t="str">
        <f t="shared" si="90"/>
        <v>446924469614.95DINERSTRANSPORTUBER</v>
      </c>
      <c r="B1816" s="2">
        <v>44692</v>
      </c>
      <c r="C1816" s="2">
        <v>44696</v>
      </c>
      <c r="D1816" s="3" t="s">
        <v>2309</v>
      </c>
      <c r="E1816" s="3">
        <v>14.95</v>
      </c>
      <c r="F1816" s="3">
        <v>1</v>
      </c>
      <c r="G1816" s="3">
        <f t="shared" si="92"/>
        <v>14.95</v>
      </c>
      <c r="H1816" s="3" t="s">
        <v>266</v>
      </c>
      <c r="I1816" s="1" t="s">
        <v>296</v>
      </c>
      <c r="J1816" s="1" t="s">
        <v>299</v>
      </c>
      <c r="K1816" s="1" t="s">
        <v>298</v>
      </c>
      <c r="L1816" s="1" t="s">
        <v>267</v>
      </c>
      <c r="M1816" s="1"/>
      <c r="N1816" s="1">
        <f t="shared" si="91"/>
        <v>5</v>
      </c>
      <c r="O1816" s="87"/>
    </row>
    <row r="1817" spans="1:15" ht="15.75" hidden="1" x14ac:dyDescent="0.25">
      <c r="A1817" s="1" t="str">
        <f t="shared" si="90"/>
        <v>446924469316DINERSGROCERYTOTAL FRESH</v>
      </c>
      <c r="B1817" s="2">
        <v>44692</v>
      </c>
      <c r="C1817" s="2">
        <v>44693</v>
      </c>
      <c r="D1817" s="3" t="s">
        <v>2310</v>
      </c>
      <c r="E1817" s="3">
        <v>16</v>
      </c>
      <c r="F1817" s="3">
        <v>1</v>
      </c>
      <c r="G1817" s="3">
        <f t="shared" si="92"/>
        <v>16</v>
      </c>
      <c r="H1817" s="3" t="s">
        <v>266</v>
      </c>
      <c r="I1817" s="1" t="s">
        <v>43</v>
      </c>
      <c r="J1817" s="1" t="s">
        <v>1394</v>
      </c>
      <c r="K1817" s="1" t="s">
        <v>298</v>
      </c>
      <c r="L1817" s="1" t="s">
        <v>267</v>
      </c>
      <c r="M1817" s="1"/>
      <c r="N1817" s="1">
        <f t="shared" si="91"/>
        <v>5</v>
      </c>
      <c r="O1817" s="87"/>
    </row>
    <row r="1818" spans="1:15" ht="15.75" hidden="1" x14ac:dyDescent="0.25">
      <c r="A1818" s="1" t="str">
        <f t="shared" si="90"/>
        <v>446924469213.8CURRENTTRANSPORTCAREEM</v>
      </c>
      <c r="B1818" s="2">
        <v>44692</v>
      </c>
      <c r="C1818" s="2">
        <v>44692</v>
      </c>
      <c r="D1818" s="3" t="s">
        <v>2393</v>
      </c>
      <c r="E1818" s="3">
        <v>-13.8</v>
      </c>
      <c r="F1818" s="3">
        <v>1</v>
      </c>
      <c r="G1818" s="3">
        <f t="shared" si="92"/>
        <v>13.8</v>
      </c>
      <c r="H1818" s="3" t="s">
        <v>293</v>
      </c>
      <c r="I1818" s="1" t="s">
        <v>296</v>
      </c>
      <c r="J1818" s="1" t="s">
        <v>297</v>
      </c>
      <c r="K1818" s="1" t="s">
        <v>298</v>
      </c>
      <c r="L1818" s="1" t="s">
        <v>257</v>
      </c>
      <c r="M1818" s="1"/>
      <c r="N1818" s="1">
        <f t="shared" si="91"/>
        <v>5</v>
      </c>
      <c r="O1818" s="87"/>
    </row>
    <row r="1819" spans="1:15" ht="15.75" hidden="1" x14ac:dyDescent="0.25">
      <c r="A1819" s="1" t="str">
        <f t="shared" si="90"/>
        <v>446924469212CURRENTTRANSPORTCAREEM</v>
      </c>
      <c r="B1819" s="2">
        <v>44692</v>
      </c>
      <c r="C1819" s="2">
        <v>44692</v>
      </c>
      <c r="D1819" s="3" t="s">
        <v>2394</v>
      </c>
      <c r="E1819" s="3">
        <v>-12</v>
      </c>
      <c r="F1819" s="3">
        <v>1</v>
      </c>
      <c r="G1819" s="3">
        <f t="shared" si="92"/>
        <v>12</v>
      </c>
      <c r="H1819" s="3" t="s">
        <v>293</v>
      </c>
      <c r="I1819" s="1" t="s">
        <v>296</v>
      </c>
      <c r="J1819" s="1" t="s">
        <v>297</v>
      </c>
      <c r="K1819" s="1" t="s">
        <v>298</v>
      </c>
      <c r="L1819" s="1" t="s">
        <v>257</v>
      </c>
      <c r="M1819" s="1"/>
      <c r="N1819" s="1">
        <f t="shared" si="91"/>
        <v>5</v>
      </c>
      <c r="O1819" s="87"/>
    </row>
    <row r="1820" spans="1:15" ht="15.75" hidden="1" x14ac:dyDescent="0.25">
      <c r="A1820" s="1" t="str">
        <f t="shared" si="90"/>
        <v>44692446927.5CURRENTTRANSPORTCAREEM</v>
      </c>
      <c r="B1820" s="2">
        <v>44692</v>
      </c>
      <c r="C1820" s="2">
        <v>44692</v>
      </c>
      <c r="D1820" s="3" t="s">
        <v>2395</v>
      </c>
      <c r="E1820" s="3">
        <v>-7.5</v>
      </c>
      <c r="F1820" s="3">
        <v>1</v>
      </c>
      <c r="G1820" s="3">
        <f t="shared" si="92"/>
        <v>7.5</v>
      </c>
      <c r="H1820" s="3" t="s">
        <v>293</v>
      </c>
      <c r="I1820" s="1" t="s">
        <v>296</v>
      </c>
      <c r="J1820" s="1" t="s">
        <v>297</v>
      </c>
      <c r="K1820" s="1" t="s">
        <v>298</v>
      </c>
      <c r="L1820" s="1" t="s">
        <v>257</v>
      </c>
      <c r="M1820" s="1"/>
      <c r="N1820" s="1">
        <f t="shared" si="91"/>
        <v>5</v>
      </c>
      <c r="O1820" s="87"/>
    </row>
    <row r="1821" spans="1:15" ht="15.75" hidden="1" x14ac:dyDescent="0.25">
      <c r="A1821" s="1" t="str">
        <f t="shared" si="90"/>
        <v>44693446965DINERSTRANSPORTUBER</v>
      </c>
      <c r="B1821" s="2">
        <v>44693</v>
      </c>
      <c r="C1821" s="2">
        <v>44696</v>
      </c>
      <c r="D1821" s="3" t="s">
        <v>2306</v>
      </c>
      <c r="E1821" s="3">
        <v>5</v>
      </c>
      <c r="F1821" s="3">
        <v>1</v>
      </c>
      <c r="G1821" s="3">
        <f t="shared" si="92"/>
        <v>5</v>
      </c>
      <c r="H1821" s="3" t="s">
        <v>266</v>
      </c>
      <c r="I1821" s="1" t="s">
        <v>296</v>
      </c>
      <c r="J1821" s="1" t="s">
        <v>299</v>
      </c>
      <c r="K1821" s="1" t="s">
        <v>298</v>
      </c>
      <c r="L1821" s="1" t="s">
        <v>267</v>
      </c>
      <c r="M1821" s="1"/>
      <c r="N1821" s="1">
        <f t="shared" si="91"/>
        <v>5</v>
      </c>
      <c r="O1821" s="87"/>
    </row>
    <row r="1822" spans="1:15" ht="15.75" hidden="1" x14ac:dyDescent="0.25">
      <c r="A1822" s="1" t="str">
        <f t="shared" si="90"/>
        <v>446934469628DINERSTRANSPORTUBER</v>
      </c>
      <c r="B1822" s="2">
        <v>44693</v>
      </c>
      <c r="C1822" s="2">
        <v>44696</v>
      </c>
      <c r="D1822" s="3" t="s">
        <v>2307</v>
      </c>
      <c r="E1822" s="3">
        <v>28</v>
      </c>
      <c r="F1822" s="3">
        <v>1</v>
      </c>
      <c r="G1822" s="3">
        <f t="shared" si="92"/>
        <v>28</v>
      </c>
      <c r="H1822" s="3" t="s">
        <v>266</v>
      </c>
      <c r="I1822" s="1" t="s">
        <v>296</v>
      </c>
      <c r="J1822" s="1" t="s">
        <v>299</v>
      </c>
      <c r="K1822" s="1" t="s">
        <v>298</v>
      </c>
      <c r="L1822" s="1" t="s">
        <v>267</v>
      </c>
      <c r="M1822" s="1"/>
      <c r="N1822" s="1">
        <f t="shared" si="91"/>
        <v>5</v>
      </c>
      <c r="O1822" s="87"/>
    </row>
    <row r="1823" spans="1:15" ht="15.75" hidden="1" x14ac:dyDescent="0.25">
      <c r="A1823" s="1" t="str">
        <f t="shared" si="90"/>
        <v>446934469470DINERSSHOPPINGBABYSHOP</v>
      </c>
      <c r="B1823" s="2">
        <v>44693</v>
      </c>
      <c r="C1823" s="2">
        <v>44694</v>
      </c>
      <c r="D1823" s="3" t="s">
        <v>2308</v>
      </c>
      <c r="E1823" s="3">
        <v>70</v>
      </c>
      <c r="F1823" s="3">
        <v>1</v>
      </c>
      <c r="G1823" s="3">
        <f t="shared" si="92"/>
        <v>70</v>
      </c>
      <c r="H1823" s="3" t="s">
        <v>266</v>
      </c>
      <c r="I1823" s="1" t="s">
        <v>194</v>
      </c>
      <c r="J1823" s="1" t="s">
        <v>1650</v>
      </c>
      <c r="K1823" s="1" t="s">
        <v>298</v>
      </c>
      <c r="L1823" s="1" t="s">
        <v>267</v>
      </c>
      <c r="M1823" s="1"/>
      <c r="N1823" s="1">
        <f t="shared" si="91"/>
        <v>5</v>
      </c>
      <c r="O1823" s="87"/>
    </row>
    <row r="1824" spans="1:15" ht="15.75" hidden="1" x14ac:dyDescent="0.25">
      <c r="A1824" s="1" t="str">
        <f t="shared" si="90"/>
        <v>446934469319.5CURRENTTRANSPORTCAREEM</v>
      </c>
      <c r="B1824" s="2">
        <v>44693</v>
      </c>
      <c r="C1824" s="2">
        <v>44693</v>
      </c>
      <c r="D1824" s="3" t="s">
        <v>2391</v>
      </c>
      <c r="E1824" s="3">
        <v>-19.5</v>
      </c>
      <c r="F1824" s="3">
        <v>1</v>
      </c>
      <c r="G1824" s="3">
        <f t="shared" si="92"/>
        <v>19.5</v>
      </c>
      <c r="H1824" s="3" t="s">
        <v>293</v>
      </c>
      <c r="I1824" s="1" t="s">
        <v>296</v>
      </c>
      <c r="J1824" s="1" t="s">
        <v>297</v>
      </c>
      <c r="K1824" s="1" t="s">
        <v>298</v>
      </c>
      <c r="L1824" s="1" t="s">
        <v>257</v>
      </c>
      <c r="M1824" s="1"/>
      <c r="N1824" s="1">
        <f t="shared" si="91"/>
        <v>5</v>
      </c>
      <c r="O1824" s="87"/>
    </row>
    <row r="1825" spans="1:15" ht="15.75" hidden="1" x14ac:dyDescent="0.25">
      <c r="A1825" s="1" t="str">
        <f t="shared" si="90"/>
        <v>44693446939CURRENTTRANSPORTCAREEM</v>
      </c>
      <c r="B1825" s="2">
        <v>44693</v>
      </c>
      <c r="C1825" s="2">
        <v>44693</v>
      </c>
      <c r="D1825" s="3" t="s">
        <v>2392</v>
      </c>
      <c r="E1825" s="3">
        <v>-9</v>
      </c>
      <c r="F1825" s="3">
        <v>1</v>
      </c>
      <c r="G1825" s="3">
        <f t="shared" si="92"/>
        <v>9</v>
      </c>
      <c r="H1825" s="3" t="s">
        <v>293</v>
      </c>
      <c r="I1825" s="1" t="s">
        <v>296</v>
      </c>
      <c r="J1825" s="1" t="s">
        <v>297</v>
      </c>
      <c r="K1825" s="1" t="s">
        <v>298</v>
      </c>
      <c r="L1825" s="1" t="s">
        <v>257</v>
      </c>
      <c r="M1825" s="1"/>
      <c r="N1825" s="1">
        <f t="shared" si="91"/>
        <v>5</v>
      </c>
      <c r="O1825" s="87"/>
    </row>
    <row r="1826" spans="1:15" ht="15.75" hidden="1" x14ac:dyDescent="0.25">
      <c r="A1826" s="1" t="str">
        <f t="shared" si="90"/>
        <v>446944469557.98DINERSGROCERYTOTAL FRESH</v>
      </c>
      <c r="B1826" s="2">
        <v>44694</v>
      </c>
      <c r="C1826" s="2">
        <v>44695</v>
      </c>
      <c r="D1826" s="3" t="s">
        <v>2305</v>
      </c>
      <c r="E1826" s="3">
        <v>57.98</v>
      </c>
      <c r="F1826" s="3">
        <v>1</v>
      </c>
      <c r="G1826" s="3">
        <f t="shared" si="92"/>
        <v>57.98</v>
      </c>
      <c r="H1826" s="3" t="s">
        <v>266</v>
      </c>
      <c r="I1826" s="1" t="s">
        <v>43</v>
      </c>
      <c r="J1826" s="1" t="s">
        <v>1394</v>
      </c>
      <c r="K1826" s="1" t="s">
        <v>298</v>
      </c>
      <c r="L1826" s="1" t="s">
        <v>267</v>
      </c>
      <c r="M1826" s="1"/>
      <c r="N1826" s="1">
        <f t="shared" si="91"/>
        <v>5</v>
      </c>
      <c r="O1826" s="87"/>
    </row>
    <row r="1827" spans="1:15" ht="15.75" hidden="1" x14ac:dyDescent="0.25">
      <c r="A1827" s="1" t="str">
        <f t="shared" si="90"/>
        <v>4469544696101.75DINERSGROCERYTOTAL FRESH</v>
      </c>
      <c r="B1827" s="2">
        <v>44695</v>
      </c>
      <c r="C1827" s="2">
        <v>44696</v>
      </c>
      <c r="D1827" s="3" t="s">
        <v>2304</v>
      </c>
      <c r="E1827" s="3">
        <v>101.75</v>
      </c>
      <c r="F1827" s="3">
        <v>1</v>
      </c>
      <c r="G1827" s="3">
        <f t="shared" si="92"/>
        <v>101.75</v>
      </c>
      <c r="H1827" s="3" t="s">
        <v>266</v>
      </c>
      <c r="I1827" s="1" t="s">
        <v>43</v>
      </c>
      <c r="J1827" s="1" t="s">
        <v>1394</v>
      </c>
      <c r="K1827" s="1" t="s">
        <v>298</v>
      </c>
      <c r="L1827" s="1" t="s">
        <v>267</v>
      </c>
      <c r="M1827" s="1"/>
      <c r="N1827" s="1">
        <f t="shared" si="91"/>
        <v>5</v>
      </c>
      <c r="O1827" s="87"/>
    </row>
    <row r="1828" spans="1:15" ht="15.75" hidden="1" x14ac:dyDescent="0.25">
      <c r="A1828" s="1" t="str">
        <f t="shared" si="90"/>
        <v>446964469863MASTER CCFOODQATAR AIR</v>
      </c>
      <c r="B1828" s="2">
        <v>44696</v>
      </c>
      <c r="C1828" s="2">
        <v>44698</v>
      </c>
      <c r="D1828" s="3" t="s">
        <v>2357</v>
      </c>
      <c r="E1828" s="3">
        <v>63</v>
      </c>
      <c r="F1828" s="3">
        <v>1</v>
      </c>
      <c r="G1828" s="3">
        <f t="shared" si="92"/>
        <v>63</v>
      </c>
      <c r="H1828" s="3" t="s">
        <v>291</v>
      </c>
      <c r="I1828" s="1" t="s">
        <v>10</v>
      </c>
      <c r="J1828" s="1" t="s">
        <v>19</v>
      </c>
      <c r="K1828" s="1" t="s">
        <v>298</v>
      </c>
      <c r="L1828" s="1" t="s">
        <v>267</v>
      </c>
      <c r="M1828" s="1"/>
      <c r="N1828" s="1">
        <f t="shared" si="91"/>
        <v>5</v>
      </c>
      <c r="O1828" s="87"/>
    </row>
    <row r="1829" spans="1:15" ht="15.75" hidden="1" x14ac:dyDescent="0.25">
      <c r="A1829" s="1" t="str">
        <f t="shared" si="90"/>
        <v>446964469814.1DINERSTRANSPORTUBER</v>
      </c>
      <c r="B1829" s="2">
        <v>44696</v>
      </c>
      <c r="C1829" s="2">
        <v>44698</v>
      </c>
      <c r="D1829" s="3" t="s">
        <v>2303</v>
      </c>
      <c r="E1829" s="3">
        <v>14.1</v>
      </c>
      <c r="F1829" s="3">
        <v>1</v>
      </c>
      <c r="G1829" s="3">
        <f t="shared" si="92"/>
        <v>14.1</v>
      </c>
      <c r="H1829" s="3" t="s">
        <v>266</v>
      </c>
      <c r="I1829" s="1" t="s">
        <v>296</v>
      </c>
      <c r="J1829" s="1" t="s">
        <v>299</v>
      </c>
      <c r="K1829" s="1" t="s">
        <v>298</v>
      </c>
      <c r="L1829" s="1" t="s">
        <v>267</v>
      </c>
      <c r="M1829" s="1"/>
      <c r="N1829" s="1">
        <f t="shared" si="91"/>
        <v>5</v>
      </c>
      <c r="O1829" s="87"/>
    </row>
    <row r="1830" spans="1:15" ht="15.75" hidden="1" x14ac:dyDescent="0.25">
      <c r="A1830" s="1" t="str">
        <f t="shared" si="90"/>
        <v>44696446964000CURRENTRENTEZDAN</v>
      </c>
      <c r="B1830" s="2">
        <v>44696</v>
      </c>
      <c r="C1830" s="2">
        <v>44696</v>
      </c>
      <c r="D1830" s="3" t="s">
        <v>2386</v>
      </c>
      <c r="E1830" s="3">
        <v>-4000</v>
      </c>
      <c r="F1830" s="3">
        <v>1</v>
      </c>
      <c r="G1830" s="3">
        <f t="shared" si="92"/>
        <v>4000</v>
      </c>
      <c r="H1830" s="3" t="s">
        <v>293</v>
      </c>
      <c r="I1830" s="1" t="s">
        <v>83</v>
      </c>
      <c r="J1830" s="1" t="s">
        <v>1339</v>
      </c>
      <c r="K1830" s="1" t="s">
        <v>298</v>
      </c>
      <c r="L1830" s="1" t="s">
        <v>257</v>
      </c>
      <c r="M1830" s="1"/>
      <c r="N1830" s="1">
        <f t="shared" si="91"/>
        <v>5</v>
      </c>
      <c r="O1830" s="87"/>
    </row>
    <row r="1831" spans="1:15" ht="15.75" hidden="1" x14ac:dyDescent="0.25">
      <c r="A1831" s="1" t="str">
        <f t="shared" si="90"/>
        <v>4469644696100CURRENTCC BILL PAYMENTBANK</v>
      </c>
      <c r="B1831" s="2">
        <v>44696</v>
      </c>
      <c r="C1831" s="2">
        <v>44696</v>
      </c>
      <c r="D1831" s="3" t="s">
        <v>705</v>
      </c>
      <c r="E1831" s="3">
        <v>-100</v>
      </c>
      <c r="F1831" s="3">
        <v>1</v>
      </c>
      <c r="G1831" s="3">
        <f t="shared" si="92"/>
        <v>100</v>
      </c>
      <c r="H1831" s="3" t="s">
        <v>293</v>
      </c>
      <c r="I1831" s="1" t="s">
        <v>81</v>
      </c>
      <c r="J1831" s="1" t="s">
        <v>8</v>
      </c>
      <c r="K1831" s="1" t="s">
        <v>298</v>
      </c>
      <c r="L1831" s="1" t="s">
        <v>257</v>
      </c>
      <c r="M1831" s="1"/>
      <c r="N1831" s="1">
        <f t="shared" si="91"/>
        <v>5</v>
      </c>
      <c r="O1831" s="87"/>
    </row>
    <row r="1832" spans="1:15" ht="15.75" hidden="1" x14ac:dyDescent="0.25">
      <c r="A1832" s="1" t="str">
        <f t="shared" si="90"/>
        <v>446964469624CURRENTTRANSPORTCAREEM</v>
      </c>
      <c r="B1832" s="2">
        <v>44696</v>
      </c>
      <c r="C1832" s="2">
        <v>44696</v>
      </c>
      <c r="D1832" s="3" t="s">
        <v>2387</v>
      </c>
      <c r="E1832" s="3">
        <v>-24</v>
      </c>
      <c r="F1832" s="3">
        <v>1</v>
      </c>
      <c r="G1832" s="3">
        <f t="shared" si="92"/>
        <v>24</v>
      </c>
      <c r="H1832" s="3" t="s">
        <v>293</v>
      </c>
      <c r="I1832" s="1" t="s">
        <v>296</v>
      </c>
      <c r="J1832" s="1" t="s">
        <v>297</v>
      </c>
      <c r="K1832" s="1" t="s">
        <v>298</v>
      </c>
      <c r="L1832" s="1" t="s">
        <v>257</v>
      </c>
      <c r="M1832" s="1"/>
      <c r="N1832" s="1">
        <f t="shared" si="91"/>
        <v>5</v>
      </c>
      <c r="O1832" s="87"/>
    </row>
    <row r="1833" spans="1:15" ht="15.75" hidden="1" x14ac:dyDescent="0.25">
      <c r="A1833" s="1" t="str">
        <f t="shared" si="90"/>
        <v>446964469619.3CURRENTTRANSPORTCAREEM</v>
      </c>
      <c r="B1833" s="2">
        <v>44696</v>
      </c>
      <c r="C1833" s="2">
        <v>44696</v>
      </c>
      <c r="D1833" s="3" t="s">
        <v>2388</v>
      </c>
      <c r="E1833" s="3">
        <v>-19.3</v>
      </c>
      <c r="F1833" s="3">
        <v>1</v>
      </c>
      <c r="G1833" s="3">
        <f t="shared" si="92"/>
        <v>19.3</v>
      </c>
      <c r="H1833" s="3" t="s">
        <v>293</v>
      </c>
      <c r="I1833" s="1" t="s">
        <v>296</v>
      </c>
      <c r="J1833" s="1" t="s">
        <v>297</v>
      </c>
      <c r="K1833" s="1" t="s">
        <v>298</v>
      </c>
      <c r="L1833" s="1" t="s">
        <v>257</v>
      </c>
      <c r="M1833" s="1"/>
      <c r="N1833" s="1">
        <f t="shared" si="91"/>
        <v>5</v>
      </c>
      <c r="O1833" s="87"/>
    </row>
    <row r="1834" spans="1:15" ht="15.75" hidden="1" x14ac:dyDescent="0.25">
      <c r="A1834" s="1" t="str">
        <f t="shared" si="90"/>
        <v>44696446967.5CURRENTTRANSPORTCAREEM</v>
      </c>
      <c r="B1834" s="2">
        <v>44696</v>
      </c>
      <c r="C1834" s="2">
        <v>44696</v>
      </c>
      <c r="D1834" s="3" t="s">
        <v>2389</v>
      </c>
      <c r="E1834" s="3">
        <v>-7.5</v>
      </c>
      <c r="F1834" s="3">
        <v>1</v>
      </c>
      <c r="G1834" s="3">
        <f t="shared" si="92"/>
        <v>7.5</v>
      </c>
      <c r="H1834" s="3" t="s">
        <v>293</v>
      </c>
      <c r="I1834" s="1" t="s">
        <v>296</v>
      </c>
      <c r="J1834" s="1" t="s">
        <v>297</v>
      </c>
      <c r="K1834" s="1" t="s">
        <v>298</v>
      </c>
      <c r="L1834" s="1" t="s">
        <v>257</v>
      </c>
      <c r="M1834" s="1"/>
      <c r="N1834" s="1">
        <f t="shared" si="91"/>
        <v>5</v>
      </c>
      <c r="O1834" s="87"/>
    </row>
    <row r="1835" spans="1:15" ht="15.75" hidden="1" x14ac:dyDescent="0.25">
      <c r="A1835" s="1" t="str">
        <f t="shared" si="90"/>
        <v>446964469612.9CURRENTTRANSPORTCAREEM</v>
      </c>
      <c r="B1835" s="2">
        <v>44696</v>
      </c>
      <c r="C1835" s="2">
        <v>44696</v>
      </c>
      <c r="D1835" s="3" t="s">
        <v>2390</v>
      </c>
      <c r="E1835" s="3">
        <v>-12.9</v>
      </c>
      <c r="F1835" s="3">
        <v>1</v>
      </c>
      <c r="G1835" s="3">
        <f t="shared" si="92"/>
        <v>12.9</v>
      </c>
      <c r="H1835" s="3" t="s">
        <v>293</v>
      </c>
      <c r="I1835" s="1" t="s">
        <v>296</v>
      </c>
      <c r="J1835" s="1" t="s">
        <v>297</v>
      </c>
      <c r="K1835" s="1" t="s">
        <v>298</v>
      </c>
      <c r="L1835" s="1" t="s">
        <v>257</v>
      </c>
      <c r="M1835" s="1"/>
      <c r="N1835" s="1">
        <f t="shared" si="91"/>
        <v>5</v>
      </c>
      <c r="O1835" s="87"/>
    </row>
    <row r="1836" spans="1:15" ht="15.75" hidden="1" x14ac:dyDescent="0.25">
      <c r="A1836" s="1" t="str">
        <f t="shared" si="90"/>
        <v>44696446963190SAVINGEDUCATIONORYX</v>
      </c>
      <c r="B1836" s="2">
        <v>44696</v>
      </c>
      <c r="C1836" s="2">
        <v>44696</v>
      </c>
      <c r="D1836" s="3" t="s">
        <v>2403</v>
      </c>
      <c r="E1836" s="3">
        <v>-3190</v>
      </c>
      <c r="F1836" s="3">
        <v>1</v>
      </c>
      <c r="G1836" s="3">
        <f t="shared" si="92"/>
        <v>3190</v>
      </c>
      <c r="H1836" s="3" t="s">
        <v>302</v>
      </c>
      <c r="I1836" s="1" t="s">
        <v>543</v>
      </c>
      <c r="J1836" s="1" t="s">
        <v>2073</v>
      </c>
      <c r="K1836" s="1" t="s">
        <v>22</v>
      </c>
      <c r="L1836" s="1" t="s">
        <v>257</v>
      </c>
      <c r="M1836" s="1"/>
      <c r="N1836" s="1">
        <f t="shared" si="91"/>
        <v>5</v>
      </c>
      <c r="O1836" s="65"/>
    </row>
    <row r="1837" spans="1:15" ht="15.75" hidden="1" x14ac:dyDescent="0.25">
      <c r="A1837" s="1" t="str">
        <f t="shared" si="90"/>
        <v>44696446961196SAVINGTRANSFERINDIA</v>
      </c>
      <c r="B1837" s="2">
        <v>44696</v>
      </c>
      <c r="C1837" s="2">
        <v>44696</v>
      </c>
      <c r="D1837" s="3" t="s">
        <v>2404</v>
      </c>
      <c r="E1837" s="3">
        <v>-1196</v>
      </c>
      <c r="F1837" s="3">
        <v>1</v>
      </c>
      <c r="G1837" s="3">
        <f t="shared" si="92"/>
        <v>1196</v>
      </c>
      <c r="H1837" s="3" t="s">
        <v>302</v>
      </c>
      <c r="I1837" s="1" t="s">
        <v>22</v>
      </c>
      <c r="J1837" s="1" t="s">
        <v>23</v>
      </c>
      <c r="K1837" s="1" t="s">
        <v>22</v>
      </c>
      <c r="L1837" s="1" t="s">
        <v>257</v>
      </c>
      <c r="M1837" s="1"/>
      <c r="N1837" s="1">
        <f t="shared" si="91"/>
        <v>5</v>
      </c>
      <c r="O1837" s="65"/>
    </row>
    <row r="1838" spans="1:15" ht="15.75" hidden="1" x14ac:dyDescent="0.25">
      <c r="A1838" s="1" t="str">
        <f t="shared" si="90"/>
        <v>44696446960.96SAVINGSERVICEBANK</v>
      </c>
      <c r="B1838" s="2">
        <v>44696</v>
      </c>
      <c r="C1838" s="2">
        <v>44696</v>
      </c>
      <c r="D1838" s="3" t="s">
        <v>2405</v>
      </c>
      <c r="E1838" s="3">
        <v>-0.96</v>
      </c>
      <c r="F1838" s="3">
        <v>1</v>
      </c>
      <c r="G1838" s="3">
        <f t="shared" si="92"/>
        <v>0.96</v>
      </c>
      <c r="H1838" s="3" t="s">
        <v>302</v>
      </c>
      <c r="I1838" s="1" t="s">
        <v>7</v>
      </c>
      <c r="J1838" s="1" t="s">
        <v>8</v>
      </c>
      <c r="K1838" s="1" t="s">
        <v>298</v>
      </c>
      <c r="L1838" s="1" t="s">
        <v>257</v>
      </c>
      <c r="M1838" s="1"/>
      <c r="N1838" s="1">
        <f t="shared" si="91"/>
        <v>5</v>
      </c>
      <c r="O1838" s="65"/>
    </row>
    <row r="1839" spans="1:15" ht="15.75" hidden="1" x14ac:dyDescent="0.25">
      <c r="A1839" s="1" t="str">
        <f t="shared" si="90"/>
        <v>446964469615SAVINGSERVICEBANK</v>
      </c>
      <c r="B1839" s="2">
        <v>44696</v>
      </c>
      <c r="C1839" s="2">
        <v>44696</v>
      </c>
      <c r="D1839" s="3" t="s">
        <v>2406</v>
      </c>
      <c r="E1839" s="3">
        <v>-15</v>
      </c>
      <c r="F1839" s="3">
        <v>1</v>
      </c>
      <c r="G1839" s="3">
        <f t="shared" si="92"/>
        <v>15</v>
      </c>
      <c r="H1839" s="3" t="s">
        <v>302</v>
      </c>
      <c r="I1839" s="1" t="s">
        <v>7</v>
      </c>
      <c r="J1839" s="1" t="s">
        <v>8</v>
      </c>
      <c r="K1839" s="1" t="s">
        <v>298</v>
      </c>
      <c r="L1839" s="1" t="s">
        <v>257</v>
      </c>
      <c r="M1839" s="1"/>
      <c r="N1839" s="1">
        <f t="shared" si="91"/>
        <v>5</v>
      </c>
      <c r="O1839" s="65"/>
    </row>
    <row r="1840" spans="1:15" ht="15.75" hidden="1" x14ac:dyDescent="0.25">
      <c r="A1840" s="1" t="str">
        <f t="shared" si="90"/>
        <v>446974469916MASTER CCFOODQATAR AIR</v>
      </c>
      <c r="B1840" s="2">
        <v>44697</v>
      </c>
      <c r="C1840" s="2">
        <v>44699</v>
      </c>
      <c r="D1840" s="3" t="s">
        <v>2356</v>
      </c>
      <c r="E1840" s="3">
        <v>16</v>
      </c>
      <c r="F1840" s="3">
        <v>1</v>
      </c>
      <c r="G1840" s="3">
        <f t="shared" si="92"/>
        <v>16</v>
      </c>
      <c r="H1840" s="3" t="s">
        <v>291</v>
      </c>
      <c r="I1840" s="1" t="s">
        <v>10</v>
      </c>
      <c r="J1840" s="1" t="s">
        <v>19</v>
      </c>
      <c r="K1840" s="1" t="s">
        <v>298</v>
      </c>
      <c r="L1840" s="1" t="s">
        <v>267</v>
      </c>
      <c r="M1840" s="1"/>
      <c r="N1840" s="1">
        <f t="shared" si="91"/>
        <v>5</v>
      </c>
      <c r="O1840" s="87"/>
    </row>
    <row r="1841" spans="1:15" ht="15.75" hidden="1" x14ac:dyDescent="0.25">
      <c r="A1841" s="1" t="str">
        <f t="shared" si="90"/>
        <v>446974469920.62DINERSTRANSPORTUBER</v>
      </c>
      <c r="B1841" s="2">
        <v>44697</v>
      </c>
      <c r="C1841" s="2">
        <v>44699</v>
      </c>
      <c r="D1841" s="3" t="s">
        <v>2299</v>
      </c>
      <c r="E1841" s="3">
        <v>20.62</v>
      </c>
      <c r="F1841" s="3">
        <v>1</v>
      </c>
      <c r="G1841" s="3">
        <f t="shared" si="92"/>
        <v>20.62</v>
      </c>
      <c r="H1841" s="3" t="s">
        <v>266</v>
      </c>
      <c r="I1841" s="1" t="s">
        <v>296</v>
      </c>
      <c r="J1841" s="1" t="s">
        <v>299</v>
      </c>
      <c r="K1841" s="1" t="s">
        <v>298</v>
      </c>
      <c r="L1841" s="1" t="s">
        <v>267</v>
      </c>
      <c r="M1841" s="1"/>
      <c r="N1841" s="1">
        <f t="shared" si="91"/>
        <v>5</v>
      </c>
      <c r="O1841" s="87"/>
    </row>
    <row r="1842" spans="1:15" ht="15.75" hidden="1" x14ac:dyDescent="0.25">
      <c r="A1842" s="1" t="str">
        <f t="shared" si="90"/>
        <v>446974469914.39DINERSTRANSPORTUBER</v>
      </c>
      <c r="B1842" s="2">
        <v>44697</v>
      </c>
      <c r="C1842" s="2">
        <v>44699</v>
      </c>
      <c r="D1842" s="3" t="s">
        <v>2300</v>
      </c>
      <c r="E1842" s="3">
        <v>14.39</v>
      </c>
      <c r="F1842" s="3">
        <v>1</v>
      </c>
      <c r="G1842" s="3">
        <f t="shared" si="92"/>
        <v>14.39</v>
      </c>
      <c r="H1842" s="3" t="s">
        <v>266</v>
      </c>
      <c r="I1842" s="1" t="s">
        <v>296</v>
      </c>
      <c r="J1842" s="1" t="s">
        <v>299</v>
      </c>
      <c r="K1842" s="1" t="s">
        <v>298</v>
      </c>
      <c r="L1842" s="1" t="s">
        <v>267</v>
      </c>
      <c r="M1842" s="1"/>
      <c r="N1842" s="1">
        <f t="shared" si="91"/>
        <v>5</v>
      </c>
      <c r="O1842" s="87"/>
    </row>
    <row r="1843" spans="1:15" ht="15.75" hidden="1" x14ac:dyDescent="0.25">
      <c r="A1843" s="1" t="str">
        <f t="shared" si="90"/>
        <v>4469744698250DINERSRENTVODAFONE</v>
      </c>
      <c r="B1843" s="2">
        <v>44697</v>
      </c>
      <c r="C1843" s="2">
        <v>44698</v>
      </c>
      <c r="D1843" s="3" t="s">
        <v>2301</v>
      </c>
      <c r="E1843" s="3">
        <v>250</v>
      </c>
      <c r="F1843" s="3">
        <v>1</v>
      </c>
      <c r="G1843" s="3">
        <f t="shared" si="92"/>
        <v>250</v>
      </c>
      <c r="H1843" s="3" t="s">
        <v>266</v>
      </c>
      <c r="I1843" s="1" t="s">
        <v>83</v>
      </c>
      <c r="J1843" s="1" t="s">
        <v>78</v>
      </c>
      <c r="K1843" s="1" t="s">
        <v>298</v>
      </c>
      <c r="L1843" s="1" t="s">
        <v>267</v>
      </c>
      <c r="M1843" s="1"/>
      <c r="N1843" s="1">
        <f t="shared" si="91"/>
        <v>5</v>
      </c>
      <c r="O1843" s="87"/>
    </row>
    <row r="1844" spans="1:15" ht="15.75" hidden="1" x14ac:dyDescent="0.25">
      <c r="A1844" s="1" t="str">
        <f t="shared" si="90"/>
        <v>446974469853.5DINERSGROCERYTOTAL FRESH</v>
      </c>
      <c r="B1844" s="2">
        <v>44697</v>
      </c>
      <c r="C1844" s="2">
        <v>44698</v>
      </c>
      <c r="D1844" s="3" t="s">
        <v>2302</v>
      </c>
      <c r="E1844" s="3">
        <v>53.5</v>
      </c>
      <c r="F1844" s="3">
        <v>1</v>
      </c>
      <c r="G1844" s="3">
        <f t="shared" si="92"/>
        <v>53.5</v>
      </c>
      <c r="H1844" s="3" t="s">
        <v>266</v>
      </c>
      <c r="I1844" s="1" t="s">
        <v>43</v>
      </c>
      <c r="J1844" s="1" t="s">
        <v>1394</v>
      </c>
      <c r="K1844" s="1" t="s">
        <v>298</v>
      </c>
      <c r="L1844" s="1" t="s">
        <v>267</v>
      </c>
      <c r="M1844" s="1"/>
      <c r="N1844" s="1">
        <f t="shared" si="91"/>
        <v>5</v>
      </c>
      <c r="O1844" s="87"/>
    </row>
    <row r="1845" spans="1:15" ht="15.75" hidden="1" x14ac:dyDescent="0.25">
      <c r="A1845" s="1" t="str">
        <f t="shared" si="90"/>
        <v>446984470020.23DINERSTRANSPORTUBER</v>
      </c>
      <c r="B1845" s="2">
        <v>44698</v>
      </c>
      <c r="C1845" s="2">
        <v>44700</v>
      </c>
      <c r="D1845" s="3" t="s">
        <v>2296</v>
      </c>
      <c r="E1845" s="3">
        <v>20.23</v>
      </c>
      <c r="F1845" s="3">
        <v>1</v>
      </c>
      <c r="G1845" s="3">
        <f t="shared" si="92"/>
        <v>20.23</v>
      </c>
      <c r="H1845" s="3" t="s">
        <v>266</v>
      </c>
      <c r="I1845" s="1" t="s">
        <v>296</v>
      </c>
      <c r="J1845" s="1" t="s">
        <v>299</v>
      </c>
      <c r="K1845" s="1" t="s">
        <v>298</v>
      </c>
      <c r="L1845" s="1" t="s">
        <v>267</v>
      </c>
      <c r="M1845" s="1"/>
      <c r="N1845" s="1">
        <f t="shared" si="91"/>
        <v>5</v>
      </c>
      <c r="O1845" s="87"/>
    </row>
    <row r="1846" spans="1:15" ht="15.75" hidden="1" x14ac:dyDescent="0.25">
      <c r="A1846" s="1" t="str">
        <f t="shared" si="90"/>
        <v>446984470013.43DINERSTRANSPORTUBER</v>
      </c>
      <c r="B1846" s="2">
        <v>44698</v>
      </c>
      <c r="C1846" s="2">
        <v>44700</v>
      </c>
      <c r="D1846" s="3" t="s">
        <v>2297</v>
      </c>
      <c r="E1846" s="3">
        <v>13.43</v>
      </c>
      <c r="F1846" s="3">
        <v>1</v>
      </c>
      <c r="G1846" s="3">
        <f t="shared" si="92"/>
        <v>13.43</v>
      </c>
      <c r="H1846" s="3" t="s">
        <v>266</v>
      </c>
      <c r="I1846" s="1" t="s">
        <v>296</v>
      </c>
      <c r="J1846" s="1" t="s">
        <v>299</v>
      </c>
      <c r="K1846" s="1" t="s">
        <v>298</v>
      </c>
      <c r="L1846" s="1" t="s">
        <v>267</v>
      </c>
      <c r="M1846" s="1"/>
      <c r="N1846" s="1">
        <f t="shared" si="91"/>
        <v>5</v>
      </c>
      <c r="O1846" s="87"/>
    </row>
    <row r="1847" spans="1:15" ht="15.75" hidden="1" x14ac:dyDescent="0.25">
      <c r="A1847" s="1" t="str">
        <f t="shared" si="90"/>
        <v>446984470014.01DINERSTRANSPORTUBER</v>
      </c>
      <c r="B1847" s="2">
        <v>44698</v>
      </c>
      <c r="C1847" s="2">
        <v>44700</v>
      </c>
      <c r="D1847" s="3" t="s">
        <v>2298</v>
      </c>
      <c r="E1847" s="3">
        <v>14.01</v>
      </c>
      <c r="F1847" s="3">
        <v>1</v>
      </c>
      <c r="G1847" s="3">
        <f t="shared" si="92"/>
        <v>14.01</v>
      </c>
      <c r="H1847" s="3" t="s">
        <v>266</v>
      </c>
      <c r="I1847" s="1" t="s">
        <v>296</v>
      </c>
      <c r="J1847" s="1" t="s">
        <v>299</v>
      </c>
      <c r="K1847" s="1" t="s">
        <v>298</v>
      </c>
      <c r="L1847" s="1" t="s">
        <v>267</v>
      </c>
      <c r="M1847" s="1"/>
      <c r="N1847" s="1">
        <f t="shared" si="91"/>
        <v>5</v>
      </c>
      <c r="O1847" s="87"/>
    </row>
    <row r="1848" spans="1:15" ht="15.75" hidden="1" x14ac:dyDescent="0.25">
      <c r="A1848" s="1" t="str">
        <f t="shared" si="90"/>
        <v>446984469821.2CURRENTTRANSPORTCAREEM</v>
      </c>
      <c r="B1848" s="2">
        <v>44698</v>
      </c>
      <c r="C1848" s="2">
        <v>44698</v>
      </c>
      <c r="D1848" s="3" t="s">
        <v>2385</v>
      </c>
      <c r="E1848" s="3">
        <v>-21.2</v>
      </c>
      <c r="F1848" s="3">
        <v>1</v>
      </c>
      <c r="G1848" s="3">
        <f t="shared" si="92"/>
        <v>21.2</v>
      </c>
      <c r="H1848" s="3" t="s">
        <v>293</v>
      </c>
      <c r="I1848" s="1" t="s">
        <v>296</v>
      </c>
      <c r="J1848" s="1" t="s">
        <v>297</v>
      </c>
      <c r="K1848" s="1" t="s">
        <v>298</v>
      </c>
      <c r="L1848" s="1" t="s">
        <v>257</v>
      </c>
      <c r="M1848" s="1"/>
      <c r="N1848" s="1">
        <f t="shared" si="91"/>
        <v>5</v>
      </c>
      <c r="O1848" s="87"/>
    </row>
    <row r="1849" spans="1:15" ht="15.75" hidden="1" x14ac:dyDescent="0.25">
      <c r="A1849" s="1" t="str">
        <f t="shared" si="90"/>
        <v>4469944700145MASTER CCMEDICALNASEEM AL</v>
      </c>
      <c r="B1849" s="2">
        <v>44699</v>
      </c>
      <c r="C1849" s="2">
        <v>44700</v>
      </c>
      <c r="D1849" s="3" t="s">
        <v>2354</v>
      </c>
      <c r="E1849" s="3">
        <v>145</v>
      </c>
      <c r="F1849" s="3">
        <v>1</v>
      </c>
      <c r="G1849" s="3">
        <f t="shared" si="92"/>
        <v>145</v>
      </c>
      <c r="H1849" s="3" t="s">
        <v>291</v>
      </c>
      <c r="I1849" s="1" t="s">
        <v>301</v>
      </c>
      <c r="J1849" s="1" t="s">
        <v>1000</v>
      </c>
      <c r="K1849" s="1" t="s">
        <v>298</v>
      </c>
      <c r="L1849" s="1" t="s">
        <v>267</v>
      </c>
      <c r="M1849" s="1"/>
      <c r="N1849" s="1">
        <f t="shared" si="91"/>
        <v>5</v>
      </c>
      <c r="O1849" s="87"/>
    </row>
    <row r="1850" spans="1:15" ht="15.75" hidden="1" x14ac:dyDescent="0.25">
      <c r="A1850" s="1" t="str">
        <f t="shared" si="90"/>
        <v>446994470139.2MASTER CCMEDICALNASEEM AL</v>
      </c>
      <c r="B1850" s="2">
        <v>44699</v>
      </c>
      <c r="C1850" s="2">
        <v>44701</v>
      </c>
      <c r="D1850" s="3" t="s">
        <v>2353</v>
      </c>
      <c r="E1850" s="3">
        <v>39.200000000000003</v>
      </c>
      <c r="F1850" s="3">
        <v>1</v>
      </c>
      <c r="G1850" s="3">
        <f t="shared" si="92"/>
        <v>39.200000000000003</v>
      </c>
      <c r="H1850" s="3" t="s">
        <v>291</v>
      </c>
      <c r="I1850" s="1" t="s">
        <v>301</v>
      </c>
      <c r="J1850" s="1" t="s">
        <v>1000</v>
      </c>
      <c r="K1850" s="1" t="s">
        <v>298</v>
      </c>
      <c r="L1850" s="1" t="s">
        <v>267</v>
      </c>
      <c r="M1850" s="1"/>
      <c r="N1850" s="1">
        <f t="shared" si="91"/>
        <v>5</v>
      </c>
      <c r="O1850" s="87"/>
    </row>
    <row r="1851" spans="1:15" ht="15.75" hidden="1" x14ac:dyDescent="0.25">
      <c r="A1851" s="1" t="str">
        <f t="shared" si="90"/>
        <v>446994470154.65MASTER CCMEDICALNASEEM AL</v>
      </c>
      <c r="B1851" s="2">
        <v>44699</v>
      </c>
      <c r="C1851" s="2">
        <v>44701</v>
      </c>
      <c r="D1851" s="3" t="s">
        <v>2355</v>
      </c>
      <c r="E1851" s="3">
        <v>54.65</v>
      </c>
      <c r="F1851" s="3">
        <v>1</v>
      </c>
      <c r="G1851" s="3">
        <f t="shared" si="92"/>
        <v>54.65</v>
      </c>
      <c r="H1851" s="3" t="s">
        <v>291</v>
      </c>
      <c r="I1851" s="1" t="s">
        <v>301</v>
      </c>
      <c r="J1851" s="1" t="s">
        <v>1000</v>
      </c>
      <c r="K1851" s="1" t="s">
        <v>298</v>
      </c>
      <c r="L1851" s="1" t="s">
        <v>267</v>
      </c>
      <c r="M1851" s="1"/>
      <c r="N1851" s="1">
        <f t="shared" si="91"/>
        <v>5</v>
      </c>
      <c r="O1851" s="87"/>
    </row>
    <row r="1852" spans="1:15" ht="15.75" hidden="1" x14ac:dyDescent="0.25">
      <c r="A1852" s="1" t="str">
        <f t="shared" si="90"/>
        <v>446994470312.8DINERSTRANSPORTUBER</v>
      </c>
      <c r="B1852" s="2">
        <v>44699</v>
      </c>
      <c r="C1852" s="2">
        <v>44703</v>
      </c>
      <c r="D1852" s="3" t="s">
        <v>2292</v>
      </c>
      <c r="E1852" s="3">
        <v>12.8</v>
      </c>
      <c r="F1852" s="3">
        <v>1</v>
      </c>
      <c r="G1852" s="3">
        <f t="shared" si="92"/>
        <v>12.8</v>
      </c>
      <c r="H1852" s="3" t="s">
        <v>266</v>
      </c>
      <c r="I1852" s="1" t="s">
        <v>296</v>
      </c>
      <c r="J1852" s="1" t="s">
        <v>299</v>
      </c>
      <c r="K1852" s="1" t="s">
        <v>298</v>
      </c>
      <c r="L1852" s="1" t="s">
        <v>267</v>
      </c>
      <c r="M1852" s="1"/>
      <c r="N1852" s="1">
        <f t="shared" si="91"/>
        <v>5</v>
      </c>
      <c r="O1852" s="87"/>
    </row>
    <row r="1853" spans="1:15" ht="15.75" hidden="1" x14ac:dyDescent="0.25">
      <c r="A1853" s="1" t="str">
        <f t="shared" si="90"/>
        <v>446994470312.33DINERSTRANSPORTUBER</v>
      </c>
      <c r="B1853" s="2">
        <v>44699</v>
      </c>
      <c r="C1853" s="2">
        <v>44703</v>
      </c>
      <c r="D1853" s="3" t="s">
        <v>2293</v>
      </c>
      <c r="E1853" s="3">
        <v>12.33</v>
      </c>
      <c r="F1853" s="3">
        <v>1</v>
      </c>
      <c r="G1853" s="3">
        <f t="shared" si="92"/>
        <v>12.33</v>
      </c>
      <c r="H1853" s="3" t="s">
        <v>266</v>
      </c>
      <c r="I1853" s="1" t="s">
        <v>296</v>
      </c>
      <c r="J1853" s="1" t="s">
        <v>299</v>
      </c>
      <c r="K1853" s="1" t="s">
        <v>298</v>
      </c>
      <c r="L1853" s="1" t="s">
        <v>267</v>
      </c>
      <c r="M1853" s="1"/>
      <c r="N1853" s="1">
        <f t="shared" si="91"/>
        <v>5</v>
      </c>
      <c r="O1853" s="87"/>
    </row>
    <row r="1854" spans="1:15" ht="15.75" hidden="1" x14ac:dyDescent="0.25">
      <c r="A1854" s="1" t="str">
        <f t="shared" si="90"/>
        <v>446994470030DINERSMEDICALNASEEM AL</v>
      </c>
      <c r="B1854" s="2">
        <v>44699</v>
      </c>
      <c r="C1854" s="2">
        <v>44700</v>
      </c>
      <c r="D1854" s="3" t="s">
        <v>2294</v>
      </c>
      <c r="E1854" s="3">
        <v>30</v>
      </c>
      <c r="F1854" s="3">
        <v>1</v>
      </c>
      <c r="G1854" s="3">
        <f t="shared" si="92"/>
        <v>30</v>
      </c>
      <c r="H1854" s="3" t="s">
        <v>266</v>
      </c>
      <c r="I1854" s="1" t="s">
        <v>301</v>
      </c>
      <c r="J1854" s="1" t="s">
        <v>1000</v>
      </c>
      <c r="K1854" s="1" t="s">
        <v>298</v>
      </c>
      <c r="L1854" s="1" t="s">
        <v>267</v>
      </c>
      <c r="M1854" s="1"/>
      <c r="N1854" s="1">
        <f t="shared" si="91"/>
        <v>5</v>
      </c>
      <c r="O1854" s="87"/>
    </row>
    <row r="1855" spans="1:15" ht="15.75" hidden="1" x14ac:dyDescent="0.25">
      <c r="A1855" s="1" t="str">
        <f t="shared" si="90"/>
        <v>4469944700102.78DINERSGROCERYTOTAL FRESH</v>
      </c>
      <c r="B1855" s="2">
        <v>44699</v>
      </c>
      <c r="C1855" s="2">
        <v>44700</v>
      </c>
      <c r="D1855" s="3" t="s">
        <v>2295</v>
      </c>
      <c r="E1855" s="3">
        <v>102.78</v>
      </c>
      <c r="F1855" s="3">
        <v>1</v>
      </c>
      <c r="G1855" s="3">
        <f t="shared" si="92"/>
        <v>102.78</v>
      </c>
      <c r="H1855" s="3" t="s">
        <v>266</v>
      </c>
      <c r="I1855" s="1" t="s">
        <v>43</v>
      </c>
      <c r="J1855" s="1" t="s">
        <v>1394</v>
      </c>
      <c r="K1855" s="1" t="s">
        <v>298</v>
      </c>
      <c r="L1855" s="1" t="s">
        <v>267</v>
      </c>
      <c r="M1855" s="1"/>
      <c r="N1855" s="1">
        <f t="shared" si="91"/>
        <v>5</v>
      </c>
      <c r="O1855" s="87"/>
    </row>
    <row r="1856" spans="1:15" ht="15.75" hidden="1" x14ac:dyDescent="0.25">
      <c r="A1856" s="1" t="str">
        <f t="shared" si="90"/>
        <v>447004470514MASTER CCFOODQATAR AIR</v>
      </c>
      <c r="B1856" s="2">
        <v>44700</v>
      </c>
      <c r="C1856" s="2">
        <v>44705</v>
      </c>
      <c r="D1856" s="3" t="s">
        <v>2351</v>
      </c>
      <c r="E1856" s="3">
        <v>14</v>
      </c>
      <c r="F1856" s="3">
        <v>1</v>
      </c>
      <c r="G1856" s="3">
        <f t="shared" si="92"/>
        <v>14</v>
      </c>
      <c r="H1856" s="3" t="s">
        <v>291</v>
      </c>
      <c r="I1856" s="1" t="s">
        <v>10</v>
      </c>
      <c r="J1856" s="1" t="s">
        <v>19</v>
      </c>
      <c r="K1856" s="1" t="s">
        <v>298</v>
      </c>
      <c r="L1856" s="1" t="s">
        <v>267</v>
      </c>
      <c r="M1856" s="1"/>
      <c r="N1856" s="1">
        <f t="shared" si="91"/>
        <v>5</v>
      </c>
      <c r="O1856" s="87"/>
    </row>
    <row r="1857" spans="1:15" ht="15.75" hidden="1" x14ac:dyDescent="0.25">
      <c r="A1857" s="1" t="str">
        <f t="shared" si="90"/>
        <v>447004470216MASTER CCTRANSPORTCAREEM</v>
      </c>
      <c r="B1857" s="2">
        <v>44700</v>
      </c>
      <c r="C1857" s="2">
        <v>44702</v>
      </c>
      <c r="D1857" s="3" t="s">
        <v>2352</v>
      </c>
      <c r="E1857" s="3">
        <v>16</v>
      </c>
      <c r="F1857" s="3">
        <v>1</v>
      </c>
      <c r="G1857" s="3">
        <f t="shared" si="92"/>
        <v>16</v>
      </c>
      <c r="H1857" s="3" t="s">
        <v>291</v>
      </c>
      <c r="I1857" s="1" t="s">
        <v>296</v>
      </c>
      <c r="J1857" s="1" t="s">
        <v>297</v>
      </c>
      <c r="K1857" s="1" t="s">
        <v>298</v>
      </c>
      <c r="L1857" s="1" t="s">
        <v>267</v>
      </c>
      <c r="M1857" s="1"/>
      <c r="N1857" s="1">
        <f t="shared" si="91"/>
        <v>5</v>
      </c>
      <c r="O1857" s="87"/>
    </row>
    <row r="1858" spans="1:15" ht="15.75" hidden="1" x14ac:dyDescent="0.25">
      <c r="A1858" s="1" t="str">
        <f t="shared" ref="A1858:A1921" si="93">B1858&amp;C1858&amp;G1858&amp;H1858&amp;I1858&amp;J1858</f>
        <v>447024470334DINERSGROCERYLULU</v>
      </c>
      <c r="B1858" s="2">
        <v>44702</v>
      </c>
      <c r="C1858" s="2">
        <v>44703</v>
      </c>
      <c r="D1858" s="3" t="s">
        <v>2289</v>
      </c>
      <c r="E1858" s="3">
        <v>34</v>
      </c>
      <c r="F1858" s="3">
        <v>1</v>
      </c>
      <c r="G1858" s="3">
        <f t="shared" si="92"/>
        <v>34</v>
      </c>
      <c r="H1858" s="3" t="s">
        <v>266</v>
      </c>
      <c r="I1858" s="1" t="s">
        <v>43</v>
      </c>
      <c r="J1858" s="1" t="s">
        <v>44</v>
      </c>
      <c r="K1858" s="1" t="s">
        <v>298</v>
      </c>
      <c r="L1858" s="1" t="s">
        <v>267</v>
      </c>
      <c r="M1858" s="1"/>
      <c r="N1858" s="1">
        <f t="shared" ref="N1858:N1921" si="94">MONTH(C1858)</f>
        <v>5</v>
      </c>
      <c r="O1858" s="87"/>
    </row>
    <row r="1859" spans="1:15" ht="15.75" hidden="1" x14ac:dyDescent="0.25">
      <c r="A1859" s="1" t="str">
        <f t="shared" si="93"/>
        <v>447024470318DINERSGROCERYLULU</v>
      </c>
      <c r="B1859" s="2">
        <v>44702</v>
      </c>
      <c r="C1859" s="2">
        <v>44703</v>
      </c>
      <c r="D1859" s="3" t="s">
        <v>2290</v>
      </c>
      <c r="E1859" s="3">
        <v>18</v>
      </c>
      <c r="F1859" s="3">
        <v>1</v>
      </c>
      <c r="G1859" s="3">
        <f t="shared" si="92"/>
        <v>18</v>
      </c>
      <c r="H1859" s="3" t="s">
        <v>266</v>
      </c>
      <c r="I1859" s="1" t="s">
        <v>43</v>
      </c>
      <c r="J1859" s="1" t="s">
        <v>44</v>
      </c>
      <c r="K1859" s="1" t="s">
        <v>298</v>
      </c>
      <c r="L1859" s="1" t="s">
        <v>267</v>
      </c>
      <c r="M1859" s="1"/>
      <c r="N1859" s="1">
        <f t="shared" si="94"/>
        <v>5</v>
      </c>
      <c r="O1859" s="87"/>
    </row>
    <row r="1860" spans="1:15" ht="15.75" hidden="1" x14ac:dyDescent="0.25">
      <c r="A1860" s="1" t="str">
        <f t="shared" si="93"/>
        <v>4470244703448DINERSGROCERYLULU</v>
      </c>
      <c r="B1860" s="2">
        <v>44702</v>
      </c>
      <c r="C1860" s="2">
        <v>44703</v>
      </c>
      <c r="D1860" s="3" t="s">
        <v>2291</v>
      </c>
      <c r="E1860" s="3">
        <v>448</v>
      </c>
      <c r="F1860" s="3">
        <v>1</v>
      </c>
      <c r="G1860" s="3">
        <f t="shared" si="92"/>
        <v>448</v>
      </c>
      <c r="H1860" s="3" t="s">
        <v>266</v>
      </c>
      <c r="I1860" s="1" t="s">
        <v>43</v>
      </c>
      <c r="J1860" s="1" t="s">
        <v>44</v>
      </c>
      <c r="K1860" s="1" t="s">
        <v>298</v>
      </c>
      <c r="L1860" s="1" t="s">
        <v>267</v>
      </c>
      <c r="M1860" s="1"/>
      <c r="N1860" s="1">
        <f t="shared" si="94"/>
        <v>5</v>
      </c>
      <c r="O1860" s="87"/>
    </row>
    <row r="1861" spans="1:15" ht="15.75" hidden="1" x14ac:dyDescent="0.25">
      <c r="A1861" s="1" t="str">
        <f t="shared" si="93"/>
        <v>447034470628MASTER CCGROCERYTOTAL FRESH</v>
      </c>
      <c r="B1861" s="2">
        <v>44703</v>
      </c>
      <c r="C1861" s="2">
        <v>44706</v>
      </c>
      <c r="D1861" s="3" t="s">
        <v>2350</v>
      </c>
      <c r="E1861" s="3">
        <v>28</v>
      </c>
      <c r="F1861" s="3">
        <v>1</v>
      </c>
      <c r="G1861" s="3">
        <f t="shared" si="92"/>
        <v>28</v>
      </c>
      <c r="H1861" s="3" t="s">
        <v>291</v>
      </c>
      <c r="I1861" s="1" t="s">
        <v>43</v>
      </c>
      <c r="J1861" s="1" t="s">
        <v>1394</v>
      </c>
      <c r="K1861" s="1" t="s">
        <v>298</v>
      </c>
      <c r="L1861" s="1" t="s">
        <v>267</v>
      </c>
      <c r="M1861" s="1"/>
      <c r="N1861" s="1">
        <f t="shared" si="94"/>
        <v>5</v>
      </c>
      <c r="O1861" s="87"/>
    </row>
    <row r="1862" spans="1:15" ht="15.75" hidden="1" x14ac:dyDescent="0.25">
      <c r="A1862" s="1" t="str">
        <f t="shared" si="93"/>
        <v>4470344705100MASTER CCVISAMOI</v>
      </c>
      <c r="B1862" s="2">
        <v>44703</v>
      </c>
      <c r="C1862" s="2">
        <v>44705</v>
      </c>
      <c r="D1862" s="3" t="s">
        <v>2348</v>
      </c>
      <c r="E1862" s="3">
        <v>100</v>
      </c>
      <c r="F1862" s="3">
        <v>1</v>
      </c>
      <c r="G1862" s="3">
        <f t="shared" si="92"/>
        <v>100</v>
      </c>
      <c r="H1862" s="3" t="s">
        <v>291</v>
      </c>
      <c r="I1862" s="1" t="s">
        <v>29</v>
      </c>
      <c r="J1862" s="1" t="s">
        <v>1564</v>
      </c>
      <c r="K1862" s="1" t="s">
        <v>298</v>
      </c>
      <c r="L1862" s="1" t="s">
        <v>267</v>
      </c>
      <c r="M1862" s="1"/>
      <c r="N1862" s="1">
        <f t="shared" si="94"/>
        <v>5</v>
      </c>
      <c r="O1862" s="87"/>
    </row>
    <row r="1863" spans="1:15" ht="15.75" hidden="1" x14ac:dyDescent="0.25">
      <c r="A1863" s="1" t="str">
        <f t="shared" si="93"/>
        <v>4470344705100MASTER CCVISAMOI</v>
      </c>
      <c r="B1863" s="2">
        <v>44703</v>
      </c>
      <c r="C1863" s="2">
        <v>44705</v>
      </c>
      <c r="D1863" s="3" t="s">
        <v>2349</v>
      </c>
      <c r="E1863" s="3">
        <v>100</v>
      </c>
      <c r="F1863" s="3">
        <v>1</v>
      </c>
      <c r="G1863" s="3">
        <f t="shared" si="92"/>
        <v>100</v>
      </c>
      <c r="H1863" s="3" t="s">
        <v>291</v>
      </c>
      <c r="I1863" s="1" t="s">
        <v>29</v>
      </c>
      <c r="J1863" s="1" t="s">
        <v>1564</v>
      </c>
      <c r="K1863" s="1" t="s">
        <v>298</v>
      </c>
      <c r="L1863" s="1" t="s">
        <v>267</v>
      </c>
      <c r="M1863" s="1"/>
      <c r="N1863" s="1">
        <f t="shared" si="94"/>
        <v>5</v>
      </c>
      <c r="O1863" s="87"/>
    </row>
    <row r="1864" spans="1:15" ht="15.75" hidden="1" x14ac:dyDescent="0.25">
      <c r="A1864" s="1" t="str">
        <f t="shared" si="93"/>
        <v>447034470311.2CURRENTTRANSPORTCAREEM</v>
      </c>
      <c r="B1864" s="2">
        <v>44703</v>
      </c>
      <c r="C1864" s="2">
        <v>44703</v>
      </c>
      <c r="D1864" s="3" t="s">
        <v>2383</v>
      </c>
      <c r="E1864" s="3">
        <v>-11.2</v>
      </c>
      <c r="F1864" s="3">
        <v>1</v>
      </c>
      <c r="G1864" s="3">
        <f t="shared" si="92"/>
        <v>11.2</v>
      </c>
      <c r="H1864" s="3" t="s">
        <v>293</v>
      </c>
      <c r="I1864" s="1" t="s">
        <v>296</v>
      </c>
      <c r="J1864" s="1" t="s">
        <v>297</v>
      </c>
      <c r="K1864" s="1" t="s">
        <v>298</v>
      </c>
      <c r="L1864" s="1" t="s">
        <v>257</v>
      </c>
      <c r="M1864" s="1"/>
      <c r="N1864" s="1">
        <f t="shared" si="94"/>
        <v>5</v>
      </c>
      <c r="O1864" s="87"/>
    </row>
    <row r="1865" spans="1:15" ht="15.75" hidden="1" x14ac:dyDescent="0.25">
      <c r="A1865" s="1" t="str">
        <f t="shared" si="93"/>
        <v>44703447038.7CURRENTTRANSPORTCAREEM</v>
      </c>
      <c r="B1865" s="2">
        <v>44703</v>
      </c>
      <c r="C1865" s="2">
        <v>44703</v>
      </c>
      <c r="D1865" s="3" t="s">
        <v>2384</v>
      </c>
      <c r="E1865" s="3">
        <v>-8.6999999999999993</v>
      </c>
      <c r="F1865" s="3">
        <v>1</v>
      </c>
      <c r="G1865" s="3">
        <f t="shared" si="92"/>
        <v>8.6999999999999993</v>
      </c>
      <c r="H1865" s="3" t="s">
        <v>293</v>
      </c>
      <c r="I1865" s="1" t="s">
        <v>296</v>
      </c>
      <c r="J1865" s="1" t="s">
        <v>297</v>
      </c>
      <c r="K1865" s="1" t="s">
        <v>298</v>
      </c>
      <c r="L1865" s="1" t="s">
        <v>257</v>
      </c>
      <c r="M1865" s="1"/>
      <c r="N1865" s="1">
        <f t="shared" si="94"/>
        <v>5</v>
      </c>
      <c r="O1865" s="87"/>
    </row>
    <row r="1866" spans="1:15" ht="15.75" hidden="1" x14ac:dyDescent="0.25">
      <c r="A1866" s="1" t="str">
        <f t="shared" si="93"/>
        <v>447044470729.5MASTER CCGROCERYTOTAL FRESH</v>
      </c>
      <c r="B1866" s="2">
        <v>44704</v>
      </c>
      <c r="C1866" s="2">
        <v>44707</v>
      </c>
      <c r="D1866" s="3" t="s">
        <v>2347</v>
      </c>
      <c r="E1866" s="3">
        <v>29.5</v>
      </c>
      <c r="F1866" s="3">
        <v>1</v>
      </c>
      <c r="G1866" s="3">
        <f t="shared" si="92"/>
        <v>29.5</v>
      </c>
      <c r="H1866" s="3" t="s">
        <v>291</v>
      </c>
      <c r="I1866" s="1" t="s">
        <v>43</v>
      </c>
      <c r="J1866" s="1" t="s">
        <v>1394</v>
      </c>
      <c r="K1866" s="1" t="s">
        <v>298</v>
      </c>
      <c r="L1866" s="1" t="s">
        <v>267</v>
      </c>
      <c r="M1866" s="1"/>
      <c r="N1866" s="1">
        <f t="shared" si="94"/>
        <v>5</v>
      </c>
      <c r="O1866" s="87"/>
    </row>
    <row r="1867" spans="1:15" ht="15.75" hidden="1" x14ac:dyDescent="0.25">
      <c r="A1867" s="1" t="str">
        <f t="shared" si="93"/>
        <v>447044470627MASTER CCFOODQATAR AIR</v>
      </c>
      <c r="B1867" s="2">
        <v>44704</v>
      </c>
      <c r="C1867" s="2">
        <v>44706</v>
      </c>
      <c r="D1867" s="3" t="s">
        <v>2346</v>
      </c>
      <c r="E1867" s="3">
        <v>27</v>
      </c>
      <c r="F1867" s="3">
        <v>1</v>
      </c>
      <c r="G1867" s="3">
        <f t="shared" ref="G1867:G1930" si="95">ABS(E1867)*F1867</f>
        <v>27</v>
      </c>
      <c r="H1867" s="3" t="s">
        <v>291</v>
      </c>
      <c r="I1867" s="1" t="s">
        <v>10</v>
      </c>
      <c r="J1867" s="1" t="s">
        <v>19</v>
      </c>
      <c r="K1867" s="1" t="s">
        <v>298</v>
      </c>
      <c r="L1867" s="1" t="s">
        <v>267</v>
      </c>
      <c r="M1867" s="1"/>
      <c r="N1867" s="1">
        <f t="shared" si="94"/>
        <v>5</v>
      </c>
      <c r="O1867" s="87"/>
    </row>
    <row r="1868" spans="1:15" ht="15.75" hidden="1" x14ac:dyDescent="0.25">
      <c r="A1868" s="1" t="str">
        <f t="shared" si="93"/>
        <v>44704447049.6CURRENTTRANSPORTCAREEM</v>
      </c>
      <c r="B1868" s="2">
        <v>44704</v>
      </c>
      <c r="C1868" s="2">
        <v>44704</v>
      </c>
      <c r="D1868" s="3" t="s">
        <v>2381</v>
      </c>
      <c r="E1868" s="3">
        <v>-9.6</v>
      </c>
      <c r="F1868" s="3">
        <v>1</v>
      </c>
      <c r="G1868" s="3">
        <f t="shared" si="95"/>
        <v>9.6</v>
      </c>
      <c r="H1868" s="3" t="s">
        <v>293</v>
      </c>
      <c r="I1868" s="1" t="s">
        <v>296</v>
      </c>
      <c r="J1868" s="1" t="s">
        <v>297</v>
      </c>
      <c r="K1868" s="1" t="s">
        <v>298</v>
      </c>
      <c r="L1868" s="1" t="s">
        <v>257</v>
      </c>
      <c r="M1868" s="1"/>
      <c r="N1868" s="1">
        <f t="shared" si="94"/>
        <v>5</v>
      </c>
      <c r="O1868" s="87"/>
    </row>
    <row r="1869" spans="1:15" ht="15.75" hidden="1" x14ac:dyDescent="0.25">
      <c r="A1869" s="1" t="str">
        <f t="shared" si="93"/>
        <v>447044470412.8CURRENTTRANSPORTCAREEM</v>
      </c>
      <c r="B1869" s="2">
        <v>44704</v>
      </c>
      <c r="C1869" s="2">
        <v>44704</v>
      </c>
      <c r="D1869" s="3" t="s">
        <v>2382</v>
      </c>
      <c r="E1869" s="3">
        <v>-12.8</v>
      </c>
      <c r="F1869" s="3">
        <v>1</v>
      </c>
      <c r="G1869" s="3">
        <f t="shared" si="95"/>
        <v>12.8</v>
      </c>
      <c r="H1869" s="3" t="s">
        <v>293</v>
      </c>
      <c r="I1869" s="1" t="s">
        <v>296</v>
      </c>
      <c r="J1869" s="1" t="s">
        <v>297</v>
      </c>
      <c r="K1869" s="1" t="s">
        <v>298</v>
      </c>
      <c r="L1869" s="1" t="s">
        <v>257</v>
      </c>
      <c r="M1869" s="1"/>
      <c r="N1869" s="1">
        <f t="shared" si="94"/>
        <v>5</v>
      </c>
      <c r="O1869" s="87"/>
    </row>
    <row r="1870" spans="1:15" ht="15.75" hidden="1" x14ac:dyDescent="0.25">
      <c r="A1870" s="1" t="str">
        <f t="shared" si="93"/>
        <v>447054470741MASTER CCFOODQATAR AIR</v>
      </c>
      <c r="B1870" s="2">
        <v>44705</v>
      </c>
      <c r="C1870" s="2">
        <v>44707</v>
      </c>
      <c r="D1870" s="3" t="s">
        <v>2343</v>
      </c>
      <c r="E1870" s="3">
        <v>41</v>
      </c>
      <c r="F1870" s="3">
        <v>1</v>
      </c>
      <c r="G1870" s="3">
        <f t="shared" si="95"/>
        <v>41</v>
      </c>
      <c r="H1870" s="3" t="s">
        <v>291</v>
      </c>
      <c r="I1870" s="1" t="s">
        <v>10</v>
      </c>
      <c r="J1870" s="1" t="s">
        <v>19</v>
      </c>
      <c r="K1870" s="1" t="s">
        <v>298</v>
      </c>
      <c r="L1870" s="1" t="s">
        <v>267</v>
      </c>
      <c r="M1870" s="1"/>
      <c r="N1870" s="1">
        <f t="shared" si="94"/>
        <v>5</v>
      </c>
      <c r="O1870" s="87"/>
    </row>
    <row r="1871" spans="1:15" ht="15.75" hidden="1" x14ac:dyDescent="0.25">
      <c r="A1871" s="1" t="str">
        <f t="shared" si="93"/>
        <v>447054470720MASTER CCFOODQATAR AIR</v>
      </c>
      <c r="B1871" s="2">
        <v>44705</v>
      </c>
      <c r="C1871" s="2">
        <v>44707</v>
      </c>
      <c r="D1871" s="3" t="s">
        <v>2344</v>
      </c>
      <c r="E1871" s="3">
        <v>20</v>
      </c>
      <c r="F1871" s="3">
        <v>1</v>
      </c>
      <c r="G1871" s="3">
        <f t="shared" si="95"/>
        <v>20</v>
      </c>
      <c r="H1871" s="3" t="s">
        <v>291</v>
      </c>
      <c r="I1871" s="1" t="s">
        <v>10</v>
      </c>
      <c r="J1871" s="1" t="s">
        <v>19</v>
      </c>
      <c r="K1871" s="1" t="s">
        <v>298</v>
      </c>
      <c r="L1871" s="1" t="s">
        <v>267</v>
      </c>
      <c r="M1871" s="1"/>
      <c r="N1871" s="1">
        <f t="shared" si="94"/>
        <v>5</v>
      </c>
      <c r="O1871" s="87"/>
    </row>
    <row r="1872" spans="1:15" ht="15.75" hidden="1" x14ac:dyDescent="0.25">
      <c r="A1872" s="1" t="str">
        <f t="shared" si="93"/>
        <v>447054470722.5MASTER CCTRANSPORTCAREEM</v>
      </c>
      <c r="B1872" s="2">
        <v>44705</v>
      </c>
      <c r="C1872" s="2">
        <v>44707</v>
      </c>
      <c r="D1872" s="3" t="s">
        <v>2345</v>
      </c>
      <c r="E1872" s="3">
        <v>22.5</v>
      </c>
      <c r="F1872" s="3">
        <v>1</v>
      </c>
      <c r="G1872" s="3">
        <f t="shared" si="95"/>
        <v>22.5</v>
      </c>
      <c r="H1872" s="3" t="s">
        <v>291</v>
      </c>
      <c r="I1872" s="1" t="s">
        <v>296</v>
      </c>
      <c r="J1872" s="1" t="s">
        <v>297</v>
      </c>
      <c r="K1872" s="1" t="s">
        <v>298</v>
      </c>
      <c r="L1872" s="1" t="s">
        <v>267</v>
      </c>
      <c r="M1872" s="1"/>
      <c r="N1872" s="1">
        <f t="shared" si="94"/>
        <v>5</v>
      </c>
      <c r="O1872" s="87"/>
    </row>
    <row r="1873" spans="1:15" ht="15.75" hidden="1" x14ac:dyDescent="0.25">
      <c r="A1873" s="1" t="str">
        <f t="shared" si="93"/>
        <v>447064470813MASTER CCFOODQATAR AIR</v>
      </c>
      <c r="B1873" s="2">
        <v>44706</v>
      </c>
      <c r="C1873" s="2">
        <v>44708</v>
      </c>
      <c r="D1873" s="3" t="s">
        <v>2338</v>
      </c>
      <c r="E1873" s="3">
        <v>13</v>
      </c>
      <c r="F1873" s="3">
        <v>1</v>
      </c>
      <c r="G1873" s="3">
        <f t="shared" si="95"/>
        <v>13</v>
      </c>
      <c r="H1873" s="3" t="s">
        <v>291</v>
      </c>
      <c r="I1873" s="1" t="s">
        <v>10</v>
      </c>
      <c r="J1873" s="1" t="s">
        <v>19</v>
      </c>
      <c r="K1873" s="1" t="s">
        <v>298</v>
      </c>
      <c r="L1873" s="1" t="s">
        <v>267</v>
      </c>
      <c r="M1873" s="1"/>
      <c r="N1873" s="1">
        <f t="shared" si="94"/>
        <v>5</v>
      </c>
      <c r="O1873" s="87"/>
    </row>
    <row r="1874" spans="1:15" ht="15.75" hidden="1" x14ac:dyDescent="0.25">
      <c r="A1874" s="1" t="str">
        <f t="shared" si="93"/>
        <v>447064470740MASTER CCMEDICALNASEEM AL</v>
      </c>
      <c r="B1874" s="2">
        <v>44706</v>
      </c>
      <c r="C1874" s="2">
        <v>44707</v>
      </c>
      <c r="D1874" s="3" t="s">
        <v>2340</v>
      </c>
      <c r="E1874" s="3">
        <v>40</v>
      </c>
      <c r="F1874" s="3">
        <v>1</v>
      </c>
      <c r="G1874" s="3">
        <f t="shared" si="95"/>
        <v>40</v>
      </c>
      <c r="H1874" s="3" t="s">
        <v>291</v>
      </c>
      <c r="I1874" s="1" t="s">
        <v>301</v>
      </c>
      <c r="J1874" s="1" t="s">
        <v>1000</v>
      </c>
      <c r="K1874" s="1" t="s">
        <v>298</v>
      </c>
      <c r="L1874" s="1" t="s">
        <v>267</v>
      </c>
      <c r="M1874" s="1"/>
      <c r="N1874" s="1">
        <f t="shared" si="94"/>
        <v>5</v>
      </c>
      <c r="O1874" s="87"/>
    </row>
    <row r="1875" spans="1:15" ht="15.75" hidden="1" x14ac:dyDescent="0.25">
      <c r="A1875" s="1" t="str">
        <f t="shared" si="93"/>
        <v>4470644707330MASTER CCMEDICALNASEEM AL</v>
      </c>
      <c r="B1875" s="2">
        <v>44706</v>
      </c>
      <c r="C1875" s="2">
        <v>44707</v>
      </c>
      <c r="D1875" s="3" t="s">
        <v>2341</v>
      </c>
      <c r="E1875" s="3">
        <v>330</v>
      </c>
      <c r="F1875" s="3">
        <v>1</v>
      </c>
      <c r="G1875" s="3">
        <f t="shared" si="95"/>
        <v>330</v>
      </c>
      <c r="H1875" s="3" t="s">
        <v>291</v>
      </c>
      <c r="I1875" s="1" t="s">
        <v>301</v>
      </c>
      <c r="J1875" s="1" t="s">
        <v>1000</v>
      </c>
      <c r="K1875" s="1" t="s">
        <v>298</v>
      </c>
      <c r="L1875" s="1" t="s">
        <v>267</v>
      </c>
      <c r="M1875" s="1"/>
      <c r="N1875" s="1">
        <f t="shared" si="94"/>
        <v>5</v>
      </c>
      <c r="O1875" s="87"/>
    </row>
    <row r="1876" spans="1:15" ht="15.75" hidden="1" x14ac:dyDescent="0.25">
      <c r="A1876" s="1" t="str">
        <f t="shared" si="93"/>
        <v>447064470864.5MASTER CCMEDICALNASEEM AL</v>
      </c>
      <c r="B1876" s="2">
        <v>44706</v>
      </c>
      <c r="C1876" s="2">
        <v>44708</v>
      </c>
      <c r="D1876" s="3" t="s">
        <v>2342</v>
      </c>
      <c r="E1876" s="3">
        <v>64.5</v>
      </c>
      <c r="F1876" s="3">
        <v>1</v>
      </c>
      <c r="G1876" s="3">
        <f t="shared" si="95"/>
        <v>64.5</v>
      </c>
      <c r="H1876" s="3" t="s">
        <v>291</v>
      </c>
      <c r="I1876" s="1" t="s">
        <v>301</v>
      </c>
      <c r="J1876" s="1" t="s">
        <v>1000</v>
      </c>
      <c r="K1876" s="1" t="s">
        <v>298</v>
      </c>
      <c r="L1876" s="1" t="s">
        <v>267</v>
      </c>
      <c r="M1876" s="1"/>
      <c r="N1876" s="1">
        <f t="shared" si="94"/>
        <v>5</v>
      </c>
      <c r="O1876" s="87"/>
    </row>
    <row r="1877" spans="1:15" ht="15.75" hidden="1" x14ac:dyDescent="0.25">
      <c r="A1877" s="1" t="str">
        <f t="shared" si="93"/>
        <v>447064470811.3MASTER CCTRANSPORTCAREEM</v>
      </c>
      <c r="B1877" s="2">
        <v>44706</v>
      </c>
      <c r="C1877" s="2">
        <v>44708</v>
      </c>
      <c r="D1877" s="3" t="s">
        <v>2339</v>
      </c>
      <c r="E1877" s="3">
        <v>11.3</v>
      </c>
      <c r="F1877" s="3">
        <v>1</v>
      </c>
      <c r="G1877" s="3">
        <f t="shared" si="95"/>
        <v>11.3</v>
      </c>
      <c r="H1877" s="3" t="s">
        <v>291</v>
      </c>
      <c r="I1877" s="1" t="s">
        <v>296</v>
      </c>
      <c r="J1877" s="1" t="s">
        <v>297</v>
      </c>
      <c r="K1877" s="1" t="s">
        <v>298</v>
      </c>
      <c r="L1877" s="1" t="s">
        <v>267</v>
      </c>
      <c r="M1877" s="1"/>
      <c r="N1877" s="1">
        <f t="shared" si="94"/>
        <v>5</v>
      </c>
      <c r="O1877" s="87"/>
    </row>
    <row r="1878" spans="1:15" ht="15.75" hidden="1" x14ac:dyDescent="0.25">
      <c r="A1878" s="1" t="str">
        <f t="shared" si="93"/>
        <v>447064470620CURRENTTRANSPORTCAREEM</v>
      </c>
      <c r="B1878" s="2">
        <v>44706</v>
      </c>
      <c r="C1878" s="2">
        <v>44706</v>
      </c>
      <c r="D1878" s="3" t="s">
        <v>2380</v>
      </c>
      <c r="E1878" s="3">
        <v>-20</v>
      </c>
      <c r="F1878" s="3">
        <v>1</v>
      </c>
      <c r="G1878" s="3">
        <f t="shared" si="95"/>
        <v>20</v>
      </c>
      <c r="H1878" s="3" t="s">
        <v>293</v>
      </c>
      <c r="I1878" s="1" t="s">
        <v>296</v>
      </c>
      <c r="J1878" s="1" t="s">
        <v>297</v>
      </c>
      <c r="K1878" s="1" t="s">
        <v>298</v>
      </c>
      <c r="L1878" s="1" t="s">
        <v>257</v>
      </c>
      <c r="M1878" s="1"/>
      <c r="N1878" s="1">
        <f t="shared" si="94"/>
        <v>5</v>
      </c>
      <c r="O1878" s="87"/>
    </row>
    <row r="1879" spans="1:15" ht="15.75" hidden="1" x14ac:dyDescent="0.25">
      <c r="A1879" s="1" t="str">
        <f t="shared" si="93"/>
        <v>447074471028MASTER CCGROCERYTOTAL FRESH</v>
      </c>
      <c r="B1879" s="2">
        <v>44707</v>
      </c>
      <c r="C1879" s="2">
        <v>44710</v>
      </c>
      <c r="D1879" s="3" t="s">
        <v>2337</v>
      </c>
      <c r="E1879" s="3">
        <v>28</v>
      </c>
      <c r="F1879" s="3">
        <v>1</v>
      </c>
      <c r="G1879" s="3">
        <f t="shared" si="95"/>
        <v>28</v>
      </c>
      <c r="H1879" s="3" t="s">
        <v>291</v>
      </c>
      <c r="I1879" s="1" t="s">
        <v>43</v>
      </c>
      <c r="J1879" s="1" t="s">
        <v>1394</v>
      </c>
      <c r="K1879" s="1" t="s">
        <v>298</v>
      </c>
      <c r="L1879" s="1" t="s">
        <v>267</v>
      </c>
      <c r="M1879" s="1"/>
      <c r="N1879" s="1">
        <f t="shared" si="94"/>
        <v>5</v>
      </c>
      <c r="O1879" s="87"/>
    </row>
    <row r="1880" spans="1:15" ht="15.75" hidden="1" x14ac:dyDescent="0.25">
      <c r="A1880" s="1" t="str">
        <f t="shared" si="93"/>
        <v>447074470759MASTER CCFOODPAPA JOHN'S</v>
      </c>
      <c r="B1880" s="2">
        <v>44707</v>
      </c>
      <c r="C1880" s="118">
        <f>B1880</f>
        <v>44707</v>
      </c>
      <c r="D1880" s="3" t="s">
        <v>2335</v>
      </c>
      <c r="E1880" s="3">
        <v>59</v>
      </c>
      <c r="F1880" s="3">
        <v>1</v>
      </c>
      <c r="G1880" s="3">
        <f t="shared" si="95"/>
        <v>59</v>
      </c>
      <c r="H1880" s="3" t="s">
        <v>291</v>
      </c>
      <c r="I1880" s="1" t="s">
        <v>10</v>
      </c>
      <c r="J1880" s="1" t="s">
        <v>1657</v>
      </c>
      <c r="K1880" s="1" t="s">
        <v>298</v>
      </c>
      <c r="L1880" s="1" t="s">
        <v>267</v>
      </c>
      <c r="M1880" s="1"/>
      <c r="N1880" s="1">
        <f t="shared" si="94"/>
        <v>5</v>
      </c>
      <c r="O1880" s="87"/>
    </row>
    <row r="1881" spans="1:15" ht="15.75" hidden="1" x14ac:dyDescent="0.25">
      <c r="A1881" s="1" t="str">
        <f t="shared" si="93"/>
        <v>447074470930MASTER CCTRANSPORTCAREEM</v>
      </c>
      <c r="B1881" s="2">
        <v>44707</v>
      </c>
      <c r="C1881" s="2">
        <v>44709</v>
      </c>
      <c r="D1881" s="3" t="s">
        <v>2336</v>
      </c>
      <c r="E1881" s="3">
        <v>30</v>
      </c>
      <c r="F1881" s="3">
        <v>1</v>
      </c>
      <c r="G1881" s="3">
        <f t="shared" si="95"/>
        <v>30</v>
      </c>
      <c r="H1881" s="3" t="s">
        <v>291</v>
      </c>
      <c r="I1881" s="1" t="s">
        <v>296</v>
      </c>
      <c r="J1881" s="1" t="s">
        <v>297</v>
      </c>
      <c r="K1881" s="1" t="s">
        <v>298</v>
      </c>
      <c r="L1881" s="1" t="s">
        <v>267</v>
      </c>
      <c r="M1881" s="1"/>
      <c r="N1881" s="1">
        <f t="shared" si="94"/>
        <v>5</v>
      </c>
      <c r="O1881" s="87"/>
    </row>
    <row r="1882" spans="1:15" ht="15.75" hidden="1" x14ac:dyDescent="0.25">
      <c r="A1882" s="1" t="str">
        <f t="shared" si="93"/>
        <v>447074471035DINERSTRANSPORTUBER</v>
      </c>
      <c r="B1882" s="2">
        <v>44707</v>
      </c>
      <c r="C1882" s="2">
        <v>44710</v>
      </c>
      <c r="D1882" s="3" t="s">
        <v>2288</v>
      </c>
      <c r="E1882" s="3">
        <v>35</v>
      </c>
      <c r="F1882" s="3">
        <v>1</v>
      </c>
      <c r="G1882" s="3">
        <f t="shared" si="95"/>
        <v>35</v>
      </c>
      <c r="H1882" s="3" t="s">
        <v>266</v>
      </c>
      <c r="I1882" s="1" t="s">
        <v>296</v>
      </c>
      <c r="J1882" s="1" t="s">
        <v>299</v>
      </c>
      <c r="K1882" s="1" t="s">
        <v>298</v>
      </c>
      <c r="L1882" s="1" t="s">
        <v>267</v>
      </c>
      <c r="M1882" s="1"/>
      <c r="N1882" s="1">
        <f t="shared" si="94"/>
        <v>5</v>
      </c>
      <c r="O1882" s="87"/>
    </row>
    <row r="1883" spans="1:15" ht="15.75" hidden="1" x14ac:dyDescent="0.25">
      <c r="A1883" s="1" t="str">
        <f t="shared" si="93"/>
        <v>447074470721.5CURRENTTRANSPORTCAREEM</v>
      </c>
      <c r="B1883" s="2">
        <v>44707</v>
      </c>
      <c r="C1883" s="2">
        <v>44707</v>
      </c>
      <c r="D1883" s="3" t="s">
        <v>2379</v>
      </c>
      <c r="E1883" s="3">
        <v>-21.5</v>
      </c>
      <c r="F1883" s="3">
        <v>1</v>
      </c>
      <c r="G1883" s="3">
        <f t="shared" si="95"/>
        <v>21.5</v>
      </c>
      <c r="H1883" s="3" t="s">
        <v>293</v>
      </c>
      <c r="I1883" s="1" t="s">
        <v>296</v>
      </c>
      <c r="J1883" s="1" t="s">
        <v>297</v>
      </c>
      <c r="K1883" s="1" t="s">
        <v>298</v>
      </c>
      <c r="L1883" s="1" t="s">
        <v>257</v>
      </c>
      <c r="M1883" s="1"/>
      <c r="N1883" s="1">
        <f t="shared" si="94"/>
        <v>5</v>
      </c>
      <c r="O1883" s="87"/>
    </row>
    <row r="1884" spans="1:15" ht="15.75" hidden="1" x14ac:dyDescent="0.25">
      <c r="A1884" s="1" t="str">
        <f t="shared" si="93"/>
        <v>447084471250MASTER CCTELECOMOOREDOO</v>
      </c>
      <c r="B1884" s="2">
        <v>44708</v>
      </c>
      <c r="C1884" s="2">
        <v>44712</v>
      </c>
      <c r="D1884" s="3" t="s">
        <v>2333</v>
      </c>
      <c r="E1884" s="3">
        <v>50</v>
      </c>
      <c r="F1884" s="3">
        <v>1</v>
      </c>
      <c r="G1884" s="3">
        <f t="shared" si="95"/>
        <v>50</v>
      </c>
      <c r="H1884" s="3" t="s">
        <v>291</v>
      </c>
      <c r="I1884" s="1" t="s">
        <v>58</v>
      </c>
      <c r="J1884" s="1" t="s">
        <v>59</v>
      </c>
      <c r="K1884" s="1" t="s">
        <v>298</v>
      </c>
      <c r="L1884" s="1" t="s">
        <v>267</v>
      </c>
      <c r="M1884" s="1"/>
      <c r="N1884" s="1">
        <f t="shared" si="94"/>
        <v>5</v>
      </c>
      <c r="O1884" s="87"/>
    </row>
    <row r="1885" spans="1:15" ht="15.75" hidden="1" x14ac:dyDescent="0.25">
      <c r="A1885" s="1" t="str">
        <f t="shared" si="93"/>
        <v>447084471010.2MASTER CCTRANSPORTCAREEM</v>
      </c>
      <c r="B1885" s="2">
        <v>44708</v>
      </c>
      <c r="C1885" s="2">
        <v>44710</v>
      </c>
      <c r="D1885" s="3" t="s">
        <v>2334</v>
      </c>
      <c r="E1885" s="3">
        <v>10.199999999999999</v>
      </c>
      <c r="F1885" s="3">
        <v>1</v>
      </c>
      <c r="G1885" s="3">
        <f t="shared" si="95"/>
        <v>10.199999999999999</v>
      </c>
      <c r="H1885" s="3" t="s">
        <v>291</v>
      </c>
      <c r="I1885" s="1" t="s">
        <v>296</v>
      </c>
      <c r="J1885" s="1" t="s">
        <v>297</v>
      </c>
      <c r="K1885" s="1" t="s">
        <v>298</v>
      </c>
      <c r="L1885" s="1" t="s">
        <v>267</v>
      </c>
      <c r="M1885" s="1"/>
      <c r="N1885" s="1">
        <f t="shared" si="94"/>
        <v>5</v>
      </c>
      <c r="O1885" s="87"/>
    </row>
    <row r="1886" spans="1:15" ht="15.75" hidden="1" x14ac:dyDescent="0.25">
      <c r="A1886" s="1" t="str">
        <f t="shared" si="93"/>
        <v>4470844709132DINERSSHOPPINGMAX</v>
      </c>
      <c r="B1886" s="2">
        <v>44708</v>
      </c>
      <c r="C1886" s="2">
        <v>44709</v>
      </c>
      <c r="D1886" s="3" t="s">
        <v>2286</v>
      </c>
      <c r="E1886" s="3">
        <v>132</v>
      </c>
      <c r="F1886" s="3">
        <v>1</v>
      </c>
      <c r="G1886" s="3">
        <f t="shared" si="95"/>
        <v>132</v>
      </c>
      <c r="H1886" s="3" t="s">
        <v>266</v>
      </c>
      <c r="I1886" s="1" t="s">
        <v>194</v>
      </c>
      <c r="J1886" s="1" t="s">
        <v>776</v>
      </c>
      <c r="K1886" s="1" t="s">
        <v>298</v>
      </c>
      <c r="L1886" s="1" t="s">
        <v>267</v>
      </c>
      <c r="M1886" s="1"/>
      <c r="N1886" s="1">
        <f t="shared" si="94"/>
        <v>5</v>
      </c>
      <c r="O1886" s="87"/>
    </row>
    <row r="1887" spans="1:15" ht="15.75" hidden="1" x14ac:dyDescent="0.25">
      <c r="A1887" s="1" t="str">
        <f t="shared" si="93"/>
        <v>447084470918.5DINERSGROCERYTOTAL FRESH</v>
      </c>
      <c r="B1887" s="2">
        <v>44708</v>
      </c>
      <c r="C1887" s="2">
        <v>44709</v>
      </c>
      <c r="D1887" s="3" t="s">
        <v>2287</v>
      </c>
      <c r="E1887" s="3">
        <v>18.5</v>
      </c>
      <c r="F1887" s="3">
        <v>1</v>
      </c>
      <c r="G1887" s="3">
        <f t="shared" si="95"/>
        <v>18.5</v>
      </c>
      <c r="H1887" s="3" t="s">
        <v>266</v>
      </c>
      <c r="I1887" s="1" t="s">
        <v>43</v>
      </c>
      <c r="J1887" s="1" t="s">
        <v>1394</v>
      </c>
      <c r="K1887" s="1" t="s">
        <v>298</v>
      </c>
      <c r="L1887" s="1" t="s">
        <v>267</v>
      </c>
      <c r="M1887" s="1"/>
      <c r="N1887" s="1">
        <f t="shared" si="94"/>
        <v>5</v>
      </c>
      <c r="O1887" s="87"/>
    </row>
    <row r="1888" spans="1:15" ht="15.75" hidden="1" x14ac:dyDescent="0.25">
      <c r="A1888" s="1" t="str">
        <f t="shared" si="93"/>
        <v>447104471284.18MASTER CCGROCERYTOTAL FRESH</v>
      </c>
      <c r="B1888" s="2">
        <v>44710</v>
      </c>
      <c r="C1888" s="2">
        <v>44712</v>
      </c>
      <c r="D1888" s="3" t="s">
        <v>2332</v>
      </c>
      <c r="E1888" s="3">
        <v>84.18</v>
      </c>
      <c r="F1888" s="3">
        <v>1</v>
      </c>
      <c r="G1888" s="3">
        <f t="shared" si="95"/>
        <v>84.18</v>
      </c>
      <c r="H1888" s="3" t="s">
        <v>291</v>
      </c>
      <c r="I1888" s="1" t="s">
        <v>43</v>
      </c>
      <c r="J1888" s="1" t="s">
        <v>1394</v>
      </c>
      <c r="K1888" s="1" t="s">
        <v>298</v>
      </c>
      <c r="L1888" s="1" t="s">
        <v>267</v>
      </c>
      <c r="M1888" s="1"/>
      <c r="N1888" s="1">
        <f t="shared" si="94"/>
        <v>5</v>
      </c>
      <c r="O1888" s="87"/>
    </row>
    <row r="1889" spans="1:15" ht="15.75" hidden="1" x14ac:dyDescent="0.25">
      <c r="A1889" s="1" t="str">
        <f t="shared" si="93"/>
        <v>447104471228.2MASTER CCTRANSPORTCAREEM</v>
      </c>
      <c r="B1889" s="2">
        <v>44710</v>
      </c>
      <c r="C1889" s="2">
        <v>44712</v>
      </c>
      <c r="D1889" s="3" t="s">
        <v>2330</v>
      </c>
      <c r="E1889" s="3">
        <v>28.2</v>
      </c>
      <c r="F1889" s="3">
        <v>1</v>
      </c>
      <c r="G1889" s="3">
        <f t="shared" si="95"/>
        <v>28.2</v>
      </c>
      <c r="H1889" s="3" t="s">
        <v>291</v>
      </c>
      <c r="I1889" s="1" t="s">
        <v>296</v>
      </c>
      <c r="J1889" s="1" t="s">
        <v>297</v>
      </c>
      <c r="K1889" s="1" t="s">
        <v>298</v>
      </c>
      <c r="L1889" s="1" t="s">
        <v>267</v>
      </c>
      <c r="M1889" s="1"/>
      <c r="N1889" s="1">
        <f t="shared" si="94"/>
        <v>5</v>
      </c>
      <c r="O1889" s="87"/>
    </row>
    <row r="1890" spans="1:15" ht="15.75" hidden="1" x14ac:dyDescent="0.25">
      <c r="A1890" s="1" t="str">
        <f t="shared" si="93"/>
        <v>447104471223MASTER CCTRANSPORTCAREEM</v>
      </c>
      <c r="B1890" s="2">
        <v>44710</v>
      </c>
      <c r="C1890" s="2">
        <v>44712</v>
      </c>
      <c r="D1890" s="3" t="s">
        <v>2331</v>
      </c>
      <c r="E1890" s="3">
        <v>23</v>
      </c>
      <c r="F1890" s="3">
        <v>1</v>
      </c>
      <c r="G1890" s="3">
        <f t="shared" si="95"/>
        <v>23</v>
      </c>
      <c r="H1890" s="3" t="s">
        <v>291</v>
      </c>
      <c r="I1890" s="1" t="s">
        <v>296</v>
      </c>
      <c r="J1890" s="1" t="s">
        <v>297</v>
      </c>
      <c r="K1890" s="1" t="s">
        <v>298</v>
      </c>
      <c r="L1890" s="1" t="s">
        <v>267</v>
      </c>
      <c r="M1890" s="1"/>
      <c r="N1890" s="1">
        <f t="shared" si="94"/>
        <v>5</v>
      </c>
      <c r="O1890" s="87"/>
    </row>
    <row r="1891" spans="1:15" ht="15.75" hidden="1" x14ac:dyDescent="0.25">
      <c r="A1891" s="1" t="str">
        <f t="shared" si="93"/>
        <v>447104471033.11DINERSTRANSPORTUBER</v>
      </c>
      <c r="B1891" s="2">
        <v>44710</v>
      </c>
      <c r="C1891" s="118">
        <f>B1891</f>
        <v>44710</v>
      </c>
      <c r="D1891" s="3" t="s">
        <v>2285</v>
      </c>
      <c r="E1891" s="3">
        <v>33.11</v>
      </c>
      <c r="F1891" s="3">
        <v>1</v>
      </c>
      <c r="G1891" s="3">
        <f t="shared" si="95"/>
        <v>33.11</v>
      </c>
      <c r="H1891" s="3" t="s">
        <v>266</v>
      </c>
      <c r="I1891" s="1" t="s">
        <v>296</v>
      </c>
      <c r="J1891" s="1" t="s">
        <v>299</v>
      </c>
      <c r="K1891" s="1" t="s">
        <v>298</v>
      </c>
      <c r="L1891" s="1" t="s">
        <v>267</v>
      </c>
      <c r="M1891" s="1"/>
      <c r="N1891" s="1">
        <f t="shared" si="94"/>
        <v>5</v>
      </c>
      <c r="O1891" s="87"/>
    </row>
    <row r="1892" spans="1:15" ht="15.75" hidden="1" x14ac:dyDescent="0.25">
      <c r="A1892" s="1" t="str">
        <f t="shared" si="93"/>
        <v>447104471019713DINERSCC BILL PAYMENTBANK</v>
      </c>
      <c r="B1892" s="2">
        <v>44710</v>
      </c>
      <c r="C1892" s="2">
        <v>44710</v>
      </c>
      <c r="D1892" s="3" t="s">
        <v>80</v>
      </c>
      <c r="E1892" s="3">
        <v>-19713</v>
      </c>
      <c r="F1892" s="3">
        <v>1</v>
      </c>
      <c r="G1892" s="3">
        <f t="shared" si="95"/>
        <v>19713</v>
      </c>
      <c r="H1892" s="3" t="s">
        <v>266</v>
      </c>
      <c r="I1892" s="1" t="s">
        <v>81</v>
      </c>
      <c r="J1892" s="1" t="s">
        <v>8</v>
      </c>
      <c r="K1892" s="1" t="s">
        <v>300</v>
      </c>
      <c r="L1892" s="1" t="s">
        <v>267</v>
      </c>
      <c r="M1892" s="1"/>
      <c r="N1892" s="1">
        <f t="shared" si="94"/>
        <v>5</v>
      </c>
      <c r="O1892" s="87"/>
    </row>
    <row r="1893" spans="1:15" ht="15.75" hidden="1" x14ac:dyDescent="0.25">
      <c r="A1893" s="1" t="str">
        <f t="shared" si="93"/>
        <v>447104471019.1CURRENTTRANSPORTCAREEM</v>
      </c>
      <c r="B1893" s="2">
        <v>44710</v>
      </c>
      <c r="C1893" s="2">
        <v>44710</v>
      </c>
      <c r="D1893" s="3" t="s">
        <v>2374</v>
      </c>
      <c r="E1893" s="3">
        <v>-19.100000000000001</v>
      </c>
      <c r="F1893" s="3">
        <v>1</v>
      </c>
      <c r="G1893" s="3">
        <f t="shared" si="95"/>
        <v>19.100000000000001</v>
      </c>
      <c r="H1893" s="3" t="s">
        <v>293</v>
      </c>
      <c r="I1893" s="1" t="s">
        <v>296</v>
      </c>
      <c r="J1893" s="1" t="s">
        <v>297</v>
      </c>
      <c r="K1893" s="1" t="s">
        <v>298</v>
      </c>
      <c r="L1893" s="1" t="s">
        <v>257</v>
      </c>
      <c r="M1893" s="1"/>
      <c r="N1893" s="1">
        <f t="shared" si="94"/>
        <v>5</v>
      </c>
      <c r="O1893" s="87"/>
    </row>
    <row r="1894" spans="1:15" ht="15.75" hidden="1" x14ac:dyDescent="0.25">
      <c r="A1894" s="1" t="str">
        <f t="shared" si="93"/>
        <v>447104471013.5CURRENTTRANSPORTCAREEM</v>
      </c>
      <c r="B1894" s="2">
        <v>44710</v>
      </c>
      <c r="C1894" s="2">
        <v>44710</v>
      </c>
      <c r="D1894" s="3" t="s">
        <v>2375</v>
      </c>
      <c r="E1894" s="3">
        <v>-13.5</v>
      </c>
      <c r="F1894" s="3">
        <v>1</v>
      </c>
      <c r="G1894" s="3">
        <f t="shared" si="95"/>
        <v>13.5</v>
      </c>
      <c r="H1894" s="3" t="s">
        <v>293</v>
      </c>
      <c r="I1894" s="1" t="s">
        <v>296</v>
      </c>
      <c r="J1894" s="1" t="s">
        <v>297</v>
      </c>
      <c r="K1894" s="1" t="s">
        <v>298</v>
      </c>
      <c r="L1894" s="1" t="s">
        <v>257</v>
      </c>
      <c r="M1894" s="1"/>
      <c r="N1894" s="1">
        <f t="shared" si="94"/>
        <v>5</v>
      </c>
      <c r="O1894" s="87"/>
    </row>
    <row r="1895" spans="1:15" ht="15.75" hidden="1" x14ac:dyDescent="0.25">
      <c r="A1895" s="1" t="str">
        <f t="shared" si="93"/>
        <v>44710447109.9CURRENTTRANSPORTCAREEM</v>
      </c>
      <c r="B1895" s="2">
        <v>44710</v>
      </c>
      <c r="C1895" s="2">
        <v>44710</v>
      </c>
      <c r="D1895" s="3" t="s">
        <v>2376</v>
      </c>
      <c r="E1895" s="3">
        <v>-9.9</v>
      </c>
      <c r="F1895" s="3">
        <v>1</v>
      </c>
      <c r="G1895" s="3">
        <f t="shared" si="95"/>
        <v>9.9</v>
      </c>
      <c r="H1895" s="3" t="s">
        <v>293</v>
      </c>
      <c r="I1895" s="1" t="s">
        <v>296</v>
      </c>
      <c r="J1895" s="1" t="s">
        <v>297</v>
      </c>
      <c r="K1895" s="1" t="s">
        <v>298</v>
      </c>
      <c r="L1895" s="1" t="s">
        <v>257</v>
      </c>
      <c r="M1895" s="1"/>
      <c r="N1895" s="1">
        <f t="shared" si="94"/>
        <v>5</v>
      </c>
      <c r="O1895" s="87"/>
    </row>
    <row r="1896" spans="1:15" ht="15.75" hidden="1" x14ac:dyDescent="0.25">
      <c r="A1896" s="1" t="str">
        <f t="shared" si="93"/>
        <v>44710447109.5CURRENTTRANSPORTCAREEM</v>
      </c>
      <c r="B1896" s="2">
        <v>44710</v>
      </c>
      <c r="C1896" s="2">
        <v>44710</v>
      </c>
      <c r="D1896" s="3" t="s">
        <v>2377</v>
      </c>
      <c r="E1896" s="3">
        <v>-9.5</v>
      </c>
      <c r="F1896" s="3">
        <v>1</v>
      </c>
      <c r="G1896" s="3">
        <f t="shared" si="95"/>
        <v>9.5</v>
      </c>
      <c r="H1896" s="3" t="s">
        <v>293</v>
      </c>
      <c r="I1896" s="1" t="s">
        <v>296</v>
      </c>
      <c r="J1896" s="1" t="s">
        <v>297</v>
      </c>
      <c r="K1896" s="1" t="s">
        <v>298</v>
      </c>
      <c r="L1896" s="1" t="s">
        <v>257</v>
      </c>
      <c r="M1896" s="1"/>
      <c r="N1896" s="1">
        <f t="shared" si="94"/>
        <v>5</v>
      </c>
      <c r="O1896" s="87"/>
    </row>
    <row r="1897" spans="1:15" ht="15.75" hidden="1" x14ac:dyDescent="0.25">
      <c r="A1897" s="1" t="str">
        <f t="shared" si="93"/>
        <v>447104471050CURRENTMEDICALHEALTH CENTER</v>
      </c>
      <c r="B1897" s="2">
        <v>44710</v>
      </c>
      <c r="C1897" s="2">
        <v>44710</v>
      </c>
      <c r="D1897" s="3" t="s">
        <v>2371</v>
      </c>
      <c r="E1897" s="3">
        <v>-50</v>
      </c>
      <c r="F1897" s="3">
        <v>1</v>
      </c>
      <c r="G1897" s="3">
        <f t="shared" si="95"/>
        <v>50</v>
      </c>
      <c r="H1897" s="3" t="s">
        <v>293</v>
      </c>
      <c r="I1897" s="1" t="s">
        <v>301</v>
      </c>
      <c r="J1897" s="1" t="s">
        <v>159</v>
      </c>
      <c r="K1897" s="1" t="s">
        <v>298</v>
      </c>
      <c r="L1897" s="1" t="s">
        <v>257</v>
      </c>
      <c r="M1897" s="1"/>
      <c r="N1897" s="1">
        <f t="shared" si="94"/>
        <v>5</v>
      </c>
      <c r="O1897" s="87"/>
    </row>
    <row r="1898" spans="1:15" ht="15.75" hidden="1" x14ac:dyDescent="0.25">
      <c r="A1898" s="1" t="str">
        <f t="shared" si="93"/>
        <v>4471044710165CURRENTCC BILL PAYMENTBANK</v>
      </c>
      <c r="B1898" s="2">
        <v>44710</v>
      </c>
      <c r="C1898" s="2">
        <v>44710</v>
      </c>
      <c r="D1898" s="3" t="s">
        <v>2372</v>
      </c>
      <c r="E1898" s="3">
        <v>-165</v>
      </c>
      <c r="F1898" s="3">
        <v>1</v>
      </c>
      <c r="G1898" s="3">
        <f t="shared" si="95"/>
        <v>165</v>
      </c>
      <c r="H1898" s="3" t="s">
        <v>293</v>
      </c>
      <c r="I1898" s="1" t="s">
        <v>81</v>
      </c>
      <c r="J1898" s="1" t="s">
        <v>8</v>
      </c>
      <c r="K1898" s="1" t="s">
        <v>298</v>
      </c>
      <c r="L1898" s="1" t="s">
        <v>257</v>
      </c>
      <c r="M1898" s="1"/>
      <c r="N1898" s="1">
        <f t="shared" si="94"/>
        <v>5</v>
      </c>
      <c r="O1898" s="87"/>
    </row>
    <row r="1899" spans="1:15" ht="15.75" hidden="1" x14ac:dyDescent="0.25">
      <c r="A1899" s="1" t="str">
        <f t="shared" si="93"/>
        <v>447104471019713CURRENTCC BILL PAYMENTBANK</v>
      </c>
      <c r="B1899" s="2">
        <v>44710</v>
      </c>
      <c r="C1899" s="2">
        <v>44710</v>
      </c>
      <c r="D1899" s="3" t="s">
        <v>2373</v>
      </c>
      <c r="E1899" s="3">
        <v>-19713</v>
      </c>
      <c r="F1899" s="3">
        <v>1</v>
      </c>
      <c r="G1899" s="3">
        <f t="shared" si="95"/>
        <v>19713</v>
      </c>
      <c r="H1899" s="3" t="s">
        <v>293</v>
      </c>
      <c r="I1899" s="1" t="s">
        <v>81</v>
      </c>
      <c r="J1899" s="1" t="s">
        <v>8</v>
      </c>
      <c r="K1899" s="1" t="s">
        <v>298</v>
      </c>
      <c r="L1899" s="1" t="s">
        <v>257</v>
      </c>
      <c r="M1899" s="1"/>
      <c r="N1899" s="1">
        <f t="shared" si="94"/>
        <v>5</v>
      </c>
      <c r="O1899" s="87"/>
    </row>
    <row r="1900" spans="1:15" ht="15.75" hidden="1" x14ac:dyDescent="0.25">
      <c r="A1900" s="1" t="str">
        <f t="shared" si="93"/>
        <v>447104471020000CURRENTTRANSFERSELF</v>
      </c>
      <c r="B1900" s="2">
        <v>44710</v>
      </c>
      <c r="C1900" s="2">
        <v>44710</v>
      </c>
      <c r="D1900" s="3" t="s">
        <v>2378</v>
      </c>
      <c r="E1900" s="3">
        <v>20000</v>
      </c>
      <c r="F1900" s="3">
        <v>1</v>
      </c>
      <c r="G1900" s="3">
        <f t="shared" si="95"/>
        <v>20000</v>
      </c>
      <c r="H1900" s="3" t="s">
        <v>293</v>
      </c>
      <c r="I1900" s="1" t="s">
        <v>22</v>
      </c>
      <c r="J1900" s="1" t="s">
        <v>14</v>
      </c>
      <c r="K1900" s="1" t="s">
        <v>22</v>
      </c>
      <c r="L1900" s="1" t="s">
        <v>257</v>
      </c>
      <c r="M1900" s="1"/>
      <c r="N1900" s="1">
        <f t="shared" si="94"/>
        <v>5</v>
      </c>
      <c r="O1900" s="87"/>
    </row>
    <row r="1901" spans="1:15" ht="15.75" hidden="1" x14ac:dyDescent="0.25">
      <c r="A1901" s="1" t="str">
        <f t="shared" si="93"/>
        <v>4471044710165DINERSCC BILL PAYMENTBANK</v>
      </c>
      <c r="B1901" s="2">
        <v>44710</v>
      </c>
      <c r="C1901" s="2">
        <v>44710</v>
      </c>
      <c r="D1901" s="3" t="s">
        <v>80</v>
      </c>
      <c r="E1901" s="3">
        <v>-165</v>
      </c>
      <c r="F1901" s="3">
        <v>1</v>
      </c>
      <c r="G1901" s="3">
        <f t="shared" si="95"/>
        <v>165</v>
      </c>
      <c r="H1901" s="3" t="s">
        <v>266</v>
      </c>
      <c r="I1901" s="1" t="s">
        <v>81</v>
      </c>
      <c r="J1901" s="1" t="s">
        <v>8</v>
      </c>
      <c r="K1901" s="1" t="s">
        <v>300</v>
      </c>
      <c r="L1901" s="1" t="s">
        <v>267</v>
      </c>
      <c r="M1901" s="1"/>
      <c r="N1901" s="1">
        <f t="shared" si="94"/>
        <v>5</v>
      </c>
      <c r="O1901" s="87"/>
    </row>
    <row r="1902" spans="1:15" ht="15.75" hidden="1" x14ac:dyDescent="0.25">
      <c r="A1902" s="1" t="str">
        <f t="shared" si="93"/>
        <v>447104471020000SAVINGTRANSFERSELF</v>
      </c>
      <c r="B1902" s="2">
        <v>44710</v>
      </c>
      <c r="C1902" s="2">
        <v>44710</v>
      </c>
      <c r="D1902" s="3" t="s">
        <v>2402</v>
      </c>
      <c r="E1902" s="3">
        <v>-20000</v>
      </c>
      <c r="F1902" s="3">
        <v>1</v>
      </c>
      <c r="G1902" s="3">
        <f t="shared" si="95"/>
        <v>20000</v>
      </c>
      <c r="H1902" s="3" t="s">
        <v>302</v>
      </c>
      <c r="I1902" s="1" t="s">
        <v>22</v>
      </c>
      <c r="J1902" s="1" t="s">
        <v>14</v>
      </c>
      <c r="K1902" s="1" t="s">
        <v>22</v>
      </c>
      <c r="L1902" s="1" t="s">
        <v>257</v>
      </c>
      <c r="M1902" s="1"/>
      <c r="N1902" s="1">
        <f t="shared" si="94"/>
        <v>5</v>
      </c>
      <c r="O1902" s="87"/>
    </row>
    <row r="1903" spans="1:15" ht="15.75" hidden="1" x14ac:dyDescent="0.25">
      <c r="A1903" s="1" t="str">
        <f t="shared" si="93"/>
        <v>447114471210.7MASTER CCTRANSPORTCAREEM</v>
      </c>
      <c r="B1903" s="2">
        <v>44711</v>
      </c>
      <c r="C1903" s="2">
        <v>44712</v>
      </c>
      <c r="D1903" s="3" t="s">
        <v>2329</v>
      </c>
      <c r="E1903" s="3">
        <v>10.7</v>
      </c>
      <c r="F1903" s="3">
        <v>1</v>
      </c>
      <c r="G1903" s="3">
        <f t="shared" si="95"/>
        <v>10.7</v>
      </c>
      <c r="H1903" s="3" t="s">
        <v>291</v>
      </c>
      <c r="I1903" s="1" t="s">
        <v>296</v>
      </c>
      <c r="J1903" s="1" t="s">
        <v>297</v>
      </c>
      <c r="K1903" s="1" t="s">
        <v>298</v>
      </c>
      <c r="L1903" s="1" t="s">
        <v>267</v>
      </c>
      <c r="M1903" s="1"/>
      <c r="N1903" s="1">
        <f t="shared" si="94"/>
        <v>5</v>
      </c>
      <c r="O1903" s="87"/>
    </row>
    <row r="1904" spans="1:15" ht="15.75" hidden="1" x14ac:dyDescent="0.25">
      <c r="A1904" s="1" t="str">
        <f t="shared" si="93"/>
        <v>447114471110.1CURRENTTRANSPORTCAREEM</v>
      </c>
      <c r="B1904" s="2">
        <v>44711</v>
      </c>
      <c r="C1904" s="2">
        <v>44711</v>
      </c>
      <c r="D1904" s="3" t="s">
        <v>2369</v>
      </c>
      <c r="E1904" s="3">
        <v>-10.1</v>
      </c>
      <c r="F1904" s="3">
        <v>1</v>
      </c>
      <c r="G1904" s="3">
        <f t="shared" si="95"/>
        <v>10.1</v>
      </c>
      <c r="H1904" s="3" t="s">
        <v>293</v>
      </c>
      <c r="I1904" s="1" t="s">
        <v>296</v>
      </c>
      <c r="J1904" s="1" t="s">
        <v>297</v>
      </c>
      <c r="K1904" s="1" t="s">
        <v>298</v>
      </c>
      <c r="L1904" s="1" t="s">
        <v>257</v>
      </c>
      <c r="M1904" s="1"/>
      <c r="N1904" s="1">
        <f t="shared" si="94"/>
        <v>5</v>
      </c>
      <c r="O1904" s="87"/>
    </row>
    <row r="1905" spans="1:15" ht="15.75" hidden="1" x14ac:dyDescent="0.25">
      <c r="A1905" s="1" t="str">
        <f t="shared" si="93"/>
        <v>447114471118605CURRENTSALARYQATAR AIR</v>
      </c>
      <c r="B1905" s="2">
        <v>44711</v>
      </c>
      <c r="C1905" s="2">
        <v>44711</v>
      </c>
      <c r="D1905" s="3" t="s">
        <v>2370</v>
      </c>
      <c r="E1905" s="3">
        <v>18605</v>
      </c>
      <c r="F1905" s="3">
        <v>1</v>
      </c>
      <c r="G1905" s="3">
        <f t="shared" si="95"/>
        <v>18605</v>
      </c>
      <c r="H1905" s="3" t="s">
        <v>293</v>
      </c>
      <c r="I1905" s="1" t="s">
        <v>18</v>
      </c>
      <c r="J1905" s="1" t="s">
        <v>19</v>
      </c>
      <c r="K1905" s="1" t="s">
        <v>300</v>
      </c>
      <c r="L1905" s="1" t="s">
        <v>257</v>
      </c>
      <c r="M1905" s="1"/>
      <c r="N1905" s="1">
        <f t="shared" si="94"/>
        <v>5</v>
      </c>
      <c r="O1905" s="87"/>
    </row>
    <row r="1906" spans="1:15" ht="15.75" hidden="1" x14ac:dyDescent="0.25">
      <c r="A1906" s="1" t="str">
        <f t="shared" si="93"/>
        <v>447124471272.1MASTER CCGROCERYTOTAL FRESH</v>
      </c>
      <c r="B1906" s="2">
        <v>44712</v>
      </c>
      <c r="C1906" s="118">
        <f>B1906</f>
        <v>44712</v>
      </c>
      <c r="D1906" s="3" t="s">
        <v>2327</v>
      </c>
      <c r="E1906" s="3">
        <v>72.099999999999994</v>
      </c>
      <c r="F1906" s="3">
        <v>1</v>
      </c>
      <c r="G1906" s="3">
        <f t="shared" si="95"/>
        <v>72.099999999999994</v>
      </c>
      <c r="H1906" s="3" t="s">
        <v>291</v>
      </c>
      <c r="I1906" s="1" t="s">
        <v>43</v>
      </c>
      <c r="J1906" s="1" t="s">
        <v>1394</v>
      </c>
      <c r="K1906" s="1" t="s">
        <v>298</v>
      </c>
      <c r="L1906" s="1" t="s">
        <v>267</v>
      </c>
      <c r="M1906" s="1"/>
      <c r="N1906" s="1">
        <f t="shared" si="94"/>
        <v>5</v>
      </c>
      <c r="O1906" s="87"/>
    </row>
    <row r="1907" spans="1:15" ht="15.75" hidden="1" x14ac:dyDescent="0.25">
      <c r="A1907" s="1" t="str">
        <f t="shared" si="93"/>
        <v>447124471211.7MASTER CCTRANSPORTCAREEM</v>
      </c>
      <c r="B1907" s="2">
        <v>44712</v>
      </c>
      <c r="C1907" s="118">
        <f>B1907</f>
        <v>44712</v>
      </c>
      <c r="D1907" s="3" t="s">
        <v>2328</v>
      </c>
      <c r="E1907" s="3">
        <v>11.7</v>
      </c>
      <c r="F1907" s="3">
        <v>1</v>
      </c>
      <c r="G1907" s="3">
        <f t="shared" si="95"/>
        <v>11.7</v>
      </c>
      <c r="H1907" s="3" t="s">
        <v>291</v>
      </c>
      <c r="I1907" s="1" t="s">
        <v>296</v>
      </c>
      <c r="J1907" s="1" t="s">
        <v>297</v>
      </c>
      <c r="K1907" s="1" t="s">
        <v>298</v>
      </c>
      <c r="L1907" s="1" t="s">
        <v>267</v>
      </c>
      <c r="M1907" s="1"/>
      <c r="N1907" s="1">
        <f t="shared" si="94"/>
        <v>5</v>
      </c>
      <c r="O1907" s="87"/>
    </row>
    <row r="1908" spans="1:15" ht="15.75" hidden="1" x14ac:dyDescent="0.25">
      <c r="A1908" s="1" t="str">
        <f t="shared" si="93"/>
        <v>44712447122.2DINERSSERVICEBANK</v>
      </c>
      <c r="B1908" s="2">
        <v>44712</v>
      </c>
      <c r="C1908" s="2">
        <v>44712</v>
      </c>
      <c r="D1908" s="3" t="s">
        <v>1680</v>
      </c>
      <c r="E1908" s="3">
        <v>2.2000000000000002</v>
      </c>
      <c r="F1908" s="3">
        <v>1</v>
      </c>
      <c r="G1908" s="3">
        <f t="shared" si="95"/>
        <v>2.2000000000000002</v>
      </c>
      <c r="H1908" s="3" t="s">
        <v>266</v>
      </c>
      <c r="I1908" s="1" t="s">
        <v>7</v>
      </c>
      <c r="J1908" s="1" t="s">
        <v>8</v>
      </c>
      <c r="K1908" s="1" t="s">
        <v>298</v>
      </c>
      <c r="L1908" s="1" t="s">
        <v>267</v>
      </c>
      <c r="M1908" s="1"/>
      <c r="N1908" s="1">
        <f t="shared" si="94"/>
        <v>5</v>
      </c>
      <c r="O1908" s="87"/>
    </row>
    <row r="1909" spans="1:15" ht="15.75" hidden="1" x14ac:dyDescent="0.25">
      <c r="A1909" s="1" t="str">
        <f t="shared" si="93"/>
        <v>4471244712303.75CURRENTTRANSPORTCAREEM</v>
      </c>
      <c r="B1909" s="2">
        <v>44712</v>
      </c>
      <c r="C1909" s="2">
        <v>44712</v>
      </c>
      <c r="D1909" s="3" t="s">
        <v>2368</v>
      </c>
      <c r="E1909" s="3">
        <v>-303.75</v>
      </c>
      <c r="F1909" s="3">
        <v>1</v>
      </c>
      <c r="G1909" s="3">
        <f t="shared" si="95"/>
        <v>303.75</v>
      </c>
      <c r="H1909" s="3" t="s">
        <v>293</v>
      </c>
      <c r="I1909" s="1" t="s">
        <v>296</v>
      </c>
      <c r="J1909" s="1" t="s">
        <v>297</v>
      </c>
      <c r="K1909" s="1" t="s">
        <v>298</v>
      </c>
      <c r="L1909" s="1" t="s">
        <v>257</v>
      </c>
      <c r="M1909" s="1"/>
      <c r="N1909" s="1">
        <f t="shared" si="94"/>
        <v>5</v>
      </c>
      <c r="O1909" s="87"/>
    </row>
    <row r="1910" spans="1:15" ht="15.75" hidden="1" x14ac:dyDescent="0.25">
      <c r="A1910" s="1" t="str">
        <f t="shared" si="93"/>
        <v>447124471411.7MASTER CCTRANSPORTCAREEM</v>
      </c>
      <c r="B1910" s="2">
        <v>44712</v>
      </c>
      <c r="C1910" s="2">
        <v>44714</v>
      </c>
      <c r="D1910" s="3" t="s">
        <v>2328</v>
      </c>
      <c r="E1910" s="3">
        <v>11.7</v>
      </c>
      <c r="F1910" s="3">
        <v>1</v>
      </c>
      <c r="G1910" s="3">
        <f t="shared" si="95"/>
        <v>11.7</v>
      </c>
      <c r="H1910" s="3" t="s">
        <v>291</v>
      </c>
      <c r="I1910" s="1" t="s">
        <v>296</v>
      </c>
      <c r="J1910" s="1" t="s">
        <v>297</v>
      </c>
      <c r="K1910" s="1" t="s">
        <v>298</v>
      </c>
      <c r="L1910" s="1" t="s">
        <v>267</v>
      </c>
      <c r="M1910" s="1"/>
      <c r="N1910" s="1">
        <f t="shared" si="94"/>
        <v>6</v>
      </c>
      <c r="O1910" s="87"/>
    </row>
    <row r="1911" spans="1:15" ht="15.75" hidden="1" x14ac:dyDescent="0.25">
      <c r="A1911" s="1" t="str">
        <f t="shared" si="93"/>
        <v>447124471572.1MASTER CCGROCERYTOTAL FRESH</v>
      </c>
      <c r="B1911" s="2">
        <v>44712</v>
      </c>
      <c r="C1911" s="2">
        <v>44715</v>
      </c>
      <c r="D1911" s="3" t="s">
        <v>2327</v>
      </c>
      <c r="E1911" s="3">
        <v>72.099999999999994</v>
      </c>
      <c r="F1911" s="3">
        <v>1</v>
      </c>
      <c r="G1911" s="3">
        <f t="shared" si="95"/>
        <v>72.099999999999994</v>
      </c>
      <c r="H1911" s="3" t="s">
        <v>291</v>
      </c>
      <c r="I1911" s="1" t="s">
        <v>43</v>
      </c>
      <c r="J1911" s="1" t="s">
        <v>1394</v>
      </c>
      <c r="K1911" s="1" t="s">
        <v>298</v>
      </c>
      <c r="L1911" s="1" t="s">
        <v>267</v>
      </c>
      <c r="M1911" s="1"/>
      <c r="N1911" s="1">
        <f t="shared" si="94"/>
        <v>6</v>
      </c>
      <c r="O1911" s="87"/>
    </row>
    <row r="1912" spans="1:15" ht="15.75" hidden="1" x14ac:dyDescent="0.25">
      <c r="A1912" s="1" t="str">
        <f t="shared" si="93"/>
        <v>4471344713250DINERSTELECOMVODAFONE</v>
      </c>
      <c r="B1912" s="2">
        <v>44713</v>
      </c>
      <c r="C1912" s="2">
        <v>44713</v>
      </c>
      <c r="D1912" s="3" t="s">
        <v>2421</v>
      </c>
      <c r="E1912" s="3">
        <v>250</v>
      </c>
      <c r="F1912" s="3">
        <v>1</v>
      </c>
      <c r="G1912" s="3">
        <f t="shared" si="95"/>
        <v>250</v>
      </c>
      <c r="H1912" s="3" t="s">
        <v>266</v>
      </c>
      <c r="I1912" s="1" t="s">
        <v>58</v>
      </c>
      <c r="J1912" s="1" t="s">
        <v>78</v>
      </c>
      <c r="K1912" s="1" t="s">
        <v>298</v>
      </c>
      <c r="L1912" s="1" t="s">
        <v>267</v>
      </c>
      <c r="M1912" s="1"/>
      <c r="N1912" s="1">
        <f t="shared" si="94"/>
        <v>6</v>
      </c>
      <c r="O1912" s="87"/>
    </row>
    <row r="1913" spans="1:15" ht="15.75" hidden="1" x14ac:dyDescent="0.25">
      <c r="A1913" s="1" t="str">
        <f t="shared" si="93"/>
        <v>4471344713154DINERSRENTKAHRAMAA</v>
      </c>
      <c r="B1913" s="2">
        <v>44713</v>
      </c>
      <c r="C1913" s="2">
        <v>44713</v>
      </c>
      <c r="D1913" s="3" t="s">
        <v>2422</v>
      </c>
      <c r="E1913" s="3">
        <v>154</v>
      </c>
      <c r="F1913" s="3">
        <v>1</v>
      </c>
      <c r="G1913" s="3">
        <f t="shared" si="95"/>
        <v>154</v>
      </c>
      <c r="H1913" s="3" t="s">
        <v>266</v>
      </c>
      <c r="I1913" s="1" t="s">
        <v>83</v>
      </c>
      <c r="J1913" s="1" t="s">
        <v>4113</v>
      </c>
      <c r="K1913" s="1" t="s">
        <v>298</v>
      </c>
      <c r="L1913" s="1" t="s">
        <v>267</v>
      </c>
      <c r="M1913" s="1"/>
      <c r="N1913" s="1">
        <f t="shared" si="94"/>
        <v>6</v>
      </c>
      <c r="O1913" s="87"/>
    </row>
    <row r="1914" spans="1:15" ht="15.75" hidden="1" x14ac:dyDescent="0.25">
      <c r="A1914" s="1" t="str">
        <f t="shared" si="93"/>
        <v>447134471542MASTER CCFOODQATAR AIR</v>
      </c>
      <c r="B1914" s="2">
        <v>44713</v>
      </c>
      <c r="C1914" s="2">
        <v>44715</v>
      </c>
      <c r="D1914" s="3" t="s">
        <v>2474</v>
      </c>
      <c r="E1914" s="3">
        <v>42</v>
      </c>
      <c r="F1914" s="3">
        <v>1</v>
      </c>
      <c r="G1914" s="3">
        <f t="shared" si="95"/>
        <v>42</v>
      </c>
      <c r="H1914" s="3" t="s">
        <v>291</v>
      </c>
      <c r="I1914" s="1" t="s">
        <v>10</v>
      </c>
      <c r="J1914" s="1" t="s">
        <v>19</v>
      </c>
      <c r="K1914" s="1" t="s">
        <v>298</v>
      </c>
      <c r="L1914" s="1" t="s">
        <v>267</v>
      </c>
      <c r="M1914" s="1"/>
      <c r="N1914" s="1">
        <f t="shared" si="94"/>
        <v>6</v>
      </c>
      <c r="O1914" s="87"/>
    </row>
    <row r="1915" spans="1:15" ht="15.75" hidden="1" x14ac:dyDescent="0.25">
      <c r="A1915" s="1" t="str">
        <f t="shared" si="93"/>
        <v>447134471512.9MASTER CCTRANSPORTCAREEM</v>
      </c>
      <c r="B1915" s="2">
        <v>44713</v>
      </c>
      <c r="C1915" s="2">
        <v>44715</v>
      </c>
      <c r="D1915" s="3" t="s">
        <v>2475</v>
      </c>
      <c r="E1915" s="3">
        <v>12.9</v>
      </c>
      <c r="F1915" s="3">
        <v>1</v>
      </c>
      <c r="G1915" s="3">
        <f t="shared" si="95"/>
        <v>12.9</v>
      </c>
      <c r="H1915" s="3" t="s">
        <v>291</v>
      </c>
      <c r="I1915" s="1" t="s">
        <v>296</v>
      </c>
      <c r="J1915" s="1" t="s">
        <v>297</v>
      </c>
      <c r="K1915" s="1" t="s">
        <v>298</v>
      </c>
      <c r="L1915" s="1" t="s">
        <v>267</v>
      </c>
      <c r="M1915" s="1"/>
      <c r="N1915" s="1">
        <f t="shared" si="94"/>
        <v>6</v>
      </c>
      <c r="O1915" s="87"/>
    </row>
    <row r="1916" spans="1:15" ht="15.75" hidden="1" x14ac:dyDescent="0.25">
      <c r="A1916" s="1" t="str">
        <f t="shared" si="93"/>
        <v>447134471313.3CURRENTTRANSPORTCAREEM</v>
      </c>
      <c r="B1916" s="2">
        <v>44713</v>
      </c>
      <c r="C1916" s="2">
        <v>44713</v>
      </c>
      <c r="D1916" s="3" t="s">
        <v>2519</v>
      </c>
      <c r="E1916" s="3">
        <v>-13.3</v>
      </c>
      <c r="F1916" s="3">
        <v>1</v>
      </c>
      <c r="G1916" s="3">
        <f t="shared" si="95"/>
        <v>13.3</v>
      </c>
      <c r="H1916" s="3" t="s">
        <v>293</v>
      </c>
      <c r="I1916" s="1" t="s">
        <v>296</v>
      </c>
      <c r="J1916" s="1" t="s">
        <v>297</v>
      </c>
      <c r="K1916" s="1" t="s">
        <v>298</v>
      </c>
      <c r="L1916" s="1" t="s">
        <v>257</v>
      </c>
      <c r="M1916" s="1"/>
      <c r="N1916" s="1">
        <f t="shared" si="94"/>
        <v>6</v>
      </c>
      <c r="O1916" s="87"/>
    </row>
    <row r="1917" spans="1:15" ht="15.75" hidden="1" x14ac:dyDescent="0.25">
      <c r="A1917" s="1" t="str">
        <f t="shared" si="93"/>
        <v>44713447133000CURRENTSAVINGSELF</v>
      </c>
      <c r="B1917" s="2">
        <v>44713</v>
      </c>
      <c r="C1917" s="2">
        <v>44713</v>
      </c>
      <c r="D1917" s="3" t="s">
        <v>1519</v>
      </c>
      <c r="E1917" s="3">
        <v>-3000</v>
      </c>
      <c r="F1917" s="3">
        <v>1</v>
      </c>
      <c r="G1917" s="3">
        <f t="shared" si="95"/>
        <v>3000</v>
      </c>
      <c r="H1917" s="3" t="s">
        <v>293</v>
      </c>
      <c r="I1917" s="1" t="s">
        <v>302</v>
      </c>
      <c r="J1917" s="1" t="s">
        <v>14</v>
      </c>
      <c r="K1917" s="1" t="s">
        <v>298</v>
      </c>
      <c r="L1917" s="1" t="s">
        <v>257</v>
      </c>
      <c r="M1917" s="1"/>
      <c r="N1917" s="1">
        <f t="shared" si="94"/>
        <v>6</v>
      </c>
      <c r="O1917" s="87"/>
    </row>
    <row r="1918" spans="1:15" ht="15.75" hidden="1" x14ac:dyDescent="0.25">
      <c r="A1918" s="1" t="str">
        <f t="shared" si="93"/>
        <v>4471344713500CURRENTSAVINGARTI</v>
      </c>
      <c r="B1918" s="2">
        <v>44713</v>
      </c>
      <c r="C1918" s="2">
        <v>44713</v>
      </c>
      <c r="D1918" s="3" t="s">
        <v>1588</v>
      </c>
      <c r="E1918" s="3">
        <v>-500</v>
      </c>
      <c r="F1918" s="3">
        <v>1</v>
      </c>
      <c r="G1918" s="3">
        <f t="shared" si="95"/>
        <v>500</v>
      </c>
      <c r="H1918" s="3" t="s">
        <v>293</v>
      </c>
      <c r="I1918" s="1" t="s">
        <v>302</v>
      </c>
      <c r="J1918" s="1" t="s">
        <v>453</v>
      </c>
      <c r="K1918" s="1" t="s">
        <v>298</v>
      </c>
      <c r="L1918" s="1" t="s">
        <v>257</v>
      </c>
      <c r="M1918" s="1"/>
      <c r="N1918" s="1">
        <f t="shared" si="94"/>
        <v>6</v>
      </c>
      <c r="O1918" s="87"/>
    </row>
    <row r="1919" spans="1:15" ht="15.75" hidden="1" x14ac:dyDescent="0.25">
      <c r="A1919" s="1" t="str">
        <f t="shared" si="93"/>
        <v>447144471945MASTER CCFOODQATAR AIR</v>
      </c>
      <c r="B1919" s="2">
        <v>44714</v>
      </c>
      <c r="C1919" s="2">
        <v>44719</v>
      </c>
      <c r="D1919" s="3" t="s">
        <v>2471</v>
      </c>
      <c r="E1919" s="3">
        <v>45</v>
      </c>
      <c r="F1919" s="3">
        <v>1</v>
      </c>
      <c r="G1919" s="3">
        <f t="shared" si="95"/>
        <v>45</v>
      </c>
      <c r="H1919" s="3" t="s">
        <v>291</v>
      </c>
      <c r="I1919" s="1" t="s">
        <v>10</v>
      </c>
      <c r="J1919" s="1" t="s">
        <v>19</v>
      </c>
      <c r="K1919" s="1" t="s">
        <v>298</v>
      </c>
      <c r="L1919" s="1" t="s">
        <v>267</v>
      </c>
      <c r="M1919" s="1"/>
      <c r="N1919" s="1">
        <f t="shared" si="94"/>
        <v>6</v>
      </c>
      <c r="O1919" s="87"/>
    </row>
    <row r="1920" spans="1:15" ht="15.75" hidden="1" x14ac:dyDescent="0.25">
      <c r="A1920" s="1" t="str">
        <f t="shared" si="93"/>
        <v>44714447161.7MASTER CCTRANSPORTCAREEM</v>
      </c>
      <c r="B1920" s="2">
        <v>44714</v>
      </c>
      <c r="C1920" s="2">
        <v>44716</v>
      </c>
      <c r="D1920" s="3" t="s">
        <v>2472</v>
      </c>
      <c r="E1920" s="3">
        <v>1.7</v>
      </c>
      <c r="F1920" s="3">
        <v>1</v>
      </c>
      <c r="G1920" s="3">
        <f t="shared" si="95"/>
        <v>1.7</v>
      </c>
      <c r="H1920" s="3" t="s">
        <v>291</v>
      </c>
      <c r="I1920" s="1" t="s">
        <v>296</v>
      </c>
      <c r="J1920" s="1" t="s">
        <v>297</v>
      </c>
      <c r="K1920" s="1" t="s">
        <v>298</v>
      </c>
      <c r="L1920" s="1" t="s">
        <v>267</v>
      </c>
      <c r="M1920" s="1"/>
      <c r="N1920" s="1">
        <f t="shared" si="94"/>
        <v>6</v>
      </c>
      <c r="O1920" s="87"/>
    </row>
    <row r="1921" spans="1:15" ht="15.75" hidden="1" x14ac:dyDescent="0.25">
      <c r="A1921" s="1" t="str">
        <f t="shared" si="93"/>
        <v>44714447161.5MASTER CCTRANSPORTCAREEM</v>
      </c>
      <c r="B1921" s="2">
        <v>44714</v>
      </c>
      <c r="C1921" s="2">
        <v>44716</v>
      </c>
      <c r="D1921" s="3" t="s">
        <v>2473</v>
      </c>
      <c r="E1921" s="3">
        <v>1.5</v>
      </c>
      <c r="F1921" s="3">
        <v>1</v>
      </c>
      <c r="G1921" s="3">
        <f t="shared" si="95"/>
        <v>1.5</v>
      </c>
      <c r="H1921" s="3" t="s">
        <v>291</v>
      </c>
      <c r="I1921" s="1" t="s">
        <v>296</v>
      </c>
      <c r="J1921" s="1" t="s">
        <v>297</v>
      </c>
      <c r="K1921" s="1" t="s">
        <v>298</v>
      </c>
      <c r="L1921" s="1" t="s">
        <v>267</v>
      </c>
      <c r="M1921" s="1"/>
      <c r="N1921" s="1">
        <f t="shared" si="94"/>
        <v>6</v>
      </c>
      <c r="O1921" s="87"/>
    </row>
    <row r="1922" spans="1:15" ht="15.75" hidden="1" x14ac:dyDescent="0.25">
      <c r="A1922" s="1" t="str">
        <f t="shared" ref="A1922:A1985" si="96">B1922&amp;C1922&amp;G1922&amp;H1922&amp;I1922&amp;J1922</f>
        <v>447144471413.5CURRENTTRANSPORTCAREEM</v>
      </c>
      <c r="B1922" s="2">
        <v>44714</v>
      </c>
      <c r="C1922" s="2">
        <v>44714</v>
      </c>
      <c r="D1922" s="3" t="s">
        <v>2517</v>
      </c>
      <c r="E1922" s="3">
        <v>-13.5</v>
      </c>
      <c r="F1922" s="3">
        <v>1</v>
      </c>
      <c r="G1922" s="3">
        <f t="shared" si="95"/>
        <v>13.5</v>
      </c>
      <c r="H1922" s="3" t="s">
        <v>293</v>
      </c>
      <c r="I1922" s="1" t="s">
        <v>296</v>
      </c>
      <c r="J1922" s="1" t="s">
        <v>297</v>
      </c>
      <c r="K1922" s="1" t="s">
        <v>298</v>
      </c>
      <c r="L1922" s="1" t="s">
        <v>257</v>
      </c>
      <c r="M1922" s="1"/>
      <c r="N1922" s="1">
        <f t="shared" ref="N1922:N1985" si="97">MONTH(C1922)</f>
        <v>6</v>
      </c>
      <c r="O1922" s="87"/>
    </row>
    <row r="1923" spans="1:15" ht="15.75" hidden="1" x14ac:dyDescent="0.25">
      <c r="A1923" s="1" t="str">
        <f t="shared" si="96"/>
        <v>44714447141950CURRENTEDUCATIONDAFFODILES</v>
      </c>
      <c r="B1923" s="2">
        <v>44714</v>
      </c>
      <c r="C1923" s="2">
        <v>44714</v>
      </c>
      <c r="D1923" s="3" t="s">
        <v>2518</v>
      </c>
      <c r="E1923" s="3">
        <v>-1950</v>
      </c>
      <c r="F1923" s="3">
        <v>1</v>
      </c>
      <c r="G1923" s="3">
        <f t="shared" si="95"/>
        <v>1950</v>
      </c>
      <c r="H1923" s="3" t="s">
        <v>293</v>
      </c>
      <c r="I1923" s="1" t="s">
        <v>543</v>
      </c>
      <c r="J1923" s="1" t="s">
        <v>2271</v>
      </c>
      <c r="K1923" s="1" t="s">
        <v>298</v>
      </c>
      <c r="L1923" s="1" t="s">
        <v>257</v>
      </c>
      <c r="M1923" s="1"/>
      <c r="N1923" s="1">
        <f t="shared" si="97"/>
        <v>6</v>
      </c>
      <c r="O1923" s="87"/>
    </row>
    <row r="1924" spans="1:15" ht="15.75" hidden="1" x14ac:dyDescent="0.25">
      <c r="A1924" s="1" t="str">
        <f t="shared" si="96"/>
        <v>447154471750MASTER CCENTERTAINMENTASPIRE PARK</v>
      </c>
      <c r="B1924" s="2">
        <v>44715</v>
      </c>
      <c r="C1924" s="2">
        <v>44717</v>
      </c>
      <c r="D1924" s="3" t="s">
        <v>2468</v>
      </c>
      <c r="E1924" s="3">
        <v>50</v>
      </c>
      <c r="F1924" s="3">
        <v>1</v>
      </c>
      <c r="G1924" s="3">
        <f t="shared" si="95"/>
        <v>50</v>
      </c>
      <c r="H1924" s="3" t="s">
        <v>291</v>
      </c>
      <c r="I1924" s="1" t="s">
        <v>2476</v>
      </c>
      <c r="J1924" s="1" t="s">
        <v>2479</v>
      </c>
      <c r="K1924" s="1" t="s">
        <v>298</v>
      </c>
      <c r="L1924" s="1" t="s">
        <v>267</v>
      </c>
      <c r="M1924" s="1"/>
      <c r="N1924" s="1">
        <f t="shared" si="97"/>
        <v>6</v>
      </c>
      <c r="O1924" s="87"/>
    </row>
    <row r="1925" spans="1:15" ht="15.75" hidden="1" x14ac:dyDescent="0.25">
      <c r="A1925" s="1" t="str">
        <f t="shared" si="96"/>
        <v>447154471747MASTER CCTRANSPORTCAREEM</v>
      </c>
      <c r="B1925" s="2">
        <v>44715</v>
      </c>
      <c r="C1925" s="2">
        <v>44717</v>
      </c>
      <c r="D1925" s="3" t="s">
        <v>2469</v>
      </c>
      <c r="E1925" s="3">
        <v>47</v>
      </c>
      <c r="F1925" s="3">
        <v>1</v>
      </c>
      <c r="G1925" s="3">
        <f t="shared" si="95"/>
        <v>47</v>
      </c>
      <c r="H1925" s="3" t="s">
        <v>291</v>
      </c>
      <c r="I1925" s="1" t="s">
        <v>296</v>
      </c>
      <c r="J1925" s="1" t="s">
        <v>297</v>
      </c>
      <c r="K1925" s="1" t="s">
        <v>298</v>
      </c>
      <c r="L1925" s="1" t="s">
        <v>267</v>
      </c>
      <c r="M1925" s="1"/>
      <c r="N1925" s="1">
        <f t="shared" si="97"/>
        <v>6</v>
      </c>
      <c r="O1925" s="87"/>
    </row>
    <row r="1926" spans="1:15" ht="15.75" hidden="1" x14ac:dyDescent="0.25">
      <c r="A1926" s="1" t="str">
        <f t="shared" si="96"/>
        <v>4471544719347.5MASTER CCGROCERYCARREFOUR</v>
      </c>
      <c r="B1926" s="2">
        <v>44715</v>
      </c>
      <c r="C1926" s="2">
        <v>44719</v>
      </c>
      <c r="D1926" s="3" t="s">
        <v>2470</v>
      </c>
      <c r="E1926" s="3">
        <v>347.5</v>
      </c>
      <c r="F1926" s="3">
        <v>1</v>
      </c>
      <c r="G1926" s="3">
        <f t="shared" si="95"/>
        <v>347.5</v>
      </c>
      <c r="H1926" s="3" t="s">
        <v>291</v>
      </c>
      <c r="I1926" s="1" t="s">
        <v>43</v>
      </c>
      <c r="J1926" s="1" t="s">
        <v>67</v>
      </c>
      <c r="K1926" s="1" t="s">
        <v>298</v>
      </c>
      <c r="L1926" s="1" t="s">
        <v>267</v>
      </c>
      <c r="M1926" s="1"/>
      <c r="N1926" s="1">
        <f t="shared" si="97"/>
        <v>6</v>
      </c>
      <c r="O1926" s="87"/>
    </row>
    <row r="1927" spans="1:15" ht="15.75" hidden="1" x14ac:dyDescent="0.25">
      <c r="A1927" s="1" t="str">
        <f t="shared" si="96"/>
        <v>4471644717158.16DINERSGROCERYTOTAL FRESH</v>
      </c>
      <c r="B1927" s="2">
        <v>44716</v>
      </c>
      <c r="C1927" s="2">
        <v>44717</v>
      </c>
      <c r="D1927" s="3" t="s">
        <v>2420</v>
      </c>
      <c r="E1927" s="3">
        <v>158.16</v>
      </c>
      <c r="F1927" s="3">
        <v>1</v>
      </c>
      <c r="G1927" s="3">
        <f t="shared" si="95"/>
        <v>158.16</v>
      </c>
      <c r="H1927" s="3" t="s">
        <v>266</v>
      </c>
      <c r="I1927" s="1" t="s">
        <v>43</v>
      </c>
      <c r="J1927" s="1" t="s">
        <v>1394</v>
      </c>
      <c r="K1927" s="1" t="s">
        <v>298</v>
      </c>
      <c r="L1927" s="1" t="s">
        <v>267</v>
      </c>
      <c r="M1927" s="1"/>
      <c r="N1927" s="1">
        <f t="shared" si="97"/>
        <v>6</v>
      </c>
      <c r="O1927" s="87"/>
    </row>
    <row r="1928" spans="1:15" ht="15.75" hidden="1" x14ac:dyDescent="0.25">
      <c r="A1928" s="1" t="str">
        <f t="shared" si="96"/>
        <v>44717447196.4MASTER CCTRANSPORTCAREEM</v>
      </c>
      <c r="B1928" s="2">
        <v>44717</v>
      </c>
      <c r="C1928" s="2">
        <v>44719</v>
      </c>
      <c r="D1928" s="3" t="s">
        <v>2463</v>
      </c>
      <c r="E1928" s="3">
        <v>6.4</v>
      </c>
      <c r="F1928" s="3">
        <v>1</v>
      </c>
      <c r="G1928" s="3">
        <f t="shared" si="95"/>
        <v>6.4</v>
      </c>
      <c r="H1928" s="3" t="s">
        <v>291</v>
      </c>
      <c r="I1928" s="1" t="s">
        <v>296</v>
      </c>
      <c r="J1928" s="1" t="s">
        <v>297</v>
      </c>
      <c r="K1928" s="1" t="s">
        <v>298</v>
      </c>
      <c r="L1928" s="1" t="s">
        <v>267</v>
      </c>
      <c r="M1928" s="1"/>
      <c r="N1928" s="1">
        <f t="shared" si="97"/>
        <v>6</v>
      </c>
      <c r="O1928" s="87"/>
    </row>
    <row r="1929" spans="1:15" ht="15.75" hidden="1" x14ac:dyDescent="0.25">
      <c r="A1929" s="1" t="str">
        <f t="shared" si="96"/>
        <v>447174471960MASTER CCTELECOMOOREDOO</v>
      </c>
      <c r="B1929" s="2">
        <v>44717</v>
      </c>
      <c r="C1929" s="2">
        <v>44719</v>
      </c>
      <c r="D1929" s="3" t="s">
        <v>2464</v>
      </c>
      <c r="E1929" s="3">
        <v>60</v>
      </c>
      <c r="F1929" s="3">
        <v>1</v>
      </c>
      <c r="G1929" s="3">
        <f t="shared" si="95"/>
        <v>60</v>
      </c>
      <c r="H1929" s="3" t="s">
        <v>291</v>
      </c>
      <c r="I1929" s="1" t="s">
        <v>58</v>
      </c>
      <c r="J1929" s="1" t="s">
        <v>59</v>
      </c>
      <c r="K1929" s="1" t="s">
        <v>298</v>
      </c>
      <c r="L1929" s="1" t="s">
        <v>267</v>
      </c>
      <c r="M1929" s="1"/>
      <c r="N1929" s="1">
        <f t="shared" si="97"/>
        <v>6</v>
      </c>
      <c r="O1929" s="87"/>
    </row>
    <row r="1930" spans="1:15" ht="15.75" hidden="1" x14ac:dyDescent="0.25">
      <c r="A1930" s="1" t="str">
        <f t="shared" si="96"/>
        <v>447174471910MASTER CCTELECOMOOREDOO</v>
      </c>
      <c r="B1930" s="2">
        <v>44717</v>
      </c>
      <c r="C1930" s="2">
        <v>44719</v>
      </c>
      <c r="D1930" s="3" t="s">
        <v>2465</v>
      </c>
      <c r="E1930" s="3">
        <v>10</v>
      </c>
      <c r="F1930" s="3">
        <v>1</v>
      </c>
      <c r="G1930" s="3">
        <f t="shared" si="95"/>
        <v>10</v>
      </c>
      <c r="H1930" s="3" t="s">
        <v>291</v>
      </c>
      <c r="I1930" s="1" t="s">
        <v>58</v>
      </c>
      <c r="J1930" s="1" t="s">
        <v>59</v>
      </c>
      <c r="K1930" s="1" t="s">
        <v>298</v>
      </c>
      <c r="L1930" s="1" t="s">
        <v>267</v>
      </c>
      <c r="M1930" s="1"/>
      <c r="N1930" s="1">
        <f t="shared" si="97"/>
        <v>6</v>
      </c>
      <c r="O1930" s="87"/>
    </row>
    <row r="1931" spans="1:15" ht="15.75" hidden="1" x14ac:dyDescent="0.25">
      <c r="A1931" s="1" t="str">
        <f t="shared" si="96"/>
        <v>447174471913.7MASTER CCTRANSPORTCAREEM</v>
      </c>
      <c r="B1931" s="2">
        <v>44717</v>
      </c>
      <c r="C1931" s="2">
        <v>44719</v>
      </c>
      <c r="D1931" s="3" t="s">
        <v>2466</v>
      </c>
      <c r="E1931" s="3">
        <v>13.7</v>
      </c>
      <c r="F1931" s="3">
        <v>1</v>
      </c>
      <c r="G1931" s="3">
        <f t="shared" ref="G1931:G1994" si="98">ABS(E1931)*F1931</f>
        <v>13.7</v>
      </c>
      <c r="H1931" s="3" t="s">
        <v>291</v>
      </c>
      <c r="I1931" s="1" t="s">
        <v>296</v>
      </c>
      <c r="J1931" s="1" t="s">
        <v>297</v>
      </c>
      <c r="K1931" s="1" t="s">
        <v>298</v>
      </c>
      <c r="L1931" s="1" t="s">
        <v>267</v>
      </c>
      <c r="M1931" s="1"/>
      <c r="N1931" s="1">
        <f t="shared" si="97"/>
        <v>6</v>
      </c>
      <c r="O1931" s="87"/>
    </row>
    <row r="1932" spans="1:15" ht="15.75" hidden="1" x14ac:dyDescent="0.25">
      <c r="A1932" s="1" t="str">
        <f t="shared" si="96"/>
        <v>447174472020MASTER CCGROCERYTOTAL FRESH</v>
      </c>
      <c r="B1932" s="2">
        <v>44717</v>
      </c>
      <c r="C1932" s="2">
        <v>44720</v>
      </c>
      <c r="D1932" s="3" t="s">
        <v>2467</v>
      </c>
      <c r="E1932" s="3">
        <v>20</v>
      </c>
      <c r="F1932" s="3">
        <v>1</v>
      </c>
      <c r="G1932" s="3">
        <f t="shared" si="98"/>
        <v>20</v>
      </c>
      <c r="H1932" s="3" t="s">
        <v>291</v>
      </c>
      <c r="I1932" s="1" t="s">
        <v>43</v>
      </c>
      <c r="J1932" s="1" t="s">
        <v>1394</v>
      </c>
      <c r="K1932" s="1" t="s">
        <v>298</v>
      </c>
      <c r="L1932" s="1" t="s">
        <v>267</v>
      </c>
      <c r="M1932" s="1"/>
      <c r="N1932" s="1">
        <f t="shared" si="97"/>
        <v>6</v>
      </c>
      <c r="O1932" s="87"/>
    </row>
    <row r="1933" spans="1:15" ht="15.75" hidden="1" x14ac:dyDescent="0.25">
      <c r="A1933" s="1" t="str">
        <f t="shared" si="96"/>
        <v>447174471750CURRENTFOODCAFÉ/REST.</v>
      </c>
      <c r="B1933" s="2">
        <v>44717</v>
      </c>
      <c r="C1933" s="2">
        <v>44717</v>
      </c>
      <c r="D1933" s="3" t="s">
        <v>2511</v>
      </c>
      <c r="E1933" s="3">
        <v>-50</v>
      </c>
      <c r="F1933" s="3">
        <v>1</v>
      </c>
      <c r="G1933" s="3">
        <f t="shared" si="98"/>
        <v>50</v>
      </c>
      <c r="H1933" s="3" t="s">
        <v>293</v>
      </c>
      <c r="I1933" s="1" t="s">
        <v>10</v>
      </c>
      <c r="J1933" s="1" t="s">
        <v>11</v>
      </c>
      <c r="K1933" s="1" t="s">
        <v>298</v>
      </c>
      <c r="L1933" s="1" t="s">
        <v>257</v>
      </c>
      <c r="M1933" s="1"/>
      <c r="N1933" s="1">
        <f t="shared" si="97"/>
        <v>6</v>
      </c>
      <c r="O1933" s="87"/>
    </row>
    <row r="1934" spans="1:15" ht="15.75" hidden="1" x14ac:dyDescent="0.25">
      <c r="A1934" s="1" t="str">
        <f t="shared" si="96"/>
        <v>44717447178CURRENTTRANSPORTCAREEM</v>
      </c>
      <c r="B1934" s="2">
        <v>44717</v>
      </c>
      <c r="C1934" s="2">
        <v>44717</v>
      </c>
      <c r="D1934" s="3" t="s">
        <v>2512</v>
      </c>
      <c r="E1934" s="3">
        <v>-8</v>
      </c>
      <c r="F1934" s="3">
        <v>1</v>
      </c>
      <c r="G1934" s="3">
        <f t="shared" si="98"/>
        <v>8</v>
      </c>
      <c r="H1934" s="3" t="s">
        <v>293</v>
      </c>
      <c r="I1934" s="1" t="s">
        <v>296</v>
      </c>
      <c r="J1934" s="1" t="s">
        <v>297</v>
      </c>
      <c r="K1934" s="1" t="s">
        <v>298</v>
      </c>
      <c r="L1934" s="1" t="s">
        <v>257</v>
      </c>
      <c r="M1934" s="1"/>
      <c r="N1934" s="1">
        <f t="shared" si="97"/>
        <v>6</v>
      </c>
      <c r="O1934" s="87"/>
    </row>
    <row r="1935" spans="1:15" ht="15.75" hidden="1" x14ac:dyDescent="0.25">
      <c r="A1935" s="1" t="str">
        <f t="shared" si="96"/>
        <v>44717447175.8CURRENTTRANSPORTCAREEM</v>
      </c>
      <c r="B1935" s="2">
        <v>44717</v>
      </c>
      <c r="C1935" s="2">
        <v>44717</v>
      </c>
      <c r="D1935" s="3" t="s">
        <v>2513</v>
      </c>
      <c r="E1935" s="3">
        <v>-5.8</v>
      </c>
      <c r="F1935" s="3">
        <v>1</v>
      </c>
      <c r="G1935" s="3">
        <f t="shared" si="98"/>
        <v>5.8</v>
      </c>
      <c r="H1935" s="3" t="s">
        <v>293</v>
      </c>
      <c r="I1935" s="1" t="s">
        <v>296</v>
      </c>
      <c r="J1935" s="1" t="s">
        <v>297</v>
      </c>
      <c r="K1935" s="1" t="s">
        <v>298</v>
      </c>
      <c r="L1935" s="1" t="s">
        <v>257</v>
      </c>
      <c r="M1935" s="1"/>
      <c r="N1935" s="1">
        <f t="shared" si="97"/>
        <v>6</v>
      </c>
      <c r="O1935" s="87"/>
    </row>
    <row r="1936" spans="1:15" ht="15.75" hidden="1" x14ac:dyDescent="0.25">
      <c r="A1936" s="1" t="str">
        <f t="shared" si="96"/>
        <v>447174471710.8CURRENTTRANSPORTCAREEM</v>
      </c>
      <c r="B1936" s="2">
        <v>44717</v>
      </c>
      <c r="C1936" s="2">
        <v>44717</v>
      </c>
      <c r="D1936" s="3" t="s">
        <v>2514</v>
      </c>
      <c r="E1936" s="3">
        <v>-10.8</v>
      </c>
      <c r="F1936" s="3">
        <v>1</v>
      </c>
      <c r="G1936" s="3">
        <f t="shared" si="98"/>
        <v>10.8</v>
      </c>
      <c r="H1936" s="3" t="s">
        <v>293</v>
      </c>
      <c r="I1936" s="1" t="s">
        <v>296</v>
      </c>
      <c r="J1936" s="1" t="s">
        <v>297</v>
      </c>
      <c r="K1936" s="1" t="s">
        <v>298</v>
      </c>
      <c r="L1936" s="1" t="s">
        <v>257</v>
      </c>
      <c r="M1936" s="1"/>
      <c r="N1936" s="1">
        <f t="shared" si="97"/>
        <v>6</v>
      </c>
      <c r="O1936" s="87"/>
    </row>
    <row r="1937" spans="1:15" ht="15.75" hidden="1" x14ac:dyDescent="0.25">
      <c r="A1937" s="1" t="str">
        <f t="shared" si="96"/>
        <v>447174471712.5CURRENTTRANSPORTCAREEM</v>
      </c>
      <c r="B1937" s="2">
        <v>44717</v>
      </c>
      <c r="C1937" s="2">
        <v>44717</v>
      </c>
      <c r="D1937" s="3" t="s">
        <v>2515</v>
      </c>
      <c r="E1937" s="3">
        <v>-12.5</v>
      </c>
      <c r="F1937" s="3">
        <v>1</v>
      </c>
      <c r="G1937" s="3">
        <f t="shared" si="98"/>
        <v>12.5</v>
      </c>
      <c r="H1937" s="3" t="s">
        <v>293</v>
      </c>
      <c r="I1937" s="1" t="s">
        <v>296</v>
      </c>
      <c r="J1937" s="1" t="s">
        <v>297</v>
      </c>
      <c r="K1937" s="1" t="s">
        <v>298</v>
      </c>
      <c r="L1937" s="1" t="s">
        <v>257</v>
      </c>
      <c r="M1937" s="1"/>
      <c r="N1937" s="1">
        <f t="shared" si="97"/>
        <v>6</v>
      </c>
      <c r="O1937" s="87"/>
    </row>
    <row r="1938" spans="1:15" ht="15.75" hidden="1" x14ac:dyDescent="0.25">
      <c r="A1938" s="1" t="str">
        <f t="shared" si="96"/>
        <v>4471744717500CURRENTWITHDRAWSELF</v>
      </c>
      <c r="B1938" s="2">
        <v>44717</v>
      </c>
      <c r="C1938" s="2">
        <v>44717</v>
      </c>
      <c r="D1938" s="3" t="s">
        <v>2516</v>
      </c>
      <c r="E1938" s="3">
        <v>-500</v>
      </c>
      <c r="F1938" s="3">
        <v>1</v>
      </c>
      <c r="G1938" s="3">
        <f t="shared" si="98"/>
        <v>500</v>
      </c>
      <c r="H1938" s="3" t="s">
        <v>293</v>
      </c>
      <c r="I1938" s="1" t="s">
        <v>13</v>
      </c>
      <c r="J1938" s="1" t="s">
        <v>14</v>
      </c>
      <c r="K1938" s="1" t="s">
        <v>298</v>
      </c>
      <c r="L1938" s="1" t="s">
        <v>257</v>
      </c>
      <c r="M1938" s="1"/>
      <c r="N1938" s="1">
        <f t="shared" si="97"/>
        <v>6</v>
      </c>
      <c r="O1938" s="87"/>
    </row>
    <row r="1939" spans="1:15" ht="15.75" hidden="1" x14ac:dyDescent="0.25">
      <c r="A1939" s="1" t="str">
        <f t="shared" si="96"/>
        <v>44717447171250CURRENTSAVINGSELF</v>
      </c>
      <c r="B1939" s="2">
        <v>44717</v>
      </c>
      <c r="C1939" s="2">
        <v>44717</v>
      </c>
      <c r="D1939" s="3" t="s">
        <v>1167</v>
      </c>
      <c r="E1939" s="3">
        <v>-1250</v>
      </c>
      <c r="F1939" s="3">
        <v>1</v>
      </c>
      <c r="G1939" s="3">
        <f t="shared" si="98"/>
        <v>1250</v>
      </c>
      <c r="H1939" s="3" t="s">
        <v>293</v>
      </c>
      <c r="I1939" s="1" t="s">
        <v>302</v>
      </c>
      <c r="J1939" s="1" t="s">
        <v>14</v>
      </c>
      <c r="K1939" s="1" t="s">
        <v>298</v>
      </c>
      <c r="L1939" s="1" t="s">
        <v>257</v>
      </c>
      <c r="M1939" s="1"/>
      <c r="N1939" s="1">
        <f t="shared" si="97"/>
        <v>6</v>
      </c>
      <c r="O1939" s="87"/>
    </row>
    <row r="1940" spans="1:15" ht="15.75" hidden="1" x14ac:dyDescent="0.25">
      <c r="A1940" s="1" t="str">
        <f t="shared" si="96"/>
        <v>44717447172000CURRENTSAVINGSELF</v>
      </c>
      <c r="B1940" s="2">
        <v>44717</v>
      </c>
      <c r="C1940" s="2">
        <v>44717</v>
      </c>
      <c r="D1940" s="3" t="s">
        <v>1939</v>
      </c>
      <c r="E1940" s="3">
        <v>-2000</v>
      </c>
      <c r="F1940" s="3">
        <v>1</v>
      </c>
      <c r="G1940" s="3">
        <f t="shared" si="98"/>
        <v>2000</v>
      </c>
      <c r="H1940" s="3" t="s">
        <v>293</v>
      </c>
      <c r="I1940" s="1" t="s">
        <v>302</v>
      </c>
      <c r="J1940" s="1" t="s">
        <v>14</v>
      </c>
      <c r="K1940" s="1" t="s">
        <v>298</v>
      </c>
      <c r="L1940" s="1" t="s">
        <v>257</v>
      </c>
      <c r="M1940" s="1"/>
      <c r="N1940" s="1">
        <f t="shared" si="97"/>
        <v>6</v>
      </c>
      <c r="O1940" s="87"/>
    </row>
    <row r="1941" spans="1:15" ht="15.75" hidden="1" x14ac:dyDescent="0.25">
      <c r="A1941" s="1" t="str">
        <f t="shared" si="96"/>
        <v>447184472013.8MASTER CCTRANSPORTCAREEM</v>
      </c>
      <c r="B1941" s="2">
        <v>44718</v>
      </c>
      <c r="C1941" s="2">
        <v>44720</v>
      </c>
      <c r="D1941" s="3" t="s">
        <v>2461</v>
      </c>
      <c r="E1941" s="3">
        <v>13.8</v>
      </c>
      <c r="F1941" s="3">
        <v>1</v>
      </c>
      <c r="G1941" s="3">
        <f t="shared" si="98"/>
        <v>13.8</v>
      </c>
      <c r="H1941" s="3" t="s">
        <v>291</v>
      </c>
      <c r="I1941" s="1" t="s">
        <v>296</v>
      </c>
      <c r="J1941" s="1" t="s">
        <v>297</v>
      </c>
      <c r="K1941" s="1" t="s">
        <v>298</v>
      </c>
      <c r="L1941" s="1" t="s">
        <v>267</v>
      </c>
      <c r="M1941" s="1"/>
      <c r="N1941" s="1">
        <f t="shared" si="97"/>
        <v>6</v>
      </c>
      <c r="O1941" s="87"/>
    </row>
    <row r="1942" spans="1:15" ht="15.75" hidden="1" x14ac:dyDescent="0.25">
      <c r="A1942" s="1" t="str">
        <f t="shared" si="96"/>
        <v>447184472013MASTER CCFOODQATAR AIR</v>
      </c>
      <c r="B1942" s="2">
        <v>44718</v>
      </c>
      <c r="C1942" s="2">
        <v>44720</v>
      </c>
      <c r="D1942" s="3" t="s">
        <v>2462</v>
      </c>
      <c r="E1942" s="3">
        <v>13</v>
      </c>
      <c r="F1942" s="3">
        <v>1</v>
      </c>
      <c r="G1942" s="3">
        <f t="shared" si="98"/>
        <v>13</v>
      </c>
      <c r="H1942" s="3" t="s">
        <v>291</v>
      </c>
      <c r="I1942" s="1" t="s">
        <v>10</v>
      </c>
      <c r="J1942" s="1" t="s">
        <v>19</v>
      </c>
      <c r="K1942" s="1" t="s">
        <v>298</v>
      </c>
      <c r="L1942" s="1" t="s">
        <v>267</v>
      </c>
      <c r="M1942" s="1"/>
      <c r="N1942" s="1">
        <f t="shared" si="97"/>
        <v>6</v>
      </c>
      <c r="O1942" s="87"/>
    </row>
    <row r="1943" spans="1:15" ht="15.75" hidden="1" x14ac:dyDescent="0.25">
      <c r="A1943" s="1" t="str">
        <f t="shared" si="96"/>
        <v>44718447186.4CURRENTTRANSPORTCAREEM</v>
      </c>
      <c r="B1943" s="2">
        <v>44718</v>
      </c>
      <c r="C1943" s="2">
        <v>44718</v>
      </c>
      <c r="D1943" s="3" t="s">
        <v>2509</v>
      </c>
      <c r="E1943" s="3">
        <v>-6.4</v>
      </c>
      <c r="F1943" s="3">
        <v>1</v>
      </c>
      <c r="G1943" s="3">
        <f t="shared" si="98"/>
        <v>6.4</v>
      </c>
      <c r="H1943" s="3" t="s">
        <v>293</v>
      </c>
      <c r="I1943" s="1" t="s">
        <v>296</v>
      </c>
      <c r="J1943" s="1" t="s">
        <v>297</v>
      </c>
      <c r="K1943" s="1" t="s">
        <v>298</v>
      </c>
      <c r="L1943" s="1" t="s">
        <v>257</v>
      </c>
      <c r="M1943" s="1"/>
      <c r="N1943" s="1">
        <f t="shared" si="97"/>
        <v>6</v>
      </c>
      <c r="O1943" s="87"/>
    </row>
    <row r="1944" spans="1:15" ht="15.75" hidden="1" x14ac:dyDescent="0.25">
      <c r="A1944" s="1" t="str">
        <f t="shared" si="96"/>
        <v>44718447186.6CURRENTTRANSPORTCAREEM</v>
      </c>
      <c r="B1944" s="2">
        <v>44718</v>
      </c>
      <c r="C1944" s="2">
        <v>44718</v>
      </c>
      <c r="D1944" s="3" t="s">
        <v>2510</v>
      </c>
      <c r="E1944" s="3">
        <v>-6.6</v>
      </c>
      <c r="F1944" s="3">
        <v>1</v>
      </c>
      <c r="G1944" s="3">
        <f t="shared" si="98"/>
        <v>6.6</v>
      </c>
      <c r="H1944" s="3" t="s">
        <v>293</v>
      </c>
      <c r="I1944" s="1" t="s">
        <v>296</v>
      </c>
      <c r="J1944" s="1" t="s">
        <v>297</v>
      </c>
      <c r="K1944" s="1" t="s">
        <v>298</v>
      </c>
      <c r="L1944" s="1" t="s">
        <v>257</v>
      </c>
      <c r="M1944" s="1"/>
      <c r="N1944" s="1">
        <f t="shared" si="97"/>
        <v>6</v>
      </c>
      <c r="O1944" s="87"/>
    </row>
    <row r="1945" spans="1:15" ht="15.75" hidden="1" x14ac:dyDescent="0.25">
      <c r="A1945" s="1" t="str">
        <f t="shared" si="96"/>
        <v>447194472036.02DINERSGROCERYTOTAL FRESH</v>
      </c>
      <c r="B1945" s="2">
        <v>44719</v>
      </c>
      <c r="C1945" s="2">
        <v>44720</v>
      </c>
      <c r="D1945" s="3" t="s">
        <v>2419</v>
      </c>
      <c r="E1945" s="3">
        <v>36.020000000000003</v>
      </c>
      <c r="F1945" s="3">
        <v>1</v>
      </c>
      <c r="G1945" s="3">
        <f t="shared" si="98"/>
        <v>36.020000000000003</v>
      </c>
      <c r="H1945" s="3" t="s">
        <v>266</v>
      </c>
      <c r="I1945" s="1" t="s">
        <v>43</v>
      </c>
      <c r="J1945" s="1" t="s">
        <v>1394</v>
      </c>
      <c r="K1945" s="1" t="s">
        <v>298</v>
      </c>
      <c r="L1945" s="1" t="s">
        <v>267</v>
      </c>
      <c r="M1945" s="1"/>
      <c r="N1945" s="1">
        <f t="shared" si="97"/>
        <v>6</v>
      </c>
      <c r="O1945" s="87"/>
    </row>
    <row r="1946" spans="1:15" ht="15.75" hidden="1" x14ac:dyDescent="0.25">
      <c r="A1946" s="1" t="str">
        <f t="shared" si="96"/>
        <v>447194472149MASTER CCFOODQATAR AIR</v>
      </c>
      <c r="B1946" s="2">
        <v>44719</v>
      </c>
      <c r="C1946" s="2">
        <v>44721</v>
      </c>
      <c r="D1946" s="3" t="s">
        <v>2459</v>
      </c>
      <c r="E1946" s="3">
        <v>49</v>
      </c>
      <c r="F1946" s="3">
        <v>1</v>
      </c>
      <c r="G1946" s="3">
        <f t="shared" si="98"/>
        <v>49</v>
      </c>
      <c r="H1946" s="3" t="s">
        <v>291</v>
      </c>
      <c r="I1946" s="1" t="s">
        <v>10</v>
      </c>
      <c r="J1946" s="1" t="s">
        <v>19</v>
      </c>
      <c r="K1946" s="1" t="s">
        <v>298</v>
      </c>
      <c r="L1946" s="1" t="s">
        <v>267</v>
      </c>
      <c r="M1946" s="1"/>
      <c r="N1946" s="1">
        <f t="shared" si="97"/>
        <v>6</v>
      </c>
      <c r="O1946" s="87"/>
    </row>
    <row r="1947" spans="1:15" ht="15.75" hidden="1" x14ac:dyDescent="0.25">
      <c r="A1947" s="1" t="str">
        <f t="shared" si="96"/>
        <v>447194472112.1MASTER CCTRANSPORTCAREEM</v>
      </c>
      <c r="B1947" s="2">
        <v>44719</v>
      </c>
      <c r="C1947" s="2">
        <v>44721</v>
      </c>
      <c r="D1947" s="3" t="s">
        <v>2460</v>
      </c>
      <c r="E1947" s="3">
        <v>12.1</v>
      </c>
      <c r="F1947" s="3">
        <v>1</v>
      </c>
      <c r="G1947" s="3">
        <f t="shared" si="98"/>
        <v>12.1</v>
      </c>
      <c r="H1947" s="3" t="s">
        <v>291</v>
      </c>
      <c r="I1947" s="1" t="s">
        <v>296</v>
      </c>
      <c r="J1947" s="1" t="s">
        <v>297</v>
      </c>
      <c r="K1947" s="1" t="s">
        <v>298</v>
      </c>
      <c r="L1947" s="1" t="s">
        <v>267</v>
      </c>
      <c r="M1947" s="1"/>
      <c r="N1947" s="1">
        <f t="shared" si="97"/>
        <v>6</v>
      </c>
      <c r="O1947" s="87"/>
    </row>
    <row r="1948" spans="1:15" ht="15.75" hidden="1" x14ac:dyDescent="0.25">
      <c r="A1948" s="1" t="str">
        <f t="shared" si="96"/>
        <v>447194471917.6CURRENTTRANSPORTCAREEM</v>
      </c>
      <c r="B1948" s="2">
        <v>44719</v>
      </c>
      <c r="C1948" s="2">
        <v>44719</v>
      </c>
      <c r="D1948" s="3" t="s">
        <v>2507</v>
      </c>
      <c r="E1948" s="3">
        <v>-17.600000000000001</v>
      </c>
      <c r="F1948" s="3">
        <v>1</v>
      </c>
      <c r="G1948" s="3">
        <f t="shared" si="98"/>
        <v>17.600000000000001</v>
      </c>
      <c r="H1948" s="3" t="s">
        <v>293</v>
      </c>
      <c r="I1948" s="1" t="s">
        <v>296</v>
      </c>
      <c r="J1948" s="1" t="s">
        <v>297</v>
      </c>
      <c r="K1948" s="1" t="s">
        <v>298</v>
      </c>
      <c r="L1948" s="1" t="s">
        <v>257</v>
      </c>
      <c r="M1948" s="1"/>
      <c r="N1948" s="1">
        <f t="shared" si="97"/>
        <v>6</v>
      </c>
      <c r="O1948" s="87"/>
    </row>
    <row r="1949" spans="1:15" ht="15.75" hidden="1" x14ac:dyDescent="0.25">
      <c r="A1949" s="1" t="str">
        <f t="shared" si="96"/>
        <v>44719447198.5CURRENTTRANSPORTCAREEM</v>
      </c>
      <c r="B1949" s="2">
        <v>44719</v>
      </c>
      <c r="C1949" s="2">
        <v>44719</v>
      </c>
      <c r="D1949" s="3" t="s">
        <v>2508</v>
      </c>
      <c r="E1949" s="3">
        <v>-8.5</v>
      </c>
      <c r="F1949" s="3">
        <v>1</v>
      </c>
      <c r="G1949" s="3">
        <f t="shared" si="98"/>
        <v>8.5</v>
      </c>
      <c r="H1949" s="3" t="s">
        <v>293</v>
      </c>
      <c r="I1949" s="1" t="s">
        <v>296</v>
      </c>
      <c r="J1949" s="1" t="s">
        <v>297</v>
      </c>
      <c r="K1949" s="1" t="s">
        <v>298</v>
      </c>
      <c r="L1949" s="1" t="s">
        <v>257</v>
      </c>
      <c r="M1949" s="1"/>
      <c r="N1949" s="1">
        <f t="shared" si="97"/>
        <v>6</v>
      </c>
      <c r="O1949" s="87"/>
    </row>
    <row r="1950" spans="1:15" ht="15.75" hidden="1" x14ac:dyDescent="0.25">
      <c r="A1950" s="1" t="str">
        <f t="shared" si="96"/>
        <v>4472044721239MASTER CCENTERTAINMENTDISNEY</v>
      </c>
      <c r="B1950" s="2">
        <v>44720</v>
      </c>
      <c r="C1950" s="2">
        <v>44721</v>
      </c>
      <c r="D1950" s="3" t="s">
        <v>2456</v>
      </c>
      <c r="E1950" s="3">
        <v>239</v>
      </c>
      <c r="F1950" s="3">
        <v>1</v>
      </c>
      <c r="G1950" s="3">
        <f t="shared" si="98"/>
        <v>239</v>
      </c>
      <c r="H1950" s="3" t="s">
        <v>291</v>
      </c>
      <c r="I1950" s="1" t="s">
        <v>2476</v>
      </c>
      <c r="J1950" s="1" t="s">
        <v>2477</v>
      </c>
      <c r="K1950" s="1" t="s">
        <v>298</v>
      </c>
      <c r="L1950" s="1" t="s">
        <v>267</v>
      </c>
      <c r="M1950" s="1"/>
      <c r="N1950" s="1">
        <f t="shared" si="97"/>
        <v>6</v>
      </c>
      <c r="O1950" s="87"/>
    </row>
    <row r="1951" spans="1:15" ht="15.75" hidden="1" x14ac:dyDescent="0.25">
      <c r="A1951" s="1" t="str">
        <f t="shared" si="96"/>
        <v>44720447239MASTER CCFOODQATAR AIR</v>
      </c>
      <c r="B1951" s="2">
        <v>44720</v>
      </c>
      <c r="C1951" s="2">
        <v>44723</v>
      </c>
      <c r="D1951" s="3" t="s">
        <v>2457</v>
      </c>
      <c r="E1951" s="3">
        <v>9</v>
      </c>
      <c r="F1951" s="3">
        <v>1</v>
      </c>
      <c r="G1951" s="3">
        <f t="shared" si="98"/>
        <v>9</v>
      </c>
      <c r="H1951" s="3" t="s">
        <v>291</v>
      </c>
      <c r="I1951" s="1" t="s">
        <v>10</v>
      </c>
      <c r="J1951" s="1" t="s">
        <v>19</v>
      </c>
      <c r="K1951" s="1" t="s">
        <v>298</v>
      </c>
      <c r="L1951" s="1" t="s">
        <v>267</v>
      </c>
      <c r="M1951" s="1"/>
      <c r="N1951" s="1">
        <f t="shared" si="97"/>
        <v>6</v>
      </c>
      <c r="O1951" s="87"/>
    </row>
    <row r="1952" spans="1:15" ht="15.75" hidden="1" x14ac:dyDescent="0.25">
      <c r="A1952" s="1" t="str">
        <f t="shared" si="96"/>
        <v>447204472214.9MASTER CCTRANSPORTCAREEM</v>
      </c>
      <c r="B1952" s="2">
        <v>44720</v>
      </c>
      <c r="C1952" s="2">
        <v>44722</v>
      </c>
      <c r="D1952" s="3" t="s">
        <v>2458</v>
      </c>
      <c r="E1952" s="3">
        <v>14.9</v>
      </c>
      <c r="F1952" s="3">
        <v>1</v>
      </c>
      <c r="G1952" s="3">
        <f t="shared" si="98"/>
        <v>14.9</v>
      </c>
      <c r="H1952" s="3" t="s">
        <v>291</v>
      </c>
      <c r="I1952" s="1" t="s">
        <v>296</v>
      </c>
      <c r="J1952" s="1" t="s">
        <v>297</v>
      </c>
      <c r="K1952" s="1" t="s">
        <v>298</v>
      </c>
      <c r="L1952" s="1" t="s">
        <v>267</v>
      </c>
      <c r="M1952" s="1"/>
      <c r="N1952" s="1">
        <f t="shared" si="97"/>
        <v>6</v>
      </c>
      <c r="O1952" s="87"/>
    </row>
    <row r="1953" spans="1:15" ht="15.75" hidden="1" x14ac:dyDescent="0.25">
      <c r="A1953" s="1" t="str">
        <f t="shared" si="96"/>
        <v>447204472012.6CURRENTTRANSPORTCAREEM</v>
      </c>
      <c r="B1953" s="2">
        <v>44720</v>
      </c>
      <c r="C1953" s="2">
        <v>44720</v>
      </c>
      <c r="D1953" s="3" t="s">
        <v>2506</v>
      </c>
      <c r="E1953" s="3">
        <v>-12.6</v>
      </c>
      <c r="F1953" s="3">
        <v>1</v>
      </c>
      <c r="G1953" s="3">
        <f t="shared" si="98"/>
        <v>12.6</v>
      </c>
      <c r="H1953" s="3" t="s">
        <v>293</v>
      </c>
      <c r="I1953" s="1" t="s">
        <v>296</v>
      </c>
      <c r="J1953" s="1" t="s">
        <v>297</v>
      </c>
      <c r="K1953" s="1" t="s">
        <v>298</v>
      </c>
      <c r="L1953" s="1" t="s">
        <v>257</v>
      </c>
      <c r="M1953" s="1"/>
      <c r="N1953" s="1">
        <f t="shared" si="97"/>
        <v>6</v>
      </c>
      <c r="O1953" s="87"/>
    </row>
    <row r="1954" spans="1:15" ht="15.75" hidden="1" x14ac:dyDescent="0.25">
      <c r="A1954" s="1" t="str">
        <f t="shared" si="96"/>
        <v>447214472414.34DINERSTRANSPORTUBER</v>
      </c>
      <c r="B1954" s="2">
        <v>44721</v>
      </c>
      <c r="C1954" s="2">
        <v>44724</v>
      </c>
      <c r="D1954" s="3" t="s">
        <v>2417</v>
      </c>
      <c r="E1954" s="3">
        <v>14.34</v>
      </c>
      <c r="F1954" s="3">
        <v>1</v>
      </c>
      <c r="G1954" s="3">
        <f t="shared" si="98"/>
        <v>14.34</v>
      </c>
      <c r="H1954" s="3" t="s">
        <v>266</v>
      </c>
      <c r="I1954" s="1" t="s">
        <v>296</v>
      </c>
      <c r="J1954" s="1" t="s">
        <v>299</v>
      </c>
      <c r="K1954" s="1" t="s">
        <v>298</v>
      </c>
      <c r="L1954" s="1" t="s">
        <v>267</v>
      </c>
      <c r="M1954" s="1"/>
      <c r="N1954" s="1">
        <f t="shared" si="97"/>
        <v>6</v>
      </c>
      <c r="O1954" s="87"/>
    </row>
    <row r="1955" spans="1:15" ht="15.75" hidden="1" x14ac:dyDescent="0.25">
      <c r="A1955" s="1" t="str">
        <f t="shared" si="96"/>
        <v>447214472265.61DINERSGROCERYTOTAL FRESH</v>
      </c>
      <c r="B1955" s="2">
        <v>44721</v>
      </c>
      <c r="C1955" s="2">
        <v>44722</v>
      </c>
      <c r="D1955" s="3" t="s">
        <v>2418</v>
      </c>
      <c r="E1955" s="3">
        <v>65.61</v>
      </c>
      <c r="F1955" s="3">
        <v>1</v>
      </c>
      <c r="G1955" s="3">
        <f t="shared" si="98"/>
        <v>65.61</v>
      </c>
      <c r="H1955" s="3" t="s">
        <v>266</v>
      </c>
      <c r="I1955" s="1" t="s">
        <v>43</v>
      </c>
      <c r="J1955" s="1" t="s">
        <v>1394</v>
      </c>
      <c r="K1955" s="1" t="s">
        <v>298</v>
      </c>
      <c r="L1955" s="1" t="s">
        <v>267</v>
      </c>
      <c r="M1955" s="1"/>
      <c r="N1955" s="1">
        <f t="shared" si="97"/>
        <v>6</v>
      </c>
      <c r="O1955" s="87"/>
    </row>
    <row r="1956" spans="1:15" ht="15.75" hidden="1" x14ac:dyDescent="0.25">
      <c r="A1956" s="1" t="str">
        <f t="shared" si="96"/>
        <v>447214472320MASTER CCTRANSPORTCAREEM</v>
      </c>
      <c r="B1956" s="2">
        <v>44721</v>
      </c>
      <c r="C1956" s="2">
        <v>44723</v>
      </c>
      <c r="D1956" s="3" t="s">
        <v>2455</v>
      </c>
      <c r="E1956" s="3">
        <v>20</v>
      </c>
      <c r="F1956" s="3">
        <v>1</v>
      </c>
      <c r="G1956" s="3">
        <f t="shared" si="98"/>
        <v>20</v>
      </c>
      <c r="H1956" s="3" t="s">
        <v>291</v>
      </c>
      <c r="I1956" s="1" t="s">
        <v>296</v>
      </c>
      <c r="J1956" s="1" t="s">
        <v>297</v>
      </c>
      <c r="K1956" s="1" t="s">
        <v>298</v>
      </c>
      <c r="L1956" s="1" t="s">
        <v>267</v>
      </c>
      <c r="M1956" s="1"/>
      <c r="N1956" s="1">
        <f t="shared" si="97"/>
        <v>6</v>
      </c>
      <c r="O1956" s="87"/>
    </row>
    <row r="1957" spans="1:15" ht="15.75" hidden="1" x14ac:dyDescent="0.25">
      <c r="A1957" s="1" t="str">
        <f t="shared" si="96"/>
        <v>447214472115.6CURRENTTRANSPORTCAREEM</v>
      </c>
      <c r="B1957" s="2">
        <v>44721</v>
      </c>
      <c r="C1957" s="2">
        <v>44721</v>
      </c>
      <c r="D1957" s="3" t="s">
        <v>2505</v>
      </c>
      <c r="E1957" s="3">
        <v>-15.6</v>
      </c>
      <c r="F1957" s="3">
        <v>1</v>
      </c>
      <c r="G1957" s="3">
        <f t="shared" si="98"/>
        <v>15.6</v>
      </c>
      <c r="H1957" s="3" t="s">
        <v>293</v>
      </c>
      <c r="I1957" s="1" t="s">
        <v>296</v>
      </c>
      <c r="J1957" s="1" t="s">
        <v>297</v>
      </c>
      <c r="K1957" s="1" t="s">
        <v>298</v>
      </c>
      <c r="L1957" s="1" t="s">
        <v>257</v>
      </c>
      <c r="M1957" s="1"/>
      <c r="N1957" s="1">
        <f t="shared" si="97"/>
        <v>6</v>
      </c>
      <c r="O1957" s="87"/>
    </row>
    <row r="1958" spans="1:15" ht="15.75" hidden="1" x14ac:dyDescent="0.25">
      <c r="A1958" s="1" t="str">
        <f t="shared" si="96"/>
        <v>447224472557MASTER CCGROCERYTOTAL FRESH</v>
      </c>
      <c r="B1958" s="2">
        <v>44722</v>
      </c>
      <c r="C1958" s="2">
        <v>44725</v>
      </c>
      <c r="D1958" s="3" t="s">
        <v>2454</v>
      </c>
      <c r="E1958" s="3">
        <v>57</v>
      </c>
      <c r="F1958" s="3">
        <v>1</v>
      </c>
      <c r="G1958" s="3">
        <f t="shared" si="98"/>
        <v>57</v>
      </c>
      <c r="H1958" s="3" t="s">
        <v>291</v>
      </c>
      <c r="I1958" s="1" t="s">
        <v>43</v>
      </c>
      <c r="J1958" s="1" t="s">
        <v>1394</v>
      </c>
      <c r="K1958" s="1" t="s">
        <v>298</v>
      </c>
      <c r="L1958" s="1" t="s">
        <v>267</v>
      </c>
      <c r="M1958" s="1"/>
      <c r="N1958" s="1">
        <f t="shared" si="97"/>
        <v>6</v>
      </c>
      <c r="O1958" s="87"/>
    </row>
    <row r="1959" spans="1:15" ht="15.75" hidden="1" x14ac:dyDescent="0.25">
      <c r="A1959" s="1" t="str">
        <f t="shared" si="96"/>
        <v>447234472533.5MASTER CCTRANSPORTCAREEM</v>
      </c>
      <c r="B1959" s="2">
        <v>44723</v>
      </c>
      <c r="C1959" s="2">
        <v>44725</v>
      </c>
      <c r="D1959" s="3" t="s">
        <v>2453</v>
      </c>
      <c r="E1959" s="3">
        <v>33.5</v>
      </c>
      <c r="F1959" s="3">
        <v>1</v>
      </c>
      <c r="G1959" s="3">
        <f t="shared" si="98"/>
        <v>33.5</v>
      </c>
      <c r="H1959" s="3" t="s">
        <v>291</v>
      </c>
      <c r="I1959" s="1" t="s">
        <v>296</v>
      </c>
      <c r="J1959" s="1" t="s">
        <v>297</v>
      </c>
      <c r="K1959" s="1" t="s">
        <v>298</v>
      </c>
      <c r="L1959" s="1" t="s">
        <v>267</v>
      </c>
      <c r="M1959" s="1"/>
      <c r="N1959" s="1">
        <f t="shared" si="97"/>
        <v>6</v>
      </c>
      <c r="O1959" s="87"/>
    </row>
    <row r="1960" spans="1:15" ht="15.75" hidden="1" x14ac:dyDescent="0.25">
      <c r="A1960" s="1" t="str">
        <f t="shared" si="96"/>
        <v>4472444725100.5DINERSGROCERYTOTAL FRESH</v>
      </c>
      <c r="B1960" s="2">
        <v>44724</v>
      </c>
      <c r="C1960" s="2">
        <v>44725</v>
      </c>
      <c r="D1960" s="3" t="s">
        <v>2416</v>
      </c>
      <c r="E1960" s="3">
        <v>100.5</v>
      </c>
      <c r="F1960" s="3">
        <v>1</v>
      </c>
      <c r="G1960" s="3">
        <f t="shared" si="98"/>
        <v>100.5</v>
      </c>
      <c r="H1960" s="3" t="s">
        <v>266</v>
      </c>
      <c r="I1960" s="1" t="s">
        <v>43</v>
      </c>
      <c r="J1960" s="1" t="s">
        <v>1394</v>
      </c>
      <c r="K1960" s="1" t="s">
        <v>298</v>
      </c>
      <c r="L1960" s="1" t="s">
        <v>267</v>
      </c>
      <c r="M1960" s="1"/>
      <c r="N1960" s="1">
        <f t="shared" si="97"/>
        <v>6</v>
      </c>
      <c r="O1960" s="87"/>
    </row>
    <row r="1961" spans="1:15" ht="15.75" hidden="1" x14ac:dyDescent="0.25">
      <c r="A1961" s="1" t="str">
        <f t="shared" si="96"/>
        <v>447244472611.7MASTER CCTRANSPORTCAREEM</v>
      </c>
      <c r="B1961" s="2">
        <v>44724</v>
      </c>
      <c r="C1961" s="2">
        <v>44726</v>
      </c>
      <c r="D1961" s="3" t="s">
        <v>2452</v>
      </c>
      <c r="E1961" s="3">
        <v>11.7</v>
      </c>
      <c r="F1961" s="3">
        <v>1</v>
      </c>
      <c r="G1961" s="3">
        <f t="shared" si="98"/>
        <v>11.7</v>
      </c>
      <c r="H1961" s="3" t="s">
        <v>291</v>
      </c>
      <c r="I1961" s="1" t="s">
        <v>296</v>
      </c>
      <c r="J1961" s="1" t="s">
        <v>297</v>
      </c>
      <c r="K1961" s="1" t="s">
        <v>298</v>
      </c>
      <c r="L1961" s="1" t="s">
        <v>267</v>
      </c>
      <c r="M1961" s="1"/>
      <c r="N1961" s="1">
        <f t="shared" si="97"/>
        <v>6</v>
      </c>
      <c r="O1961" s="87"/>
    </row>
    <row r="1962" spans="1:15" ht="15.75" hidden="1" x14ac:dyDescent="0.25">
      <c r="A1962" s="1" t="str">
        <f t="shared" si="96"/>
        <v>447244472413.8CURRENTTRANSPORTCAREEM</v>
      </c>
      <c r="B1962" s="2">
        <v>44724</v>
      </c>
      <c r="C1962" s="2">
        <v>44724</v>
      </c>
      <c r="D1962" s="3" t="s">
        <v>2503</v>
      </c>
      <c r="E1962" s="3">
        <v>-13.8</v>
      </c>
      <c r="F1962" s="3">
        <v>1</v>
      </c>
      <c r="G1962" s="3">
        <f t="shared" si="98"/>
        <v>13.8</v>
      </c>
      <c r="H1962" s="3" t="s">
        <v>293</v>
      </c>
      <c r="I1962" s="1" t="s">
        <v>296</v>
      </c>
      <c r="J1962" s="1" t="s">
        <v>297</v>
      </c>
      <c r="K1962" s="1" t="s">
        <v>298</v>
      </c>
      <c r="L1962" s="1" t="s">
        <v>257</v>
      </c>
      <c r="M1962" s="1"/>
      <c r="N1962" s="1">
        <f t="shared" si="97"/>
        <v>6</v>
      </c>
      <c r="O1962" s="87"/>
    </row>
    <row r="1963" spans="1:15" ht="15.75" hidden="1" x14ac:dyDescent="0.25">
      <c r="A1963" s="1" t="str">
        <f t="shared" si="96"/>
        <v>447244472412CURRENTTRANSPORTCAREEM</v>
      </c>
      <c r="B1963" s="2">
        <v>44724</v>
      </c>
      <c r="C1963" s="2">
        <v>44724</v>
      </c>
      <c r="D1963" s="3" t="s">
        <v>2504</v>
      </c>
      <c r="E1963" s="3">
        <v>-12</v>
      </c>
      <c r="F1963" s="3">
        <v>1</v>
      </c>
      <c r="G1963" s="3">
        <f t="shared" si="98"/>
        <v>12</v>
      </c>
      <c r="H1963" s="3" t="s">
        <v>293</v>
      </c>
      <c r="I1963" s="1" t="s">
        <v>296</v>
      </c>
      <c r="J1963" s="1" t="s">
        <v>297</v>
      </c>
      <c r="K1963" s="1" t="s">
        <v>298</v>
      </c>
      <c r="L1963" s="1" t="s">
        <v>257</v>
      </c>
      <c r="M1963" s="1"/>
      <c r="N1963" s="1">
        <f t="shared" si="97"/>
        <v>6</v>
      </c>
      <c r="O1963" s="87"/>
    </row>
    <row r="1964" spans="1:15" ht="15.75" hidden="1" x14ac:dyDescent="0.25">
      <c r="A1964" s="1" t="str">
        <f t="shared" si="96"/>
        <v>44724447241192.75CURRENTTRANSFERINDIA</v>
      </c>
      <c r="B1964" s="2">
        <v>44724</v>
      </c>
      <c r="C1964" s="2">
        <v>44724</v>
      </c>
      <c r="D1964" s="3" t="s">
        <v>694</v>
      </c>
      <c r="E1964" s="3">
        <v>-1192.75</v>
      </c>
      <c r="F1964" s="3">
        <v>1</v>
      </c>
      <c r="G1964" s="3">
        <f t="shared" si="98"/>
        <v>1192.75</v>
      </c>
      <c r="H1964" s="3" t="s">
        <v>293</v>
      </c>
      <c r="I1964" s="1" t="s">
        <v>22</v>
      </c>
      <c r="J1964" s="1" t="s">
        <v>23</v>
      </c>
      <c r="K1964" s="1" t="s">
        <v>298</v>
      </c>
      <c r="L1964" s="1" t="s">
        <v>257</v>
      </c>
      <c r="M1964" s="1"/>
      <c r="N1964" s="1">
        <f t="shared" si="97"/>
        <v>6</v>
      </c>
      <c r="O1964" s="87"/>
    </row>
    <row r="1965" spans="1:15" ht="15.75" hidden="1" x14ac:dyDescent="0.25">
      <c r="A1965" s="1" t="str">
        <f t="shared" si="96"/>
        <v>447254472743MASTER CCFOODQATAR AIR</v>
      </c>
      <c r="B1965" s="2">
        <v>44725</v>
      </c>
      <c r="C1965" s="2">
        <v>44727</v>
      </c>
      <c r="D1965" s="3" t="s">
        <v>2449</v>
      </c>
      <c r="E1965" s="3">
        <v>43</v>
      </c>
      <c r="F1965" s="3">
        <v>1</v>
      </c>
      <c r="G1965" s="3">
        <f t="shared" si="98"/>
        <v>43</v>
      </c>
      <c r="H1965" s="3" t="s">
        <v>291</v>
      </c>
      <c r="I1965" s="1" t="s">
        <v>10</v>
      </c>
      <c r="J1965" s="1" t="s">
        <v>19</v>
      </c>
      <c r="K1965" s="1" t="s">
        <v>298</v>
      </c>
      <c r="L1965" s="1" t="s">
        <v>267</v>
      </c>
      <c r="M1965" s="1"/>
      <c r="N1965" s="1">
        <f t="shared" si="97"/>
        <v>6</v>
      </c>
      <c r="O1965" s="87"/>
    </row>
    <row r="1966" spans="1:15" ht="15.75" hidden="1" x14ac:dyDescent="0.25">
      <c r="A1966" s="1" t="str">
        <f t="shared" si="96"/>
        <v>44725447271.6MASTER CCTRANSPORTCAREEM</v>
      </c>
      <c r="B1966" s="2">
        <v>44725</v>
      </c>
      <c r="C1966" s="2">
        <v>44727</v>
      </c>
      <c r="D1966" s="3" t="s">
        <v>2450</v>
      </c>
      <c r="E1966" s="3">
        <v>1.6</v>
      </c>
      <c r="F1966" s="3">
        <v>1</v>
      </c>
      <c r="G1966" s="3">
        <f t="shared" si="98"/>
        <v>1.6</v>
      </c>
      <c r="H1966" s="3" t="s">
        <v>291</v>
      </c>
      <c r="I1966" s="1" t="s">
        <v>296</v>
      </c>
      <c r="J1966" s="1" t="s">
        <v>297</v>
      </c>
      <c r="K1966" s="1" t="s">
        <v>298</v>
      </c>
      <c r="L1966" s="1" t="s">
        <v>267</v>
      </c>
      <c r="M1966" s="1"/>
      <c r="N1966" s="1">
        <f t="shared" si="97"/>
        <v>6</v>
      </c>
      <c r="O1966" s="87"/>
    </row>
    <row r="1967" spans="1:15" ht="15.75" hidden="1" x14ac:dyDescent="0.25">
      <c r="A1967" s="1" t="str">
        <f t="shared" si="96"/>
        <v>447254472772MASTER CCFOODCAFÉ/REST.</v>
      </c>
      <c r="B1967" s="2">
        <v>44725</v>
      </c>
      <c r="C1967" s="2">
        <v>44727</v>
      </c>
      <c r="D1967" s="3" t="s">
        <v>2451</v>
      </c>
      <c r="E1967" s="3">
        <v>72</v>
      </c>
      <c r="F1967" s="3">
        <v>1</v>
      </c>
      <c r="G1967" s="3">
        <f t="shared" si="98"/>
        <v>72</v>
      </c>
      <c r="H1967" s="3" t="s">
        <v>291</v>
      </c>
      <c r="I1967" s="1" t="s">
        <v>10</v>
      </c>
      <c r="J1967" s="1" t="s">
        <v>11</v>
      </c>
      <c r="K1967" s="1" t="s">
        <v>298</v>
      </c>
      <c r="L1967" s="1" t="s">
        <v>267</v>
      </c>
      <c r="M1967" s="1"/>
      <c r="N1967" s="1">
        <f t="shared" si="97"/>
        <v>6</v>
      </c>
      <c r="O1967" s="87"/>
    </row>
    <row r="1968" spans="1:15" ht="15.75" hidden="1" x14ac:dyDescent="0.25">
      <c r="A1968" s="1" t="str">
        <f t="shared" si="96"/>
        <v>4472644727125.15DINERSGROCERYLULU</v>
      </c>
      <c r="B1968" s="2">
        <v>44726</v>
      </c>
      <c r="C1968" s="2">
        <v>44727</v>
      </c>
      <c r="D1968" s="3" t="s">
        <v>2423</v>
      </c>
      <c r="E1968" s="3">
        <v>125.15</v>
      </c>
      <c r="F1968" s="3">
        <v>1</v>
      </c>
      <c r="G1968" s="3">
        <f t="shared" si="98"/>
        <v>125.15</v>
      </c>
      <c r="H1968" s="3" t="s">
        <v>266</v>
      </c>
      <c r="I1968" s="1" t="s">
        <v>43</v>
      </c>
      <c r="J1968" s="1" t="s">
        <v>44</v>
      </c>
      <c r="K1968" s="1" t="s">
        <v>298</v>
      </c>
      <c r="L1968" s="1" t="s">
        <v>267</v>
      </c>
      <c r="M1968" s="1"/>
      <c r="N1968" s="1">
        <f t="shared" si="97"/>
        <v>6</v>
      </c>
      <c r="O1968" s="87"/>
    </row>
    <row r="1969" spans="1:15" ht="15.75" hidden="1" x14ac:dyDescent="0.25">
      <c r="A1969" s="1" t="str">
        <f t="shared" si="96"/>
        <v>447264472832MASTER CCFOODQATAR AIR</v>
      </c>
      <c r="B1969" s="2">
        <v>44726</v>
      </c>
      <c r="C1969" s="2">
        <v>44728</v>
      </c>
      <c r="D1969" s="3" t="s">
        <v>2448</v>
      </c>
      <c r="E1969" s="3">
        <v>32</v>
      </c>
      <c r="F1969" s="3">
        <v>1</v>
      </c>
      <c r="G1969" s="3">
        <f t="shared" si="98"/>
        <v>32</v>
      </c>
      <c r="H1969" s="3" t="s">
        <v>291</v>
      </c>
      <c r="I1969" s="1" t="s">
        <v>10</v>
      </c>
      <c r="J1969" s="1" t="s">
        <v>19</v>
      </c>
      <c r="K1969" s="1" t="s">
        <v>298</v>
      </c>
      <c r="L1969" s="1" t="s">
        <v>267</v>
      </c>
      <c r="M1969" s="1"/>
      <c r="N1969" s="1">
        <f t="shared" si="97"/>
        <v>6</v>
      </c>
      <c r="O1969" s="87"/>
    </row>
    <row r="1970" spans="1:15" ht="15.75" hidden="1" x14ac:dyDescent="0.25">
      <c r="A1970" s="1" t="str">
        <f t="shared" si="96"/>
        <v>44726447265000CURRENTTRANSFERINDIA</v>
      </c>
      <c r="B1970" s="2">
        <v>44726</v>
      </c>
      <c r="C1970" s="2">
        <v>44726</v>
      </c>
      <c r="D1970" s="3" t="s">
        <v>2500</v>
      </c>
      <c r="E1970" s="3">
        <v>-5000</v>
      </c>
      <c r="F1970" s="3">
        <v>1</v>
      </c>
      <c r="G1970" s="3">
        <f t="shared" si="98"/>
        <v>5000</v>
      </c>
      <c r="H1970" s="3" t="s">
        <v>293</v>
      </c>
      <c r="I1970" s="1" t="s">
        <v>22</v>
      </c>
      <c r="J1970" s="1" t="s">
        <v>23</v>
      </c>
      <c r="K1970" s="1" t="s">
        <v>298</v>
      </c>
      <c r="L1970" s="1" t="s">
        <v>257</v>
      </c>
      <c r="M1970" s="1"/>
      <c r="N1970" s="1">
        <f t="shared" si="97"/>
        <v>6</v>
      </c>
      <c r="O1970" s="87"/>
    </row>
    <row r="1971" spans="1:15" ht="15.75" hidden="1" x14ac:dyDescent="0.25">
      <c r="A1971" s="1" t="str">
        <f t="shared" si="96"/>
        <v>44726447268.1CURRENTTRANSPORTCAREEM</v>
      </c>
      <c r="B1971" s="2">
        <v>44726</v>
      </c>
      <c r="C1971" s="2">
        <v>44726</v>
      </c>
      <c r="D1971" s="3" t="s">
        <v>2501</v>
      </c>
      <c r="E1971" s="3">
        <v>-8.1</v>
      </c>
      <c r="F1971" s="3">
        <v>1</v>
      </c>
      <c r="G1971" s="3">
        <f t="shared" si="98"/>
        <v>8.1</v>
      </c>
      <c r="H1971" s="3" t="s">
        <v>293</v>
      </c>
      <c r="I1971" s="1" t="s">
        <v>296</v>
      </c>
      <c r="J1971" s="1" t="s">
        <v>297</v>
      </c>
      <c r="K1971" s="1" t="s">
        <v>298</v>
      </c>
      <c r="L1971" s="1" t="s">
        <v>257</v>
      </c>
      <c r="M1971" s="1"/>
      <c r="N1971" s="1">
        <f t="shared" si="97"/>
        <v>6</v>
      </c>
      <c r="O1971" s="87"/>
    </row>
    <row r="1972" spans="1:15" ht="15.75" hidden="1" x14ac:dyDescent="0.25">
      <c r="A1972" s="1" t="str">
        <f t="shared" si="96"/>
        <v>44726447261500CURRENTTRANSFERSELF</v>
      </c>
      <c r="B1972" s="2">
        <v>44726</v>
      </c>
      <c r="C1972" s="2">
        <v>44726</v>
      </c>
      <c r="D1972" s="3" t="s">
        <v>2502</v>
      </c>
      <c r="E1972" s="3">
        <v>1500</v>
      </c>
      <c r="F1972" s="3">
        <v>1</v>
      </c>
      <c r="G1972" s="3">
        <f t="shared" si="98"/>
        <v>1500</v>
      </c>
      <c r="H1972" s="3" t="s">
        <v>293</v>
      </c>
      <c r="I1972" s="1" t="s">
        <v>22</v>
      </c>
      <c r="J1972" s="1" t="s">
        <v>14</v>
      </c>
      <c r="K1972" s="1" t="s">
        <v>300</v>
      </c>
      <c r="L1972" s="1" t="s">
        <v>257</v>
      </c>
      <c r="M1972" s="1"/>
      <c r="N1972" s="1">
        <f t="shared" si="97"/>
        <v>6</v>
      </c>
      <c r="O1972" s="87"/>
    </row>
    <row r="1973" spans="1:15" ht="15.75" hidden="1" x14ac:dyDescent="0.25">
      <c r="A1973" s="1" t="str">
        <f t="shared" si="96"/>
        <v>4472744727150FIFA CCSERVICEBANK</v>
      </c>
      <c r="B1973" s="2">
        <v>44727</v>
      </c>
      <c r="C1973" s="2">
        <v>44727</v>
      </c>
      <c r="D1973" s="3" t="s">
        <v>2439</v>
      </c>
      <c r="E1973" s="3">
        <v>150</v>
      </c>
      <c r="F1973" s="3">
        <v>1</v>
      </c>
      <c r="G1973" s="3">
        <f t="shared" si="98"/>
        <v>150</v>
      </c>
      <c r="H1973" s="3" t="s">
        <v>3294</v>
      </c>
      <c r="I1973" s="1" t="s">
        <v>7</v>
      </c>
      <c r="J1973" s="1" t="s">
        <v>8</v>
      </c>
      <c r="K1973" s="1" t="s">
        <v>298</v>
      </c>
      <c r="L1973" s="1" t="s">
        <v>267</v>
      </c>
      <c r="M1973" s="1"/>
      <c r="N1973" s="1">
        <f t="shared" si="97"/>
        <v>6</v>
      </c>
      <c r="O1973" s="87"/>
    </row>
    <row r="1974" spans="1:15" ht="15.75" hidden="1" x14ac:dyDescent="0.25">
      <c r="A1974" s="1" t="str">
        <f t="shared" si="96"/>
        <v>44727447299MASTER CCFOODQATAR AIR</v>
      </c>
      <c r="B1974" s="2">
        <v>44727</v>
      </c>
      <c r="C1974" s="2">
        <v>44729</v>
      </c>
      <c r="D1974" s="3" t="s">
        <v>2444</v>
      </c>
      <c r="E1974" s="3">
        <v>9</v>
      </c>
      <c r="F1974" s="3">
        <v>1</v>
      </c>
      <c r="G1974" s="3">
        <f t="shared" si="98"/>
        <v>9</v>
      </c>
      <c r="H1974" s="3" t="s">
        <v>291</v>
      </c>
      <c r="I1974" s="1" t="s">
        <v>10</v>
      </c>
      <c r="J1974" s="1" t="s">
        <v>19</v>
      </c>
      <c r="K1974" s="1" t="s">
        <v>298</v>
      </c>
      <c r="L1974" s="1" t="s">
        <v>267</v>
      </c>
      <c r="M1974" s="1"/>
      <c r="N1974" s="1">
        <f t="shared" si="97"/>
        <v>6</v>
      </c>
      <c r="O1974" s="87"/>
    </row>
    <row r="1975" spans="1:15" ht="15.75" hidden="1" x14ac:dyDescent="0.25">
      <c r="A1975" s="1" t="str">
        <f t="shared" si="96"/>
        <v>447274472911.5MASTER CCTRANSPORTCAREEM</v>
      </c>
      <c r="B1975" s="2">
        <v>44727</v>
      </c>
      <c r="C1975" s="2">
        <v>44729</v>
      </c>
      <c r="D1975" s="3" t="s">
        <v>2445</v>
      </c>
      <c r="E1975" s="3">
        <v>11.5</v>
      </c>
      <c r="F1975" s="3">
        <v>1</v>
      </c>
      <c r="G1975" s="3">
        <f t="shared" si="98"/>
        <v>11.5</v>
      </c>
      <c r="H1975" s="3" t="s">
        <v>291</v>
      </c>
      <c r="I1975" s="1" t="s">
        <v>296</v>
      </c>
      <c r="J1975" s="1" t="s">
        <v>297</v>
      </c>
      <c r="K1975" s="1" t="s">
        <v>298</v>
      </c>
      <c r="L1975" s="1" t="s">
        <v>267</v>
      </c>
      <c r="M1975" s="1"/>
      <c r="N1975" s="1">
        <f t="shared" si="97"/>
        <v>6</v>
      </c>
      <c r="O1975" s="87"/>
    </row>
    <row r="1976" spans="1:15" ht="15.75" hidden="1" x14ac:dyDescent="0.25">
      <c r="A1976" s="1" t="str">
        <f t="shared" si="96"/>
        <v>447274472941.5MASTER CCTRANSPORTCAREEM</v>
      </c>
      <c r="B1976" s="2">
        <v>44727</v>
      </c>
      <c r="C1976" s="2">
        <v>44729</v>
      </c>
      <c r="D1976" s="3" t="s">
        <v>2446</v>
      </c>
      <c r="E1976" s="3">
        <v>41.5</v>
      </c>
      <c r="F1976" s="3">
        <v>1</v>
      </c>
      <c r="G1976" s="3">
        <f t="shared" si="98"/>
        <v>41.5</v>
      </c>
      <c r="H1976" s="3" t="s">
        <v>291</v>
      </c>
      <c r="I1976" s="1" t="s">
        <v>296</v>
      </c>
      <c r="J1976" s="1" t="s">
        <v>297</v>
      </c>
      <c r="K1976" s="1" t="s">
        <v>298</v>
      </c>
      <c r="L1976" s="1" t="s">
        <v>267</v>
      </c>
      <c r="M1976" s="1"/>
      <c r="N1976" s="1">
        <f t="shared" si="97"/>
        <v>6</v>
      </c>
      <c r="O1976" s="87"/>
    </row>
    <row r="1977" spans="1:15" ht="15.75" hidden="1" x14ac:dyDescent="0.25">
      <c r="A1977" s="1" t="str">
        <f t="shared" si="96"/>
        <v>447274472930MASTER CCTRANSPORTCAREEM</v>
      </c>
      <c r="B1977" s="2">
        <v>44727</v>
      </c>
      <c r="C1977" s="2">
        <v>44729</v>
      </c>
      <c r="D1977" s="3" t="s">
        <v>2447</v>
      </c>
      <c r="E1977" s="3">
        <v>30</v>
      </c>
      <c r="F1977" s="3">
        <v>1</v>
      </c>
      <c r="G1977" s="3">
        <f t="shared" si="98"/>
        <v>30</v>
      </c>
      <c r="H1977" s="3" t="s">
        <v>291</v>
      </c>
      <c r="I1977" s="1" t="s">
        <v>296</v>
      </c>
      <c r="J1977" s="1" t="s">
        <v>297</v>
      </c>
      <c r="K1977" s="1" t="s">
        <v>298</v>
      </c>
      <c r="L1977" s="1" t="s">
        <v>267</v>
      </c>
      <c r="M1977" s="1"/>
      <c r="N1977" s="1">
        <f t="shared" si="97"/>
        <v>6</v>
      </c>
      <c r="O1977" s="87"/>
    </row>
    <row r="1978" spans="1:15" ht="15.75" hidden="1" x14ac:dyDescent="0.25">
      <c r="A1978" s="1" t="str">
        <f t="shared" si="96"/>
        <v>44727447274000CURRENTRENTEZDAN</v>
      </c>
      <c r="B1978" s="2">
        <v>44727</v>
      </c>
      <c r="C1978" s="2">
        <v>44727</v>
      </c>
      <c r="D1978" s="3" t="s">
        <v>2497</v>
      </c>
      <c r="E1978" s="3">
        <v>-4000</v>
      </c>
      <c r="F1978" s="3">
        <v>1</v>
      </c>
      <c r="G1978" s="3">
        <f t="shared" si="98"/>
        <v>4000</v>
      </c>
      <c r="H1978" s="3" t="s">
        <v>293</v>
      </c>
      <c r="I1978" s="1" t="s">
        <v>83</v>
      </c>
      <c r="J1978" s="1" t="s">
        <v>1339</v>
      </c>
      <c r="K1978" s="1" t="s">
        <v>298</v>
      </c>
      <c r="L1978" s="1" t="s">
        <v>257</v>
      </c>
      <c r="M1978" s="1"/>
      <c r="N1978" s="1">
        <f t="shared" si="97"/>
        <v>6</v>
      </c>
      <c r="O1978" s="87"/>
    </row>
    <row r="1979" spans="1:15" ht="15.75" hidden="1" x14ac:dyDescent="0.25">
      <c r="A1979" s="1" t="str">
        <f t="shared" si="96"/>
        <v>44727447279.2CURRENTTRANSPORTCAREEM</v>
      </c>
      <c r="B1979" s="2">
        <v>44727</v>
      </c>
      <c r="C1979" s="2">
        <v>44727</v>
      </c>
      <c r="D1979" s="3" t="s">
        <v>2498</v>
      </c>
      <c r="E1979" s="3">
        <v>-9.1999999999999993</v>
      </c>
      <c r="F1979" s="3">
        <v>1</v>
      </c>
      <c r="G1979" s="3">
        <f t="shared" si="98"/>
        <v>9.1999999999999993</v>
      </c>
      <c r="H1979" s="3" t="s">
        <v>293</v>
      </c>
      <c r="I1979" s="1" t="s">
        <v>296</v>
      </c>
      <c r="J1979" s="1" t="s">
        <v>297</v>
      </c>
      <c r="K1979" s="1" t="s">
        <v>298</v>
      </c>
      <c r="L1979" s="1" t="s">
        <v>257</v>
      </c>
      <c r="M1979" s="1"/>
      <c r="N1979" s="1">
        <f t="shared" si="97"/>
        <v>6</v>
      </c>
      <c r="O1979" s="87"/>
    </row>
    <row r="1980" spans="1:15" ht="15.75" hidden="1" x14ac:dyDescent="0.25">
      <c r="A1980" s="1" t="str">
        <f t="shared" si="96"/>
        <v>44727447272CURRENTTRANSPORTCAREEM</v>
      </c>
      <c r="B1980" s="2">
        <v>44727</v>
      </c>
      <c r="C1980" s="2">
        <v>44727</v>
      </c>
      <c r="D1980" s="3" t="s">
        <v>2499</v>
      </c>
      <c r="E1980" s="3">
        <v>-2</v>
      </c>
      <c r="F1980" s="3">
        <v>1</v>
      </c>
      <c r="G1980" s="3">
        <f t="shared" si="98"/>
        <v>2</v>
      </c>
      <c r="H1980" s="3" t="s">
        <v>293</v>
      </c>
      <c r="I1980" s="1" t="s">
        <v>296</v>
      </c>
      <c r="J1980" s="1" t="s">
        <v>297</v>
      </c>
      <c r="K1980" s="1" t="s">
        <v>298</v>
      </c>
      <c r="L1980" s="1" t="s">
        <v>257</v>
      </c>
      <c r="M1980" s="1"/>
      <c r="N1980" s="1">
        <f t="shared" si="97"/>
        <v>6</v>
      </c>
      <c r="O1980" s="87"/>
    </row>
    <row r="1981" spans="1:15" ht="15.75" hidden="1" x14ac:dyDescent="0.25">
      <c r="A1981" s="1" t="str">
        <f t="shared" si="96"/>
        <v>44727447271500SAVINGTRANSFERSELF</v>
      </c>
      <c r="B1981" s="2">
        <v>44727</v>
      </c>
      <c r="C1981" s="2">
        <v>44727</v>
      </c>
      <c r="D1981" s="3" t="s">
        <v>2520</v>
      </c>
      <c r="E1981" s="3">
        <v>-1500</v>
      </c>
      <c r="F1981" s="3">
        <v>1</v>
      </c>
      <c r="G1981" s="3">
        <f t="shared" si="98"/>
        <v>1500</v>
      </c>
      <c r="H1981" s="3" t="s">
        <v>302</v>
      </c>
      <c r="I1981" s="1" t="s">
        <v>22</v>
      </c>
      <c r="J1981" s="1" t="s">
        <v>14</v>
      </c>
      <c r="K1981" s="1" t="s">
        <v>22</v>
      </c>
      <c r="L1981" s="1" t="s">
        <v>257</v>
      </c>
      <c r="M1981" s="1"/>
      <c r="N1981" s="1">
        <f t="shared" si="97"/>
        <v>6</v>
      </c>
      <c r="O1981" s="87"/>
    </row>
    <row r="1982" spans="1:15" ht="15.75" hidden="1" x14ac:dyDescent="0.25">
      <c r="A1982" s="1" t="str">
        <f t="shared" si="96"/>
        <v>447284473135.38DINERSTRANSPORTUBER</v>
      </c>
      <c r="B1982" s="2">
        <v>44728</v>
      </c>
      <c r="C1982" s="2">
        <v>44731</v>
      </c>
      <c r="D1982" s="3" t="s">
        <v>2413</v>
      </c>
      <c r="E1982" s="3">
        <v>35.380000000000003</v>
      </c>
      <c r="F1982" s="3">
        <v>1</v>
      </c>
      <c r="G1982" s="3">
        <f t="shared" si="98"/>
        <v>35.380000000000003</v>
      </c>
      <c r="H1982" s="3" t="s">
        <v>266</v>
      </c>
      <c r="I1982" s="1" t="s">
        <v>296</v>
      </c>
      <c r="J1982" s="1" t="s">
        <v>299</v>
      </c>
      <c r="K1982" s="1" t="s">
        <v>298</v>
      </c>
      <c r="L1982" s="1" t="s">
        <v>267</v>
      </c>
      <c r="M1982" s="1"/>
      <c r="N1982" s="1">
        <f t="shared" si="97"/>
        <v>6</v>
      </c>
      <c r="O1982" s="87"/>
    </row>
    <row r="1983" spans="1:15" ht="15.75" hidden="1" x14ac:dyDescent="0.25">
      <c r="A1983" s="1" t="str">
        <f t="shared" si="96"/>
        <v>447284472928DINERSGROCERYTOTAL FRESH</v>
      </c>
      <c r="B1983" s="2">
        <v>44728</v>
      </c>
      <c r="C1983" s="2">
        <v>44729</v>
      </c>
      <c r="D1983" s="3" t="s">
        <v>2414</v>
      </c>
      <c r="E1983" s="3">
        <v>28</v>
      </c>
      <c r="F1983" s="3">
        <v>1</v>
      </c>
      <c r="G1983" s="3">
        <f t="shared" si="98"/>
        <v>28</v>
      </c>
      <c r="H1983" s="3" t="s">
        <v>266</v>
      </c>
      <c r="I1983" s="1" t="s">
        <v>43</v>
      </c>
      <c r="J1983" s="1" t="s">
        <v>1394</v>
      </c>
      <c r="K1983" s="1" t="s">
        <v>298</v>
      </c>
      <c r="L1983" s="1" t="s">
        <v>267</v>
      </c>
      <c r="M1983" s="1"/>
      <c r="N1983" s="1">
        <f t="shared" si="97"/>
        <v>6</v>
      </c>
      <c r="O1983" s="87"/>
    </row>
    <row r="1984" spans="1:15" ht="15.75" hidden="1" x14ac:dyDescent="0.25">
      <c r="A1984" s="1" t="str">
        <f t="shared" si="96"/>
        <v>4472844729107.1DINERSFOODCAFÉ/REST.</v>
      </c>
      <c r="B1984" s="2">
        <v>44728</v>
      </c>
      <c r="C1984" s="2">
        <v>44729</v>
      </c>
      <c r="D1984" s="3" t="s">
        <v>2415</v>
      </c>
      <c r="E1984" s="3">
        <v>107.1</v>
      </c>
      <c r="F1984" s="3">
        <v>1</v>
      </c>
      <c r="G1984" s="3">
        <f t="shared" si="98"/>
        <v>107.1</v>
      </c>
      <c r="H1984" s="3" t="s">
        <v>266</v>
      </c>
      <c r="I1984" s="1" t="s">
        <v>10</v>
      </c>
      <c r="J1984" s="1" t="s">
        <v>11</v>
      </c>
      <c r="K1984" s="1" t="s">
        <v>298</v>
      </c>
      <c r="L1984" s="1" t="s">
        <v>267</v>
      </c>
      <c r="M1984" s="1"/>
      <c r="N1984" s="1">
        <f t="shared" si="97"/>
        <v>6</v>
      </c>
      <c r="O1984" s="87"/>
    </row>
    <row r="1985" spans="1:15" ht="15.75" hidden="1" x14ac:dyDescent="0.25">
      <c r="A1985" s="1" t="str">
        <f t="shared" si="96"/>
        <v>4472844733180MASTER CCENTERTAINMENTANGRY BIRD</v>
      </c>
      <c r="B1985" s="2">
        <v>44728</v>
      </c>
      <c r="C1985" s="2">
        <v>44733</v>
      </c>
      <c r="D1985" s="3" t="s">
        <v>2443</v>
      </c>
      <c r="E1985" s="3">
        <v>180</v>
      </c>
      <c r="F1985" s="3">
        <v>1</v>
      </c>
      <c r="G1985" s="3">
        <f t="shared" si="98"/>
        <v>180</v>
      </c>
      <c r="H1985" s="3" t="s">
        <v>291</v>
      </c>
      <c r="I1985" s="1" t="s">
        <v>2476</v>
      </c>
      <c r="J1985" s="1" t="s">
        <v>2478</v>
      </c>
      <c r="K1985" s="1" t="s">
        <v>298</v>
      </c>
      <c r="L1985" s="1" t="s">
        <v>267</v>
      </c>
      <c r="M1985" s="1"/>
      <c r="N1985" s="1">
        <f t="shared" si="97"/>
        <v>6</v>
      </c>
      <c r="O1985" s="87"/>
    </row>
    <row r="1986" spans="1:15" ht="15.75" hidden="1" x14ac:dyDescent="0.25">
      <c r="A1986" s="1" t="str">
        <f t="shared" ref="A1986:A2049" si="99">B1986&amp;C1986&amp;G1986&amp;H1986&amp;I1986&amp;J1986</f>
        <v>447284472812.3CURRENTTRANSPORTCAREEM</v>
      </c>
      <c r="B1986" s="2">
        <v>44728</v>
      </c>
      <c r="C1986" s="2">
        <v>44728</v>
      </c>
      <c r="D1986" s="3" t="s">
        <v>2492</v>
      </c>
      <c r="E1986" s="3">
        <v>-12.3</v>
      </c>
      <c r="F1986" s="3">
        <v>1</v>
      </c>
      <c r="G1986" s="3">
        <f t="shared" si="98"/>
        <v>12.3</v>
      </c>
      <c r="H1986" s="3" t="s">
        <v>293</v>
      </c>
      <c r="I1986" s="1" t="s">
        <v>296</v>
      </c>
      <c r="J1986" s="1" t="s">
        <v>297</v>
      </c>
      <c r="K1986" s="1" t="s">
        <v>298</v>
      </c>
      <c r="L1986" s="1" t="s">
        <v>257</v>
      </c>
      <c r="M1986" s="1"/>
      <c r="N1986" s="1">
        <f t="shared" ref="N1986:N2049" si="100">MONTH(C1986)</f>
        <v>6</v>
      </c>
      <c r="O1986" s="87"/>
    </row>
    <row r="1987" spans="1:15" ht="15.75" hidden="1" x14ac:dyDescent="0.25">
      <c r="A1987" s="1" t="str">
        <f t="shared" si="99"/>
        <v>44728447287.5CURRENTTRANSPORTCAREEM</v>
      </c>
      <c r="B1987" s="2">
        <v>44728</v>
      </c>
      <c r="C1987" s="2">
        <v>44728</v>
      </c>
      <c r="D1987" s="3" t="s">
        <v>2493</v>
      </c>
      <c r="E1987" s="3">
        <v>-7.5</v>
      </c>
      <c r="F1987" s="3">
        <v>1</v>
      </c>
      <c r="G1987" s="3">
        <f t="shared" si="98"/>
        <v>7.5</v>
      </c>
      <c r="H1987" s="3" t="s">
        <v>293</v>
      </c>
      <c r="I1987" s="1" t="s">
        <v>296</v>
      </c>
      <c r="J1987" s="1" t="s">
        <v>297</v>
      </c>
      <c r="K1987" s="1" t="s">
        <v>298</v>
      </c>
      <c r="L1987" s="1" t="s">
        <v>257</v>
      </c>
      <c r="M1987" s="1"/>
      <c r="N1987" s="1">
        <f t="shared" si="100"/>
        <v>6</v>
      </c>
      <c r="O1987" s="87"/>
    </row>
    <row r="1988" spans="1:15" ht="15.75" hidden="1" x14ac:dyDescent="0.25">
      <c r="A1988" s="1" t="str">
        <f t="shared" si="99"/>
        <v>44728447282.2CURRENTTRANSPORTCAREEM</v>
      </c>
      <c r="B1988" s="2">
        <v>44728</v>
      </c>
      <c r="C1988" s="2">
        <v>44728</v>
      </c>
      <c r="D1988" s="3" t="s">
        <v>2494</v>
      </c>
      <c r="E1988" s="3">
        <v>-2.2000000000000002</v>
      </c>
      <c r="F1988" s="3">
        <v>1</v>
      </c>
      <c r="G1988" s="3">
        <f t="shared" si="98"/>
        <v>2.2000000000000002</v>
      </c>
      <c r="H1988" s="3" t="s">
        <v>293</v>
      </c>
      <c r="I1988" s="1" t="s">
        <v>296</v>
      </c>
      <c r="J1988" s="1" t="s">
        <v>297</v>
      </c>
      <c r="K1988" s="1" t="s">
        <v>298</v>
      </c>
      <c r="L1988" s="1" t="s">
        <v>257</v>
      </c>
      <c r="M1988" s="1"/>
      <c r="N1988" s="1">
        <f t="shared" si="100"/>
        <v>6</v>
      </c>
      <c r="O1988" s="87"/>
    </row>
    <row r="1989" spans="1:15" ht="15.75" hidden="1" x14ac:dyDescent="0.25">
      <c r="A1989" s="1" t="str">
        <f t="shared" si="99"/>
        <v>44728447287.5CURRENTTRANSPORTCAREEM</v>
      </c>
      <c r="B1989" s="2">
        <v>44728</v>
      </c>
      <c r="C1989" s="2">
        <v>44728</v>
      </c>
      <c r="D1989" s="3" t="s">
        <v>2495</v>
      </c>
      <c r="E1989" s="3">
        <v>-7.5</v>
      </c>
      <c r="F1989" s="3">
        <v>1</v>
      </c>
      <c r="G1989" s="3">
        <f t="shared" si="98"/>
        <v>7.5</v>
      </c>
      <c r="H1989" s="3" t="s">
        <v>293</v>
      </c>
      <c r="I1989" s="1" t="s">
        <v>296</v>
      </c>
      <c r="J1989" s="1" t="s">
        <v>297</v>
      </c>
      <c r="K1989" s="1" t="s">
        <v>298</v>
      </c>
      <c r="L1989" s="1" t="s">
        <v>257</v>
      </c>
      <c r="M1989" s="1"/>
      <c r="N1989" s="1">
        <f t="shared" si="100"/>
        <v>6</v>
      </c>
      <c r="O1989" s="87"/>
    </row>
    <row r="1990" spans="1:15" ht="15.75" hidden="1" x14ac:dyDescent="0.25">
      <c r="A1990" s="1" t="str">
        <f t="shared" si="99"/>
        <v>44728447286.4CURRENTTRANSPORTCAREEM</v>
      </c>
      <c r="B1990" s="2">
        <v>44728</v>
      </c>
      <c r="C1990" s="2">
        <v>44728</v>
      </c>
      <c r="D1990" s="3" t="s">
        <v>2496</v>
      </c>
      <c r="E1990" s="3">
        <v>-6.4</v>
      </c>
      <c r="F1990" s="3">
        <v>1</v>
      </c>
      <c r="G1990" s="3">
        <f t="shared" si="98"/>
        <v>6.4</v>
      </c>
      <c r="H1990" s="3" t="s">
        <v>293</v>
      </c>
      <c r="I1990" s="1" t="s">
        <v>296</v>
      </c>
      <c r="J1990" s="1" t="s">
        <v>297</v>
      </c>
      <c r="K1990" s="1" t="s">
        <v>298</v>
      </c>
      <c r="L1990" s="1" t="s">
        <v>257</v>
      </c>
      <c r="M1990" s="1"/>
      <c r="N1990" s="1">
        <f t="shared" si="100"/>
        <v>6</v>
      </c>
      <c r="O1990" s="87"/>
    </row>
    <row r="1991" spans="1:15" ht="15.75" hidden="1" x14ac:dyDescent="0.25">
      <c r="A1991" s="1" t="str">
        <f t="shared" si="99"/>
        <v>447294473280.5FIFA CCGROCERYCARREFOUR</v>
      </c>
      <c r="B1991" s="2">
        <v>44729</v>
      </c>
      <c r="C1991" s="2">
        <v>44732</v>
      </c>
      <c r="D1991" s="3" t="s">
        <v>2436</v>
      </c>
      <c r="E1991" s="3">
        <v>80.5</v>
      </c>
      <c r="F1991" s="3">
        <v>1</v>
      </c>
      <c r="G1991" s="3">
        <f t="shared" si="98"/>
        <v>80.5</v>
      </c>
      <c r="H1991" s="3" t="s">
        <v>3294</v>
      </c>
      <c r="I1991" s="1" t="s">
        <v>43</v>
      </c>
      <c r="J1991" s="1" t="s">
        <v>67</v>
      </c>
      <c r="K1991" s="1" t="s">
        <v>298</v>
      </c>
      <c r="L1991" s="1" t="s">
        <v>267</v>
      </c>
      <c r="M1991" s="1"/>
      <c r="N1991" s="1">
        <f t="shared" si="100"/>
        <v>6</v>
      </c>
      <c r="O1991" s="87"/>
    </row>
    <row r="1992" spans="1:15" ht="15.75" hidden="1" x14ac:dyDescent="0.25">
      <c r="A1992" s="1" t="str">
        <f t="shared" si="99"/>
        <v>447294473253FIFA CCMEDICALPHARMACY</v>
      </c>
      <c r="B1992" s="2">
        <v>44729</v>
      </c>
      <c r="C1992" s="2">
        <v>44732</v>
      </c>
      <c r="D1992" s="3" t="s">
        <v>2437</v>
      </c>
      <c r="E1992" s="3">
        <v>53</v>
      </c>
      <c r="F1992" s="3">
        <v>1</v>
      </c>
      <c r="G1992" s="3">
        <f t="shared" si="98"/>
        <v>53</v>
      </c>
      <c r="H1992" s="3" t="s">
        <v>3294</v>
      </c>
      <c r="I1992" s="1" t="s">
        <v>301</v>
      </c>
      <c r="J1992" s="1" t="s">
        <v>304</v>
      </c>
      <c r="K1992" s="1" t="s">
        <v>298</v>
      </c>
      <c r="L1992" s="1" t="s">
        <v>267</v>
      </c>
      <c r="M1992" s="1"/>
      <c r="N1992" s="1">
        <f t="shared" si="100"/>
        <v>6</v>
      </c>
      <c r="O1992" s="87"/>
    </row>
    <row r="1993" spans="1:15" ht="15.75" hidden="1" x14ac:dyDescent="0.25">
      <c r="A1993" s="1" t="str">
        <f t="shared" si="99"/>
        <v>447294473070FIFA CCSHOPPINGMAX</v>
      </c>
      <c r="B1993" s="2">
        <v>44729</v>
      </c>
      <c r="C1993" s="2">
        <v>44730</v>
      </c>
      <c r="D1993" s="3" t="s">
        <v>2438</v>
      </c>
      <c r="E1993" s="3">
        <v>70</v>
      </c>
      <c r="F1993" s="3">
        <v>1</v>
      </c>
      <c r="G1993" s="3">
        <f t="shared" si="98"/>
        <v>70</v>
      </c>
      <c r="H1993" s="3" t="s">
        <v>3294</v>
      </c>
      <c r="I1993" s="1" t="s">
        <v>194</v>
      </c>
      <c r="J1993" s="1" t="s">
        <v>776</v>
      </c>
      <c r="K1993" s="1" t="s">
        <v>298</v>
      </c>
      <c r="L1993" s="1" t="s">
        <v>267</v>
      </c>
      <c r="M1993" s="1"/>
      <c r="N1993" s="1">
        <f t="shared" si="100"/>
        <v>6</v>
      </c>
      <c r="O1993" s="87"/>
    </row>
    <row r="1994" spans="1:15" ht="15.75" hidden="1" x14ac:dyDescent="0.25">
      <c r="A1994" s="1" t="str">
        <f t="shared" si="99"/>
        <v>447304473356.83MASTER CCTELECOMOOREDOO</v>
      </c>
      <c r="B1994" s="2">
        <v>44730</v>
      </c>
      <c r="C1994" s="2">
        <v>44733</v>
      </c>
      <c r="D1994" s="3" t="s">
        <v>2441</v>
      </c>
      <c r="E1994" s="3">
        <v>56.83</v>
      </c>
      <c r="F1994" s="3">
        <v>1</v>
      </c>
      <c r="G1994" s="3">
        <f t="shared" si="98"/>
        <v>56.83</v>
      </c>
      <c r="H1994" s="3" t="s">
        <v>291</v>
      </c>
      <c r="I1994" s="1" t="s">
        <v>58</v>
      </c>
      <c r="J1994" s="1" t="s">
        <v>59</v>
      </c>
      <c r="K1994" s="1" t="s">
        <v>298</v>
      </c>
      <c r="L1994" s="1" t="s">
        <v>267</v>
      </c>
      <c r="M1994" s="1"/>
      <c r="N1994" s="1">
        <f t="shared" si="100"/>
        <v>6</v>
      </c>
      <c r="O1994" s="87"/>
    </row>
    <row r="1995" spans="1:15" ht="15.75" hidden="1" x14ac:dyDescent="0.25">
      <c r="A1995" s="1" t="str">
        <f t="shared" si="99"/>
        <v>447304473356MASTER CCTRANSPORTCAREEM</v>
      </c>
      <c r="B1995" s="2">
        <v>44730</v>
      </c>
      <c r="C1995" s="2">
        <v>44733</v>
      </c>
      <c r="D1995" s="3" t="s">
        <v>2442</v>
      </c>
      <c r="E1995" s="3">
        <v>56</v>
      </c>
      <c r="F1995" s="3">
        <v>1</v>
      </c>
      <c r="G1995" s="3">
        <f t="shared" ref="G1995:G2058" si="101">ABS(E1995)*F1995</f>
        <v>56</v>
      </c>
      <c r="H1995" s="3" t="s">
        <v>291</v>
      </c>
      <c r="I1995" s="1" t="s">
        <v>296</v>
      </c>
      <c r="J1995" s="1" t="s">
        <v>297</v>
      </c>
      <c r="K1995" s="1" t="s">
        <v>298</v>
      </c>
      <c r="L1995" s="1" t="s">
        <v>267</v>
      </c>
      <c r="M1995" s="1"/>
      <c r="N1995" s="1">
        <f t="shared" si="100"/>
        <v>6</v>
      </c>
      <c r="O1995" s="87"/>
    </row>
    <row r="1996" spans="1:15" ht="15.75" hidden="1" x14ac:dyDescent="0.25">
      <c r="A1996" s="1" t="str">
        <f t="shared" si="99"/>
        <v>447314473421FIFA CCTRANSPORTCAREEM</v>
      </c>
      <c r="B1996" s="2">
        <v>44731</v>
      </c>
      <c r="C1996" s="2">
        <v>44734</v>
      </c>
      <c r="D1996" s="3" t="s">
        <v>2432</v>
      </c>
      <c r="E1996" s="3">
        <v>21</v>
      </c>
      <c r="F1996" s="3">
        <v>1</v>
      </c>
      <c r="G1996" s="3">
        <f t="shared" si="101"/>
        <v>21</v>
      </c>
      <c r="H1996" s="3" t="s">
        <v>3294</v>
      </c>
      <c r="I1996" s="1" t="s">
        <v>296</v>
      </c>
      <c r="J1996" s="1" t="s">
        <v>297</v>
      </c>
      <c r="K1996" s="1" t="s">
        <v>298</v>
      </c>
      <c r="L1996" s="1" t="s">
        <v>267</v>
      </c>
      <c r="M1996" s="1"/>
      <c r="N1996" s="1">
        <f t="shared" si="100"/>
        <v>6</v>
      </c>
      <c r="O1996" s="87"/>
    </row>
    <row r="1997" spans="1:15" ht="15.75" hidden="1" x14ac:dyDescent="0.25">
      <c r="A1997" s="1" t="str">
        <f t="shared" si="99"/>
        <v>447314473455FIFA CCTRANSPORTCAREEM</v>
      </c>
      <c r="B1997" s="2">
        <v>44731</v>
      </c>
      <c r="C1997" s="2">
        <v>44734</v>
      </c>
      <c r="D1997" s="3" t="s">
        <v>2433</v>
      </c>
      <c r="E1997" s="3">
        <v>55</v>
      </c>
      <c r="F1997" s="3">
        <v>1</v>
      </c>
      <c r="G1997" s="3">
        <f t="shared" si="101"/>
        <v>55</v>
      </c>
      <c r="H1997" s="3" t="s">
        <v>3294</v>
      </c>
      <c r="I1997" s="1" t="s">
        <v>296</v>
      </c>
      <c r="J1997" s="1" t="s">
        <v>297</v>
      </c>
      <c r="K1997" s="1" t="s">
        <v>298</v>
      </c>
      <c r="L1997" s="1" t="s">
        <v>267</v>
      </c>
      <c r="M1997" s="1"/>
      <c r="N1997" s="1">
        <f t="shared" si="100"/>
        <v>6</v>
      </c>
      <c r="O1997" s="87"/>
    </row>
    <row r="1998" spans="1:15" ht="15.75" hidden="1" x14ac:dyDescent="0.25">
      <c r="A1998" s="1" t="str">
        <f t="shared" si="99"/>
        <v>447314473341FIFA CCFOODQATAR AIR</v>
      </c>
      <c r="B1998" s="2">
        <v>44731</v>
      </c>
      <c r="C1998" s="2">
        <v>44733</v>
      </c>
      <c r="D1998" s="3" t="s">
        <v>2434</v>
      </c>
      <c r="E1998" s="3">
        <v>41</v>
      </c>
      <c r="F1998" s="3">
        <v>1</v>
      </c>
      <c r="G1998" s="3">
        <f t="shared" si="101"/>
        <v>41</v>
      </c>
      <c r="H1998" s="3" t="s">
        <v>3294</v>
      </c>
      <c r="I1998" s="1" t="s">
        <v>10</v>
      </c>
      <c r="J1998" s="1" t="s">
        <v>19</v>
      </c>
      <c r="K1998" s="1" t="s">
        <v>298</v>
      </c>
      <c r="L1998" s="1" t="s">
        <v>267</v>
      </c>
      <c r="M1998" s="1"/>
      <c r="N1998" s="1">
        <f t="shared" si="100"/>
        <v>6</v>
      </c>
      <c r="O1998" s="87"/>
    </row>
    <row r="1999" spans="1:15" ht="15.75" hidden="1" x14ac:dyDescent="0.25">
      <c r="A1999" s="1" t="str">
        <f t="shared" si="99"/>
        <v>447314473274.3FIFA CCGROCERYTOTAL FRESH</v>
      </c>
      <c r="B1999" s="2">
        <v>44731</v>
      </c>
      <c r="C1999" s="2">
        <v>44732</v>
      </c>
      <c r="D1999" s="3" t="s">
        <v>2435</v>
      </c>
      <c r="E1999" s="3">
        <v>74.3</v>
      </c>
      <c r="F1999" s="3">
        <v>1</v>
      </c>
      <c r="G1999" s="3">
        <f t="shared" si="101"/>
        <v>74.3</v>
      </c>
      <c r="H1999" s="3" t="s">
        <v>3294</v>
      </c>
      <c r="I1999" s="1" t="s">
        <v>43</v>
      </c>
      <c r="J1999" s="1" t="s">
        <v>1394</v>
      </c>
      <c r="K1999" s="1" t="s">
        <v>298</v>
      </c>
      <c r="L1999" s="1" t="s">
        <v>267</v>
      </c>
      <c r="M1999" s="1"/>
      <c r="N1999" s="1">
        <f t="shared" si="100"/>
        <v>6</v>
      </c>
      <c r="O1999" s="87"/>
    </row>
    <row r="2000" spans="1:15" ht="15.75" hidden="1" x14ac:dyDescent="0.25">
      <c r="A2000" s="1" t="str">
        <f t="shared" si="99"/>
        <v>447314473311.5MASTER CCTRANSPORTCAREEM</v>
      </c>
      <c r="B2000" s="2">
        <v>44731</v>
      </c>
      <c r="C2000" s="2">
        <v>44733</v>
      </c>
      <c r="D2000" s="3" t="s">
        <v>2440</v>
      </c>
      <c r="E2000" s="3">
        <v>11.5</v>
      </c>
      <c r="F2000" s="3">
        <v>1</v>
      </c>
      <c r="G2000" s="3">
        <f t="shared" si="101"/>
        <v>11.5</v>
      </c>
      <c r="H2000" s="3" t="s">
        <v>291</v>
      </c>
      <c r="I2000" s="1" t="s">
        <v>296</v>
      </c>
      <c r="J2000" s="1" t="s">
        <v>297</v>
      </c>
      <c r="K2000" s="1" t="s">
        <v>298</v>
      </c>
      <c r="L2000" s="1" t="s">
        <v>267</v>
      </c>
      <c r="M2000" s="1"/>
      <c r="N2000" s="1">
        <f t="shared" si="100"/>
        <v>6</v>
      </c>
      <c r="O2000" s="87"/>
    </row>
    <row r="2001" spans="1:15" ht="15.75" hidden="1" x14ac:dyDescent="0.25">
      <c r="A2001" s="1" t="str">
        <f t="shared" si="99"/>
        <v>44731447318.2CURRENTTRANSPORTCAREEM</v>
      </c>
      <c r="B2001" s="2">
        <v>44731</v>
      </c>
      <c r="C2001" s="2">
        <v>44731</v>
      </c>
      <c r="D2001" s="3" t="s">
        <v>2489</v>
      </c>
      <c r="E2001" s="3">
        <v>-8.1999999999999993</v>
      </c>
      <c r="F2001" s="3">
        <v>1</v>
      </c>
      <c r="G2001" s="3">
        <f t="shared" si="101"/>
        <v>8.1999999999999993</v>
      </c>
      <c r="H2001" s="3" t="s">
        <v>293</v>
      </c>
      <c r="I2001" s="1" t="s">
        <v>296</v>
      </c>
      <c r="J2001" s="1" t="s">
        <v>297</v>
      </c>
      <c r="K2001" s="1" t="s">
        <v>298</v>
      </c>
      <c r="L2001" s="1" t="s">
        <v>257</v>
      </c>
      <c r="M2001" s="1"/>
      <c r="N2001" s="1">
        <f t="shared" si="100"/>
        <v>6</v>
      </c>
      <c r="O2001" s="87"/>
    </row>
    <row r="2002" spans="1:15" ht="15.75" hidden="1" x14ac:dyDescent="0.25">
      <c r="A2002" s="1" t="str">
        <f t="shared" si="99"/>
        <v>447314473113.5CURRENTTRANSPORTCAREEM</v>
      </c>
      <c r="B2002" s="2">
        <v>44731</v>
      </c>
      <c r="C2002" s="2">
        <v>44731</v>
      </c>
      <c r="D2002" s="3" t="s">
        <v>2490</v>
      </c>
      <c r="E2002" s="3">
        <v>-13.5</v>
      </c>
      <c r="F2002" s="3">
        <v>1</v>
      </c>
      <c r="G2002" s="3">
        <f t="shared" si="101"/>
        <v>13.5</v>
      </c>
      <c r="H2002" s="3" t="s">
        <v>293</v>
      </c>
      <c r="I2002" s="1" t="s">
        <v>296</v>
      </c>
      <c r="J2002" s="1" t="s">
        <v>297</v>
      </c>
      <c r="K2002" s="1" t="s">
        <v>298</v>
      </c>
      <c r="L2002" s="1" t="s">
        <v>257</v>
      </c>
      <c r="M2002" s="1"/>
      <c r="N2002" s="1">
        <f t="shared" si="100"/>
        <v>6</v>
      </c>
      <c r="O2002" s="87"/>
    </row>
    <row r="2003" spans="1:15" ht="15.75" hidden="1" x14ac:dyDescent="0.25">
      <c r="A2003" s="1" t="str">
        <f t="shared" si="99"/>
        <v>44731447314.6CURRENTTRANSPORTCAREEM</v>
      </c>
      <c r="B2003" s="2">
        <v>44731</v>
      </c>
      <c r="C2003" s="2">
        <v>44731</v>
      </c>
      <c r="D2003" s="3" t="s">
        <v>2491</v>
      </c>
      <c r="E2003" s="3">
        <v>-4.5999999999999996</v>
      </c>
      <c r="F2003" s="3">
        <v>1</v>
      </c>
      <c r="G2003" s="3">
        <f t="shared" si="101"/>
        <v>4.5999999999999996</v>
      </c>
      <c r="H2003" s="3" t="s">
        <v>293</v>
      </c>
      <c r="I2003" s="1" t="s">
        <v>296</v>
      </c>
      <c r="J2003" s="1" t="s">
        <v>297</v>
      </c>
      <c r="K2003" s="1" t="s">
        <v>298</v>
      </c>
      <c r="L2003" s="1" t="s">
        <v>257</v>
      </c>
      <c r="M2003" s="1"/>
      <c r="N2003" s="1">
        <f t="shared" si="100"/>
        <v>6</v>
      </c>
      <c r="O2003" s="87"/>
    </row>
    <row r="2004" spans="1:15" ht="15.75" hidden="1" x14ac:dyDescent="0.25">
      <c r="A2004" s="1" t="str">
        <f t="shared" si="99"/>
        <v>447334473526FIFA CCFOODQATAR AIR</v>
      </c>
      <c r="B2004" s="2">
        <v>44733</v>
      </c>
      <c r="C2004" s="2">
        <v>44735</v>
      </c>
      <c r="D2004" s="3" t="s">
        <v>2430</v>
      </c>
      <c r="E2004" s="3">
        <v>26</v>
      </c>
      <c r="F2004" s="3">
        <v>1</v>
      </c>
      <c r="G2004" s="3">
        <f t="shared" si="101"/>
        <v>26</v>
      </c>
      <c r="H2004" s="3" t="s">
        <v>3294</v>
      </c>
      <c r="I2004" s="1" t="s">
        <v>10</v>
      </c>
      <c r="J2004" s="1" t="s">
        <v>19</v>
      </c>
      <c r="K2004" s="1" t="s">
        <v>298</v>
      </c>
      <c r="L2004" s="1" t="s">
        <v>267</v>
      </c>
      <c r="M2004" s="1"/>
      <c r="N2004" s="1">
        <f t="shared" si="100"/>
        <v>6</v>
      </c>
      <c r="O2004" s="87"/>
    </row>
    <row r="2005" spans="1:15" ht="15.75" hidden="1" x14ac:dyDescent="0.25">
      <c r="A2005" s="1" t="str">
        <f t="shared" si="99"/>
        <v>447334473471FIFA CCGROCERYTOTAL FRESH</v>
      </c>
      <c r="B2005" s="2">
        <v>44733</v>
      </c>
      <c r="C2005" s="2">
        <v>44734</v>
      </c>
      <c r="D2005" s="3" t="s">
        <v>2431</v>
      </c>
      <c r="E2005" s="3">
        <v>71</v>
      </c>
      <c r="F2005" s="3">
        <v>1</v>
      </c>
      <c r="G2005" s="3">
        <f t="shared" si="101"/>
        <v>71</v>
      </c>
      <c r="H2005" s="3" t="s">
        <v>3294</v>
      </c>
      <c r="I2005" s="1" t="s">
        <v>43</v>
      </c>
      <c r="J2005" s="1" t="s">
        <v>1394</v>
      </c>
      <c r="K2005" s="1" t="s">
        <v>298</v>
      </c>
      <c r="L2005" s="1" t="s">
        <v>267</v>
      </c>
      <c r="M2005" s="1"/>
      <c r="N2005" s="1">
        <f t="shared" si="100"/>
        <v>6</v>
      </c>
      <c r="O2005" s="87"/>
    </row>
    <row r="2006" spans="1:15" ht="15.75" hidden="1" x14ac:dyDescent="0.25">
      <c r="A2006" s="1" t="str">
        <f t="shared" si="99"/>
        <v>447344473833.63DINERSTRANSPORTUBER</v>
      </c>
      <c r="B2006" s="2">
        <v>44734</v>
      </c>
      <c r="C2006" s="2">
        <v>44738</v>
      </c>
      <c r="D2006" s="3" t="s">
        <v>2411</v>
      </c>
      <c r="E2006" s="3">
        <v>33.630000000000003</v>
      </c>
      <c r="F2006" s="3">
        <v>1</v>
      </c>
      <c r="G2006" s="3">
        <f t="shared" si="101"/>
        <v>33.630000000000003</v>
      </c>
      <c r="H2006" s="3" t="s">
        <v>266</v>
      </c>
      <c r="I2006" s="1" t="s">
        <v>296</v>
      </c>
      <c r="J2006" s="1" t="s">
        <v>299</v>
      </c>
      <c r="K2006" s="1" t="s">
        <v>298</v>
      </c>
      <c r="L2006" s="1" t="s">
        <v>267</v>
      </c>
      <c r="M2006" s="1"/>
      <c r="N2006" s="1">
        <f t="shared" si="100"/>
        <v>6</v>
      </c>
      <c r="O2006" s="87"/>
    </row>
    <row r="2007" spans="1:15" ht="15.75" hidden="1" x14ac:dyDescent="0.25">
      <c r="A2007" s="1" t="str">
        <f t="shared" si="99"/>
        <v>447344473842.24DINERSTRANSPORTUBER</v>
      </c>
      <c r="B2007" s="2">
        <v>44734</v>
      </c>
      <c r="C2007" s="2">
        <v>44738</v>
      </c>
      <c r="D2007" s="3" t="s">
        <v>2412</v>
      </c>
      <c r="E2007" s="3">
        <v>42.24</v>
      </c>
      <c r="F2007" s="3">
        <v>1</v>
      </c>
      <c r="G2007" s="3">
        <f t="shared" si="101"/>
        <v>42.24</v>
      </c>
      <c r="H2007" s="3" t="s">
        <v>266</v>
      </c>
      <c r="I2007" s="1" t="s">
        <v>296</v>
      </c>
      <c r="J2007" s="1" t="s">
        <v>299</v>
      </c>
      <c r="K2007" s="1" t="s">
        <v>298</v>
      </c>
      <c r="L2007" s="1" t="s">
        <v>267</v>
      </c>
      <c r="M2007" s="1"/>
      <c r="N2007" s="1">
        <f t="shared" si="100"/>
        <v>6</v>
      </c>
      <c r="O2007" s="87"/>
    </row>
    <row r="2008" spans="1:15" ht="15.75" hidden="1" x14ac:dyDescent="0.25">
      <c r="A2008" s="1" t="str">
        <f t="shared" si="99"/>
        <v>447344473618FIFA CCFOODQATAR AIR</v>
      </c>
      <c r="B2008" s="2">
        <v>44734</v>
      </c>
      <c r="C2008" s="2">
        <v>44736</v>
      </c>
      <c r="D2008" s="3" t="s">
        <v>2428</v>
      </c>
      <c r="E2008" s="3">
        <v>18</v>
      </c>
      <c r="F2008" s="3">
        <v>1</v>
      </c>
      <c r="G2008" s="3">
        <f t="shared" si="101"/>
        <v>18</v>
      </c>
      <c r="H2008" s="3" t="s">
        <v>3294</v>
      </c>
      <c r="I2008" s="1" t="s">
        <v>10</v>
      </c>
      <c r="J2008" s="1" t="s">
        <v>19</v>
      </c>
      <c r="K2008" s="1" t="s">
        <v>298</v>
      </c>
      <c r="L2008" s="1" t="s">
        <v>267</v>
      </c>
      <c r="M2008" s="1"/>
      <c r="N2008" s="1">
        <f t="shared" si="100"/>
        <v>6</v>
      </c>
      <c r="O2008" s="87"/>
    </row>
    <row r="2009" spans="1:15" ht="15.75" hidden="1" x14ac:dyDescent="0.25">
      <c r="A2009" s="1" t="str">
        <f t="shared" si="99"/>
        <v>4473444736100FIFA CCMEDICALHEALTH CENTER</v>
      </c>
      <c r="B2009" s="2">
        <v>44734</v>
      </c>
      <c r="C2009" s="2">
        <v>44736</v>
      </c>
      <c r="D2009" s="3" t="s">
        <v>2429</v>
      </c>
      <c r="E2009" s="3">
        <v>100</v>
      </c>
      <c r="F2009" s="3">
        <v>1</v>
      </c>
      <c r="G2009" s="3">
        <f t="shared" si="101"/>
        <v>100</v>
      </c>
      <c r="H2009" s="3" t="s">
        <v>3294</v>
      </c>
      <c r="I2009" s="1" t="s">
        <v>301</v>
      </c>
      <c r="J2009" s="1" t="s">
        <v>159</v>
      </c>
      <c r="K2009" s="1" t="s">
        <v>298</v>
      </c>
      <c r="L2009" s="1" t="s">
        <v>267</v>
      </c>
      <c r="M2009" s="1"/>
      <c r="N2009" s="1">
        <f t="shared" si="100"/>
        <v>6</v>
      </c>
      <c r="O2009" s="87"/>
    </row>
    <row r="2010" spans="1:15" ht="15.75" hidden="1" x14ac:dyDescent="0.25">
      <c r="A2010" s="1" t="str">
        <f t="shared" si="99"/>
        <v>44734447341.4CURRENTTRANSPORTCAREEM</v>
      </c>
      <c r="B2010" s="2">
        <v>44734</v>
      </c>
      <c r="C2010" s="2">
        <v>44734</v>
      </c>
      <c r="D2010" s="3" t="s">
        <v>2485</v>
      </c>
      <c r="E2010" s="3">
        <v>-1.4</v>
      </c>
      <c r="F2010" s="3">
        <v>1</v>
      </c>
      <c r="G2010" s="3">
        <f t="shared" si="101"/>
        <v>1.4</v>
      </c>
      <c r="H2010" s="3" t="s">
        <v>293</v>
      </c>
      <c r="I2010" s="1" t="s">
        <v>296</v>
      </c>
      <c r="J2010" s="1" t="s">
        <v>297</v>
      </c>
      <c r="K2010" s="1" t="s">
        <v>298</v>
      </c>
      <c r="L2010" s="1" t="s">
        <v>257</v>
      </c>
      <c r="M2010" s="1"/>
      <c r="N2010" s="1">
        <f t="shared" si="100"/>
        <v>6</v>
      </c>
      <c r="O2010" s="87"/>
    </row>
    <row r="2011" spans="1:15" ht="15.75" hidden="1" x14ac:dyDescent="0.25">
      <c r="A2011" s="1" t="str">
        <f t="shared" si="99"/>
        <v>44734447347.2CURRENTTRANSPORTCAREEM</v>
      </c>
      <c r="B2011" s="2">
        <v>44734</v>
      </c>
      <c r="C2011" s="2">
        <v>44734</v>
      </c>
      <c r="D2011" s="3" t="s">
        <v>2486</v>
      </c>
      <c r="E2011" s="3">
        <v>-7.2</v>
      </c>
      <c r="F2011" s="3">
        <v>1</v>
      </c>
      <c r="G2011" s="3">
        <f t="shared" si="101"/>
        <v>7.2</v>
      </c>
      <c r="H2011" s="3" t="s">
        <v>293</v>
      </c>
      <c r="I2011" s="1" t="s">
        <v>296</v>
      </c>
      <c r="J2011" s="1" t="s">
        <v>297</v>
      </c>
      <c r="K2011" s="1" t="s">
        <v>298</v>
      </c>
      <c r="L2011" s="1" t="s">
        <v>257</v>
      </c>
      <c r="M2011" s="1"/>
      <c r="N2011" s="1">
        <f t="shared" si="100"/>
        <v>6</v>
      </c>
      <c r="O2011" s="87"/>
    </row>
    <row r="2012" spans="1:15" ht="15.75" hidden="1" x14ac:dyDescent="0.25">
      <c r="A2012" s="1" t="str">
        <f t="shared" si="99"/>
        <v>44734447342.3CURRENTTRANSPORTCAREEM</v>
      </c>
      <c r="B2012" s="2">
        <v>44734</v>
      </c>
      <c r="C2012" s="2">
        <v>44734</v>
      </c>
      <c r="D2012" s="3" t="s">
        <v>2487</v>
      </c>
      <c r="E2012" s="3">
        <v>-2.2999999999999998</v>
      </c>
      <c r="F2012" s="3">
        <v>1</v>
      </c>
      <c r="G2012" s="3">
        <f t="shared" si="101"/>
        <v>2.2999999999999998</v>
      </c>
      <c r="H2012" s="3" t="s">
        <v>293</v>
      </c>
      <c r="I2012" s="1" t="s">
        <v>296</v>
      </c>
      <c r="J2012" s="1" t="s">
        <v>297</v>
      </c>
      <c r="K2012" s="1" t="s">
        <v>298</v>
      </c>
      <c r="L2012" s="1" t="s">
        <v>257</v>
      </c>
      <c r="M2012" s="1"/>
      <c r="N2012" s="1">
        <f t="shared" si="100"/>
        <v>6</v>
      </c>
      <c r="O2012" s="87"/>
    </row>
    <row r="2013" spans="1:15" ht="15.75" hidden="1" x14ac:dyDescent="0.25">
      <c r="A2013" s="1" t="str">
        <f t="shared" si="99"/>
        <v>44734447341.7CURRENTTRANSPORTCAREEM</v>
      </c>
      <c r="B2013" s="2">
        <v>44734</v>
      </c>
      <c r="C2013" s="2">
        <v>44734</v>
      </c>
      <c r="D2013" s="3" t="s">
        <v>2488</v>
      </c>
      <c r="E2013" s="3">
        <v>-1.7</v>
      </c>
      <c r="F2013" s="3">
        <v>1</v>
      </c>
      <c r="G2013" s="3">
        <f t="shared" si="101"/>
        <v>1.7</v>
      </c>
      <c r="H2013" s="3" t="s">
        <v>293</v>
      </c>
      <c r="I2013" s="1" t="s">
        <v>296</v>
      </c>
      <c r="J2013" s="1" t="s">
        <v>297</v>
      </c>
      <c r="K2013" s="1" t="s">
        <v>298</v>
      </c>
      <c r="L2013" s="1" t="s">
        <v>257</v>
      </c>
      <c r="M2013" s="1"/>
      <c r="N2013" s="1">
        <f t="shared" si="100"/>
        <v>6</v>
      </c>
      <c r="O2013" s="87"/>
    </row>
    <row r="2014" spans="1:15" ht="15.75" hidden="1" x14ac:dyDescent="0.25">
      <c r="A2014" s="1" t="str">
        <f t="shared" si="99"/>
        <v>447354473950FIFA CCTRANSPORTMETRO</v>
      </c>
      <c r="B2014" s="2">
        <v>44735</v>
      </c>
      <c r="C2014" s="2">
        <v>44739</v>
      </c>
      <c r="D2014" s="3" t="s">
        <v>2425</v>
      </c>
      <c r="E2014" s="3">
        <v>50</v>
      </c>
      <c r="F2014" s="3">
        <v>1</v>
      </c>
      <c r="G2014" s="3">
        <f t="shared" si="101"/>
        <v>50</v>
      </c>
      <c r="H2014" s="3" t="s">
        <v>3294</v>
      </c>
      <c r="I2014" s="1" t="s">
        <v>296</v>
      </c>
      <c r="J2014" s="1" t="s">
        <v>759</v>
      </c>
      <c r="K2014" s="1" t="s">
        <v>298</v>
      </c>
      <c r="L2014" s="1" t="s">
        <v>267</v>
      </c>
      <c r="M2014" s="1"/>
      <c r="N2014" s="1">
        <f t="shared" si="100"/>
        <v>6</v>
      </c>
      <c r="O2014" s="87"/>
    </row>
    <row r="2015" spans="1:15" ht="15.75" hidden="1" x14ac:dyDescent="0.25">
      <c r="A2015" s="1" t="str">
        <f t="shared" si="99"/>
        <v>447354473722FIFA CCTRANSPORTCAREEM</v>
      </c>
      <c r="B2015" s="2">
        <v>44735</v>
      </c>
      <c r="C2015" s="2">
        <v>44737</v>
      </c>
      <c r="D2015" s="3" t="s">
        <v>2426</v>
      </c>
      <c r="E2015" s="3">
        <v>22</v>
      </c>
      <c r="F2015" s="3">
        <v>1</v>
      </c>
      <c r="G2015" s="3">
        <f t="shared" si="101"/>
        <v>22</v>
      </c>
      <c r="H2015" s="3" t="s">
        <v>3294</v>
      </c>
      <c r="I2015" s="1" t="s">
        <v>296</v>
      </c>
      <c r="J2015" s="1" t="s">
        <v>297</v>
      </c>
      <c r="K2015" s="1" t="s">
        <v>298</v>
      </c>
      <c r="L2015" s="1" t="s">
        <v>267</v>
      </c>
      <c r="M2015" s="1"/>
      <c r="N2015" s="1">
        <f t="shared" si="100"/>
        <v>6</v>
      </c>
      <c r="O2015" s="87"/>
    </row>
    <row r="2016" spans="1:15" ht="15.75" hidden="1" x14ac:dyDescent="0.25">
      <c r="A2016" s="1" t="str">
        <f t="shared" si="99"/>
        <v>447354473728FIFA CCTRANSPORTCAREEM</v>
      </c>
      <c r="B2016" s="2">
        <v>44735</v>
      </c>
      <c r="C2016" s="2">
        <v>44737</v>
      </c>
      <c r="D2016" s="3" t="s">
        <v>2427</v>
      </c>
      <c r="E2016" s="3">
        <v>28</v>
      </c>
      <c r="F2016" s="3">
        <v>1</v>
      </c>
      <c r="G2016" s="3">
        <f t="shared" si="101"/>
        <v>28</v>
      </c>
      <c r="H2016" s="3" t="s">
        <v>3294</v>
      </c>
      <c r="I2016" s="1" t="s">
        <v>296</v>
      </c>
      <c r="J2016" s="1" t="s">
        <v>297</v>
      </c>
      <c r="K2016" s="1" t="s">
        <v>298</v>
      </c>
      <c r="L2016" s="1" t="s">
        <v>267</v>
      </c>
      <c r="M2016" s="1"/>
      <c r="N2016" s="1">
        <f t="shared" si="100"/>
        <v>6</v>
      </c>
      <c r="O2016" s="87"/>
    </row>
    <row r="2017" spans="1:15" ht="15.75" hidden="1" x14ac:dyDescent="0.25">
      <c r="A2017" s="1" t="str">
        <f t="shared" si="99"/>
        <v>44735447359.3CURRENTTRANSPORTCAREEM</v>
      </c>
      <c r="B2017" s="2">
        <v>44735</v>
      </c>
      <c r="C2017" s="2">
        <v>44735</v>
      </c>
      <c r="D2017" s="3" t="s">
        <v>2483</v>
      </c>
      <c r="E2017" s="3">
        <v>-9.3000000000000007</v>
      </c>
      <c r="F2017" s="3">
        <v>1</v>
      </c>
      <c r="G2017" s="3">
        <f t="shared" si="101"/>
        <v>9.3000000000000007</v>
      </c>
      <c r="H2017" s="3" t="s">
        <v>293</v>
      </c>
      <c r="I2017" s="1" t="s">
        <v>296</v>
      </c>
      <c r="J2017" s="1" t="s">
        <v>297</v>
      </c>
      <c r="K2017" s="1" t="s">
        <v>298</v>
      </c>
      <c r="L2017" s="1" t="s">
        <v>257</v>
      </c>
      <c r="M2017" s="1"/>
      <c r="N2017" s="1">
        <f t="shared" si="100"/>
        <v>6</v>
      </c>
      <c r="O2017" s="87"/>
    </row>
    <row r="2018" spans="1:15" ht="15.75" hidden="1" x14ac:dyDescent="0.25">
      <c r="A2018" s="1" t="str">
        <f t="shared" si="99"/>
        <v>447354473512.1CURRENTTRANSPORTCAREEM</v>
      </c>
      <c r="B2018" s="2">
        <v>44735</v>
      </c>
      <c r="C2018" s="2">
        <v>44735</v>
      </c>
      <c r="D2018" s="3" t="s">
        <v>2484</v>
      </c>
      <c r="E2018" s="3">
        <v>-12.1</v>
      </c>
      <c r="F2018" s="3">
        <v>1</v>
      </c>
      <c r="G2018" s="3">
        <f t="shared" si="101"/>
        <v>12.1</v>
      </c>
      <c r="H2018" s="3" t="s">
        <v>293</v>
      </c>
      <c r="I2018" s="1" t="s">
        <v>296</v>
      </c>
      <c r="J2018" s="1" t="s">
        <v>297</v>
      </c>
      <c r="K2018" s="1" t="s">
        <v>298</v>
      </c>
      <c r="L2018" s="1" t="s">
        <v>257</v>
      </c>
      <c r="M2018" s="1"/>
      <c r="N2018" s="1">
        <f t="shared" si="100"/>
        <v>6</v>
      </c>
      <c r="O2018" s="87"/>
    </row>
    <row r="2019" spans="1:15" ht="15.75" hidden="1" x14ac:dyDescent="0.25">
      <c r="A2019" s="1" t="str">
        <f t="shared" si="99"/>
        <v>4473644737171.25FIFA CCGROCERYTOTAL FRESH</v>
      </c>
      <c r="B2019" s="2">
        <v>44736</v>
      </c>
      <c r="C2019" s="2">
        <v>44737</v>
      </c>
      <c r="D2019" s="3" t="s">
        <v>2424</v>
      </c>
      <c r="E2019" s="3">
        <v>171.25</v>
      </c>
      <c r="F2019" s="3">
        <v>1</v>
      </c>
      <c r="G2019" s="3">
        <f t="shared" si="101"/>
        <v>171.25</v>
      </c>
      <c r="H2019" s="3" t="s">
        <v>3294</v>
      </c>
      <c r="I2019" s="1" t="s">
        <v>43</v>
      </c>
      <c r="J2019" s="1" t="s">
        <v>1394</v>
      </c>
      <c r="K2019" s="1" t="s">
        <v>298</v>
      </c>
      <c r="L2019" s="1" t="s">
        <v>267</v>
      </c>
      <c r="M2019" s="1"/>
      <c r="N2019" s="1">
        <f t="shared" si="100"/>
        <v>6</v>
      </c>
      <c r="O2019" s="87"/>
    </row>
    <row r="2020" spans="1:15" ht="15.75" hidden="1" x14ac:dyDescent="0.25">
      <c r="A2020" s="1" t="str">
        <f t="shared" si="99"/>
        <v>447384473812CURRENTTRANSPORTCAREEM</v>
      </c>
      <c r="B2020" s="2">
        <v>44738</v>
      </c>
      <c r="C2020" s="2">
        <v>44738</v>
      </c>
      <c r="D2020" s="3" t="s">
        <v>2480</v>
      </c>
      <c r="E2020" s="3">
        <v>-12</v>
      </c>
      <c r="F2020" s="3">
        <v>1</v>
      </c>
      <c r="G2020" s="3">
        <f t="shared" si="101"/>
        <v>12</v>
      </c>
      <c r="H2020" s="3" t="s">
        <v>293</v>
      </c>
      <c r="I2020" s="1" t="s">
        <v>296</v>
      </c>
      <c r="J2020" s="1" t="s">
        <v>297</v>
      </c>
      <c r="K2020" s="1" t="s">
        <v>298</v>
      </c>
      <c r="L2020" s="1" t="s">
        <v>257</v>
      </c>
      <c r="M2020" s="1"/>
      <c r="N2020" s="1">
        <f t="shared" si="100"/>
        <v>6</v>
      </c>
      <c r="O2020" s="87"/>
    </row>
    <row r="2021" spans="1:15" ht="15.75" hidden="1" x14ac:dyDescent="0.25">
      <c r="A2021" s="1" t="str">
        <f t="shared" si="99"/>
        <v>44738447383.7CURRENTTRANSPORTCAREEM</v>
      </c>
      <c r="B2021" s="2">
        <v>44738</v>
      </c>
      <c r="C2021" s="2">
        <v>44738</v>
      </c>
      <c r="D2021" s="3" t="s">
        <v>2481</v>
      </c>
      <c r="E2021" s="3">
        <v>-3.7</v>
      </c>
      <c r="F2021" s="3">
        <v>1</v>
      </c>
      <c r="G2021" s="3">
        <f t="shared" si="101"/>
        <v>3.7</v>
      </c>
      <c r="H2021" s="3" t="s">
        <v>293</v>
      </c>
      <c r="I2021" s="1" t="s">
        <v>296</v>
      </c>
      <c r="J2021" s="1" t="s">
        <v>297</v>
      </c>
      <c r="K2021" s="1" t="s">
        <v>298</v>
      </c>
      <c r="L2021" s="1" t="s">
        <v>257</v>
      </c>
      <c r="M2021" s="1"/>
      <c r="N2021" s="1">
        <f t="shared" si="100"/>
        <v>6</v>
      </c>
      <c r="O2021" s="87"/>
    </row>
    <row r="2022" spans="1:15" ht="15.75" hidden="1" x14ac:dyDescent="0.25">
      <c r="A2022" s="1" t="str">
        <f t="shared" si="99"/>
        <v>44738447388.5CURRENTTRANSPORTCAREEM</v>
      </c>
      <c r="B2022" s="2">
        <v>44738</v>
      </c>
      <c r="C2022" s="2">
        <v>44738</v>
      </c>
      <c r="D2022" s="3" t="s">
        <v>2482</v>
      </c>
      <c r="E2022" s="3">
        <v>-8.5</v>
      </c>
      <c r="F2022" s="3">
        <v>1</v>
      </c>
      <c r="G2022" s="3">
        <f t="shared" si="101"/>
        <v>8.5</v>
      </c>
      <c r="H2022" s="3" t="s">
        <v>293</v>
      </c>
      <c r="I2022" s="1" t="s">
        <v>296</v>
      </c>
      <c r="J2022" s="1" t="s">
        <v>297</v>
      </c>
      <c r="K2022" s="1" t="s">
        <v>298</v>
      </c>
      <c r="L2022" s="1" t="s">
        <v>257</v>
      </c>
      <c r="M2022" s="1"/>
      <c r="N2022" s="1">
        <f t="shared" si="100"/>
        <v>6</v>
      </c>
      <c r="O2022" s="87"/>
    </row>
    <row r="2023" spans="1:15" ht="15.75" hidden="1" x14ac:dyDescent="0.25">
      <c r="A2023" s="1" t="str">
        <f t="shared" si="99"/>
        <v>4473844738700CURRENTWITHDRAWSELF</v>
      </c>
      <c r="B2023" s="2">
        <v>44738</v>
      </c>
      <c r="C2023" s="2">
        <v>44738</v>
      </c>
      <c r="D2023" s="3" t="s">
        <v>2534</v>
      </c>
      <c r="E2023" s="3">
        <v>-700</v>
      </c>
      <c r="F2023" s="3">
        <v>1</v>
      </c>
      <c r="G2023" s="3">
        <f t="shared" si="101"/>
        <v>700</v>
      </c>
      <c r="H2023" s="3" t="s">
        <v>293</v>
      </c>
      <c r="I2023" s="1" t="s">
        <v>13</v>
      </c>
      <c r="J2023" s="1" t="s">
        <v>14</v>
      </c>
      <c r="K2023" s="1" t="s">
        <v>298</v>
      </c>
      <c r="L2023" s="1" t="s">
        <v>257</v>
      </c>
      <c r="M2023" s="1"/>
      <c r="N2023" s="1">
        <f t="shared" si="100"/>
        <v>6</v>
      </c>
      <c r="O2023" s="87"/>
    </row>
    <row r="2024" spans="1:15" ht="15.75" hidden="1" x14ac:dyDescent="0.25">
      <c r="A2024" s="1" t="str">
        <f t="shared" si="99"/>
        <v>447384473810000CURRENTTRANSFERSELF</v>
      </c>
      <c r="B2024" s="2">
        <v>44738</v>
      </c>
      <c r="C2024" s="2">
        <v>44738</v>
      </c>
      <c r="D2024" s="3" t="s">
        <v>2535</v>
      </c>
      <c r="E2024" s="3">
        <v>10000</v>
      </c>
      <c r="F2024" s="3">
        <v>1</v>
      </c>
      <c r="G2024" s="3">
        <f t="shared" si="101"/>
        <v>10000</v>
      </c>
      <c r="H2024" s="3" t="s">
        <v>293</v>
      </c>
      <c r="I2024" s="1" t="s">
        <v>22</v>
      </c>
      <c r="J2024" s="1" t="s">
        <v>14</v>
      </c>
      <c r="K2024" s="1" t="s">
        <v>22</v>
      </c>
      <c r="L2024" s="1" t="s">
        <v>257</v>
      </c>
      <c r="M2024" s="1"/>
      <c r="N2024" s="1">
        <f t="shared" si="100"/>
        <v>6</v>
      </c>
      <c r="O2024" s="87"/>
    </row>
    <row r="2025" spans="1:15" ht="15.75" hidden="1" x14ac:dyDescent="0.25">
      <c r="A2025" s="1" t="str">
        <f t="shared" si="99"/>
        <v>447384474114.5FIFA CCTRANSPORTCAREEM</v>
      </c>
      <c r="B2025" s="2">
        <v>44738</v>
      </c>
      <c r="C2025" s="2">
        <v>44741</v>
      </c>
      <c r="D2025" s="3" t="s">
        <v>2537</v>
      </c>
      <c r="E2025" s="3">
        <v>14.5</v>
      </c>
      <c r="F2025" s="3">
        <v>1</v>
      </c>
      <c r="G2025" s="3">
        <f t="shared" si="101"/>
        <v>14.5</v>
      </c>
      <c r="H2025" s="3" t="s">
        <v>3294</v>
      </c>
      <c r="I2025" s="1" t="s">
        <v>296</v>
      </c>
      <c r="J2025" s="1" t="s">
        <v>297</v>
      </c>
      <c r="K2025" s="1" t="s">
        <v>298</v>
      </c>
      <c r="L2025" s="1" t="s">
        <v>267</v>
      </c>
      <c r="M2025" s="1"/>
      <c r="N2025" s="1">
        <f t="shared" si="100"/>
        <v>6</v>
      </c>
      <c r="O2025" s="87"/>
    </row>
    <row r="2026" spans="1:15" ht="15.75" hidden="1" x14ac:dyDescent="0.25">
      <c r="A2026" s="1" t="str">
        <f t="shared" si="99"/>
        <v>4473844740258.3FIFA CCGROCERYQDF</v>
      </c>
      <c r="B2026" s="2">
        <v>44738</v>
      </c>
      <c r="C2026" s="2">
        <v>44740</v>
      </c>
      <c r="D2026" s="3" t="s">
        <v>2538</v>
      </c>
      <c r="E2026" s="3">
        <v>258.3</v>
      </c>
      <c r="F2026" s="3">
        <v>1</v>
      </c>
      <c r="G2026" s="3">
        <f t="shared" si="101"/>
        <v>258.3</v>
      </c>
      <c r="H2026" s="3" t="s">
        <v>3294</v>
      </c>
      <c r="I2026" s="1" t="s">
        <v>43</v>
      </c>
      <c r="J2026" s="1" t="s">
        <v>2900</v>
      </c>
      <c r="K2026" s="1" t="s">
        <v>298</v>
      </c>
      <c r="L2026" s="1" t="s">
        <v>267</v>
      </c>
      <c r="M2026" s="1"/>
      <c r="N2026" s="1">
        <f t="shared" si="100"/>
        <v>6</v>
      </c>
      <c r="O2026" s="87"/>
    </row>
    <row r="2027" spans="1:15" ht="15.75" hidden="1" x14ac:dyDescent="0.25">
      <c r="A2027" s="1" t="str">
        <f t="shared" si="99"/>
        <v>447384474032FIFA CCFOODQATAR AIR</v>
      </c>
      <c r="B2027" s="2">
        <v>44738</v>
      </c>
      <c r="C2027" s="2">
        <v>44740</v>
      </c>
      <c r="D2027" s="3" t="s">
        <v>2539</v>
      </c>
      <c r="E2027" s="3">
        <v>32</v>
      </c>
      <c r="F2027" s="3">
        <v>1</v>
      </c>
      <c r="G2027" s="3">
        <f t="shared" si="101"/>
        <v>32</v>
      </c>
      <c r="H2027" s="3" t="s">
        <v>3294</v>
      </c>
      <c r="I2027" s="1" t="s">
        <v>10</v>
      </c>
      <c r="J2027" s="1" t="s">
        <v>19</v>
      </c>
      <c r="K2027" s="1" t="s">
        <v>298</v>
      </c>
      <c r="L2027" s="1" t="s">
        <v>267</v>
      </c>
      <c r="M2027" s="1"/>
      <c r="N2027" s="1">
        <f t="shared" si="100"/>
        <v>6</v>
      </c>
      <c r="O2027" s="87"/>
    </row>
    <row r="2028" spans="1:15" ht="15.75" hidden="1" x14ac:dyDescent="0.25">
      <c r="A2028" s="1" t="str">
        <f t="shared" si="99"/>
        <v>447384473930FIFA CCGROCERYTOTAL FRESH</v>
      </c>
      <c r="B2028" s="2">
        <v>44738</v>
      </c>
      <c r="C2028" s="2">
        <v>44739</v>
      </c>
      <c r="D2028" s="3" t="s">
        <v>2540</v>
      </c>
      <c r="E2028" s="3">
        <v>30</v>
      </c>
      <c r="F2028" s="3">
        <v>1</v>
      </c>
      <c r="G2028" s="3">
        <f t="shared" si="101"/>
        <v>30</v>
      </c>
      <c r="H2028" s="3" t="s">
        <v>3294</v>
      </c>
      <c r="I2028" s="1" t="s">
        <v>43</v>
      </c>
      <c r="J2028" s="1" t="s">
        <v>1394</v>
      </c>
      <c r="K2028" s="1" t="s">
        <v>298</v>
      </c>
      <c r="L2028" s="1" t="s">
        <v>267</v>
      </c>
      <c r="M2028" s="1"/>
      <c r="N2028" s="1">
        <f t="shared" si="100"/>
        <v>6</v>
      </c>
      <c r="O2028" s="87"/>
    </row>
    <row r="2029" spans="1:15" ht="15.75" hidden="1" x14ac:dyDescent="0.25">
      <c r="A2029" s="1" t="str">
        <f t="shared" si="99"/>
        <v>447394473910021CURRENTTRANSFERINDIA</v>
      </c>
      <c r="B2029" s="2">
        <v>44739</v>
      </c>
      <c r="C2029" s="2">
        <v>44739</v>
      </c>
      <c r="D2029" s="3" t="s">
        <v>2533</v>
      </c>
      <c r="E2029" s="3">
        <v>-10021</v>
      </c>
      <c r="F2029" s="3">
        <v>1</v>
      </c>
      <c r="G2029" s="3">
        <f t="shared" si="101"/>
        <v>10021</v>
      </c>
      <c r="H2029" s="3" t="s">
        <v>293</v>
      </c>
      <c r="I2029" s="1" t="s">
        <v>22</v>
      </c>
      <c r="J2029" s="1" t="s">
        <v>23</v>
      </c>
      <c r="K2029" s="1" t="s">
        <v>298</v>
      </c>
      <c r="L2029" s="1" t="s">
        <v>257</v>
      </c>
      <c r="M2029" s="1"/>
      <c r="N2029" s="1">
        <f t="shared" si="100"/>
        <v>6</v>
      </c>
      <c r="O2029" s="87"/>
    </row>
    <row r="2030" spans="1:15" ht="15.75" hidden="1" x14ac:dyDescent="0.25">
      <c r="A2030" s="1" t="str">
        <f t="shared" si="99"/>
        <v>447394474116.9FIFA CCTRANSPORTCAREEM</v>
      </c>
      <c r="B2030" s="2">
        <v>44739</v>
      </c>
      <c r="C2030" s="2">
        <v>44741</v>
      </c>
      <c r="D2030" s="3" t="s">
        <v>2536</v>
      </c>
      <c r="E2030" s="3">
        <v>16.899999999999999</v>
      </c>
      <c r="F2030" s="3">
        <v>1</v>
      </c>
      <c r="G2030" s="3">
        <f t="shared" si="101"/>
        <v>16.899999999999999</v>
      </c>
      <c r="H2030" s="3" t="s">
        <v>3294</v>
      </c>
      <c r="I2030" s="1" t="s">
        <v>296</v>
      </c>
      <c r="J2030" s="1" t="s">
        <v>297</v>
      </c>
      <c r="K2030" s="1" t="s">
        <v>298</v>
      </c>
      <c r="L2030" s="1" t="s">
        <v>267</v>
      </c>
      <c r="M2030" s="1"/>
      <c r="N2030" s="1">
        <f t="shared" si="100"/>
        <v>6</v>
      </c>
      <c r="O2030" s="87"/>
    </row>
    <row r="2031" spans="1:15" ht="15.75" hidden="1" x14ac:dyDescent="0.25">
      <c r="A2031" s="1" t="str">
        <f t="shared" si="99"/>
        <v>447404474011CURRENTFOODQATAR AIR</v>
      </c>
      <c r="B2031" s="2">
        <v>44740</v>
      </c>
      <c r="C2031" s="2">
        <v>44740</v>
      </c>
      <c r="D2031" s="3" t="s">
        <v>2531</v>
      </c>
      <c r="E2031" s="3">
        <v>-11</v>
      </c>
      <c r="F2031" s="3">
        <v>1</v>
      </c>
      <c r="G2031" s="3">
        <f t="shared" si="101"/>
        <v>11</v>
      </c>
      <c r="H2031" s="3" t="s">
        <v>293</v>
      </c>
      <c r="I2031" s="1" t="s">
        <v>10</v>
      </c>
      <c r="J2031" s="1" t="s">
        <v>19</v>
      </c>
      <c r="K2031" s="1" t="s">
        <v>298</v>
      </c>
      <c r="L2031" s="1" t="s">
        <v>257</v>
      </c>
      <c r="M2031" s="1"/>
      <c r="N2031" s="1">
        <f t="shared" si="100"/>
        <v>6</v>
      </c>
      <c r="O2031" s="87"/>
    </row>
    <row r="2032" spans="1:15" ht="15.75" hidden="1" x14ac:dyDescent="0.25">
      <c r="A2032" s="1" t="str">
        <f t="shared" si="99"/>
        <v>447404474028CURRENTGROCERYTOTAL FRESH</v>
      </c>
      <c r="B2032" s="2">
        <v>44740</v>
      </c>
      <c r="C2032" s="2">
        <v>44740</v>
      </c>
      <c r="D2032" s="3" t="s">
        <v>2532</v>
      </c>
      <c r="E2032" s="3">
        <v>-28</v>
      </c>
      <c r="F2032" s="3">
        <v>1</v>
      </c>
      <c r="G2032" s="3">
        <f t="shared" si="101"/>
        <v>28</v>
      </c>
      <c r="H2032" s="3" t="s">
        <v>293</v>
      </c>
      <c r="I2032" s="1" t="s">
        <v>43</v>
      </c>
      <c r="J2032" s="1" t="s">
        <v>1394</v>
      </c>
      <c r="K2032" s="1" t="s">
        <v>298</v>
      </c>
      <c r="L2032" s="1" t="s">
        <v>257</v>
      </c>
      <c r="M2032" s="1"/>
      <c r="N2032" s="1">
        <f t="shared" si="100"/>
        <v>6</v>
      </c>
      <c r="O2032" s="87"/>
    </row>
    <row r="2033" spans="1:15" ht="15.75" hidden="1" x14ac:dyDescent="0.25">
      <c r="A2033" s="1" t="str">
        <f t="shared" si="99"/>
        <v>447414474163.42CURRENTGROCERYTOTAL FRESH</v>
      </c>
      <c r="B2033" s="2">
        <v>44741</v>
      </c>
      <c r="C2033" s="2">
        <v>44741</v>
      </c>
      <c r="D2033" s="3" t="s">
        <v>2525</v>
      </c>
      <c r="E2033" s="3">
        <v>-63.42</v>
      </c>
      <c r="F2033" s="3">
        <v>1</v>
      </c>
      <c r="G2033" s="3">
        <f t="shared" si="101"/>
        <v>63.42</v>
      </c>
      <c r="H2033" s="3" t="s">
        <v>293</v>
      </c>
      <c r="I2033" s="1" t="s">
        <v>43</v>
      </c>
      <c r="J2033" s="1" t="s">
        <v>1394</v>
      </c>
      <c r="K2033" s="1" t="s">
        <v>298</v>
      </c>
      <c r="L2033" s="1" t="s">
        <v>257</v>
      </c>
      <c r="M2033" s="1"/>
      <c r="N2033" s="1">
        <f t="shared" si="100"/>
        <v>6</v>
      </c>
      <c r="O2033" s="87"/>
    </row>
    <row r="2034" spans="1:15" ht="15.75" hidden="1" x14ac:dyDescent="0.25">
      <c r="A2034" s="1" t="str">
        <f t="shared" si="99"/>
        <v>44741447411382.75CURRENTCC BILL PAYMENTBANK</v>
      </c>
      <c r="B2034" s="2">
        <v>44741</v>
      </c>
      <c r="C2034" s="2">
        <v>44741</v>
      </c>
      <c r="D2034" s="3" t="s">
        <v>2526</v>
      </c>
      <c r="E2034" s="3">
        <v>-1382.75</v>
      </c>
      <c r="F2034" s="3">
        <v>1</v>
      </c>
      <c r="G2034" s="3">
        <f t="shared" si="101"/>
        <v>1382.75</v>
      </c>
      <c r="H2034" s="3" t="s">
        <v>293</v>
      </c>
      <c r="I2034" s="1" t="s">
        <v>81</v>
      </c>
      <c r="J2034" s="1" t="s">
        <v>8</v>
      </c>
      <c r="K2034" s="1" t="s">
        <v>298</v>
      </c>
      <c r="L2034" s="1" t="s">
        <v>257</v>
      </c>
      <c r="M2034" s="1"/>
      <c r="N2034" s="1">
        <f t="shared" si="100"/>
        <v>6</v>
      </c>
      <c r="O2034" s="87"/>
    </row>
    <row r="2035" spans="1:15" ht="15.75" hidden="1" x14ac:dyDescent="0.25">
      <c r="A2035" s="1" t="str">
        <f t="shared" si="99"/>
        <v>44741447414223.72CURRENTCC BILL PAYMENTBANK</v>
      </c>
      <c r="B2035" s="2">
        <v>44741</v>
      </c>
      <c r="C2035" s="2">
        <v>44741</v>
      </c>
      <c r="D2035" s="3" t="s">
        <v>2527</v>
      </c>
      <c r="E2035" s="3">
        <v>-4223.72</v>
      </c>
      <c r="F2035" s="3">
        <v>1</v>
      </c>
      <c r="G2035" s="3">
        <f t="shared" si="101"/>
        <v>4223.72</v>
      </c>
      <c r="H2035" s="3" t="s">
        <v>293</v>
      </c>
      <c r="I2035" s="1" t="s">
        <v>81</v>
      </c>
      <c r="J2035" s="1" t="s">
        <v>8</v>
      </c>
      <c r="K2035" s="1" t="s">
        <v>298</v>
      </c>
      <c r="L2035" s="1" t="s">
        <v>257</v>
      </c>
      <c r="M2035" s="1"/>
      <c r="N2035" s="1">
        <f t="shared" si="100"/>
        <v>6</v>
      </c>
      <c r="O2035" s="87"/>
    </row>
    <row r="2036" spans="1:15" ht="15.75" hidden="1" x14ac:dyDescent="0.25">
      <c r="A2036" s="1" t="str">
        <f t="shared" si="99"/>
        <v>447414474122.9CURRENTTRANSPORTCAREEM</v>
      </c>
      <c r="B2036" s="2">
        <v>44741</v>
      </c>
      <c r="C2036" s="2">
        <v>44741</v>
      </c>
      <c r="D2036" s="3" t="s">
        <v>2528</v>
      </c>
      <c r="E2036" s="3">
        <v>-22.9</v>
      </c>
      <c r="F2036" s="3">
        <v>1</v>
      </c>
      <c r="G2036" s="3">
        <f t="shared" si="101"/>
        <v>22.9</v>
      </c>
      <c r="H2036" s="3" t="s">
        <v>293</v>
      </c>
      <c r="I2036" s="1" t="s">
        <v>296</v>
      </c>
      <c r="J2036" s="1" t="s">
        <v>297</v>
      </c>
      <c r="K2036" s="1" t="s">
        <v>298</v>
      </c>
      <c r="L2036" s="1" t="s">
        <v>257</v>
      </c>
      <c r="M2036" s="1"/>
      <c r="N2036" s="1">
        <f t="shared" si="100"/>
        <v>6</v>
      </c>
      <c r="O2036" s="87"/>
    </row>
    <row r="2037" spans="1:15" ht="15.75" hidden="1" x14ac:dyDescent="0.25">
      <c r="A2037" s="1" t="str">
        <f t="shared" si="99"/>
        <v>447414474122CURRENTTRANSPORTCAREEM</v>
      </c>
      <c r="B2037" s="2">
        <v>44741</v>
      </c>
      <c r="C2037" s="2">
        <v>44741</v>
      </c>
      <c r="D2037" s="3" t="s">
        <v>2529</v>
      </c>
      <c r="E2037" s="3">
        <v>-22</v>
      </c>
      <c r="F2037" s="3">
        <v>1</v>
      </c>
      <c r="G2037" s="3">
        <f t="shared" si="101"/>
        <v>22</v>
      </c>
      <c r="H2037" s="3" t="s">
        <v>293</v>
      </c>
      <c r="I2037" s="1" t="s">
        <v>296</v>
      </c>
      <c r="J2037" s="1" t="s">
        <v>297</v>
      </c>
      <c r="K2037" s="1" t="s">
        <v>298</v>
      </c>
      <c r="L2037" s="1" t="s">
        <v>257</v>
      </c>
      <c r="M2037" s="1"/>
      <c r="N2037" s="1">
        <f t="shared" si="100"/>
        <v>6</v>
      </c>
      <c r="O2037" s="87"/>
    </row>
    <row r="2038" spans="1:15" ht="15.75" hidden="1" x14ac:dyDescent="0.25">
      <c r="A2038" s="1" t="str">
        <f t="shared" si="99"/>
        <v>447414474121974CURRENTSALARYQATAR AIR</v>
      </c>
      <c r="B2038" s="2">
        <v>44741</v>
      </c>
      <c r="C2038" s="2">
        <v>44741</v>
      </c>
      <c r="D2038" s="3" t="s">
        <v>2530</v>
      </c>
      <c r="E2038" s="3">
        <v>21974</v>
      </c>
      <c r="F2038" s="3">
        <v>1</v>
      </c>
      <c r="G2038" s="3">
        <f t="shared" si="101"/>
        <v>21974</v>
      </c>
      <c r="H2038" s="3" t="s">
        <v>293</v>
      </c>
      <c r="I2038" s="1" t="s">
        <v>18</v>
      </c>
      <c r="J2038" s="1" t="s">
        <v>19</v>
      </c>
      <c r="K2038" s="1" t="s">
        <v>300</v>
      </c>
      <c r="L2038" s="1" t="s">
        <v>257</v>
      </c>
      <c r="M2038" s="1"/>
      <c r="N2038" s="1">
        <f t="shared" si="100"/>
        <v>6</v>
      </c>
      <c r="O2038" s="87"/>
    </row>
    <row r="2039" spans="1:15" ht="15.75" hidden="1" x14ac:dyDescent="0.25">
      <c r="A2039" s="1" t="str">
        <f t="shared" si="99"/>
        <v>44741447414223.72DINERSCC BILL PAYMENTBANK</v>
      </c>
      <c r="B2039" s="2">
        <v>44741</v>
      </c>
      <c r="C2039" s="2">
        <v>44741</v>
      </c>
      <c r="D2039" s="3" t="s">
        <v>80</v>
      </c>
      <c r="E2039" s="3">
        <v>-4223.72</v>
      </c>
      <c r="F2039" s="3">
        <v>1</v>
      </c>
      <c r="G2039" s="3">
        <f t="shared" si="101"/>
        <v>4223.72</v>
      </c>
      <c r="H2039" s="3" t="s">
        <v>266</v>
      </c>
      <c r="I2039" s="1" t="s">
        <v>81</v>
      </c>
      <c r="J2039" s="1" t="s">
        <v>8</v>
      </c>
      <c r="K2039" s="1" t="s">
        <v>300</v>
      </c>
      <c r="L2039" s="1" t="s">
        <v>267</v>
      </c>
      <c r="M2039" s="1"/>
      <c r="N2039" s="1">
        <f t="shared" si="100"/>
        <v>6</v>
      </c>
      <c r="O2039" s="87"/>
    </row>
    <row r="2040" spans="1:15" ht="15.75" hidden="1" x14ac:dyDescent="0.25">
      <c r="A2040" s="1" t="str">
        <f t="shared" si="99"/>
        <v>44741447411382.75FIFA CCCC BILL PAYMENTBANK</v>
      </c>
      <c r="B2040" s="2">
        <v>44741</v>
      </c>
      <c r="C2040" s="2">
        <v>44741</v>
      </c>
      <c r="D2040" s="3" t="s">
        <v>80</v>
      </c>
      <c r="E2040" s="3">
        <v>-1382.75</v>
      </c>
      <c r="F2040" s="3">
        <v>1</v>
      </c>
      <c r="G2040" s="3">
        <f t="shared" si="101"/>
        <v>1382.75</v>
      </c>
      <c r="H2040" s="3" t="s">
        <v>3294</v>
      </c>
      <c r="I2040" s="1" t="s">
        <v>81</v>
      </c>
      <c r="J2040" s="1" t="s">
        <v>8</v>
      </c>
      <c r="K2040" s="1" t="s">
        <v>300</v>
      </c>
      <c r="L2040" s="1" t="s">
        <v>267</v>
      </c>
      <c r="M2040" s="1"/>
      <c r="N2040" s="1">
        <f t="shared" si="100"/>
        <v>6</v>
      </c>
      <c r="O2040" s="87"/>
    </row>
    <row r="2041" spans="1:15" ht="15.75" hidden="1" x14ac:dyDescent="0.25">
      <c r="A2041" s="1" t="str">
        <f t="shared" si="99"/>
        <v>447424474212CURRENTFOODQATAR AIR</v>
      </c>
      <c r="B2041" s="2">
        <v>44742</v>
      </c>
      <c r="C2041" s="2">
        <v>44742</v>
      </c>
      <c r="D2041" s="3" t="s">
        <v>2521</v>
      </c>
      <c r="E2041" s="3">
        <v>-12</v>
      </c>
      <c r="F2041" s="3">
        <v>1</v>
      </c>
      <c r="G2041" s="3">
        <f t="shared" si="101"/>
        <v>12</v>
      </c>
      <c r="H2041" s="3" t="s">
        <v>293</v>
      </c>
      <c r="I2041" s="1" t="s">
        <v>10</v>
      </c>
      <c r="J2041" s="1" t="s">
        <v>19</v>
      </c>
      <c r="K2041" s="1" t="s">
        <v>298</v>
      </c>
      <c r="L2041" s="1" t="s">
        <v>257</v>
      </c>
      <c r="M2041" s="1"/>
      <c r="N2041" s="1">
        <f t="shared" si="100"/>
        <v>6</v>
      </c>
      <c r="O2041" s="87"/>
    </row>
    <row r="2042" spans="1:15" ht="15.75" hidden="1" x14ac:dyDescent="0.25">
      <c r="A2042" s="1" t="str">
        <f t="shared" si="99"/>
        <v>447424474217.3CURRENTTRANSPORTCAREEM</v>
      </c>
      <c r="B2042" s="2">
        <v>44742</v>
      </c>
      <c r="C2042" s="2">
        <v>44742</v>
      </c>
      <c r="D2042" s="3" t="s">
        <v>2522</v>
      </c>
      <c r="E2042" s="3">
        <v>-17.3</v>
      </c>
      <c r="F2042" s="3">
        <v>1</v>
      </c>
      <c r="G2042" s="3">
        <f t="shared" si="101"/>
        <v>17.3</v>
      </c>
      <c r="H2042" s="3" t="s">
        <v>293</v>
      </c>
      <c r="I2042" s="1" t="s">
        <v>296</v>
      </c>
      <c r="J2042" s="1" t="s">
        <v>297</v>
      </c>
      <c r="K2042" s="1" t="s">
        <v>298</v>
      </c>
      <c r="L2042" s="1" t="s">
        <v>257</v>
      </c>
      <c r="M2042" s="1"/>
      <c r="N2042" s="1">
        <f t="shared" si="100"/>
        <v>6</v>
      </c>
      <c r="O2042" s="87"/>
    </row>
    <row r="2043" spans="1:15" ht="15.75" hidden="1" x14ac:dyDescent="0.25">
      <c r="A2043" s="1" t="str">
        <f t="shared" si="99"/>
        <v>447424474222.5CURRENTTRANSPORTCAREEM</v>
      </c>
      <c r="B2043" s="2">
        <v>44742</v>
      </c>
      <c r="C2043" s="2">
        <v>44742</v>
      </c>
      <c r="D2043" s="3" t="s">
        <v>2523</v>
      </c>
      <c r="E2043" s="3">
        <v>-22.5</v>
      </c>
      <c r="F2043" s="3">
        <v>1</v>
      </c>
      <c r="G2043" s="3">
        <f t="shared" si="101"/>
        <v>22.5</v>
      </c>
      <c r="H2043" s="3" t="s">
        <v>293</v>
      </c>
      <c r="I2043" s="1" t="s">
        <v>296</v>
      </c>
      <c r="J2043" s="1" t="s">
        <v>297</v>
      </c>
      <c r="K2043" s="1" t="s">
        <v>298</v>
      </c>
      <c r="L2043" s="1" t="s">
        <v>257</v>
      </c>
      <c r="M2043" s="1"/>
      <c r="N2043" s="1">
        <f t="shared" si="100"/>
        <v>6</v>
      </c>
      <c r="O2043" s="87"/>
    </row>
    <row r="2044" spans="1:15" ht="15.75" hidden="1" x14ac:dyDescent="0.25">
      <c r="A2044" s="1" t="str">
        <f t="shared" si="99"/>
        <v>447424474213340CURRENTSALARYQATAR AIR</v>
      </c>
      <c r="B2044" s="2">
        <v>44742</v>
      </c>
      <c r="C2044" s="2">
        <v>44742</v>
      </c>
      <c r="D2044" s="3" t="s">
        <v>2524</v>
      </c>
      <c r="E2044" s="3">
        <v>13340</v>
      </c>
      <c r="F2044" s="3">
        <v>1</v>
      </c>
      <c r="G2044" s="3">
        <f t="shared" si="101"/>
        <v>13340</v>
      </c>
      <c r="H2044" s="3" t="s">
        <v>293</v>
      </c>
      <c r="I2044" s="1" t="s">
        <v>18</v>
      </c>
      <c r="J2044" s="1" t="s">
        <v>19</v>
      </c>
      <c r="K2044" s="1" t="s">
        <v>300</v>
      </c>
      <c r="L2044" s="1" t="s">
        <v>257</v>
      </c>
      <c r="M2044" s="1"/>
      <c r="N2044" s="1">
        <f t="shared" si="100"/>
        <v>6</v>
      </c>
      <c r="O2044" s="87"/>
    </row>
    <row r="2045" spans="1:15" ht="15.75" hidden="1" x14ac:dyDescent="0.25">
      <c r="A2045" s="1" t="str">
        <f t="shared" si="99"/>
        <v>4474344744111.75FIFA CCGROCERYTOTAL FRESH</v>
      </c>
      <c r="B2045" s="2">
        <v>44743</v>
      </c>
      <c r="C2045" s="2">
        <v>44744</v>
      </c>
      <c r="D2045" s="3" t="s">
        <v>2566</v>
      </c>
      <c r="E2045" s="3">
        <v>111.75</v>
      </c>
      <c r="F2045" s="3">
        <v>1</v>
      </c>
      <c r="G2045" s="3">
        <f t="shared" si="101"/>
        <v>111.75</v>
      </c>
      <c r="H2045" s="3" t="s">
        <v>3294</v>
      </c>
      <c r="I2045" s="1" t="s">
        <v>43</v>
      </c>
      <c r="J2045" s="1" t="s">
        <v>1394</v>
      </c>
      <c r="K2045" s="1" t="s">
        <v>298</v>
      </c>
      <c r="L2045" s="1" t="s">
        <v>267</v>
      </c>
      <c r="M2045" s="1"/>
      <c r="N2045" s="1">
        <f t="shared" si="100"/>
        <v>7</v>
      </c>
      <c r="O2045" s="87"/>
    </row>
    <row r="2046" spans="1:15" ht="15.75" hidden="1" x14ac:dyDescent="0.25">
      <c r="A2046" s="1" t="str">
        <f t="shared" si="99"/>
        <v>447444474614.8FIFA CCTRANSPORTCAREEM</v>
      </c>
      <c r="B2046" s="2">
        <v>44744</v>
      </c>
      <c r="C2046" s="2">
        <v>44746</v>
      </c>
      <c r="D2046" s="3" t="s">
        <v>2561</v>
      </c>
      <c r="E2046" s="3">
        <v>14.8</v>
      </c>
      <c r="F2046" s="3">
        <v>1</v>
      </c>
      <c r="G2046" s="3">
        <f t="shared" si="101"/>
        <v>14.8</v>
      </c>
      <c r="H2046" s="3" t="s">
        <v>3294</v>
      </c>
      <c r="I2046" s="1" t="s">
        <v>296</v>
      </c>
      <c r="J2046" s="1" t="s">
        <v>297</v>
      </c>
      <c r="K2046" s="1" t="s">
        <v>298</v>
      </c>
      <c r="L2046" s="1" t="s">
        <v>267</v>
      </c>
      <c r="M2046" s="1"/>
      <c r="N2046" s="1">
        <f t="shared" si="100"/>
        <v>7</v>
      </c>
      <c r="O2046" s="87"/>
    </row>
    <row r="2047" spans="1:15" ht="15.75" hidden="1" x14ac:dyDescent="0.25">
      <c r="A2047" s="1" t="str">
        <f t="shared" si="99"/>
        <v>447444474610.9FIFA CCTRANSPORTCAREEM</v>
      </c>
      <c r="B2047" s="2">
        <v>44744</v>
      </c>
      <c r="C2047" s="2">
        <v>44746</v>
      </c>
      <c r="D2047" s="3" t="s">
        <v>2562</v>
      </c>
      <c r="E2047" s="3">
        <v>10.9</v>
      </c>
      <c r="F2047" s="3">
        <v>1</v>
      </c>
      <c r="G2047" s="3">
        <f t="shared" si="101"/>
        <v>10.9</v>
      </c>
      <c r="H2047" s="3" t="s">
        <v>3294</v>
      </c>
      <c r="I2047" s="1" t="s">
        <v>296</v>
      </c>
      <c r="J2047" s="1" t="s">
        <v>297</v>
      </c>
      <c r="K2047" s="1" t="s">
        <v>298</v>
      </c>
      <c r="L2047" s="1" t="s">
        <v>267</v>
      </c>
      <c r="M2047" s="1"/>
      <c r="N2047" s="1">
        <f t="shared" si="100"/>
        <v>7</v>
      </c>
      <c r="O2047" s="87"/>
    </row>
    <row r="2048" spans="1:15" ht="15.75" hidden="1" x14ac:dyDescent="0.25">
      <c r="A2048" s="1" t="str">
        <f t="shared" si="99"/>
        <v>447444474618.5FIFA CCMEDICALNASEEM AL</v>
      </c>
      <c r="B2048" s="2">
        <v>44744</v>
      </c>
      <c r="C2048" s="2">
        <v>44746</v>
      </c>
      <c r="D2048" s="3" t="s">
        <v>2563</v>
      </c>
      <c r="E2048" s="3">
        <v>18.5</v>
      </c>
      <c r="F2048" s="3">
        <v>1</v>
      </c>
      <c r="G2048" s="3">
        <f t="shared" si="101"/>
        <v>18.5</v>
      </c>
      <c r="H2048" s="3" t="s">
        <v>3294</v>
      </c>
      <c r="I2048" s="1" t="s">
        <v>301</v>
      </c>
      <c r="J2048" s="1" t="s">
        <v>1000</v>
      </c>
      <c r="K2048" s="1" t="s">
        <v>298</v>
      </c>
      <c r="L2048" s="1" t="s">
        <v>267</v>
      </c>
      <c r="M2048" s="1"/>
      <c r="N2048" s="1">
        <f t="shared" si="100"/>
        <v>7</v>
      </c>
      <c r="O2048" s="87"/>
    </row>
    <row r="2049" spans="1:15" ht="15.75" hidden="1" x14ac:dyDescent="0.25">
      <c r="A2049" s="1" t="str">
        <f t="shared" si="99"/>
        <v>44744447453.7FIFA CCMEDICALNASEEM AL</v>
      </c>
      <c r="B2049" s="2">
        <v>44744</v>
      </c>
      <c r="C2049" s="2">
        <v>44745</v>
      </c>
      <c r="D2049" s="3" t="s">
        <v>2564</v>
      </c>
      <c r="E2049" s="3">
        <v>3.7</v>
      </c>
      <c r="F2049" s="3">
        <v>1</v>
      </c>
      <c r="G2049" s="3">
        <f t="shared" si="101"/>
        <v>3.7</v>
      </c>
      <c r="H2049" s="3" t="s">
        <v>3294</v>
      </c>
      <c r="I2049" s="1" t="s">
        <v>301</v>
      </c>
      <c r="J2049" s="1" t="s">
        <v>1000</v>
      </c>
      <c r="K2049" s="1" t="s">
        <v>298</v>
      </c>
      <c r="L2049" s="1" t="s">
        <v>267</v>
      </c>
      <c r="M2049" s="1"/>
      <c r="N2049" s="1">
        <f t="shared" si="100"/>
        <v>7</v>
      </c>
      <c r="O2049" s="87"/>
    </row>
    <row r="2050" spans="1:15" ht="15.75" hidden="1" x14ac:dyDescent="0.25">
      <c r="A2050" s="1" t="str">
        <f t="shared" ref="A2050:A2113" si="102">B2050&amp;C2050&amp;G2050&amp;H2050&amp;I2050&amp;J2050</f>
        <v>447444474532FIFA CCMEDICALNASEEM AL</v>
      </c>
      <c r="B2050" s="2">
        <v>44744</v>
      </c>
      <c r="C2050" s="2">
        <v>44745</v>
      </c>
      <c r="D2050" s="3" t="s">
        <v>2565</v>
      </c>
      <c r="E2050" s="3">
        <v>32</v>
      </c>
      <c r="F2050" s="3">
        <v>1</v>
      </c>
      <c r="G2050" s="3">
        <f t="shared" si="101"/>
        <v>32</v>
      </c>
      <c r="H2050" s="3" t="s">
        <v>3294</v>
      </c>
      <c r="I2050" s="1" t="s">
        <v>301</v>
      </c>
      <c r="J2050" s="1" t="s">
        <v>1000</v>
      </c>
      <c r="K2050" s="1" t="s">
        <v>298</v>
      </c>
      <c r="L2050" s="1" t="s">
        <v>267</v>
      </c>
      <c r="M2050" s="1"/>
      <c r="N2050" s="1">
        <f t="shared" ref="N2050:N2113" si="103">MONTH(C2050)</f>
        <v>7</v>
      </c>
      <c r="O2050" s="87"/>
    </row>
    <row r="2051" spans="1:15" ht="15.75" hidden="1" x14ac:dyDescent="0.25">
      <c r="A2051" s="1" t="str">
        <f t="shared" si="102"/>
        <v>4474444744197DINERSRENTKAHRAMAA</v>
      </c>
      <c r="B2051" s="2">
        <v>44744</v>
      </c>
      <c r="C2051" s="2">
        <v>44744</v>
      </c>
      <c r="D2051" s="3" t="s">
        <v>2567</v>
      </c>
      <c r="E2051" s="3">
        <v>197</v>
      </c>
      <c r="F2051" s="3">
        <v>1</v>
      </c>
      <c r="G2051" s="3">
        <f t="shared" si="101"/>
        <v>197</v>
      </c>
      <c r="H2051" s="3" t="s">
        <v>266</v>
      </c>
      <c r="I2051" s="1" t="s">
        <v>83</v>
      </c>
      <c r="J2051" s="1" t="s">
        <v>4113</v>
      </c>
      <c r="K2051" s="1" t="s">
        <v>298</v>
      </c>
      <c r="L2051" s="1" t="s">
        <v>267</v>
      </c>
      <c r="M2051" s="1"/>
      <c r="N2051" s="1">
        <f t="shared" si="103"/>
        <v>7</v>
      </c>
      <c r="O2051" s="87"/>
    </row>
    <row r="2052" spans="1:15" ht="15.75" hidden="1" x14ac:dyDescent="0.25">
      <c r="A2052" s="1" t="str">
        <f t="shared" si="102"/>
        <v>4474444744250DINERSRENTVODAFONE</v>
      </c>
      <c r="B2052" s="2">
        <v>44744</v>
      </c>
      <c r="C2052" s="2">
        <v>44744</v>
      </c>
      <c r="D2052" s="3" t="s">
        <v>2568</v>
      </c>
      <c r="E2052" s="3">
        <v>250</v>
      </c>
      <c r="F2052" s="3">
        <v>1</v>
      </c>
      <c r="G2052" s="3">
        <f t="shared" si="101"/>
        <v>250</v>
      </c>
      <c r="H2052" s="3" t="s">
        <v>266</v>
      </c>
      <c r="I2052" s="1" t="s">
        <v>83</v>
      </c>
      <c r="J2052" s="1" t="s">
        <v>78</v>
      </c>
      <c r="K2052" s="1" t="s">
        <v>298</v>
      </c>
      <c r="L2052" s="1" t="s">
        <v>267</v>
      </c>
      <c r="M2052" s="1"/>
      <c r="N2052" s="1">
        <f t="shared" si="103"/>
        <v>7</v>
      </c>
      <c r="O2052" s="87"/>
    </row>
    <row r="2053" spans="1:15" ht="15.75" hidden="1" x14ac:dyDescent="0.25">
      <c r="A2053" s="1" t="str">
        <f t="shared" si="102"/>
        <v>447454474524CURRENTTRANSPORTCAREEM</v>
      </c>
      <c r="B2053" s="2">
        <v>44745</v>
      </c>
      <c r="C2053" s="2">
        <v>44745</v>
      </c>
      <c r="D2053" s="3" t="s">
        <v>2549</v>
      </c>
      <c r="E2053" s="3">
        <v>-24</v>
      </c>
      <c r="F2053" s="3">
        <v>1</v>
      </c>
      <c r="G2053" s="3">
        <f t="shared" si="101"/>
        <v>24</v>
      </c>
      <c r="H2053" s="3" t="s">
        <v>293</v>
      </c>
      <c r="I2053" s="1" t="s">
        <v>296</v>
      </c>
      <c r="J2053" s="1" t="s">
        <v>297</v>
      </c>
      <c r="K2053" s="1" t="s">
        <v>298</v>
      </c>
      <c r="L2053" s="1" t="s">
        <v>257</v>
      </c>
      <c r="M2053" s="1"/>
      <c r="N2053" s="1">
        <f t="shared" si="103"/>
        <v>7</v>
      </c>
      <c r="O2053" s="87"/>
    </row>
    <row r="2054" spans="1:15" ht="15.75" hidden="1" x14ac:dyDescent="0.25">
      <c r="A2054" s="1" t="str">
        <f t="shared" si="102"/>
        <v>447454474517CURRENTTRANSPORTCAREEM</v>
      </c>
      <c r="B2054" s="2">
        <v>44745</v>
      </c>
      <c r="C2054" s="2">
        <v>44745</v>
      </c>
      <c r="D2054" s="3" t="s">
        <v>2550</v>
      </c>
      <c r="E2054" s="3">
        <v>-17</v>
      </c>
      <c r="F2054" s="3">
        <v>1</v>
      </c>
      <c r="G2054" s="3">
        <f t="shared" si="101"/>
        <v>17</v>
      </c>
      <c r="H2054" s="3" t="s">
        <v>293</v>
      </c>
      <c r="I2054" s="1" t="s">
        <v>296</v>
      </c>
      <c r="J2054" s="1" t="s">
        <v>297</v>
      </c>
      <c r="K2054" s="1" t="s">
        <v>298</v>
      </c>
      <c r="L2054" s="1" t="s">
        <v>257</v>
      </c>
      <c r="M2054" s="1"/>
      <c r="N2054" s="1">
        <f t="shared" si="103"/>
        <v>7</v>
      </c>
      <c r="O2054" s="87"/>
    </row>
    <row r="2055" spans="1:15" ht="15.75" hidden="1" x14ac:dyDescent="0.25">
      <c r="A2055" s="1" t="str">
        <f t="shared" si="102"/>
        <v>447454474517.3CURRENTTRANSPORTCAREEM</v>
      </c>
      <c r="B2055" s="2">
        <v>44745</v>
      </c>
      <c r="C2055" s="2">
        <v>44745</v>
      </c>
      <c r="D2055" s="3" t="s">
        <v>2551</v>
      </c>
      <c r="E2055" s="3">
        <v>-17.3</v>
      </c>
      <c r="F2055" s="3">
        <v>1</v>
      </c>
      <c r="G2055" s="3">
        <f t="shared" si="101"/>
        <v>17.3</v>
      </c>
      <c r="H2055" s="3" t="s">
        <v>293</v>
      </c>
      <c r="I2055" s="1" t="s">
        <v>296</v>
      </c>
      <c r="J2055" s="1" t="s">
        <v>297</v>
      </c>
      <c r="K2055" s="1" t="s">
        <v>298</v>
      </c>
      <c r="L2055" s="1" t="s">
        <v>257</v>
      </c>
      <c r="M2055" s="1"/>
      <c r="N2055" s="1">
        <f t="shared" si="103"/>
        <v>7</v>
      </c>
      <c r="O2055" s="87"/>
    </row>
    <row r="2056" spans="1:15" ht="15.75" hidden="1" x14ac:dyDescent="0.25">
      <c r="A2056" s="1" t="str">
        <f t="shared" si="102"/>
        <v>447454474521.8CURRENTTRANSPORTCAREEM</v>
      </c>
      <c r="B2056" s="2">
        <v>44745</v>
      </c>
      <c r="C2056" s="2">
        <v>44745</v>
      </c>
      <c r="D2056" s="3" t="s">
        <v>2552</v>
      </c>
      <c r="E2056" s="3">
        <v>-21.8</v>
      </c>
      <c r="F2056" s="3">
        <v>1</v>
      </c>
      <c r="G2056" s="3">
        <f t="shared" si="101"/>
        <v>21.8</v>
      </c>
      <c r="H2056" s="3" t="s">
        <v>293</v>
      </c>
      <c r="I2056" s="1" t="s">
        <v>296</v>
      </c>
      <c r="J2056" s="1" t="s">
        <v>297</v>
      </c>
      <c r="K2056" s="1" t="s">
        <v>298</v>
      </c>
      <c r="L2056" s="1" t="s">
        <v>257</v>
      </c>
      <c r="M2056" s="1"/>
      <c r="N2056" s="1">
        <f t="shared" si="103"/>
        <v>7</v>
      </c>
      <c r="O2056" s="87"/>
    </row>
    <row r="2057" spans="1:15" ht="15.75" hidden="1" x14ac:dyDescent="0.25">
      <c r="A2057" s="1" t="str">
        <f t="shared" si="102"/>
        <v>447454474533CURRENTTRANSPORTCAREEM</v>
      </c>
      <c r="B2057" s="2">
        <v>44745</v>
      </c>
      <c r="C2057" s="2">
        <v>44745</v>
      </c>
      <c r="D2057" s="3" t="s">
        <v>2553</v>
      </c>
      <c r="E2057" s="3">
        <v>-33</v>
      </c>
      <c r="F2057" s="3">
        <v>1</v>
      </c>
      <c r="G2057" s="3">
        <f t="shared" si="101"/>
        <v>33</v>
      </c>
      <c r="H2057" s="3" t="s">
        <v>293</v>
      </c>
      <c r="I2057" s="1" t="s">
        <v>296</v>
      </c>
      <c r="J2057" s="1" t="s">
        <v>297</v>
      </c>
      <c r="K2057" s="1" t="s">
        <v>298</v>
      </c>
      <c r="L2057" s="1" t="s">
        <v>257</v>
      </c>
      <c r="M2057" s="1"/>
      <c r="N2057" s="1">
        <f t="shared" si="103"/>
        <v>7</v>
      </c>
      <c r="O2057" s="87"/>
    </row>
    <row r="2058" spans="1:15" ht="15.75" hidden="1" x14ac:dyDescent="0.25">
      <c r="A2058" s="1" t="str">
        <f t="shared" si="102"/>
        <v>44745447453000CURRENTSAVINGSELF</v>
      </c>
      <c r="B2058" s="2">
        <v>44745</v>
      </c>
      <c r="C2058" s="2">
        <v>44745</v>
      </c>
      <c r="D2058" s="3" t="s">
        <v>1519</v>
      </c>
      <c r="E2058" s="3">
        <v>-3000</v>
      </c>
      <c r="F2058" s="3">
        <v>1</v>
      </c>
      <c r="G2058" s="3">
        <f t="shared" si="101"/>
        <v>3000</v>
      </c>
      <c r="H2058" s="3" t="s">
        <v>293</v>
      </c>
      <c r="I2058" s="1" t="s">
        <v>302</v>
      </c>
      <c r="J2058" s="1" t="s">
        <v>14</v>
      </c>
      <c r="K2058" s="1" t="s">
        <v>298</v>
      </c>
      <c r="L2058" s="1" t="s">
        <v>257</v>
      </c>
      <c r="M2058" s="1"/>
      <c r="N2058" s="1">
        <f t="shared" si="103"/>
        <v>7</v>
      </c>
      <c r="O2058" s="87"/>
    </row>
    <row r="2059" spans="1:15" ht="15.75" hidden="1" x14ac:dyDescent="0.25">
      <c r="A2059" s="1" t="str">
        <f t="shared" si="102"/>
        <v>44745447452000CURRENTSAVINGSELF</v>
      </c>
      <c r="B2059" s="2">
        <v>44745</v>
      </c>
      <c r="C2059" s="2">
        <v>44745</v>
      </c>
      <c r="D2059" s="3" t="s">
        <v>1939</v>
      </c>
      <c r="E2059" s="3">
        <v>-2000</v>
      </c>
      <c r="F2059" s="3">
        <v>1</v>
      </c>
      <c r="G2059" s="3">
        <f t="shared" ref="G2059:G2122" si="104">ABS(E2059)*F2059</f>
        <v>2000</v>
      </c>
      <c r="H2059" s="3" t="s">
        <v>293</v>
      </c>
      <c r="I2059" s="1" t="s">
        <v>302</v>
      </c>
      <c r="J2059" s="1" t="s">
        <v>14</v>
      </c>
      <c r="K2059" s="1" t="s">
        <v>298</v>
      </c>
      <c r="L2059" s="1" t="s">
        <v>257</v>
      </c>
      <c r="M2059" s="1"/>
      <c r="N2059" s="1">
        <f t="shared" si="103"/>
        <v>7</v>
      </c>
      <c r="O2059" s="87"/>
    </row>
    <row r="2060" spans="1:15" ht="15.75" hidden="1" x14ac:dyDescent="0.25">
      <c r="A2060" s="1" t="str">
        <f t="shared" si="102"/>
        <v>4474544745500CURRENTSAVINGARTI</v>
      </c>
      <c r="B2060" s="2">
        <v>44745</v>
      </c>
      <c r="C2060" s="2">
        <v>44745</v>
      </c>
      <c r="D2060" s="3" t="s">
        <v>1588</v>
      </c>
      <c r="E2060" s="3">
        <v>-500</v>
      </c>
      <c r="F2060" s="3">
        <v>1</v>
      </c>
      <c r="G2060" s="3">
        <f t="shared" si="104"/>
        <v>500</v>
      </c>
      <c r="H2060" s="3" t="s">
        <v>293</v>
      </c>
      <c r="I2060" s="1" t="s">
        <v>302</v>
      </c>
      <c r="J2060" s="1" t="s">
        <v>453</v>
      </c>
      <c r="K2060" s="1" t="s">
        <v>298</v>
      </c>
      <c r="L2060" s="1" t="s">
        <v>257</v>
      </c>
      <c r="M2060" s="1"/>
      <c r="N2060" s="1">
        <f t="shared" si="103"/>
        <v>7</v>
      </c>
      <c r="O2060" s="87"/>
    </row>
    <row r="2061" spans="1:15" ht="15.75" hidden="1" x14ac:dyDescent="0.25">
      <c r="A2061" s="1" t="str">
        <f t="shared" si="102"/>
        <v>447454474714FIFA CCFOODQATAR AIR</v>
      </c>
      <c r="B2061" s="2">
        <v>44745</v>
      </c>
      <c r="C2061" s="2">
        <v>44747</v>
      </c>
      <c r="D2061" s="3" t="s">
        <v>2560</v>
      </c>
      <c r="E2061" s="3">
        <v>14</v>
      </c>
      <c r="F2061" s="3">
        <v>1</v>
      </c>
      <c r="G2061" s="3">
        <f t="shared" si="104"/>
        <v>14</v>
      </c>
      <c r="H2061" s="3" t="s">
        <v>3294</v>
      </c>
      <c r="I2061" s="1" t="s">
        <v>10</v>
      </c>
      <c r="J2061" s="1" t="s">
        <v>19</v>
      </c>
      <c r="K2061" s="1" t="s">
        <v>298</v>
      </c>
      <c r="L2061" s="1" t="s">
        <v>267</v>
      </c>
      <c r="M2061" s="1"/>
      <c r="N2061" s="1">
        <f t="shared" si="103"/>
        <v>7</v>
      </c>
      <c r="O2061" s="87"/>
    </row>
    <row r="2062" spans="1:15" s="153" customFormat="1" ht="15.75" hidden="1" x14ac:dyDescent="0.25">
      <c r="A2062" s="1" t="str">
        <f t="shared" si="102"/>
        <v>447454474760MASTER CCTELECOMOOREDOO</v>
      </c>
      <c r="B2062" s="2">
        <v>44745</v>
      </c>
      <c r="C2062" s="2">
        <v>44747</v>
      </c>
      <c r="D2062" s="3" t="s">
        <v>2569</v>
      </c>
      <c r="E2062" s="3">
        <v>60</v>
      </c>
      <c r="F2062" s="3">
        <v>1</v>
      </c>
      <c r="G2062" s="3">
        <f t="shared" si="104"/>
        <v>60</v>
      </c>
      <c r="H2062" s="3" t="s">
        <v>291</v>
      </c>
      <c r="I2062" s="1" t="s">
        <v>58</v>
      </c>
      <c r="J2062" s="1" t="s">
        <v>59</v>
      </c>
      <c r="K2062" s="1" t="s">
        <v>298</v>
      </c>
      <c r="L2062" s="1" t="s">
        <v>267</v>
      </c>
      <c r="M2062" s="1"/>
      <c r="N2062" s="1">
        <f t="shared" si="103"/>
        <v>7</v>
      </c>
      <c r="O2062" s="87"/>
    </row>
    <row r="2063" spans="1:15" s="153" customFormat="1" ht="15.75" hidden="1" x14ac:dyDescent="0.25">
      <c r="A2063" s="1" t="str">
        <f t="shared" si="102"/>
        <v>44746447468.9CURRENTTRANSPORTCAREEM</v>
      </c>
      <c r="B2063" s="2">
        <v>44746</v>
      </c>
      <c r="C2063" s="2">
        <v>44746</v>
      </c>
      <c r="D2063" s="3" t="s">
        <v>2548</v>
      </c>
      <c r="E2063" s="3">
        <v>-8.9</v>
      </c>
      <c r="F2063" s="3">
        <v>1</v>
      </c>
      <c r="G2063" s="3">
        <f t="shared" si="104"/>
        <v>8.9</v>
      </c>
      <c r="H2063" s="3" t="s">
        <v>293</v>
      </c>
      <c r="I2063" s="1" t="s">
        <v>296</v>
      </c>
      <c r="J2063" s="1" t="s">
        <v>297</v>
      </c>
      <c r="K2063" s="1" t="s">
        <v>298</v>
      </c>
      <c r="L2063" s="1" t="s">
        <v>257</v>
      </c>
      <c r="M2063" s="1"/>
      <c r="N2063" s="1">
        <f t="shared" si="103"/>
        <v>7</v>
      </c>
      <c r="O2063" s="87"/>
    </row>
    <row r="2064" spans="1:15" s="153" customFormat="1" ht="15.75" hidden="1" x14ac:dyDescent="0.25">
      <c r="A2064" s="1" t="str">
        <f t="shared" si="102"/>
        <v>447464474824FIFA CCGROCERYTOTAL FRESH</v>
      </c>
      <c r="B2064" s="2">
        <v>44746</v>
      </c>
      <c r="C2064" s="2">
        <v>44748</v>
      </c>
      <c r="D2064" s="3" t="s">
        <v>2559</v>
      </c>
      <c r="E2064" s="3">
        <v>24</v>
      </c>
      <c r="F2064" s="3">
        <v>1</v>
      </c>
      <c r="G2064" s="3">
        <f t="shared" si="104"/>
        <v>24</v>
      </c>
      <c r="H2064" s="3" t="s">
        <v>3294</v>
      </c>
      <c r="I2064" s="1" t="s">
        <v>43</v>
      </c>
      <c r="J2064" s="1" t="s">
        <v>1394</v>
      </c>
      <c r="K2064" s="1" t="s">
        <v>298</v>
      </c>
      <c r="L2064" s="1" t="s">
        <v>267</v>
      </c>
      <c r="M2064" s="1"/>
      <c r="N2064" s="1">
        <f t="shared" si="103"/>
        <v>7</v>
      </c>
      <c r="O2064" s="87"/>
    </row>
    <row r="2065" spans="1:109" s="153" customFormat="1" ht="15.75" hidden="1" x14ac:dyDescent="0.25">
      <c r="A2065" s="1" t="str">
        <f t="shared" si="102"/>
        <v>447474474732.5CURRENTTRANSPORTCAREEM</v>
      </c>
      <c r="B2065" s="2">
        <v>44747</v>
      </c>
      <c r="C2065" s="2">
        <v>44747</v>
      </c>
      <c r="D2065" s="3" t="s">
        <v>2546</v>
      </c>
      <c r="E2065" s="3">
        <v>-32.5</v>
      </c>
      <c r="F2065" s="3">
        <v>1</v>
      </c>
      <c r="G2065" s="3">
        <f t="shared" si="104"/>
        <v>32.5</v>
      </c>
      <c r="H2065" s="3" t="s">
        <v>293</v>
      </c>
      <c r="I2065" s="1" t="s">
        <v>296</v>
      </c>
      <c r="J2065" s="1" t="s">
        <v>297</v>
      </c>
      <c r="K2065" s="1" t="s">
        <v>298</v>
      </c>
      <c r="L2065" s="1" t="s">
        <v>257</v>
      </c>
      <c r="M2065" s="1"/>
      <c r="N2065" s="1">
        <f t="shared" si="103"/>
        <v>7</v>
      </c>
      <c r="O2065" s="87"/>
    </row>
    <row r="2066" spans="1:109" s="153" customFormat="1" ht="15.75" hidden="1" x14ac:dyDescent="0.25">
      <c r="A2066" s="1" t="str">
        <f t="shared" si="102"/>
        <v>44747447471250CURRENTSAVINGSELF</v>
      </c>
      <c r="B2066" s="2">
        <v>44747</v>
      </c>
      <c r="C2066" s="2">
        <v>44747</v>
      </c>
      <c r="D2066" s="3" t="s">
        <v>1167</v>
      </c>
      <c r="E2066" s="3">
        <v>-1250</v>
      </c>
      <c r="F2066" s="3">
        <v>1</v>
      </c>
      <c r="G2066" s="3">
        <f t="shared" si="104"/>
        <v>1250</v>
      </c>
      <c r="H2066" s="3" t="s">
        <v>293</v>
      </c>
      <c r="I2066" s="1" t="s">
        <v>302</v>
      </c>
      <c r="J2066" s="1" t="s">
        <v>14</v>
      </c>
      <c r="K2066" s="1" t="s">
        <v>298</v>
      </c>
      <c r="L2066" s="1" t="s">
        <v>257</v>
      </c>
      <c r="M2066" s="1"/>
      <c r="N2066" s="1">
        <f t="shared" si="103"/>
        <v>7</v>
      </c>
      <c r="O2066" s="87"/>
    </row>
    <row r="2067" spans="1:109" s="153" customFormat="1" ht="15.75" hidden="1" x14ac:dyDescent="0.25">
      <c r="A2067" s="1" t="str">
        <f t="shared" si="102"/>
        <v>4474744747370CURRENTENTERTAINMENTFIFA</v>
      </c>
      <c r="B2067" s="2">
        <v>44747</v>
      </c>
      <c r="C2067" s="2">
        <v>44747</v>
      </c>
      <c r="D2067" s="3" t="s">
        <v>2547</v>
      </c>
      <c r="E2067" s="3">
        <v>-370</v>
      </c>
      <c r="F2067" s="3">
        <v>1</v>
      </c>
      <c r="G2067" s="3">
        <f t="shared" si="104"/>
        <v>370</v>
      </c>
      <c r="H2067" s="3" t="s">
        <v>293</v>
      </c>
      <c r="I2067" s="1" t="s">
        <v>2476</v>
      </c>
      <c r="J2067" s="1" t="s">
        <v>2570</v>
      </c>
      <c r="K2067" s="1" t="s">
        <v>298</v>
      </c>
      <c r="L2067" s="1" t="s">
        <v>257</v>
      </c>
      <c r="M2067" s="1"/>
      <c r="N2067" s="1">
        <f t="shared" si="103"/>
        <v>7</v>
      </c>
      <c r="O2067" s="87"/>
    </row>
    <row r="2068" spans="1:109" s="153" customFormat="1" ht="15.75" hidden="1" x14ac:dyDescent="0.25">
      <c r="A2068" s="1" t="str">
        <f t="shared" si="102"/>
        <v>4474844748600CURRENTEDUCATIONDAFFODILES</v>
      </c>
      <c r="B2068" s="2">
        <v>44748</v>
      </c>
      <c r="C2068" s="2">
        <v>44748</v>
      </c>
      <c r="D2068" s="3" t="s">
        <v>2545</v>
      </c>
      <c r="E2068" s="3">
        <v>-600</v>
      </c>
      <c r="F2068" s="3">
        <v>1</v>
      </c>
      <c r="G2068" s="3">
        <f t="shared" si="104"/>
        <v>600</v>
      </c>
      <c r="H2068" s="3" t="s">
        <v>293</v>
      </c>
      <c r="I2068" s="1" t="s">
        <v>543</v>
      </c>
      <c r="J2068" s="1" t="s">
        <v>2271</v>
      </c>
      <c r="K2068" s="1" t="s">
        <v>298</v>
      </c>
      <c r="L2068" s="1" t="s">
        <v>257</v>
      </c>
      <c r="M2068" s="1"/>
      <c r="N2068" s="1">
        <f t="shared" si="103"/>
        <v>7</v>
      </c>
      <c r="O2068" s="87"/>
    </row>
    <row r="2069" spans="1:109" s="153" customFormat="1" ht="15.75" hidden="1" x14ac:dyDescent="0.25">
      <c r="A2069" s="1" t="str">
        <f t="shared" si="102"/>
        <v>447484474972FIFA CCGROCERYTOTAL FRESH</v>
      </c>
      <c r="B2069" s="2">
        <v>44748</v>
      </c>
      <c r="C2069" s="2">
        <v>44749</v>
      </c>
      <c r="D2069" s="3" t="s">
        <v>2558</v>
      </c>
      <c r="E2069" s="3">
        <v>72</v>
      </c>
      <c r="F2069" s="3">
        <v>1</v>
      </c>
      <c r="G2069" s="3">
        <f t="shared" si="104"/>
        <v>72</v>
      </c>
      <c r="H2069" s="3" t="s">
        <v>3294</v>
      </c>
      <c r="I2069" s="1" t="s">
        <v>43</v>
      </c>
      <c r="J2069" s="1" t="s">
        <v>1394</v>
      </c>
      <c r="K2069" s="1" t="s">
        <v>298</v>
      </c>
      <c r="L2069" s="1" t="s">
        <v>267</v>
      </c>
      <c r="M2069" s="1"/>
      <c r="N2069" s="1">
        <f t="shared" si="103"/>
        <v>7</v>
      </c>
      <c r="O2069" s="87"/>
    </row>
    <row r="2070" spans="1:109" s="153" customFormat="1" ht="15.75" hidden="1" x14ac:dyDescent="0.25">
      <c r="A2070" s="1" t="str">
        <f t="shared" si="102"/>
        <v>44749447491000CURRENTWITHDRAWSELF</v>
      </c>
      <c r="B2070" s="2">
        <v>44749</v>
      </c>
      <c r="C2070" s="2">
        <v>44749</v>
      </c>
      <c r="D2070" s="3" t="s">
        <v>2541</v>
      </c>
      <c r="E2070" s="3">
        <v>-1000</v>
      </c>
      <c r="F2070" s="3">
        <v>1</v>
      </c>
      <c r="G2070" s="3">
        <f t="shared" si="104"/>
        <v>1000</v>
      </c>
      <c r="H2070" s="3" t="s">
        <v>293</v>
      </c>
      <c r="I2070" s="1" t="s">
        <v>13</v>
      </c>
      <c r="J2070" s="1" t="s">
        <v>14</v>
      </c>
      <c r="K2070" s="1" t="s">
        <v>298</v>
      </c>
      <c r="L2070" s="1" t="s">
        <v>257</v>
      </c>
      <c r="M2070" s="1"/>
      <c r="N2070" s="1">
        <f t="shared" si="103"/>
        <v>7</v>
      </c>
      <c r="O2070" s="87"/>
    </row>
    <row r="2071" spans="1:109" s="153" customFormat="1" ht="15.75" hidden="1" x14ac:dyDescent="0.25">
      <c r="A2071" s="1" t="str">
        <f t="shared" si="102"/>
        <v>44749447492133CURRENTLOANBANK</v>
      </c>
      <c r="B2071" s="2">
        <v>44749</v>
      </c>
      <c r="C2071" s="2">
        <v>44749</v>
      </c>
      <c r="D2071" s="3" t="s">
        <v>2542</v>
      </c>
      <c r="E2071" s="3">
        <v>-2133</v>
      </c>
      <c r="F2071" s="3">
        <v>1</v>
      </c>
      <c r="G2071" s="3">
        <f t="shared" si="104"/>
        <v>2133</v>
      </c>
      <c r="H2071" s="3" t="s">
        <v>293</v>
      </c>
      <c r="I2071" s="1" t="s">
        <v>3</v>
      </c>
      <c r="J2071" s="1" t="s">
        <v>8</v>
      </c>
      <c r="K2071" s="1" t="s">
        <v>298</v>
      </c>
      <c r="L2071" s="1" t="s">
        <v>257</v>
      </c>
      <c r="M2071" s="1">
        <v>1</v>
      </c>
      <c r="N2071" s="1">
        <f t="shared" si="103"/>
        <v>7</v>
      </c>
      <c r="O2071" s="87"/>
    </row>
    <row r="2072" spans="1:109" s="153" customFormat="1" ht="15.75" hidden="1" x14ac:dyDescent="0.25">
      <c r="A2072" s="1" t="str">
        <f t="shared" si="102"/>
        <v>44749447490CURRENTSAVINGSELF</v>
      </c>
      <c r="B2072" s="2">
        <v>44749</v>
      </c>
      <c r="C2072" s="2">
        <v>44749</v>
      </c>
      <c r="D2072" s="3" t="s">
        <v>2543</v>
      </c>
      <c r="E2072" s="3">
        <v>-136000</v>
      </c>
      <c r="F2072" s="3">
        <v>0</v>
      </c>
      <c r="G2072" s="3">
        <f t="shared" si="104"/>
        <v>0</v>
      </c>
      <c r="H2072" s="3" t="s">
        <v>293</v>
      </c>
      <c r="I2072" s="1" t="s">
        <v>302</v>
      </c>
      <c r="J2072" s="1" t="s">
        <v>14</v>
      </c>
      <c r="K2072" s="1" t="s">
        <v>298</v>
      </c>
      <c r="L2072" s="1" t="s">
        <v>257</v>
      </c>
      <c r="M2072" s="1"/>
      <c r="N2072" s="1">
        <f t="shared" si="103"/>
        <v>7</v>
      </c>
      <c r="O2072" s="87"/>
    </row>
    <row r="2073" spans="1:109" s="153" customFormat="1" ht="15.75" hidden="1" x14ac:dyDescent="0.25">
      <c r="A2073" s="1" t="str">
        <f t="shared" si="102"/>
        <v>447494474946000CURRENTSAVINGSELF</v>
      </c>
      <c r="B2073" s="2">
        <v>44749</v>
      </c>
      <c r="C2073" s="2">
        <v>44749</v>
      </c>
      <c r="D2073" s="3" t="s">
        <v>2543</v>
      </c>
      <c r="E2073" s="3">
        <v>-46000</v>
      </c>
      <c r="F2073" s="3">
        <v>1</v>
      </c>
      <c r="G2073" s="3">
        <f t="shared" si="104"/>
        <v>46000</v>
      </c>
      <c r="H2073" s="3" t="s">
        <v>293</v>
      </c>
      <c r="I2073" s="1" t="s">
        <v>302</v>
      </c>
      <c r="J2073" s="1" t="s">
        <v>14</v>
      </c>
      <c r="K2073" s="1" t="s">
        <v>298</v>
      </c>
      <c r="L2073" s="1" t="s">
        <v>257</v>
      </c>
      <c r="M2073" s="1"/>
      <c r="N2073" s="1">
        <f t="shared" si="103"/>
        <v>7</v>
      </c>
      <c r="O2073" s="87" t="s">
        <v>2586</v>
      </c>
    </row>
    <row r="2074" spans="1:109" s="153" customFormat="1" ht="15.75" hidden="1" x14ac:dyDescent="0.25">
      <c r="A2074" s="1" t="str">
        <f t="shared" si="102"/>
        <v>4474944749127133CURRENTLOANBANK</v>
      </c>
      <c r="B2074" s="2">
        <v>44749</v>
      </c>
      <c r="C2074" s="2">
        <v>44749</v>
      </c>
      <c r="D2074" s="3" t="s">
        <v>2544</v>
      </c>
      <c r="E2074" s="3">
        <v>127133</v>
      </c>
      <c r="F2074" s="3">
        <v>1</v>
      </c>
      <c r="G2074" s="3">
        <f t="shared" si="104"/>
        <v>127133</v>
      </c>
      <c r="H2074" s="3" t="s">
        <v>293</v>
      </c>
      <c r="I2074" s="1" t="s">
        <v>3</v>
      </c>
      <c r="J2074" s="1" t="s">
        <v>8</v>
      </c>
      <c r="K2074" s="1" t="s">
        <v>300</v>
      </c>
      <c r="L2074" s="1" t="s">
        <v>257</v>
      </c>
      <c r="M2074" s="1"/>
      <c r="N2074" s="1">
        <f t="shared" si="103"/>
        <v>7</v>
      </c>
      <c r="O2074" s="87"/>
    </row>
    <row r="2075" spans="1:109" s="153" customFormat="1" ht="15.75" hidden="1" x14ac:dyDescent="0.25">
      <c r="A2075" s="1" t="str">
        <f t="shared" si="102"/>
        <v>4474944753174.55FIFA CCGROCERYLULU</v>
      </c>
      <c r="B2075" s="2">
        <v>44749</v>
      </c>
      <c r="C2075" s="2">
        <v>44753</v>
      </c>
      <c r="D2075" s="3" t="s">
        <v>2554</v>
      </c>
      <c r="E2075" s="3">
        <v>174.55</v>
      </c>
      <c r="F2075" s="3">
        <v>1</v>
      </c>
      <c r="G2075" s="3">
        <f t="shared" si="104"/>
        <v>174.55</v>
      </c>
      <c r="H2075" s="3" t="s">
        <v>3294</v>
      </c>
      <c r="I2075" s="1" t="s">
        <v>43</v>
      </c>
      <c r="J2075" s="1" t="s">
        <v>44</v>
      </c>
      <c r="K2075" s="1" t="s">
        <v>298</v>
      </c>
      <c r="L2075" s="1" t="s">
        <v>267</v>
      </c>
      <c r="M2075" s="1"/>
      <c r="N2075" s="1">
        <f t="shared" si="103"/>
        <v>7</v>
      </c>
      <c r="O2075" s="87"/>
    </row>
    <row r="2076" spans="1:109" s="153" customFormat="1" ht="15.75" hidden="1" x14ac:dyDescent="0.25">
      <c r="A2076" s="1" t="str">
        <f t="shared" si="102"/>
        <v>447494475116.9FIFA CCTRANSPORTCAREEM</v>
      </c>
      <c r="B2076" s="2">
        <v>44749</v>
      </c>
      <c r="C2076" s="2">
        <v>44751</v>
      </c>
      <c r="D2076" s="3" t="s">
        <v>2555</v>
      </c>
      <c r="E2076" s="3">
        <v>16.899999999999999</v>
      </c>
      <c r="F2076" s="3">
        <v>1</v>
      </c>
      <c r="G2076" s="3">
        <f t="shared" si="104"/>
        <v>16.899999999999999</v>
      </c>
      <c r="H2076" s="3" t="s">
        <v>3294</v>
      </c>
      <c r="I2076" s="1" t="s">
        <v>296</v>
      </c>
      <c r="J2076" s="1" t="s">
        <v>297</v>
      </c>
      <c r="K2076" s="1" t="s">
        <v>298</v>
      </c>
      <c r="L2076" s="1" t="s">
        <v>267</v>
      </c>
      <c r="M2076" s="1"/>
      <c r="N2076" s="1">
        <f t="shared" si="103"/>
        <v>7</v>
      </c>
      <c r="O2076" s="87"/>
    </row>
    <row r="2077" spans="1:109" s="153" customFormat="1" ht="15.75" hidden="1" x14ac:dyDescent="0.25">
      <c r="A2077" s="1" t="str">
        <f t="shared" si="102"/>
        <v>447494475117.1FIFA CCTRANSPORTCAREEM</v>
      </c>
      <c r="B2077" s="2">
        <v>44749</v>
      </c>
      <c r="C2077" s="2">
        <v>44751</v>
      </c>
      <c r="D2077" s="3" t="s">
        <v>2556</v>
      </c>
      <c r="E2077" s="3">
        <v>17.100000000000001</v>
      </c>
      <c r="F2077" s="3">
        <v>1</v>
      </c>
      <c r="G2077" s="3">
        <f t="shared" si="104"/>
        <v>17.100000000000001</v>
      </c>
      <c r="H2077" s="3" t="s">
        <v>3294</v>
      </c>
      <c r="I2077" s="1" t="s">
        <v>296</v>
      </c>
      <c r="J2077" s="1" t="s">
        <v>297</v>
      </c>
      <c r="K2077" s="1" t="s">
        <v>298</v>
      </c>
      <c r="L2077" s="1" t="s">
        <v>267</v>
      </c>
      <c r="M2077" s="1"/>
      <c r="N2077" s="1">
        <f t="shared" si="103"/>
        <v>7</v>
      </c>
      <c r="O2077" s="87"/>
    </row>
    <row r="2078" spans="1:109" s="153" customFormat="1" ht="15.75" hidden="1" x14ac:dyDescent="0.25">
      <c r="A2078" s="1" t="str">
        <f t="shared" si="102"/>
        <v>44749447517.5FIFA CCTRANSPORTCAREEM</v>
      </c>
      <c r="B2078" s="2">
        <v>44749</v>
      </c>
      <c r="C2078" s="2">
        <v>44751</v>
      </c>
      <c r="D2078" s="3" t="s">
        <v>2557</v>
      </c>
      <c r="E2078" s="3">
        <v>7.5</v>
      </c>
      <c r="F2078" s="3">
        <v>1</v>
      </c>
      <c r="G2078" s="3">
        <f t="shared" si="104"/>
        <v>7.5</v>
      </c>
      <c r="H2078" s="3" t="s">
        <v>3294</v>
      </c>
      <c r="I2078" s="1" t="s">
        <v>296</v>
      </c>
      <c r="J2078" s="1" t="s">
        <v>297</v>
      </c>
      <c r="K2078" s="1" t="s">
        <v>298</v>
      </c>
      <c r="L2078" s="1" t="s">
        <v>267</v>
      </c>
      <c r="M2078" s="1"/>
      <c r="N2078" s="1">
        <f t="shared" si="103"/>
        <v>7</v>
      </c>
      <c r="O2078" s="87"/>
    </row>
    <row r="2079" spans="1:109" s="153" customFormat="1" ht="15.75" hidden="1" x14ac:dyDescent="0.25">
      <c r="A2079" s="1" t="str">
        <f t="shared" si="102"/>
        <v>44750447500SAVINGTRANSFERSELF</v>
      </c>
      <c r="B2079" s="2">
        <v>44750</v>
      </c>
      <c r="C2079" s="2">
        <v>44750</v>
      </c>
      <c r="D2079" s="3" t="s">
        <v>2535</v>
      </c>
      <c r="E2079" s="3">
        <v>20000</v>
      </c>
      <c r="F2079" s="3">
        <v>0</v>
      </c>
      <c r="G2079" s="3">
        <f t="shared" si="104"/>
        <v>0</v>
      </c>
      <c r="H2079" s="3" t="s">
        <v>302</v>
      </c>
      <c r="I2079" s="1" t="s">
        <v>22</v>
      </c>
      <c r="J2079" s="1" t="s">
        <v>14</v>
      </c>
      <c r="K2079" s="1" t="s">
        <v>22</v>
      </c>
      <c r="L2079" s="1" t="s">
        <v>257</v>
      </c>
      <c r="M2079" s="1"/>
      <c r="N2079" s="1">
        <f t="shared" si="103"/>
        <v>7</v>
      </c>
      <c r="O2079" s="87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  <c r="BF2079"/>
      <c r="BG2079"/>
      <c r="BH2079"/>
      <c r="BI2079"/>
      <c r="BJ2079"/>
      <c r="BK2079"/>
      <c r="BL2079"/>
      <c r="BM2079"/>
      <c r="BN2079"/>
      <c r="BO2079"/>
      <c r="BP2079"/>
      <c r="BQ2079"/>
      <c r="BR2079"/>
      <c r="BS2079"/>
      <c r="BT2079"/>
      <c r="BU2079"/>
      <c r="BV2079"/>
      <c r="BW2079"/>
      <c r="BX2079"/>
      <c r="BY2079"/>
      <c r="BZ2079"/>
      <c r="CA2079"/>
      <c r="CB2079"/>
      <c r="CC2079"/>
      <c r="CD2079"/>
      <c r="CE2079"/>
      <c r="CF2079"/>
      <c r="CG2079"/>
      <c r="CH2079"/>
      <c r="CI2079"/>
      <c r="CJ2079"/>
      <c r="CK2079"/>
      <c r="CL2079"/>
      <c r="CM2079"/>
      <c r="CN2079"/>
      <c r="CO2079"/>
      <c r="CP2079"/>
      <c r="CQ2079"/>
      <c r="CR2079"/>
      <c r="CS2079"/>
      <c r="CT2079"/>
      <c r="CU2079"/>
      <c r="CV2079"/>
      <c r="CW2079"/>
      <c r="CX2079"/>
      <c r="CY2079"/>
      <c r="CZ2079"/>
      <c r="DA2079"/>
      <c r="DB2079"/>
      <c r="DC2079"/>
      <c r="DD2079"/>
      <c r="DE2079"/>
    </row>
    <row r="2080" spans="1:109" s="153" customFormat="1" ht="15.75" hidden="1" x14ac:dyDescent="0.25">
      <c r="A2080" s="1" t="str">
        <f t="shared" si="102"/>
        <v>447504475010021CURRENTTRANSFERINDIA</v>
      </c>
      <c r="B2080" s="2">
        <v>44750</v>
      </c>
      <c r="C2080" s="2">
        <v>44750</v>
      </c>
      <c r="D2080" s="3" t="s">
        <v>2533</v>
      </c>
      <c r="E2080" s="3">
        <v>-10021</v>
      </c>
      <c r="F2080" s="3">
        <v>1</v>
      </c>
      <c r="G2080" s="3">
        <f t="shared" si="104"/>
        <v>10021</v>
      </c>
      <c r="H2080" s="3" t="s">
        <v>293</v>
      </c>
      <c r="I2080" s="1" t="s">
        <v>22</v>
      </c>
      <c r="J2080" s="1" t="s">
        <v>23</v>
      </c>
      <c r="K2080" s="1" t="s">
        <v>298</v>
      </c>
      <c r="L2080" s="1" t="s">
        <v>257</v>
      </c>
      <c r="M2080" s="1"/>
      <c r="N2080" s="1">
        <f t="shared" si="103"/>
        <v>7</v>
      </c>
      <c r="O2080" s="87"/>
    </row>
    <row r="2081" spans="1:15" s="153" customFormat="1" ht="15.75" hidden="1" x14ac:dyDescent="0.25">
      <c r="A2081" s="1" t="str">
        <f t="shared" si="102"/>
        <v>447504475370FIFA CCENTERTAINMENTFUN</v>
      </c>
      <c r="B2081" s="2">
        <v>44750</v>
      </c>
      <c r="C2081" s="2">
        <v>44753</v>
      </c>
      <c r="D2081" s="3" t="s">
        <v>2577</v>
      </c>
      <c r="E2081" s="3">
        <v>70</v>
      </c>
      <c r="F2081" s="3">
        <v>1</v>
      </c>
      <c r="G2081" s="3">
        <f t="shared" si="104"/>
        <v>70</v>
      </c>
      <c r="H2081" s="3" t="s">
        <v>3294</v>
      </c>
      <c r="I2081" s="1" t="s">
        <v>2476</v>
      </c>
      <c r="J2081" s="1" t="s">
        <v>2581</v>
      </c>
      <c r="K2081" s="1" t="s">
        <v>298</v>
      </c>
      <c r="L2081" s="1" t="s">
        <v>267</v>
      </c>
      <c r="M2081" s="1"/>
      <c r="N2081" s="1">
        <f t="shared" si="103"/>
        <v>7</v>
      </c>
      <c r="O2081" s="87"/>
    </row>
    <row r="2082" spans="1:15" s="153" customFormat="1" ht="15.75" hidden="1" x14ac:dyDescent="0.25">
      <c r="A2082" s="1" t="str">
        <f t="shared" si="102"/>
        <v>44750447535FIFA CCFOODMCDONALDS</v>
      </c>
      <c r="B2082" s="2">
        <v>44750</v>
      </c>
      <c r="C2082" s="2">
        <v>44753</v>
      </c>
      <c r="D2082" s="3" t="s">
        <v>2578</v>
      </c>
      <c r="E2082" s="3">
        <v>5</v>
      </c>
      <c r="F2082" s="3">
        <v>1</v>
      </c>
      <c r="G2082" s="3">
        <f t="shared" si="104"/>
        <v>5</v>
      </c>
      <c r="H2082" s="3" t="s">
        <v>3294</v>
      </c>
      <c r="I2082" s="1" t="s">
        <v>10</v>
      </c>
      <c r="J2082" s="1" t="s">
        <v>2582</v>
      </c>
      <c r="K2082" s="1" t="s">
        <v>298</v>
      </c>
      <c r="L2082" s="1" t="s">
        <v>267</v>
      </c>
      <c r="M2082" s="1"/>
      <c r="N2082" s="1">
        <f t="shared" si="103"/>
        <v>7</v>
      </c>
      <c r="O2082" s="87"/>
    </row>
    <row r="2083" spans="1:15" s="153" customFormat="1" ht="15.75" hidden="1" x14ac:dyDescent="0.25">
      <c r="A2083" s="1" t="str">
        <f t="shared" si="102"/>
        <v>447504475210.8FIFA CCTRANSPORTCAREEM</v>
      </c>
      <c r="B2083" s="2">
        <v>44750</v>
      </c>
      <c r="C2083" s="2">
        <v>44752</v>
      </c>
      <c r="D2083" s="3" t="s">
        <v>2579</v>
      </c>
      <c r="E2083" s="3">
        <v>10.8</v>
      </c>
      <c r="F2083" s="3">
        <v>1</v>
      </c>
      <c r="G2083" s="3">
        <f t="shared" si="104"/>
        <v>10.8</v>
      </c>
      <c r="H2083" s="3" t="s">
        <v>3294</v>
      </c>
      <c r="I2083" s="1" t="s">
        <v>296</v>
      </c>
      <c r="J2083" s="1" t="s">
        <v>297</v>
      </c>
      <c r="K2083" s="1" t="s">
        <v>298</v>
      </c>
      <c r="L2083" s="1" t="s">
        <v>267</v>
      </c>
      <c r="M2083" s="1"/>
      <c r="N2083" s="1">
        <f t="shared" si="103"/>
        <v>7</v>
      </c>
      <c r="O2083" s="87"/>
    </row>
    <row r="2084" spans="1:15" s="153" customFormat="1" ht="15.75" hidden="1" x14ac:dyDescent="0.25">
      <c r="A2084" s="1" t="str">
        <f t="shared" si="102"/>
        <v>44750447529.6FIFA CCTRANSPORTCAREEM</v>
      </c>
      <c r="B2084" s="2">
        <v>44750</v>
      </c>
      <c r="C2084" s="2">
        <v>44752</v>
      </c>
      <c r="D2084" s="3" t="s">
        <v>2580</v>
      </c>
      <c r="E2084" s="3">
        <v>9.6</v>
      </c>
      <c r="F2084" s="3">
        <v>1</v>
      </c>
      <c r="G2084" s="3">
        <f t="shared" si="104"/>
        <v>9.6</v>
      </c>
      <c r="H2084" s="3" t="s">
        <v>3294</v>
      </c>
      <c r="I2084" s="1" t="s">
        <v>296</v>
      </c>
      <c r="J2084" s="1" t="s">
        <v>297</v>
      </c>
      <c r="K2084" s="1" t="s">
        <v>298</v>
      </c>
      <c r="L2084" s="1" t="s">
        <v>267</v>
      </c>
      <c r="M2084" s="1"/>
      <c r="N2084" s="1">
        <f t="shared" si="103"/>
        <v>7</v>
      </c>
      <c r="O2084" s="87"/>
    </row>
    <row r="2085" spans="1:15" s="153" customFormat="1" ht="15.75" hidden="1" x14ac:dyDescent="0.25">
      <c r="A2085" s="1" t="str">
        <f t="shared" si="102"/>
        <v>447514475110020CURRENTTRANSFERINDIA</v>
      </c>
      <c r="B2085" s="2">
        <v>44751</v>
      </c>
      <c r="C2085" s="2">
        <v>44751</v>
      </c>
      <c r="D2085" s="3" t="s">
        <v>2533</v>
      </c>
      <c r="E2085" s="3">
        <v>-10020</v>
      </c>
      <c r="F2085" s="3">
        <v>1</v>
      </c>
      <c r="G2085" s="3">
        <f t="shared" si="104"/>
        <v>10020</v>
      </c>
      <c r="H2085" s="3" t="s">
        <v>293</v>
      </c>
      <c r="I2085" s="1" t="s">
        <v>22</v>
      </c>
      <c r="J2085" s="1" t="s">
        <v>23</v>
      </c>
      <c r="K2085" s="1" t="s">
        <v>298</v>
      </c>
      <c r="L2085" s="1" t="s">
        <v>257</v>
      </c>
      <c r="M2085" s="1"/>
      <c r="N2085" s="1">
        <f t="shared" si="103"/>
        <v>7</v>
      </c>
      <c r="O2085" s="87"/>
    </row>
    <row r="2086" spans="1:15" s="153" customFormat="1" ht="15.75" hidden="1" x14ac:dyDescent="0.25">
      <c r="A2086" s="1" t="str">
        <f t="shared" si="102"/>
        <v>44751447547.5FIFA CCTRANSPORTCAREEM</v>
      </c>
      <c r="B2086" s="2">
        <v>44751</v>
      </c>
      <c r="C2086" s="2">
        <v>44754</v>
      </c>
      <c r="D2086" s="3" t="s">
        <v>2576</v>
      </c>
      <c r="E2086" s="3">
        <v>7.5</v>
      </c>
      <c r="F2086" s="3">
        <v>1</v>
      </c>
      <c r="G2086" s="3">
        <f t="shared" si="104"/>
        <v>7.5</v>
      </c>
      <c r="H2086" s="3" t="s">
        <v>3294</v>
      </c>
      <c r="I2086" s="1" t="s">
        <v>296</v>
      </c>
      <c r="J2086" s="1" t="s">
        <v>297</v>
      </c>
      <c r="K2086" s="1" t="s">
        <v>298</v>
      </c>
      <c r="L2086" s="1" t="s">
        <v>267</v>
      </c>
      <c r="M2086" s="1"/>
      <c r="N2086" s="1">
        <f t="shared" si="103"/>
        <v>7</v>
      </c>
      <c r="O2086" s="87"/>
    </row>
    <row r="2087" spans="1:15" s="153" customFormat="1" ht="15.75" hidden="1" x14ac:dyDescent="0.25">
      <c r="A2087" s="1" t="str">
        <f t="shared" si="102"/>
        <v>4475244753259.85FIFA CCSHOPPINGFFC</v>
      </c>
      <c r="B2087" s="2">
        <v>44752</v>
      </c>
      <c r="C2087" s="2">
        <v>44753</v>
      </c>
      <c r="D2087" s="3" t="s">
        <v>2571</v>
      </c>
      <c r="E2087" s="3">
        <v>259.85000000000002</v>
      </c>
      <c r="F2087" s="3">
        <v>1</v>
      </c>
      <c r="G2087" s="3">
        <f t="shared" si="104"/>
        <v>259.85000000000002</v>
      </c>
      <c r="H2087" s="3" t="s">
        <v>3294</v>
      </c>
      <c r="I2087" s="1" t="s">
        <v>194</v>
      </c>
      <c r="J2087" s="1" t="s">
        <v>96</v>
      </c>
      <c r="K2087" s="1" t="s">
        <v>298</v>
      </c>
      <c r="L2087" s="1" t="s">
        <v>267</v>
      </c>
      <c r="M2087" s="1"/>
      <c r="N2087" s="1">
        <f t="shared" si="103"/>
        <v>7</v>
      </c>
      <c r="O2087" s="87"/>
    </row>
    <row r="2088" spans="1:15" s="153" customFormat="1" ht="15.75" hidden="1" x14ac:dyDescent="0.25">
      <c r="A2088" s="1" t="str">
        <f t="shared" si="102"/>
        <v>447524475338FIFA CCSHOPPINGBATH&amp;BODY</v>
      </c>
      <c r="B2088" s="2">
        <v>44752</v>
      </c>
      <c r="C2088" s="2">
        <v>44753</v>
      </c>
      <c r="D2088" s="3" t="s">
        <v>2572</v>
      </c>
      <c r="E2088" s="3">
        <v>38</v>
      </c>
      <c r="F2088" s="3">
        <v>1</v>
      </c>
      <c r="G2088" s="3">
        <f t="shared" si="104"/>
        <v>38</v>
      </c>
      <c r="H2088" s="3" t="s">
        <v>3294</v>
      </c>
      <c r="I2088" s="1" t="s">
        <v>194</v>
      </c>
      <c r="J2088" s="1" t="s">
        <v>2583</v>
      </c>
      <c r="K2088" s="1" t="s">
        <v>298</v>
      </c>
      <c r="L2088" s="1" t="s">
        <v>267</v>
      </c>
      <c r="M2088" s="1"/>
      <c r="N2088" s="1">
        <f t="shared" si="103"/>
        <v>7</v>
      </c>
      <c r="O2088" s="87"/>
    </row>
    <row r="2089" spans="1:15" s="153" customFormat="1" ht="15.75" hidden="1" x14ac:dyDescent="0.25">
      <c r="A2089" s="1" t="str">
        <f t="shared" si="102"/>
        <v>4475244756100.75FIFA CCSHOPPINGCARREFOUR</v>
      </c>
      <c r="B2089" s="2">
        <v>44752</v>
      </c>
      <c r="C2089" s="2">
        <v>44756</v>
      </c>
      <c r="D2089" s="3" t="s">
        <v>2573</v>
      </c>
      <c r="E2089" s="3">
        <v>100.75</v>
      </c>
      <c r="F2089" s="3">
        <v>1</v>
      </c>
      <c r="G2089" s="3">
        <f t="shared" si="104"/>
        <v>100.75</v>
      </c>
      <c r="H2089" s="3" t="s">
        <v>3294</v>
      </c>
      <c r="I2089" s="1" t="s">
        <v>194</v>
      </c>
      <c r="J2089" s="1" t="s">
        <v>67</v>
      </c>
      <c r="K2089" s="1" t="s">
        <v>298</v>
      </c>
      <c r="L2089" s="1" t="s">
        <v>267</v>
      </c>
      <c r="M2089" s="1"/>
      <c r="N2089" s="1">
        <f t="shared" si="103"/>
        <v>7</v>
      </c>
      <c r="O2089" s="87"/>
    </row>
    <row r="2090" spans="1:15" s="153" customFormat="1" ht="15.75" hidden="1" x14ac:dyDescent="0.25">
      <c r="A2090" s="1" t="str">
        <f t="shared" si="102"/>
        <v>447524475415.5FIFA CCTRANSPORTCAREEM</v>
      </c>
      <c r="B2090" s="2">
        <v>44752</v>
      </c>
      <c r="C2090" s="2">
        <v>44754</v>
      </c>
      <c r="D2090" s="3" t="s">
        <v>2574</v>
      </c>
      <c r="E2090" s="3">
        <v>15.5</v>
      </c>
      <c r="F2090" s="3">
        <v>1</v>
      </c>
      <c r="G2090" s="3">
        <f t="shared" si="104"/>
        <v>15.5</v>
      </c>
      <c r="H2090" s="3" t="s">
        <v>3294</v>
      </c>
      <c r="I2090" s="1" t="s">
        <v>296</v>
      </c>
      <c r="J2090" s="1" t="s">
        <v>297</v>
      </c>
      <c r="K2090" s="1" t="s">
        <v>298</v>
      </c>
      <c r="L2090" s="1" t="s">
        <v>267</v>
      </c>
      <c r="M2090" s="1"/>
      <c r="N2090" s="1">
        <f t="shared" si="103"/>
        <v>7</v>
      </c>
      <c r="O2090" s="87"/>
    </row>
    <row r="2091" spans="1:15" s="153" customFormat="1" ht="15.75" hidden="1" x14ac:dyDescent="0.25">
      <c r="A2091" s="1" t="str">
        <f t="shared" si="102"/>
        <v>447524475413.8FIFA CCTRANSPORTCAREEM</v>
      </c>
      <c r="B2091" s="2">
        <v>44752</v>
      </c>
      <c r="C2091" s="2">
        <v>44754</v>
      </c>
      <c r="D2091" s="3" t="s">
        <v>2575</v>
      </c>
      <c r="E2091" s="3">
        <v>13.8</v>
      </c>
      <c r="F2091" s="3">
        <v>1</v>
      </c>
      <c r="G2091" s="3">
        <f t="shared" si="104"/>
        <v>13.8</v>
      </c>
      <c r="H2091" s="3" t="s">
        <v>3294</v>
      </c>
      <c r="I2091" s="1" t="s">
        <v>296</v>
      </c>
      <c r="J2091" s="1" t="s">
        <v>297</v>
      </c>
      <c r="K2091" s="1" t="s">
        <v>298</v>
      </c>
      <c r="L2091" s="1" t="s">
        <v>267</v>
      </c>
      <c r="M2091" s="1"/>
      <c r="N2091" s="1">
        <f t="shared" si="103"/>
        <v>7</v>
      </c>
      <c r="O2091" s="87"/>
    </row>
    <row r="2092" spans="1:15" s="153" customFormat="1" ht="15.75" hidden="1" x14ac:dyDescent="0.25">
      <c r="A2092" s="1" t="str">
        <f t="shared" si="102"/>
        <v>447534475370000CURRENTTRANSPORTCAR</v>
      </c>
      <c r="B2092" s="2">
        <v>44753</v>
      </c>
      <c r="C2092" s="2">
        <v>44753</v>
      </c>
      <c r="D2092" s="3" t="s">
        <v>2584</v>
      </c>
      <c r="E2092" s="3">
        <v>-70000</v>
      </c>
      <c r="F2092" s="3">
        <v>1</v>
      </c>
      <c r="G2092" s="3">
        <f t="shared" si="104"/>
        <v>70000</v>
      </c>
      <c r="H2092" s="3" t="s">
        <v>293</v>
      </c>
      <c r="I2092" s="1" t="s">
        <v>296</v>
      </c>
      <c r="J2092" s="1" t="s">
        <v>2585</v>
      </c>
      <c r="K2092" s="1" t="s">
        <v>298</v>
      </c>
      <c r="L2092" s="1" t="s">
        <v>257</v>
      </c>
      <c r="M2092" s="1"/>
      <c r="N2092" s="1">
        <f t="shared" si="103"/>
        <v>7</v>
      </c>
      <c r="O2092" s="87"/>
    </row>
    <row r="2093" spans="1:15" s="153" customFormat="1" ht="15.75" hidden="1" x14ac:dyDescent="0.25">
      <c r="A2093" s="1" t="str">
        <f t="shared" si="102"/>
        <v>4475344756350FIFA CCTRANSPORTCAR</v>
      </c>
      <c r="B2093" s="2">
        <v>44753</v>
      </c>
      <c r="C2093" s="2">
        <v>44756</v>
      </c>
      <c r="D2093" s="3" t="s">
        <v>2621</v>
      </c>
      <c r="E2093" s="3">
        <v>350</v>
      </c>
      <c r="F2093" s="3">
        <v>1</v>
      </c>
      <c r="G2093" s="3">
        <f t="shared" si="104"/>
        <v>350</v>
      </c>
      <c r="H2093" s="3" t="s">
        <v>3294</v>
      </c>
      <c r="I2093" s="1" t="s">
        <v>296</v>
      </c>
      <c r="J2093" s="1" t="s">
        <v>2585</v>
      </c>
      <c r="K2093" s="1" t="s">
        <v>298</v>
      </c>
      <c r="L2093" s="1" t="s">
        <v>267</v>
      </c>
      <c r="M2093" s="1"/>
      <c r="N2093" s="1">
        <f t="shared" si="103"/>
        <v>7</v>
      </c>
      <c r="O2093" s="87"/>
    </row>
    <row r="2094" spans="1:15" s="153" customFormat="1" ht="15.75" hidden="1" x14ac:dyDescent="0.25">
      <c r="A2094" s="1" t="str">
        <f t="shared" si="102"/>
        <v>4475344756200FIFA CCTRANSPORTCAR</v>
      </c>
      <c r="B2094" s="2">
        <v>44753</v>
      </c>
      <c r="C2094" s="2">
        <v>44756</v>
      </c>
      <c r="D2094" s="3" t="s">
        <v>2622</v>
      </c>
      <c r="E2094" s="3">
        <v>200</v>
      </c>
      <c r="F2094" s="3">
        <v>1</v>
      </c>
      <c r="G2094" s="3">
        <f t="shared" si="104"/>
        <v>200</v>
      </c>
      <c r="H2094" s="3" t="s">
        <v>3294</v>
      </c>
      <c r="I2094" s="1" t="s">
        <v>296</v>
      </c>
      <c r="J2094" s="1" t="s">
        <v>2585</v>
      </c>
      <c r="K2094" s="1" t="s">
        <v>298</v>
      </c>
      <c r="L2094" s="1" t="s">
        <v>267</v>
      </c>
      <c r="M2094" s="1"/>
      <c r="N2094" s="1">
        <f t="shared" si="103"/>
        <v>7</v>
      </c>
      <c r="O2094" s="87"/>
    </row>
    <row r="2095" spans="1:15" s="153" customFormat="1" ht="15.75" hidden="1" x14ac:dyDescent="0.25">
      <c r="A2095" s="1" t="str">
        <f t="shared" si="102"/>
        <v>447534475515.6FIFA CCTRANSPORTCAREEM</v>
      </c>
      <c r="B2095" s="2">
        <v>44753</v>
      </c>
      <c r="C2095" s="2">
        <v>44755</v>
      </c>
      <c r="D2095" s="3" t="s">
        <v>2623</v>
      </c>
      <c r="E2095" s="3">
        <v>15.6</v>
      </c>
      <c r="F2095" s="3">
        <v>1</v>
      </c>
      <c r="G2095" s="3">
        <f t="shared" si="104"/>
        <v>15.6</v>
      </c>
      <c r="H2095" s="3" t="s">
        <v>3294</v>
      </c>
      <c r="I2095" s="1" t="s">
        <v>296</v>
      </c>
      <c r="J2095" s="1" t="s">
        <v>297</v>
      </c>
      <c r="K2095" s="1" t="s">
        <v>298</v>
      </c>
      <c r="L2095" s="1" t="s">
        <v>267</v>
      </c>
      <c r="M2095" s="1"/>
      <c r="N2095" s="1">
        <f t="shared" si="103"/>
        <v>7</v>
      </c>
      <c r="O2095" s="87"/>
    </row>
    <row r="2096" spans="1:15" s="153" customFormat="1" ht="15.75" hidden="1" x14ac:dyDescent="0.25">
      <c r="A2096" s="1" t="str">
        <f t="shared" si="102"/>
        <v>447534475518.1FIFA CCTRANSPORTCAREEM</v>
      </c>
      <c r="B2096" s="2">
        <v>44753</v>
      </c>
      <c r="C2096" s="2">
        <v>44755</v>
      </c>
      <c r="D2096" s="3" t="s">
        <v>2624</v>
      </c>
      <c r="E2096" s="3">
        <v>18.100000000000001</v>
      </c>
      <c r="F2096" s="3">
        <v>1</v>
      </c>
      <c r="G2096" s="3">
        <f t="shared" si="104"/>
        <v>18.100000000000001</v>
      </c>
      <c r="H2096" s="3" t="s">
        <v>3294</v>
      </c>
      <c r="I2096" s="1" t="s">
        <v>296</v>
      </c>
      <c r="J2096" s="1" t="s">
        <v>297</v>
      </c>
      <c r="K2096" s="1" t="s">
        <v>298</v>
      </c>
      <c r="L2096" s="1" t="s">
        <v>267</v>
      </c>
      <c r="M2096" s="1"/>
      <c r="N2096" s="1">
        <f t="shared" si="103"/>
        <v>7</v>
      </c>
      <c r="O2096" s="87"/>
    </row>
    <row r="2097" spans="1:15" s="153" customFormat="1" ht="15.75" hidden="1" x14ac:dyDescent="0.25">
      <c r="A2097" s="1" t="str">
        <f t="shared" si="102"/>
        <v>447554475756.5FIFA CCGROCERYTOTAL FRESH</v>
      </c>
      <c r="B2097" s="2">
        <v>44755</v>
      </c>
      <c r="C2097" s="2">
        <v>44757</v>
      </c>
      <c r="D2097" s="3" t="s">
        <v>2619</v>
      </c>
      <c r="E2097" s="3">
        <v>56.5</v>
      </c>
      <c r="F2097" s="3">
        <v>1</v>
      </c>
      <c r="G2097" s="3">
        <f t="shared" si="104"/>
        <v>56.5</v>
      </c>
      <c r="H2097" s="3" t="s">
        <v>3294</v>
      </c>
      <c r="I2097" s="1" t="s">
        <v>43</v>
      </c>
      <c r="J2097" s="1" t="s">
        <v>1394</v>
      </c>
      <c r="K2097" s="1" t="s">
        <v>298</v>
      </c>
      <c r="L2097" s="1" t="s">
        <v>267</v>
      </c>
      <c r="M2097" s="1"/>
      <c r="N2097" s="1">
        <f t="shared" si="103"/>
        <v>7</v>
      </c>
      <c r="O2097" s="87"/>
    </row>
    <row r="2098" spans="1:15" s="153" customFormat="1" ht="15.75" hidden="1" x14ac:dyDescent="0.25">
      <c r="A2098" s="1" t="str">
        <f t="shared" si="102"/>
        <v>447554475717FIFA CCTRANSPORTCAREEM</v>
      </c>
      <c r="B2098" s="2">
        <v>44755</v>
      </c>
      <c r="C2098" s="2">
        <v>44757</v>
      </c>
      <c r="D2098" s="3" t="s">
        <v>2620</v>
      </c>
      <c r="E2098" s="3">
        <v>17</v>
      </c>
      <c r="F2098" s="3">
        <v>1</v>
      </c>
      <c r="G2098" s="3">
        <f t="shared" si="104"/>
        <v>17</v>
      </c>
      <c r="H2098" s="3" t="s">
        <v>3294</v>
      </c>
      <c r="I2098" s="1" t="s">
        <v>296</v>
      </c>
      <c r="J2098" s="1" t="s">
        <v>297</v>
      </c>
      <c r="K2098" s="1" t="s">
        <v>298</v>
      </c>
      <c r="L2098" s="1" t="s">
        <v>267</v>
      </c>
      <c r="M2098" s="1"/>
      <c r="N2098" s="1">
        <f t="shared" si="103"/>
        <v>7</v>
      </c>
      <c r="O2098" s="87"/>
    </row>
    <row r="2099" spans="1:15" s="153" customFormat="1" ht="15.75" hidden="1" x14ac:dyDescent="0.25">
      <c r="A2099" s="1" t="str">
        <f t="shared" si="102"/>
        <v>44755447550CURRENTTRANSPORTCAR</v>
      </c>
      <c r="B2099" s="2">
        <v>44755</v>
      </c>
      <c r="C2099" s="2">
        <v>44755</v>
      </c>
      <c r="D2099" s="3" t="s">
        <v>2637</v>
      </c>
      <c r="E2099" s="3">
        <v>-70000</v>
      </c>
      <c r="F2099" s="3">
        <v>0</v>
      </c>
      <c r="G2099" s="3">
        <f t="shared" si="104"/>
        <v>0</v>
      </c>
      <c r="H2099" s="3" t="s">
        <v>293</v>
      </c>
      <c r="I2099" s="1" t="s">
        <v>296</v>
      </c>
      <c r="J2099" s="1" t="s">
        <v>2585</v>
      </c>
      <c r="K2099" s="1" t="s">
        <v>298</v>
      </c>
      <c r="L2099" s="1" t="s">
        <v>257</v>
      </c>
      <c r="M2099" s="1"/>
      <c r="N2099" s="1">
        <f t="shared" si="103"/>
        <v>7</v>
      </c>
      <c r="O2099" s="87"/>
    </row>
    <row r="2100" spans="1:15" ht="15.75" hidden="1" x14ac:dyDescent="0.25">
      <c r="A2100" s="1" t="str">
        <f t="shared" si="102"/>
        <v>44755447550CURRENTTRANSPORTCAR</v>
      </c>
      <c r="B2100" s="2">
        <v>44755</v>
      </c>
      <c r="C2100" s="2">
        <v>44755</v>
      </c>
      <c r="D2100" s="3" t="s">
        <v>2638</v>
      </c>
      <c r="E2100" s="3">
        <v>70000</v>
      </c>
      <c r="F2100" s="3">
        <v>0</v>
      </c>
      <c r="G2100" s="3">
        <f t="shared" si="104"/>
        <v>0</v>
      </c>
      <c r="H2100" s="3" t="s">
        <v>293</v>
      </c>
      <c r="I2100" s="1" t="s">
        <v>296</v>
      </c>
      <c r="J2100" s="1" t="s">
        <v>2585</v>
      </c>
      <c r="K2100" s="1" t="s">
        <v>298</v>
      </c>
      <c r="L2100" s="1" t="s">
        <v>257</v>
      </c>
      <c r="M2100" s="1"/>
      <c r="N2100" s="1">
        <f t="shared" si="103"/>
        <v>7</v>
      </c>
      <c r="O2100" s="87"/>
    </row>
    <row r="2101" spans="1:15" ht="15.75" hidden="1" x14ac:dyDescent="0.25">
      <c r="A2101" s="1" t="str">
        <f t="shared" si="102"/>
        <v>44755447551174.75CURRENTTRANSFERINDIA</v>
      </c>
      <c r="B2101" s="2">
        <v>44755</v>
      </c>
      <c r="C2101" s="2">
        <v>44755</v>
      </c>
      <c r="D2101" s="3" t="s">
        <v>694</v>
      </c>
      <c r="E2101" s="3">
        <v>-1174.75</v>
      </c>
      <c r="F2101" s="3">
        <v>1</v>
      </c>
      <c r="G2101" s="3">
        <f t="shared" si="104"/>
        <v>1174.75</v>
      </c>
      <c r="H2101" s="3" t="s">
        <v>293</v>
      </c>
      <c r="I2101" s="1" t="s">
        <v>22</v>
      </c>
      <c r="J2101" s="1" t="s">
        <v>23</v>
      </c>
      <c r="K2101" s="1" t="s">
        <v>298</v>
      </c>
      <c r="L2101" s="1" t="s">
        <v>257</v>
      </c>
      <c r="M2101" s="1"/>
      <c r="N2101" s="1">
        <f t="shared" si="103"/>
        <v>7</v>
      </c>
      <c r="O2101" s="87"/>
    </row>
    <row r="2102" spans="1:15" ht="15.75" hidden="1" x14ac:dyDescent="0.25">
      <c r="A2102" s="1" t="str">
        <f t="shared" si="102"/>
        <v>447554475510021CURRENTTRANSFERINDIA</v>
      </c>
      <c r="B2102" s="2">
        <v>44755</v>
      </c>
      <c r="C2102" s="2">
        <v>44755</v>
      </c>
      <c r="D2102" s="3" t="s">
        <v>2639</v>
      </c>
      <c r="E2102" s="3">
        <v>-10021</v>
      </c>
      <c r="F2102" s="3">
        <v>1</v>
      </c>
      <c r="G2102" s="3">
        <f t="shared" si="104"/>
        <v>10021</v>
      </c>
      <c r="H2102" s="3" t="s">
        <v>293</v>
      </c>
      <c r="I2102" s="1" t="s">
        <v>22</v>
      </c>
      <c r="J2102" s="1" t="s">
        <v>23</v>
      </c>
      <c r="K2102" s="1" t="s">
        <v>298</v>
      </c>
      <c r="L2102" s="1" t="s">
        <v>257</v>
      </c>
      <c r="M2102" s="1"/>
      <c r="N2102" s="1">
        <f t="shared" si="103"/>
        <v>7</v>
      </c>
      <c r="O2102" s="87"/>
    </row>
    <row r="2103" spans="1:15" ht="15.75" hidden="1" x14ac:dyDescent="0.25">
      <c r="A2103" s="1" t="str">
        <f t="shared" si="102"/>
        <v>447554475510021CURRENTTRANSFERINDIA</v>
      </c>
      <c r="B2103" s="2">
        <v>44755</v>
      </c>
      <c r="C2103" s="2">
        <v>44755</v>
      </c>
      <c r="D2103" s="3" t="s">
        <v>2640</v>
      </c>
      <c r="E2103" s="3">
        <v>-10021</v>
      </c>
      <c r="F2103" s="3">
        <v>1</v>
      </c>
      <c r="G2103" s="3">
        <f t="shared" si="104"/>
        <v>10021</v>
      </c>
      <c r="H2103" s="3" t="s">
        <v>293</v>
      </c>
      <c r="I2103" s="1" t="s">
        <v>22</v>
      </c>
      <c r="J2103" s="1" t="s">
        <v>23</v>
      </c>
      <c r="K2103" s="1" t="s">
        <v>298</v>
      </c>
      <c r="L2103" s="1" t="s">
        <v>257</v>
      </c>
      <c r="M2103" s="1"/>
      <c r="N2103" s="1">
        <f t="shared" si="103"/>
        <v>7</v>
      </c>
      <c r="O2103" s="87"/>
    </row>
    <row r="2104" spans="1:15" ht="15.75" hidden="1" x14ac:dyDescent="0.25">
      <c r="A2104" s="1" t="str">
        <f t="shared" si="102"/>
        <v>44755447550CURRENTTRANSFERINDIA</v>
      </c>
      <c r="B2104" s="2">
        <v>44755</v>
      </c>
      <c r="C2104" s="2">
        <v>44755</v>
      </c>
      <c r="D2104" s="3" t="s">
        <v>2641</v>
      </c>
      <c r="E2104" s="3">
        <v>20000</v>
      </c>
      <c r="F2104" s="3">
        <v>0</v>
      </c>
      <c r="G2104" s="3">
        <f t="shared" si="104"/>
        <v>0</v>
      </c>
      <c r="H2104" s="3" t="s">
        <v>293</v>
      </c>
      <c r="I2104" s="1" t="s">
        <v>22</v>
      </c>
      <c r="J2104" s="1" t="s">
        <v>23</v>
      </c>
      <c r="K2104" s="1" t="s">
        <v>300</v>
      </c>
      <c r="L2104" s="1" t="s">
        <v>257</v>
      </c>
      <c r="M2104" s="1"/>
      <c r="N2104" s="1">
        <f t="shared" si="103"/>
        <v>7</v>
      </c>
      <c r="O2104" s="87"/>
    </row>
    <row r="2105" spans="1:15" ht="15.75" hidden="1" x14ac:dyDescent="0.25">
      <c r="A2105" s="1" t="str">
        <f t="shared" si="102"/>
        <v>447564475921.6FIFA CCTRANSPORTCAREEM</v>
      </c>
      <c r="B2105" s="2">
        <v>44756</v>
      </c>
      <c r="C2105" s="2">
        <v>44759</v>
      </c>
      <c r="D2105" s="3" t="s">
        <v>2610</v>
      </c>
      <c r="E2105" s="3">
        <v>21.6</v>
      </c>
      <c r="F2105" s="3">
        <v>1</v>
      </c>
      <c r="G2105" s="3">
        <f t="shared" si="104"/>
        <v>21.6</v>
      </c>
      <c r="H2105" s="3" t="s">
        <v>3294</v>
      </c>
      <c r="I2105" s="1" t="s">
        <v>296</v>
      </c>
      <c r="J2105" s="1" t="s">
        <v>297</v>
      </c>
      <c r="K2105" s="1" t="s">
        <v>298</v>
      </c>
      <c r="L2105" s="1" t="s">
        <v>267</v>
      </c>
      <c r="M2105" s="1"/>
      <c r="N2105" s="1">
        <f t="shared" si="103"/>
        <v>7</v>
      </c>
      <c r="O2105" s="87"/>
    </row>
    <row r="2106" spans="1:15" ht="15.75" hidden="1" x14ac:dyDescent="0.25">
      <c r="A2106" s="1" t="str">
        <f t="shared" si="102"/>
        <v>447564475813FIFA CCFOODCAFÉ/REST.</v>
      </c>
      <c r="B2106" s="2">
        <v>44756</v>
      </c>
      <c r="C2106" s="2">
        <v>44758</v>
      </c>
      <c r="D2106" s="3" t="s">
        <v>2611</v>
      </c>
      <c r="E2106" s="3">
        <v>13</v>
      </c>
      <c r="F2106" s="3">
        <v>1</v>
      </c>
      <c r="G2106" s="3">
        <f t="shared" si="104"/>
        <v>13</v>
      </c>
      <c r="H2106" s="3" t="s">
        <v>3294</v>
      </c>
      <c r="I2106" s="1" t="s">
        <v>10</v>
      </c>
      <c r="J2106" s="1" t="s">
        <v>11</v>
      </c>
      <c r="K2106" s="1" t="s">
        <v>298</v>
      </c>
      <c r="L2106" s="1" t="s">
        <v>267</v>
      </c>
      <c r="M2106" s="1"/>
      <c r="N2106" s="1">
        <f t="shared" si="103"/>
        <v>7</v>
      </c>
      <c r="O2106" s="87"/>
    </row>
    <row r="2107" spans="1:15" ht="15.75" hidden="1" x14ac:dyDescent="0.25">
      <c r="A2107" s="1" t="str">
        <f t="shared" si="102"/>
        <v>44756447601380FIFA CCTRANSPORTCAR</v>
      </c>
      <c r="B2107" s="2">
        <v>44756</v>
      </c>
      <c r="C2107" s="2">
        <v>44760</v>
      </c>
      <c r="D2107" s="3" t="s">
        <v>2612</v>
      </c>
      <c r="E2107" s="3">
        <v>1380</v>
      </c>
      <c r="F2107" s="3">
        <v>1</v>
      </c>
      <c r="G2107" s="3">
        <f t="shared" si="104"/>
        <v>1380</v>
      </c>
      <c r="H2107" s="3" t="s">
        <v>3294</v>
      </c>
      <c r="I2107" s="1" t="s">
        <v>296</v>
      </c>
      <c r="J2107" s="1" t="s">
        <v>2585</v>
      </c>
      <c r="K2107" s="1" t="s">
        <v>298</v>
      </c>
      <c r="L2107" s="1" t="s">
        <v>267</v>
      </c>
      <c r="M2107" s="1"/>
      <c r="N2107" s="1">
        <f t="shared" si="103"/>
        <v>7</v>
      </c>
      <c r="O2107" s="87"/>
    </row>
    <row r="2108" spans="1:15" ht="15.75" hidden="1" x14ac:dyDescent="0.25">
      <c r="A2108" s="1" t="str">
        <f t="shared" si="102"/>
        <v>447564476013FIFA CCFOODQATAR AIR</v>
      </c>
      <c r="B2108" s="2">
        <v>44756</v>
      </c>
      <c r="C2108" s="2">
        <v>44760</v>
      </c>
      <c r="D2108" s="3" t="s">
        <v>2613</v>
      </c>
      <c r="E2108" s="3">
        <v>13</v>
      </c>
      <c r="F2108" s="3">
        <v>1</v>
      </c>
      <c r="G2108" s="3">
        <f t="shared" si="104"/>
        <v>13</v>
      </c>
      <c r="H2108" s="3" t="s">
        <v>3294</v>
      </c>
      <c r="I2108" s="1" t="s">
        <v>10</v>
      </c>
      <c r="J2108" s="1" t="s">
        <v>19</v>
      </c>
      <c r="K2108" s="1" t="s">
        <v>298</v>
      </c>
      <c r="L2108" s="1" t="s">
        <v>267</v>
      </c>
      <c r="M2108" s="1"/>
      <c r="N2108" s="1">
        <f t="shared" si="103"/>
        <v>7</v>
      </c>
      <c r="O2108" s="87"/>
    </row>
    <row r="2109" spans="1:15" ht="15.75" hidden="1" x14ac:dyDescent="0.25">
      <c r="A2109" s="1" t="str">
        <f t="shared" si="102"/>
        <v>447564476013FIFA CCFOODCAFÉ/REST.</v>
      </c>
      <c r="B2109" s="2">
        <v>44756</v>
      </c>
      <c r="C2109" s="2">
        <v>44760</v>
      </c>
      <c r="D2109" s="3" t="s">
        <v>2614</v>
      </c>
      <c r="E2109" s="3">
        <v>13</v>
      </c>
      <c r="F2109" s="3">
        <v>1</v>
      </c>
      <c r="G2109" s="3">
        <f t="shared" si="104"/>
        <v>13</v>
      </c>
      <c r="H2109" s="3" t="s">
        <v>3294</v>
      </c>
      <c r="I2109" s="1" t="s">
        <v>10</v>
      </c>
      <c r="J2109" s="1" t="s">
        <v>11</v>
      </c>
      <c r="K2109" s="1" t="s">
        <v>298</v>
      </c>
      <c r="L2109" s="1" t="s">
        <v>267</v>
      </c>
      <c r="M2109" s="1"/>
      <c r="N2109" s="1">
        <f t="shared" si="103"/>
        <v>7</v>
      </c>
      <c r="O2109" s="87"/>
    </row>
    <row r="2110" spans="1:15" ht="15.75" hidden="1" x14ac:dyDescent="0.25">
      <c r="A2110" s="1" t="str">
        <f t="shared" si="102"/>
        <v>447564476070FIFA CCENTERTAINMENTFUN</v>
      </c>
      <c r="B2110" s="2">
        <v>44756</v>
      </c>
      <c r="C2110" s="2">
        <v>44760</v>
      </c>
      <c r="D2110" s="3" t="s">
        <v>2615</v>
      </c>
      <c r="E2110" s="3">
        <v>70</v>
      </c>
      <c r="F2110" s="3">
        <v>1</v>
      </c>
      <c r="G2110" s="3">
        <f t="shared" si="104"/>
        <v>70</v>
      </c>
      <c r="H2110" s="3" t="s">
        <v>3294</v>
      </c>
      <c r="I2110" s="1" t="s">
        <v>2476</v>
      </c>
      <c r="J2110" s="1" t="s">
        <v>2581</v>
      </c>
      <c r="K2110" s="1" t="s">
        <v>298</v>
      </c>
      <c r="L2110" s="1" t="s">
        <v>267</v>
      </c>
      <c r="M2110" s="1"/>
      <c r="N2110" s="1">
        <f t="shared" si="103"/>
        <v>7</v>
      </c>
      <c r="O2110" s="87"/>
    </row>
    <row r="2111" spans="1:15" ht="15.75" hidden="1" x14ac:dyDescent="0.25">
      <c r="A2111" s="1" t="str">
        <f t="shared" si="102"/>
        <v>4475644760105FIFA CCTRANSPORTWOQOD</v>
      </c>
      <c r="B2111" s="2">
        <v>44756</v>
      </c>
      <c r="C2111" s="2">
        <v>44760</v>
      </c>
      <c r="D2111" s="3" t="s">
        <v>2616</v>
      </c>
      <c r="E2111" s="3">
        <v>105</v>
      </c>
      <c r="F2111" s="3">
        <v>1</v>
      </c>
      <c r="G2111" s="3">
        <f t="shared" si="104"/>
        <v>105</v>
      </c>
      <c r="H2111" s="3" t="s">
        <v>3294</v>
      </c>
      <c r="I2111" s="1" t="s">
        <v>296</v>
      </c>
      <c r="J2111" s="1" t="s">
        <v>1942</v>
      </c>
      <c r="K2111" s="1" t="s">
        <v>298</v>
      </c>
      <c r="L2111" s="1" t="s">
        <v>267</v>
      </c>
      <c r="M2111" s="1"/>
      <c r="N2111" s="1">
        <f t="shared" si="103"/>
        <v>7</v>
      </c>
      <c r="O2111" s="87"/>
    </row>
    <row r="2112" spans="1:15" ht="15.75" hidden="1" x14ac:dyDescent="0.25">
      <c r="A2112" s="1" t="str">
        <f t="shared" si="102"/>
        <v>447564475799FIFA CCSHOPPINGMAX</v>
      </c>
      <c r="B2112" s="2">
        <v>44756</v>
      </c>
      <c r="C2112" s="2">
        <v>44757</v>
      </c>
      <c r="D2112" s="3" t="s">
        <v>2617</v>
      </c>
      <c r="E2112" s="3">
        <v>99</v>
      </c>
      <c r="F2112" s="3">
        <v>1</v>
      </c>
      <c r="G2112" s="3">
        <f t="shared" si="104"/>
        <v>99</v>
      </c>
      <c r="H2112" s="3" t="s">
        <v>3294</v>
      </c>
      <c r="I2112" s="1" t="s">
        <v>194</v>
      </c>
      <c r="J2112" s="1" t="s">
        <v>776</v>
      </c>
      <c r="K2112" s="1" t="s">
        <v>298</v>
      </c>
      <c r="L2112" s="1" t="s">
        <v>267</v>
      </c>
      <c r="M2112" s="1"/>
      <c r="N2112" s="1">
        <f t="shared" si="103"/>
        <v>7</v>
      </c>
      <c r="O2112" s="87"/>
    </row>
    <row r="2113" spans="1:15" ht="15.75" hidden="1" x14ac:dyDescent="0.25">
      <c r="A2113" s="1" t="str">
        <f t="shared" si="102"/>
        <v>447564475730FIFA CCSHOPPINGBATH&amp;BODY</v>
      </c>
      <c r="B2113" s="2">
        <v>44756</v>
      </c>
      <c r="C2113" s="2">
        <v>44757</v>
      </c>
      <c r="D2113" s="3" t="s">
        <v>2618</v>
      </c>
      <c r="E2113" s="3">
        <v>30</v>
      </c>
      <c r="F2113" s="3">
        <v>1</v>
      </c>
      <c r="G2113" s="3">
        <f t="shared" si="104"/>
        <v>30</v>
      </c>
      <c r="H2113" s="3" t="s">
        <v>3294</v>
      </c>
      <c r="I2113" s="1" t="s">
        <v>194</v>
      </c>
      <c r="J2113" s="1" t="s">
        <v>2583</v>
      </c>
      <c r="K2113" s="1" t="s">
        <v>298</v>
      </c>
      <c r="L2113" s="1" t="s">
        <v>267</v>
      </c>
      <c r="M2113" s="1"/>
      <c r="N2113" s="1">
        <f t="shared" si="103"/>
        <v>7</v>
      </c>
      <c r="O2113" s="87"/>
    </row>
    <row r="2114" spans="1:15" ht="15.75" hidden="1" x14ac:dyDescent="0.25">
      <c r="A2114" s="1" t="str">
        <f t="shared" ref="A2114:A2177" si="105">B2114&amp;C2114&amp;G2114&amp;H2114&amp;I2114&amp;J2114</f>
        <v>4475744760141.06FIFA CCGROCERYALMEERA</v>
      </c>
      <c r="B2114" s="2">
        <v>44757</v>
      </c>
      <c r="C2114" s="2">
        <v>44760</v>
      </c>
      <c r="D2114" s="3" t="s">
        <v>2607</v>
      </c>
      <c r="E2114" s="3">
        <v>141.06</v>
      </c>
      <c r="F2114" s="3">
        <v>1</v>
      </c>
      <c r="G2114" s="3">
        <f t="shared" si="104"/>
        <v>141.06</v>
      </c>
      <c r="H2114" s="3" t="s">
        <v>3294</v>
      </c>
      <c r="I2114" s="1" t="s">
        <v>43</v>
      </c>
      <c r="J2114" s="1" t="s">
        <v>2642</v>
      </c>
      <c r="K2114" s="1" t="s">
        <v>298</v>
      </c>
      <c r="L2114" s="1" t="s">
        <v>267</v>
      </c>
      <c r="M2114" s="1"/>
      <c r="N2114" s="1">
        <f t="shared" ref="N2114:N2177" si="106">MONTH(C2114)</f>
        <v>7</v>
      </c>
      <c r="O2114" s="87"/>
    </row>
    <row r="2115" spans="1:15" ht="15.75" hidden="1" x14ac:dyDescent="0.25">
      <c r="A2115" s="1" t="str">
        <f t="shared" si="105"/>
        <v>4475744760109FIFA CCSHOPPINGMAX</v>
      </c>
      <c r="B2115" s="2">
        <v>44757</v>
      </c>
      <c r="C2115" s="2">
        <v>44760</v>
      </c>
      <c r="D2115" s="3" t="s">
        <v>2608</v>
      </c>
      <c r="E2115" s="3">
        <v>109</v>
      </c>
      <c r="F2115" s="3">
        <v>1</v>
      </c>
      <c r="G2115" s="3">
        <f t="shared" si="104"/>
        <v>109</v>
      </c>
      <c r="H2115" s="3" t="s">
        <v>3294</v>
      </c>
      <c r="I2115" s="1" t="s">
        <v>194</v>
      </c>
      <c r="J2115" s="1" t="s">
        <v>776</v>
      </c>
      <c r="K2115" s="1" t="s">
        <v>298</v>
      </c>
      <c r="L2115" s="1" t="s">
        <v>267</v>
      </c>
      <c r="M2115" s="1"/>
      <c r="N2115" s="1">
        <f t="shared" si="106"/>
        <v>7</v>
      </c>
      <c r="O2115" s="87"/>
    </row>
    <row r="2116" spans="1:15" ht="15.75" hidden="1" x14ac:dyDescent="0.25">
      <c r="A2116" s="1" t="str">
        <f t="shared" si="105"/>
        <v>447574475817FIFA CCFOODCAFÉ/REST.</v>
      </c>
      <c r="B2116" s="2">
        <v>44757</v>
      </c>
      <c r="C2116" s="2">
        <v>44758</v>
      </c>
      <c r="D2116" s="3" t="s">
        <v>2609</v>
      </c>
      <c r="E2116" s="3">
        <v>17</v>
      </c>
      <c r="F2116" s="3">
        <v>1</v>
      </c>
      <c r="G2116" s="3">
        <f t="shared" si="104"/>
        <v>17</v>
      </c>
      <c r="H2116" s="3" t="s">
        <v>3294</v>
      </c>
      <c r="I2116" s="1" t="s">
        <v>10</v>
      </c>
      <c r="J2116" s="1" t="s">
        <v>11</v>
      </c>
      <c r="K2116" s="1" t="s">
        <v>298</v>
      </c>
      <c r="L2116" s="1" t="s">
        <v>267</v>
      </c>
      <c r="M2116" s="1"/>
      <c r="N2116" s="1">
        <f t="shared" si="106"/>
        <v>7</v>
      </c>
      <c r="O2116" s="87"/>
    </row>
    <row r="2117" spans="1:15" ht="15.75" hidden="1" x14ac:dyDescent="0.25">
      <c r="A2117" s="1" t="str">
        <f t="shared" si="105"/>
        <v>447584476115FIFA CCGROCERYWOQOD</v>
      </c>
      <c r="B2117" s="2">
        <v>44758</v>
      </c>
      <c r="C2117" s="2">
        <v>44761</v>
      </c>
      <c r="D2117" s="3" t="s">
        <v>2605</v>
      </c>
      <c r="E2117" s="3">
        <v>15</v>
      </c>
      <c r="F2117" s="3">
        <v>1</v>
      </c>
      <c r="G2117" s="3">
        <f t="shared" si="104"/>
        <v>15</v>
      </c>
      <c r="H2117" s="3" t="s">
        <v>3294</v>
      </c>
      <c r="I2117" s="1" t="s">
        <v>43</v>
      </c>
      <c r="J2117" s="1" t="s">
        <v>1942</v>
      </c>
      <c r="K2117" s="1" t="s">
        <v>298</v>
      </c>
      <c r="L2117" s="1" t="s">
        <v>267</v>
      </c>
      <c r="M2117" s="1"/>
      <c r="N2117" s="1">
        <f t="shared" si="106"/>
        <v>7</v>
      </c>
      <c r="O2117" s="87"/>
    </row>
    <row r="2118" spans="1:15" ht="15.75" hidden="1" x14ac:dyDescent="0.25">
      <c r="A2118" s="1" t="str">
        <f t="shared" si="105"/>
        <v>447584475987.5FIFA CCGROCERYTOTAL FRESH</v>
      </c>
      <c r="B2118" s="2">
        <v>44758</v>
      </c>
      <c r="C2118" s="2">
        <v>44759</v>
      </c>
      <c r="D2118" s="3" t="s">
        <v>2606</v>
      </c>
      <c r="E2118" s="3">
        <v>87.5</v>
      </c>
      <c r="F2118" s="3">
        <v>1</v>
      </c>
      <c r="G2118" s="3">
        <f t="shared" si="104"/>
        <v>87.5</v>
      </c>
      <c r="H2118" s="3" t="s">
        <v>3294</v>
      </c>
      <c r="I2118" s="1" t="s">
        <v>43</v>
      </c>
      <c r="J2118" s="1" t="s">
        <v>1394</v>
      </c>
      <c r="K2118" s="1" t="s">
        <v>298</v>
      </c>
      <c r="L2118" s="1" t="s">
        <v>267</v>
      </c>
      <c r="M2118" s="1"/>
      <c r="N2118" s="1">
        <f t="shared" si="106"/>
        <v>7</v>
      </c>
      <c r="O2118" s="87"/>
    </row>
    <row r="2119" spans="1:15" ht="15.75" hidden="1" x14ac:dyDescent="0.25">
      <c r="A2119" s="1" t="str">
        <f t="shared" si="105"/>
        <v>4475944761367.2FIFA CCSHOPPINGQATAR AIR</v>
      </c>
      <c r="B2119" s="2">
        <v>44759</v>
      </c>
      <c r="C2119" s="2">
        <v>44761</v>
      </c>
      <c r="D2119" s="3" t="s">
        <v>2602</v>
      </c>
      <c r="E2119" s="3">
        <v>367.2</v>
      </c>
      <c r="F2119" s="3">
        <v>1</v>
      </c>
      <c r="G2119" s="3">
        <f t="shared" si="104"/>
        <v>367.2</v>
      </c>
      <c r="H2119" s="3" t="s">
        <v>3294</v>
      </c>
      <c r="I2119" s="1" t="s">
        <v>194</v>
      </c>
      <c r="J2119" s="1" t="s">
        <v>19</v>
      </c>
      <c r="K2119" s="1" t="s">
        <v>298</v>
      </c>
      <c r="L2119" s="1" t="s">
        <v>267</v>
      </c>
      <c r="M2119" s="1"/>
      <c r="N2119" s="1">
        <f t="shared" si="106"/>
        <v>7</v>
      </c>
      <c r="O2119" s="87"/>
    </row>
    <row r="2120" spans="1:15" ht="15.75" hidden="1" x14ac:dyDescent="0.25">
      <c r="A2120" s="1" t="str">
        <f t="shared" si="105"/>
        <v>447594476122FIFA CCFOODQATAR AIR</v>
      </c>
      <c r="B2120" s="2">
        <v>44759</v>
      </c>
      <c r="C2120" s="2">
        <v>44761</v>
      </c>
      <c r="D2120" s="3" t="s">
        <v>2603</v>
      </c>
      <c r="E2120" s="3">
        <v>22</v>
      </c>
      <c r="F2120" s="3">
        <v>1</v>
      </c>
      <c r="G2120" s="3">
        <f t="shared" si="104"/>
        <v>22</v>
      </c>
      <c r="H2120" s="3" t="s">
        <v>3294</v>
      </c>
      <c r="I2120" s="1" t="s">
        <v>10</v>
      </c>
      <c r="J2120" s="1" t="s">
        <v>19</v>
      </c>
      <c r="K2120" s="1" t="s">
        <v>298</v>
      </c>
      <c r="L2120" s="1" t="s">
        <v>267</v>
      </c>
      <c r="M2120" s="1"/>
      <c r="N2120" s="1">
        <f t="shared" si="106"/>
        <v>7</v>
      </c>
      <c r="O2120" s="87"/>
    </row>
    <row r="2121" spans="1:15" ht="15.75" hidden="1" x14ac:dyDescent="0.25">
      <c r="A2121" s="1" t="str">
        <f t="shared" si="105"/>
        <v>4475944760967FIFA CCTRANSFERINDIA</v>
      </c>
      <c r="B2121" s="2">
        <v>44759</v>
      </c>
      <c r="C2121" s="2">
        <v>44760</v>
      </c>
      <c r="D2121" s="3" t="s">
        <v>2604</v>
      </c>
      <c r="E2121" s="3">
        <v>967</v>
      </c>
      <c r="F2121" s="3">
        <v>1</v>
      </c>
      <c r="G2121" s="3">
        <f t="shared" si="104"/>
        <v>967</v>
      </c>
      <c r="H2121" s="3" t="s">
        <v>3294</v>
      </c>
      <c r="I2121" s="1" t="s">
        <v>22</v>
      </c>
      <c r="J2121" s="1" t="s">
        <v>23</v>
      </c>
      <c r="K2121" s="1" t="s">
        <v>298</v>
      </c>
      <c r="L2121" s="1" t="s">
        <v>267</v>
      </c>
      <c r="M2121" s="1"/>
      <c r="N2121" s="1">
        <f t="shared" si="106"/>
        <v>7</v>
      </c>
      <c r="O2121" s="87"/>
    </row>
    <row r="2122" spans="1:15" ht="15.75" hidden="1" x14ac:dyDescent="0.25">
      <c r="A2122" s="1" t="str">
        <f t="shared" si="105"/>
        <v>447594475950.5CURRENTTRANSPORTCAREEM</v>
      </c>
      <c r="B2122" s="2">
        <v>44759</v>
      </c>
      <c r="C2122" s="2">
        <v>44759</v>
      </c>
      <c r="D2122" s="3" t="s">
        <v>2635</v>
      </c>
      <c r="E2122" s="3">
        <v>-50.5</v>
      </c>
      <c r="F2122" s="3">
        <v>1</v>
      </c>
      <c r="G2122" s="3">
        <f t="shared" si="104"/>
        <v>50.5</v>
      </c>
      <c r="H2122" s="3" t="s">
        <v>293</v>
      </c>
      <c r="I2122" s="1" t="s">
        <v>296</v>
      </c>
      <c r="J2122" s="1" t="s">
        <v>297</v>
      </c>
      <c r="K2122" s="1" t="s">
        <v>298</v>
      </c>
      <c r="L2122" s="1" t="s">
        <v>257</v>
      </c>
      <c r="M2122" s="1"/>
      <c r="N2122" s="1">
        <f t="shared" si="106"/>
        <v>7</v>
      </c>
      <c r="O2122" s="87"/>
    </row>
    <row r="2123" spans="1:15" ht="15.75" hidden="1" x14ac:dyDescent="0.25">
      <c r="A2123" s="1" t="str">
        <f t="shared" si="105"/>
        <v>44759447594000CURRENTRENTEZDAN</v>
      </c>
      <c r="B2123" s="2">
        <v>44759</v>
      </c>
      <c r="C2123" s="2">
        <v>44759</v>
      </c>
      <c r="D2123" s="3" t="s">
        <v>2636</v>
      </c>
      <c r="E2123" s="3">
        <v>-4000</v>
      </c>
      <c r="F2123" s="3">
        <v>1</v>
      </c>
      <c r="G2123" s="3">
        <f t="shared" ref="G2123:G2186" si="107">ABS(E2123)*F2123</f>
        <v>4000</v>
      </c>
      <c r="H2123" s="3" t="s">
        <v>293</v>
      </c>
      <c r="I2123" s="1" t="s">
        <v>83</v>
      </c>
      <c r="J2123" s="1" t="s">
        <v>1339</v>
      </c>
      <c r="K2123" s="1" t="s">
        <v>298</v>
      </c>
      <c r="L2123" s="1" t="s">
        <v>257</v>
      </c>
      <c r="M2123" s="1"/>
      <c r="N2123" s="1">
        <f t="shared" si="106"/>
        <v>7</v>
      </c>
      <c r="O2123" s="87"/>
    </row>
    <row r="2124" spans="1:15" ht="15.75" hidden="1" x14ac:dyDescent="0.25">
      <c r="A2124" s="1" t="str">
        <f t="shared" si="105"/>
        <v>4476044762202.3FIFA CCSHOPPINGQDF</v>
      </c>
      <c r="B2124" s="2">
        <v>44760</v>
      </c>
      <c r="C2124" s="2">
        <v>44762</v>
      </c>
      <c r="D2124" s="3" t="s">
        <v>2599</v>
      </c>
      <c r="E2124" s="3">
        <v>202.3</v>
      </c>
      <c r="F2124" s="3">
        <v>1</v>
      </c>
      <c r="G2124" s="3">
        <f t="shared" si="107"/>
        <v>202.3</v>
      </c>
      <c r="H2124" s="3" t="s">
        <v>3294</v>
      </c>
      <c r="I2124" s="1" t="s">
        <v>194</v>
      </c>
      <c r="J2124" s="1" t="s">
        <v>2900</v>
      </c>
      <c r="K2124" s="1" t="s">
        <v>298</v>
      </c>
      <c r="L2124" s="1" t="s">
        <v>267</v>
      </c>
      <c r="M2124" s="1"/>
      <c r="N2124" s="1">
        <f t="shared" si="106"/>
        <v>7</v>
      </c>
      <c r="O2124" s="87"/>
    </row>
    <row r="2125" spans="1:15" ht="15.75" hidden="1" x14ac:dyDescent="0.25">
      <c r="A2125" s="1" t="str">
        <f t="shared" si="105"/>
        <v>4476044762109.02FIFA CCGROCERYTOTAL FRESH</v>
      </c>
      <c r="B2125" s="2">
        <v>44760</v>
      </c>
      <c r="C2125" s="2">
        <v>44762</v>
      </c>
      <c r="D2125" s="3" t="s">
        <v>2600</v>
      </c>
      <c r="E2125" s="3">
        <v>109.02</v>
      </c>
      <c r="F2125" s="3">
        <v>1</v>
      </c>
      <c r="G2125" s="3">
        <f t="shared" si="107"/>
        <v>109.02</v>
      </c>
      <c r="H2125" s="3" t="s">
        <v>3294</v>
      </c>
      <c r="I2125" s="1" t="s">
        <v>43</v>
      </c>
      <c r="J2125" s="1" t="s">
        <v>1394</v>
      </c>
      <c r="K2125" s="1" t="s">
        <v>298</v>
      </c>
      <c r="L2125" s="1" t="s">
        <v>267</v>
      </c>
      <c r="M2125" s="1"/>
      <c r="N2125" s="1">
        <f t="shared" si="106"/>
        <v>7</v>
      </c>
      <c r="O2125" s="87"/>
    </row>
    <row r="2126" spans="1:15" ht="15.75" hidden="1" x14ac:dyDescent="0.25">
      <c r="A2126" s="1" t="str">
        <f t="shared" si="105"/>
        <v>447604476222FIFA CCFOODQATAR AIR</v>
      </c>
      <c r="B2126" s="2">
        <v>44760</v>
      </c>
      <c r="C2126" s="2">
        <v>44762</v>
      </c>
      <c r="D2126" s="3" t="s">
        <v>2601</v>
      </c>
      <c r="E2126" s="3">
        <v>22</v>
      </c>
      <c r="F2126" s="3">
        <v>1</v>
      </c>
      <c r="G2126" s="3">
        <f t="shared" si="107"/>
        <v>22</v>
      </c>
      <c r="H2126" s="3" t="s">
        <v>3294</v>
      </c>
      <c r="I2126" s="1" t="s">
        <v>10</v>
      </c>
      <c r="J2126" s="1" t="s">
        <v>19</v>
      </c>
      <c r="K2126" s="1" t="s">
        <v>298</v>
      </c>
      <c r="L2126" s="1" t="s">
        <v>267</v>
      </c>
      <c r="M2126" s="1"/>
      <c r="N2126" s="1">
        <f t="shared" si="106"/>
        <v>7</v>
      </c>
      <c r="O2126" s="87"/>
    </row>
    <row r="2127" spans="1:15" ht="15.75" hidden="1" x14ac:dyDescent="0.25">
      <c r="A2127" s="1" t="str">
        <f t="shared" si="105"/>
        <v>447614476332FIFA CCFOODQATAR AIR</v>
      </c>
      <c r="B2127" s="2">
        <v>44761</v>
      </c>
      <c r="C2127" s="2">
        <v>44763</v>
      </c>
      <c r="D2127" s="3" t="s">
        <v>2597</v>
      </c>
      <c r="E2127" s="3">
        <v>32</v>
      </c>
      <c r="F2127" s="3">
        <v>1</v>
      </c>
      <c r="G2127" s="3">
        <f t="shared" si="107"/>
        <v>32</v>
      </c>
      <c r="H2127" s="3" t="s">
        <v>3294</v>
      </c>
      <c r="I2127" s="1" t="s">
        <v>10</v>
      </c>
      <c r="J2127" s="1" t="s">
        <v>19</v>
      </c>
      <c r="K2127" s="1" t="s">
        <v>298</v>
      </c>
      <c r="L2127" s="1" t="s">
        <v>267</v>
      </c>
      <c r="M2127" s="1"/>
      <c r="N2127" s="1">
        <f t="shared" si="106"/>
        <v>7</v>
      </c>
      <c r="O2127" s="87"/>
    </row>
    <row r="2128" spans="1:15" ht="15.75" hidden="1" x14ac:dyDescent="0.25">
      <c r="A2128" s="1" t="str">
        <f t="shared" si="105"/>
        <v>44761447637.5FIFA CCTRANSPORTCAREEM</v>
      </c>
      <c r="B2128" s="2">
        <v>44761</v>
      </c>
      <c r="C2128" s="2">
        <v>44763</v>
      </c>
      <c r="D2128" s="3" t="s">
        <v>2598</v>
      </c>
      <c r="E2128" s="3">
        <v>7.5</v>
      </c>
      <c r="F2128" s="3">
        <v>1</v>
      </c>
      <c r="G2128" s="3">
        <f t="shared" si="107"/>
        <v>7.5</v>
      </c>
      <c r="H2128" s="3" t="s">
        <v>3294</v>
      </c>
      <c r="I2128" s="1" t="s">
        <v>296</v>
      </c>
      <c r="J2128" s="1" t="s">
        <v>297</v>
      </c>
      <c r="K2128" s="1" t="s">
        <v>298</v>
      </c>
      <c r="L2128" s="1" t="s">
        <v>267</v>
      </c>
      <c r="M2128" s="1"/>
      <c r="N2128" s="1">
        <f t="shared" si="106"/>
        <v>7</v>
      </c>
      <c r="O2128" s="87"/>
    </row>
    <row r="2129" spans="1:15" ht="15.75" hidden="1" x14ac:dyDescent="0.25">
      <c r="A2129" s="1" t="str">
        <f t="shared" si="105"/>
        <v>447614476110.2CURRENTTRANSPORTCAREEM</v>
      </c>
      <c r="B2129" s="2">
        <v>44761</v>
      </c>
      <c r="C2129" s="2">
        <v>44761</v>
      </c>
      <c r="D2129" s="3" t="s">
        <v>2633</v>
      </c>
      <c r="E2129" s="3">
        <v>-10.199999999999999</v>
      </c>
      <c r="F2129" s="3">
        <v>1</v>
      </c>
      <c r="G2129" s="3">
        <f t="shared" si="107"/>
        <v>10.199999999999999</v>
      </c>
      <c r="H2129" s="3" t="s">
        <v>293</v>
      </c>
      <c r="I2129" s="1" t="s">
        <v>296</v>
      </c>
      <c r="J2129" s="1" t="s">
        <v>297</v>
      </c>
      <c r="K2129" s="1" t="s">
        <v>298</v>
      </c>
      <c r="L2129" s="1" t="s">
        <v>257</v>
      </c>
      <c r="M2129" s="1"/>
      <c r="N2129" s="1">
        <f t="shared" si="106"/>
        <v>7</v>
      </c>
      <c r="O2129" s="87"/>
    </row>
    <row r="2130" spans="1:15" ht="15.75" hidden="1" x14ac:dyDescent="0.25">
      <c r="A2130" s="1" t="str">
        <f t="shared" si="105"/>
        <v>44761447619.6CURRENTTRANSPORTCAREEM</v>
      </c>
      <c r="B2130" s="2">
        <v>44761</v>
      </c>
      <c r="C2130" s="2">
        <v>44761</v>
      </c>
      <c r="D2130" s="3" t="s">
        <v>2634</v>
      </c>
      <c r="E2130" s="3">
        <v>-9.6</v>
      </c>
      <c r="F2130" s="3">
        <v>1</v>
      </c>
      <c r="G2130" s="3">
        <f t="shared" si="107"/>
        <v>9.6</v>
      </c>
      <c r="H2130" s="3" t="s">
        <v>293</v>
      </c>
      <c r="I2130" s="1" t="s">
        <v>296</v>
      </c>
      <c r="J2130" s="1" t="s">
        <v>297</v>
      </c>
      <c r="K2130" s="1" t="s">
        <v>298</v>
      </c>
      <c r="L2130" s="1" t="s">
        <v>257</v>
      </c>
      <c r="M2130" s="1"/>
      <c r="N2130" s="1">
        <f t="shared" si="106"/>
        <v>7</v>
      </c>
      <c r="O2130" s="87"/>
    </row>
    <row r="2131" spans="1:15" ht="15.75" hidden="1" x14ac:dyDescent="0.25">
      <c r="A2131" s="1" t="str">
        <f t="shared" si="105"/>
        <v>447624476418FIFA CCFOODQATAR AIR</v>
      </c>
      <c r="B2131" s="2">
        <v>44762</v>
      </c>
      <c r="C2131" s="2">
        <v>44764</v>
      </c>
      <c r="D2131" s="3" t="s">
        <v>2596</v>
      </c>
      <c r="E2131" s="3">
        <v>18</v>
      </c>
      <c r="F2131" s="3">
        <v>1</v>
      </c>
      <c r="G2131" s="3">
        <f t="shared" si="107"/>
        <v>18</v>
      </c>
      <c r="H2131" s="3" t="s">
        <v>3294</v>
      </c>
      <c r="I2131" s="1" t="s">
        <v>10</v>
      </c>
      <c r="J2131" s="1" t="s">
        <v>19</v>
      </c>
      <c r="K2131" s="1" t="s">
        <v>298</v>
      </c>
      <c r="L2131" s="1" t="s">
        <v>267</v>
      </c>
      <c r="M2131" s="1"/>
      <c r="N2131" s="1">
        <f t="shared" si="106"/>
        <v>7</v>
      </c>
      <c r="O2131" s="87"/>
    </row>
    <row r="2132" spans="1:15" ht="15.75" hidden="1" x14ac:dyDescent="0.25">
      <c r="A2132" s="1" t="str">
        <f t="shared" si="105"/>
        <v>447624476217.3CURRENTTRANSPORTCAREEM</v>
      </c>
      <c r="B2132" s="2">
        <v>44762</v>
      </c>
      <c r="C2132" s="2">
        <v>44762</v>
      </c>
      <c r="D2132" s="3" t="s">
        <v>2632</v>
      </c>
      <c r="E2132" s="3">
        <v>-17.3</v>
      </c>
      <c r="F2132" s="3">
        <v>1</v>
      </c>
      <c r="G2132" s="3">
        <f t="shared" si="107"/>
        <v>17.3</v>
      </c>
      <c r="H2132" s="3" t="s">
        <v>293</v>
      </c>
      <c r="I2132" s="1" t="s">
        <v>296</v>
      </c>
      <c r="J2132" s="1" t="s">
        <v>297</v>
      </c>
      <c r="K2132" s="1" t="s">
        <v>298</v>
      </c>
      <c r="L2132" s="1" t="s">
        <v>257</v>
      </c>
      <c r="M2132" s="1"/>
      <c r="N2132" s="1">
        <f t="shared" si="106"/>
        <v>7</v>
      </c>
      <c r="O2132" s="87"/>
    </row>
    <row r="2133" spans="1:15" ht="15.75" hidden="1" x14ac:dyDescent="0.25">
      <c r="A2133" s="1" t="str">
        <f t="shared" si="105"/>
        <v>447634476718FIFA CCFOODQATAR AIR</v>
      </c>
      <c r="B2133" s="2">
        <v>44763</v>
      </c>
      <c r="C2133" s="2">
        <v>44767</v>
      </c>
      <c r="D2133" s="3" t="s">
        <v>2595</v>
      </c>
      <c r="E2133" s="3">
        <v>18</v>
      </c>
      <c r="F2133" s="3">
        <v>1</v>
      </c>
      <c r="G2133" s="3">
        <f t="shared" si="107"/>
        <v>18</v>
      </c>
      <c r="H2133" s="3" t="s">
        <v>3294</v>
      </c>
      <c r="I2133" s="1" t="s">
        <v>10</v>
      </c>
      <c r="J2133" s="1" t="s">
        <v>19</v>
      </c>
      <c r="K2133" s="1" t="s">
        <v>298</v>
      </c>
      <c r="L2133" s="1" t="s">
        <v>267</v>
      </c>
      <c r="M2133" s="1"/>
      <c r="N2133" s="1">
        <f t="shared" si="106"/>
        <v>7</v>
      </c>
      <c r="O2133" s="87"/>
    </row>
    <row r="2134" spans="1:15" ht="15.75" hidden="1" x14ac:dyDescent="0.25">
      <c r="A2134" s="1" t="str">
        <f t="shared" si="105"/>
        <v>447634476319.2CURRENTTRANSPORTCAREEM</v>
      </c>
      <c r="B2134" s="2">
        <v>44763</v>
      </c>
      <c r="C2134" s="2">
        <v>44763</v>
      </c>
      <c r="D2134" s="3" t="s">
        <v>2631</v>
      </c>
      <c r="E2134" s="3">
        <v>-19.2</v>
      </c>
      <c r="F2134" s="3">
        <v>1</v>
      </c>
      <c r="G2134" s="3">
        <f t="shared" si="107"/>
        <v>19.2</v>
      </c>
      <c r="H2134" s="3" t="s">
        <v>293</v>
      </c>
      <c r="I2134" s="1" t="s">
        <v>296</v>
      </c>
      <c r="J2134" s="1" t="s">
        <v>297</v>
      </c>
      <c r="K2134" s="1" t="s">
        <v>298</v>
      </c>
      <c r="L2134" s="1" t="s">
        <v>257</v>
      </c>
      <c r="M2134" s="1"/>
      <c r="N2134" s="1">
        <f t="shared" si="106"/>
        <v>7</v>
      </c>
      <c r="O2134" s="87"/>
    </row>
    <row r="2135" spans="1:15" ht="15.75" hidden="1" x14ac:dyDescent="0.25">
      <c r="A2135" s="1" t="str">
        <f t="shared" si="105"/>
        <v>4476444765575DINERSTRANSFERINDIA</v>
      </c>
      <c r="B2135" s="2">
        <v>44764</v>
      </c>
      <c r="C2135" s="2">
        <v>44765</v>
      </c>
      <c r="D2135" s="3" t="s">
        <v>2588</v>
      </c>
      <c r="E2135" s="3">
        <v>575</v>
      </c>
      <c r="F2135" s="3">
        <v>1</v>
      </c>
      <c r="G2135" s="3">
        <f t="shared" si="107"/>
        <v>575</v>
      </c>
      <c r="H2135" s="3" t="s">
        <v>266</v>
      </c>
      <c r="I2135" s="1" t="s">
        <v>22</v>
      </c>
      <c r="J2135" s="1" t="s">
        <v>23</v>
      </c>
      <c r="K2135" s="1" t="s">
        <v>298</v>
      </c>
      <c r="L2135" s="1" t="s">
        <v>267</v>
      </c>
      <c r="M2135" s="1"/>
      <c r="N2135" s="1">
        <f t="shared" si="106"/>
        <v>7</v>
      </c>
      <c r="O2135" s="87"/>
    </row>
    <row r="2136" spans="1:15" ht="15.75" hidden="1" x14ac:dyDescent="0.25">
      <c r="A2136" s="1" t="str">
        <f t="shared" si="105"/>
        <v>4476444767121FIFA CCSHOPPINGFFC</v>
      </c>
      <c r="B2136" s="2">
        <v>44764</v>
      </c>
      <c r="C2136" s="2">
        <v>44767</v>
      </c>
      <c r="D2136" s="3" t="s">
        <v>2593</v>
      </c>
      <c r="E2136" s="3">
        <v>121</v>
      </c>
      <c r="F2136" s="3">
        <v>1</v>
      </c>
      <c r="G2136" s="3">
        <f t="shared" si="107"/>
        <v>121</v>
      </c>
      <c r="H2136" s="3" t="s">
        <v>3294</v>
      </c>
      <c r="I2136" s="1" t="s">
        <v>194</v>
      </c>
      <c r="J2136" s="1" t="s">
        <v>96</v>
      </c>
      <c r="K2136" s="1" t="s">
        <v>298</v>
      </c>
      <c r="L2136" s="1" t="s">
        <v>267</v>
      </c>
      <c r="M2136" s="1"/>
      <c r="N2136" s="1">
        <f t="shared" si="106"/>
        <v>7</v>
      </c>
      <c r="O2136" s="87"/>
    </row>
    <row r="2137" spans="1:15" ht="15.75" hidden="1" x14ac:dyDescent="0.25">
      <c r="A2137" s="1" t="str">
        <f t="shared" si="105"/>
        <v>4476444765440.59FIFA CCGROCERYLULU</v>
      </c>
      <c r="B2137" s="2">
        <v>44764</v>
      </c>
      <c r="C2137" s="2">
        <v>44765</v>
      </c>
      <c r="D2137" s="3" t="s">
        <v>2594</v>
      </c>
      <c r="E2137" s="3">
        <v>440.59</v>
      </c>
      <c r="F2137" s="3">
        <v>1</v>
      </c>
      <c r="G2137" s="3">
        <f t="shared" si="107"/>
        <v>440.59</v>
      </c>
      <c r="H2137" s="3" t="s">
        <v>3294</v>
      </c>
      <c r="I2137" s="1" t="s">
        <v>43</v>
      </c>
      <c r="J2137" s="1" t="s">
        <v>44</v>
      </c>
      <c r="K2137" s="1" t="s">
        <v>298</v>
      </c>
      <c r="L2137" s="1" t="s">
        <v>267</v>
      </c>
      <c r="M2137" s="1"/>
      <c r="N2137" s="1">
        <f t="shared" si="106"/>
        <v>7</v>
      </c>
      <c r="O2137" s="87"/>
    </row>
    <row r="2138" spans="1:15" ht="15.75" hidden="1" x14ac:dyDescent="0.25">
      <c r="A2138" s="1" t="str">
        <f t="shared" si="105"/>
        <v>4476444768104MASTER CCTELECOMOOREDOO</v>
      </c>
      <c r="B2138" s="2">
        <v>44764</v>
      </c>
      <c r="C2138" s="2">
        <v>44768</v>
      </c>
      <c r="D2138" s="3" t="s">
        <v>2626</v>
      </c>
      <c r="E2138" s="3">
        <v>104</v>
      </c>
      <c r="F2138" s="3">
        <v>1</v>
      </c>
      <c r="G2138" s="3">
        <f t="shared" si="107"/>
        <v>104</v>
      </c>
      <c r="H2138" s="3" t="s">
        <v>291</v>
      </c>
      <c r="I2138" s="1" t="s">
        <v>58</v>
      </c>
      <c r="J2138" s="1" t="s">
        <v>59</v>
      </c>
      <c r="K2138" s="1" t="s">
        <v>298</v>
      </c>
      <c r="L2138" s="1" t="s">
        <v>267</v>
      </c>
      <c r="M2138" s="1"/>
      <c r="N2138" s="1">
        <f t="shared" si="106"/>
        <v>7</v>
      </c>
      <c r="O2138" s="87"/>
    </row>
    <row r="2139" spans="1:15" ht="15.75" hidden="1" x14ac:dyDescent="0.25">
      <c r="A2139" s="1" t="str">
        <f t="shared" si="105"/>
        <v>4476544766811FIFA CCSHOPPINGIKEA</v>
      </c>
      <c r="B2139" s="2">
        <v>44765</v>
      </c>
      <c r="C2139" s="2">
        <v>44766</v>
      </c>
      <c r="D2139" s="3" t="s">
        <v>2590</v>
      </c>
      <c r="E2139" s="3">
        <v>811</v>
      </c>
      <c r="F2139" s="3">
        <v>1</v>
      </c>
      <c r="G2139" s="3">
        <f t="shared" si="107"/>
        <v>811</v>
      </c>
      <c r="H2139" s="3" t="s">
        <v>3294</v>
      </c>
      <c r="I2139" s="1" t="s">
        <v>194</v>
      </c>
      <c r="J2139" s="1" t="s">
        <v>192</v>
      </c>
      <c r="K2139" s="1" t="s">
        <v>298</v>
      </c>
      <c r="L2139" s="1" t="s">
        <v>267</v>
      </c>
      <c r="M2139" s="1"/>
      <c r="N2139" s="1">
        <f t="shared" si="106"/>
        <v>7</v>
      </c>
      <c r="O2139" s="87"/>
    </row>
    <row r="2140" spans="1:15" ht="15.75" hidden="1" x14ac:dyDescent="0.25">
      <c r="A2140" s="1" t="str">
        <f t="shared" si="105"/>
        <v>447654476625FIFA CCFOODCAFÉ/REST.</v>
      </c>
      <c r="B2140" s="2">
        <v>44765</v>
      </c>
      <c r="C2140" s="2">
        <v>44766</v>
      </c>
      <c r="D2140" s="3" t="s">
        <v>2591</v>
      </c>
      <c r="E2140" s="3">
        <v>25</v>
      </c>
      <c r="F2140" s="3">
        <v>1</v>
      </c>
      <c r="G2140" s="3">
        <f t="shared" si="107"/>
        <v>25</v>
      </c>
      <c r="H2140" s="3" t="s">
        <v>3294</v>
      </c>
      <c r="I2140" s="1" t="s">
        <v>10</v>
      </c>
      <c r="J2140" s="1" t="s">
        <v>11</v>
      </c>
      <c r="K2140" s="1" t="s">
        <v>298</v>
      </c>
      <c r="L2140" s="1" t="s">
        <v>267</v>
      </c>
      <c r="M2140" s="1"/>
      <c r="N2140" s="1">
        <f t="shared" si="106"/>
        <v>7</v>
      </c>
      <c r="O2140" s="87"/>
    </row>
    <row r="2141" spans="1:15" ht="15.75" hidden="1" x14ac:dyDescent="0.25">
      <c r="A2141" s="1" t="str">
        <f t="shared" si="105"/>
        <v>4476544766123.2FIFA CCFOODCAFÉ/REST.</v>
      </c>
      <c r="B2141" s="2">
        <v>44765</v>
      </c>
      <c r="C2141" s="2">
        <v>44766</v>
      </c>
      <c r="D2141" s="3" t="s">
        <v>2592</v>
      </c>
      <c r="E2141" s="3">
        <v>123.2</v>
      </c>
      <c r="F2141" s="3">
        <v>1</v>
      </c>
      <c r="G2141" s="3">
        <f t="shared" si="107"/>
        <v>123.2</v>
      </c>
      <c r="H2141" s="3" t="s">
        <v>3294</v>
      </c>
      <c r="I2141" s="1" t="s">
        <v>10</v>
      </c>
      <c r="J2141" s="1" t="s">
        <v>11</v>
      </c>
      <c r="K2141" s="1" t="s">
        <v>298</v>
      </c>
      <c r="L2141" s="1" t="s">
        <v>267</v>
      </c>
      <c r="M2141" s="1"/>
      <c r="N2141" s="1">
        <f t="shared" si="106"/>
        <v>7</v>
      </c>
      <c r="O2141" s="87"/>
    </row>
    <row r="2142" spans="1:15" ht="15.75" hidden="1" x14ac:dyDescent="0.25">
      <c r="A2142" s="1" t="str">
        <f t="shared" si="105"/>
        <v>447664476717.54FIFA CCGROCERYTOTAL FRESH</v>
      </c>
      <c r="B2142" s="2">
        <v>44766</v>
      </c>
      <c r="C2142" s="2">
        <v>44767</v>
      </c>
      <c r="D2142" s="3" t="s">
        <v>2589</v>
      </c>
      <c r="E2142" s="3">
        <v>17.54</v>
      </c>
      <c r="F2142" s="3">
        <v>1</v>
      </c>
      <c r="G2142" s="3">
        <f t="shared" si="107"/>
        <v>17.54</v>
      </c>
      <c r="H2142" s="3" t="s">
        <v>3294</v>
      </c>
      <c r="I2142" s="1" t="s">
        <v>43</v>
      </c>
      <c r="J2142" s="1" t="s">
        <v>1394</v>
      </c>
      <c r="K2142" s="1" t="s">
        <v>298</v>
      </c>
      <c r="L2142" s="1" t="s">
        <v>267</v>
      </c>
      <c r="M2142" s="1"/>
      <c r="N2142" s="1">
        <f t="shared" si="106"/>
        <v>7</v>
      </c>
      <c r="O2142" s="87"/>
    </row>
    <row r="2143" spans="1:15" ht="15.75" hidden="1" x14ac:dyDescent="0.25">
      <c r="A2143" s="1" t="str">
        <f t="shared" si="105"/>
        <v>447664476619.6CURRENTTRANSPORTCAREEM</v>
      </c>
      <c r="B2143" s="2">
        <v>44766</v>
      </c>
      <c r="C2143" s="2">
        <v>44766</v>
      </c>
      <c r="D2143" s="3" t="s">
        <v>2630</v>
      </c>
      <c r="E2143" s="3">
        <v>-19.600000000000001</v>
      </c>
      <c r="F2143" s="3">
        <v>1</v>
      </c>
      <c r="G2143" s="3">
        <f t="shared" si="107"/>
        <v>19.600000000000001</v>
      </c>
      <c r="H2143" s="3" t="s">
        <v>293</v>
      </c>
      <c r="I2143" s="1" t="s">
        <v>296</v>
      </c>
      <c r="J2143" s="1" t="s">
        <v>297</v>
      </c>
      <c r="K2143" s="1" t="s">
        <v>298</v>
      </c>
      <c r="L2143" s="1" t="s">
        <v>257</v>
      </c>
      <c r="M2143" s="1"/>
      <c r="N2143" s="1">
        <f t="shared" si="106"/>
        <v>7</v>
      </c>
      <c r="O2143" s="87"/>
    </row>
    <row r="2144" spans="1:15" ht="15.75" hidden="1" x14ac:dyDescent="0.25">
      <c r="A2144" s="1" t="str">
        <f t="shared" si="105"/>
        <v>447674476735CURRENTGROCERYTOTAL FRESH</v>
      </c>
      <c r="B2144" s="2">
        <v>44767</v>
      </c>
      <c r="C2144" s="2">
        <v>44767</v>
      </c>
      <c r="D2144" s="3" t="s">
        <v>2629</v>
      </c>
      <c r="E2144" s="3">
        <v>-35</v>
      </c>
      <c r="F2144" s="3">
        <v>1</v>
      </c>
      <c r="G2144" s="3">
        <f t="shared" si="107"/>
        <v>35</v>
      </c>
      <c r="H2144" s="3" t="s">
        <v>293</v>
      </c>
      <c r="I2144" s="1" t="s">
        <v>43</v>
      </c>
      <c r="J2144" s="1" t="s">
        <v>1394</v>
      </c>
      <c r="K2144" s="1" t="s">
        <v>298</v>
      </c>
      <c r="L2144" s="1" t="s">
        <v>257</v>
      </c>
      <c r="M2144" s="1"/>
      <c r="N2144" s="1">
        <f t="shared" si="106"/>
        <v>7</v>
      </c>
      <c r="O2144" s="87"/>
    </row>
    <row r="2145" spans="1:15" ht="15.75" hidden="1" x14ac:dyDescent="0.25">
      <c r="A2145" s="1" t="str">
        <f t="shared" si="105"/>
        <v>447684477060MASTER CCTELECOMOOREDOO</v>
      </c>
      <c r="B2145" s="2">
        <v>44768</v>
      </c>
      <c r="C2145" s="2">
        <v>44770</v>
      </c>
      <c r="D2145" s="3" t="s">
        <v>2625</v>
      </c>
      <c r="E2145" s="3">
        <v>60</v>
      </c>
      <c r="F2145" s="3">
        <v>1</v>
      </c>
      <c r="G2145" s="3">
        <f t="shared" si="107"/>
        <v>60</v>
      </c>
      <c r="H2145" s="3" t="s">
        <v>291</v>
      </c>
      <c r="I2145" s="1" t="s">
        <v>58</v>
      </c>
      <c r="J2145" s="1" t="s">
        <v>59</v>
      </c>
      <c r="K2145" s="1" t="s">
        <v>298</v>
      </c>
      <c r="L2145" s="1" t="s">
        <v>267</v>
      </c>
      <c r="M2145" s="1"/>
      <c r="N2145" s="1">
        <f t="shared" si="106"/>
        <v>7</v>
      </c>
      <c r="O2145" s="87"/>
    </row>
    <row r="2146" spans="1:15" ht="15.75" hidden="1" x14ac:dyDescent="0.25">
      <c r="A2146" s="1" t="str">
        <f t="shared" si="105"/>
        <v>44769447694976CURRENTLOANBANK</v>
      </c>
      <c r="B2146" s="2">
        <v>44769</v>
      </c>
      <c r="C2146" s="2">
        <v>44769</v>
      </c>
      <c r="D2146" s="3" t="s">
        <v>2627</v>
      </c>
      <c r="E2146" s="3">
        <v>-4976</v>
      </c>
      <c r="F2146" s="3">
        <v>1</v>
      </c>
      <c r="G2146" s="3">
        <f t="shared" si="107"/>
        <v>4976</v>
      </c>
      <c r="H2146" s="3" t="s">
        <v>293</v>
      </c>
      <c r="I2146" s="1" t="s">
        <v>3</v>
      </c>
      <c r="J2146" s="1" t="s">
        <v>8</v>
      </c>
      <c r="K2146" s="1" t="s">
        <v>298</v>
      </c>
      <c r="L2146" s="1" t="s">
        <v>257</v>
      </c>
      <c r="M2146" s="1">
        <v>1</v>
      </c>
      <c r="N2146" s="1">
        <f t="shared" si="106"/>
        <v>7</v>
      </c>
      <c r="O2146" s="87"/>
    </row>
    <row r="2147" spans="1:15" ht="15.75" hidden="1" x14ac:dyDescent="0.25">
      <c r="A2147" s="1" t="str">
        <f t="shared" si="105"/>
        <v>447694476921494CURRENTSALARYQATAR AIR</v>
      </c>
      <c r="B2147" s="2">
        <v>44769</v>
      </c>
      <c r="C2147" s="2">
        <v>44769</v>
      </c>
      <c r="D2147" s="3" t="s">
        <v>2628</v>
      </c>
      <c r="E2147" s="3">
        <v>21494</v>
      </c>
      <c r="F2147" s="3">
        <v>1</v>
      </c>
      <c r="G2147" s="3">
        <f t="shared" si="107"/>
        <v>21494</v>
      </c>
      <c r="H2147" s="3" t="s">
        <v>293</v>
      </c>
      <c r="I2147" s="1" t="s">
        <v>18</v>
      </c>
      <c r="J2147" s="1" t="s">
        <v>19</v>
      </c>
      <c r="K2147" s="1" t="s">
        <v>300</v>
      </c>
      <c r="L2147" s="1" t="s">
        <v>257</v>
      </c>
      <c r="M2147" s="1"/>
      <c r="N2147" s="1">
        <f t="shared" si="106"/>
        <v>7</v>
      </c>
      <c r="O2147" s="87"/>
    </row>
    <row r="2148" spans="1:15" ht="15.75" hidden="1" x14ac:dyDescent="0.25">
      <c r="A2148" s="1" t="str">
        <f t="shared" si="105"/>
        <v>44769447696902CURRENTCC BILL PAYMENTBANK</v>
      </c>
      <c r="B2148" s="2">
        <v>44769</v>
      </c>
      <c r="C2148" s="2">
        <v>44769</v>
      </c>
      <c r="D2148" s="3" t="s">
        <v>2645</v>
      </c>
      <c r="E2148" s="3">
        <v>-6902</v>
      </c>
      <c r="F2148" s="3">
        <v>1</v>
      </c>
      <c r="G2148" s="3">
        <f t="shared" si="107"/>
        <v>6902</v>
      </c>
      <c r="H2148" s="3" t="s">
        <v>293</v>
      </c>
      <c r="I2148" s="1" t="s">
        <v>81</v>
      </c>
      <c r="J2148" s="1" t="s">
        <v>8</v>
      </c>
      <c r="K2148" s="1" t="s">
        <v>298</v>
      </c>
      <c r="L2148" s="1" t="s">
        <v>257</v>
      </c>
      <c r="M2148" s="1"/>
      <c r="N2148" s="1">
        <f t="shared" si="106"/>
        <v>7</v>
      </c>
      <c r="O2148" s="87"/>
    </row>
    <row r="2149" spans="1:15" ht="15.75" hidden="1" x14ac:dyDescent="0.25">
      <c r="A2149" s="1" t="str">
        <f t="shared" si="105"/>
        <v>44769447706902FIFA CCCC BILL PAYMENTBANK</v>
      </c>
      <c r="B2149" s="2">
        <v>44769</v>
      </c>
      <c r="C2149" s="2">
        <v>44770</v>
      </c>
      <c r="D2149" s="3" t="s">
        <v>80</v>
      </c>
      <c r="E2149" s="3">
        <v>-6902</v>
      </c>
      <c r="F2149" s="3">
        <v>1</v>
      </c>
      <c r="G2149" s="3">
        <f t="shared" si="107"/>
        <v>6902</v>
      </c>
      <c r="H2149" s="3" t="s">
        <v>3294</v>
      </c>
      <c r="I2149" s="1" t="s">
        <v>81</v>
      </c>
      <c r="J2149" s="1" t="s">
        <v>8</v>
      </c>
      <c r="K2149" s="1" t="s">
        <v>300</v>
      </c>
      <c r="L2149" s="1" t="s">
        <v>267</v>
      </c>
      <c r="M2149" s="1"/>
      <c r="N2149" s="1">
        <f t="shared" si="106"/>
        <v>7</v>
      </c>
      <c r="O2149" s="87"/>
    </row>
    <row r="2150" spans="1:15" ht="15.75" hidden="1" x14ac:dyDescent="0.25">
      <c r="A2150" s="1" t="str">
        <f t="shared" si="105"/>
        <v>44770447700CURRENTLOANAKSHIT</v>
      </c>
      <c r="B2150" s="2">
        <v>44770</v>
      </c>
      <c r="C2150" s="2">
        <v>44770</v>
      </c>
      <c r="D2150" s="3" t="s">
        <v>2644</v>
      </c>
      <c r="E2150" s="3">
        <v>4136</v>
      </c>
      <c r="F2150" s="3">
        <v>0</v>
      </c>
      <c r="G2150" s="3">
        <f t="shared" si="107"/>
        <v>0</v>
      </c>
      <c r="H2150" s="3" t="s">
        <v>293</v>
      </c>
      <c r="I2150" s="1" t="s">
        <v>3</v>
      </c>
      <c r="J2150" s="1" t="s">
        <v>879</v>
      </c>
      <c r="K2150" s="1" t="s">
        <v>300</v>
      </c>
      <c r="L2150" s="1" t="s">
        <v>257</v>
      </c>
      <c r="M2150" s="1"/>
      <c r="N2150" s="1">
        <f t="shared" si="106"/>
        <v>7</v>
      </c>
      <c r="O2150" s="87" t="s">
        <v>2646</v>
      </c>
    </row>
    <row r="2151" spans="1:15" ht="15.75" hidden="1" x14ac:dyDescent="0.25">
      <c r="A2151" s="1" t="str">
        <f t="shared" si="105"/>
        <v>4477244773340.6FIFA CCSHOPPINGREDTAG</v>
      </c>
      <c r="B2151" s="2">
        <v>44772</v>
      </c>
      <c r="C2151" s="2">
        <v>44773</v>
      </c>
      <c r="D2151" s="3" t="s">
        <v>2698</v>
      </c>
      <c r="E2151" s="3">
        <v>340.6</v>
      </c>
      <c r="F2151" s="3">
        <v>1</v>
      </c>
      <c r="G2151" s="3">
        <f t="shared" si="107"/>
        <v>340.6</v>
      </c>
      <c r="H2151" s="3" t="s">
        <v>3294</v>
      </c>
      <c r="I2151" s="1" t="s">
        <v>194</v>
      </c>
      <c r="J2151" s="1" t="s">
        <v>2704</v>
      </c>
      <c r="K2151" s="1" t="s">
        <v>298</v>
      </c>
      <c r="L2151" s="1" t="s">
        <v>267</v>
      </c>
      <c r="M2151" s="1"/>
      <c r="N2151" s="1">
        <f t="shared" si="106"/>
        <v>7</v>
      </c>
      <c r="O2151" s="87"/>
    </row>
    <row r="2152" spans="1:15" ht="15.75" hidden="1" x14ac:dyDescent="0.25">
      <c r="A2152" s="1" t="str">
        <f t="shared" si="105"/>
        <v>4477344773102.13CURRENTGROCERYTOTAL FRESH</v>
      </c>
      <c r="B2152" s="2">
        <v>44773</v>
      </c>
      <c r="C2152" s="2">
        <v>44773</v>
      </c>
      <c r="D2152" s="3" t="s">
        <v>2643</v>
      </c>
      <c r="E2152" s="3">
        <v>-102.13</v>
      </c>
      <c r="F2152" s="3">
        <v>1</v>
      </c>
      <c r="G2152" s="3">
        <f t="shared" si="107"/>
        <v>102.13</v>
      </c>
      <c r="H2152" s="3" t="s">
        <v>293</v>
      </c>
      <c r="I2152" s="1" t="s">
        <v>43</v>
      </c>
      <c r="J2152" s="1" t="s">
        <v>1394</v>
      </c>
      <c r="K2152" s="1" t="s">
        <v>298</v>
      </c>
      <c r="L2152" s="1" t="s">
        <v>257</v>
      </c>
      <c r="M2152" s="1"/>
      <c r="N2152" s="1">
        <f t="shared" si="106"/>
        <v>7</v>
      </c>
      <c r="O2152" s="87"/>
    </row>
    <row r="2153" spans="1:15" ht="15.75" hidden="1" x14ac:dyDescent="0.25">
      <c r="A2153" s="1" t="str">
        <f t="shared" si="105"/>
        <v>447734477359.8FIFA CCCC BILL PAYMENTBANK</v>
      </c>
      <c r="B2153" s="2">
        <v>44773</v>
      </c>
      <c r="C2153" s="2">
        <v>44773</v>
      </c>
      <c r="D2153" s="3" t="s">
        <v>80</v>
      </c>
      <c r="E2153" s="3">
        <v>-59.8</v>
      </c>
      <c r="F2153" s="3">
        <v>1</v>
      </c>
      <c r="G2153" s="3">
        <f t="shared" si="107"/>
        <v>59.8</v>
      </c>
      <c r="H2153" s="3" t="s">
        <v>3294</v>
      </c>
      <c r="I2153" s="1" t="s">
        <v>81</v>
      </c>
      <c r="J2153" s="1" t="s">
        <v>8</v>
      </c>
      <c r="K2153" s="1" t="s">
        <v>300</v>
      </c>
      <c r="L2153" s="1" t="s">
        <v>267</v>
      </c>
      <c r="M2153" s="1"/>
      <c r="N2153" s="1">
        <f t="shared" si="106"/>
        <v>7</v>
      </c>
      <c r="O2153" s="87"/>
    </row>
    <row r="2154" spans="1:15" ht="15.75" hidden="1" x14ac:dyDescent="0.25">
      <c r="A2154" s="1" t="str">
        <f t="shared" si="105"/>
        <v>44773447732.21DINERSSERVICEBANK</v>
      </c>
      <c r="B2154" s="2">
        <v>44773</v>
      </c>
      <c r="C2154" s="2">
        <v>44773</v>
      </c>
      <c r="D2154" s="3" t="s">
        <v>1102</v>
      </c>
      <c r="E2154" s="3">
        <v>2.21</v>
      </c>
      <c r="F2154" s="3">
        <v>1</v>
      </c>
      <c r="G2154" s="3">
        <f t="shared" si="107"/>
        <v>2.21</v>
      </c>
      <c r="H2154" s="3" t="s">
        <v>266</v>
      </c>
      <c r="I2154" s="1" t="s">
        <v>7</v>
      </c>
      <c r="J2154" s="1" t="s">
        <v>8</v>
      </c>
      <c r="K2154" s="1" t="s">
        <v>298</v>
      </c>
      <c r="L2154" s="1" t="s">
        <v>267</v>
      </c>
      <c r="M2154" s="1"/>
      <c r="N2154" s="1">
        <f t="shared" si="106"/>
        <v>7</v>
      </c>
      <c r="O2154" s="87"/>
    </row>
    <row r="2155" spans="1:15" ht="15.75" hidden="1" x14ac:dyDescent="0.25">
      <c r="A2155" s="1" t="str">
        <f t="shared" si="105"/>
        <v>44774447743000CURRENTSAVINGSELF</v>
      </c>
      <c r="B2155" s="2">
        <v>44774</v>
      </c>
      <c r="C2155" s="2">
        <v>44774</v>
      </c>
      <c r="D2155" s="3" t="s">
        <v>1519</v>
      </c>
      <c r="E2155" s="3">
        <v>-3000</v>
      </c>
      <c r="F2155" s="3">
        <v>1</v>
      </c>
      <c r="G2155" s="3">
        <f t="shared" si="107"/>
        <v>3000</v>
      </c>
      <c r="H2155" s="3" t="s">
        <v>293</v>
      </c>
      <c r="I2155" s="1" t="s">
        <v>302</v>
      </c>
      <c r="J2155" s="1" t="s">
        <v>14</v>
      </c>
      <c r="K2155" s="1" t="s">
        <v>298</v>
      </c>
      <c r="L2155" s="1" t="s">
        <v>257</v>
      </c>
      <c r="M2155" s="1"/>
      <c r="N2155" s="1">
        <f t="shared" si="106"/>
        <v>8</v>
      </c>
      <c r="O2155" s="87"/>
    </row>
    <row r="2156" spans="1:15" ht="15.75" hidden="1" x14ac:dyDescent="0.25">
      <c r="A2156" s="1" t="str">
        <f t="shared" si="105"/>
        <v>4477444774500CURRENTSAVINGARTI</v>
      </c>
      <c r="B2156" s="2">
        <v>44774</v>
      </c>
      <c r="C2156" s="2">
        <v>44774</v>
      </c>
      <c r="D2156" s="3" t="s">
        <v>1588</v>
      </c>
      <c r="E2156" s="3">
        <v>-500</v>
      </c>
      <c r="F2156" s="3">
        <v>1</v>
      </c>
      <c r="G2156" s="3">
        <f t="shared" si="107"/>
        <v>500</v>
      </c>
      <c r="H2156" s="3" t="s">
        <v>293</v>
      </c>
      <c r="I2156" s="1" t="s">
        <v>302</v>
      </c>
      <c r="J2156" s="1" t="s">
        <v>453</v>
      </c>
      <c r="K2156" s="1" t="s">
        <v>298</v>
      </c>
      <c r="L2156" s="1" t="s">
        <v>257</v>
      </c>
      <c r="M2156" s="1"/>
      <c r="N2156" s="1">
        <f t="shared" si="106"/>
        <v>8</v>
      </c>
      <c r="O2156" s="87"/>
    </row>
    <row r="2157" spans="1:15" ht="15.75" hidden="1" x14ac:dyDescent="0.25">
      <c r="A2157" s="1" t="str">
        <f t="shared" si="105"/>
        <v>447744477645FIFA CCFOODQATAR AIR</v>
      </c>
      <c r="B2157" s="2">
        <v>44774</v>
      </c>
      <c r="C2157" s="2">
        <v>44776</v>
      </c>
      <c r="D2157" s="3" t="s">
        <v>2695</v>
      </c>
      <c r="E2157" s="3">
        <v>45</v>
      </c>
      <c r="F2157" s="3">
        <v>1</v>
      </c>
      <c r="G2157" s="3">
        <f t="shared" si="107"/>
        <v>45</v>
      </c>
      <c r="H2157" s="3" t="s">
        <v>3294</v>
      </c>
      <c r="I2157" s="1" t="s">
        <v>10</v>
      </c>
      <c r="J2157" s="1" t="s">
        <v>19</v>
      </c>
      <c r="K2157" s="1" t="s">
        <v>298</v>
      </c>
      <c r="L2157" s="1" t="s">
        <v>267</v>
      </c>
      <c r="M2157" s="1"/>
      <c r="N2157" s="1">
        <f t="shared" si="106"/>
        <v>8</v>
      </c>
      <c r="O2157" s="87"/>
    </row>
    <row r="2158" spans="1:15" ht="15.75" hidden="1" x14ac:dyDescent="0.25">
      <c r="A2158" s="1" t="str">
        <f t="shared" si="105"/>
        <v>44774447756FIFA CCFOODCAFÉ/REST.</v>
      </c>
      <c r="B2158" s="2">
        <v>44774</v>
      </c>
      <c r="C2158" s="2">
        <v>44775</v>
      </c>
      <c r="D2158" s="3" t="s">
        <v>2696</v>
      </c>
      <c r="E2158" s="3">
        <v>6</v>
      </c>
      <c r="F2158" s="3">
        <v>1</v>
      </c>
      <c r="G2158" s="3">
        <f t="shared" si="107"/>
        <v>6</v>
      </c>
      <c r="H2158" s="3" t="s">
        <v>3294</v>
      </c>
      <c r="I2158" s="1" t="s">
        <v>10</v>
      </c>
      <c r="J2158" s="1" t="s">
        <v>11</v>
      </c>
      <c r="K2158" s="1" t="s">
        <v>298</v>
      </c>
      <c r="L2158" s="1" t="s">
        <v>267</v>
      </c>
      <c r="M2158" s="1"/>
      <c r="N2158" s="1">
        <f t="shared" si="106"/>
        <v>8</v>
      </c>
      <c r="O2158" s="87"/>
    </row>
    <row r="2159" spans="1:15" ht="15.75" hidden="1" x14ac:dyDescent="0.25">
      <c r="A2159" s="1" t="str">
        <f t="shared" si="105"/>
        <v>447744477518.5FIFA CCGROCERYTOTAL FRESH</v>
      </c>
      <c r="B2159" s="2">
        <v>44774</v>
      </c>
      <c r="C2159" s="2">
        <v>44775</v>
      </c>
      <c r="D2159" s="3" t="s">
        <v>2697</v>
      </c>
      <c r="E2159" s="3">
        <v>18.5</v>
      </c>
      <c r="F2159" s="3">
        <v>1</v>
      </c>
      <c r="G2159" s="3">
        <f t="shared" si="107"/>
        <v>18.5</v>
      </c>
      <c r="H2159" s="3" t="s">
        <v>3294</v>
      </c>
      <c r="I2159" s="1" t="s">
        <v>43</v>
      </c>
      <c r="J2159" s="1" t="s">
        <v>1394</v>
      </c>
      <c r="K2159" s="1" t="s">
        <v>298</v>
      </c>
      <c r="L2159" s="1" t="s">
        <v>267</v>
      </c>
      <c r="M2159" s="1"/>
      <c r="N2159" s="1">
        <f t="shared" si="106"/>
        <v>8</v>
      </c>
      <c r="O2159" s="87"/>
    </row>
    <row r="2160" spans="1:15" ht="15.75" hidden="1" x14ac:dyDescent="0.25">
      <c r="A2160" s="1" t="str">
        <f t="shared" si="105"/>
        <v>447754477729FIFA CCFOODQATAR AIR</v>
      </c>
      <c r="B2160" s="2">
        <v>44775</v>
      </c>
      <c r="C2160" s="2">
        <v>44777</v>
      </c>
      <c r="D2160" s="3" t="s">
        <v>2693</v>
      </c>
      <c r="E2160" s="3">
        <v>29</v>
      </c>
      <c r="F2160" s="3">
        <v>1</v>
      </c>
      <c r="G2160" s="3">
        <f t="shared" si="107"/>
        <v>29</v>
      </c>
      <c r="H2160" s="3" t="s">
        <v>3294</v>
      </c>
      <c r="I2160" s="1" t="s">
        <v>10</v>
      </c>
      <c r="J2160" s="1" t="s">
        <v>19</v>
      </c>
      <c r="K2160" s="1" t="s">
        <v>298</v>
      </c>
      <c r="L2160" s="1" t="s">
        <v>267</v>
      </c>
      <c r="M2160" s="1"/>
      <c r="N2160" s="1">
        <f t="shared" si="106"/>
        <v>8</v>
      </c>
      <c r="O2160" s="87"/>
    </row>
    <row r="2161" spans="1:15" ht="15.75" hidden="1" x14ac:dyDescent="0.25">
      <c r="A2161" s="1" t="str">
        <f t="shared" si="105"/>
        <v>447754477645.78FIFA CCGROCERYTOTAL FRESH</v>
      </c>
      <c r="B2161" s="2">
        <v>44775</v>
      </c>
      <c r="C2161" s="2">
        <v>44776</v>
      </c>
      <c r="D2161" s="3" t="s">
        <v>2694</v>
      </c>
      <c r="E2161" s="3">
        <v>45.78</v>
      </c>
      <c r="F2161" s="3">
        <v>1</v>
      </c>
      <c r="G2161" s="3">
        <f t="shared" si="107"/>
        <v>45.78</v>
      </c>
      <c r="H2161" s="3" t="s">
        <v>3294</v>
      </c>
      <c r="I2161" s="1" t="s">
        <v>43</v>
      </c>
      <c r="J2161" s="1" t="s">
        <v>1394</v>
      </c>
      <c r="K2161" s="1" t="s">
        <v>298</v>
      </c>
      <c r="L2161" s="1" t="s">
        <v>267</v>
      </c>
      <c r="M2161" s="1"/>
      <c r="N2161" s="1">
        <f t="shared" si="106"/>
        <v>8</v>
      </c>
      <c r="O2161" s="87"/>
    </row>
    <row r="2162" spans="1:15" ht="15.75" hidden="1" x14ac:dyDescent="0.25">
      <c r="A2162" s="1" t="str">
        <f t="shared" si="105"/>
        <v>44776447762000CURRENTSAVINGSELF</v>
      </c>
      <c r="B2162" s="2">
        <v>44776</v>
      </c>
      <c r="C2162" s="2">
        <v>44776</v>
      </c>
      <c r="D2162" s="3" t="s">
        <v>1939</v>
      </c>
      <c r="E2162" s="3">
        <v>-2000</v>
      </c>
      <c r="F2162" s="3">
        <v>1</v>
      </c>
      <c r="G2162" s="3">
        <f t="shared" si="107"/>
        <v>2000</v>
      </c>
      <c r="H2162" s="3" t="s">
        <v>293</v>
      </c>
      <c r="I2162" s="1" t="s">
        <v>302</v>
      </c>
      <c r="J2162" s="1" t="s">
        <v>14</v>
      </c>
      <c r="K2162" s="1" t="s">
        <v>298</v>
      </c>
      <c r="L2162" s="1" t="s">
        <v>257</v>
      </c>
      <c r="M2162" s="1"/>
      <c r="N2162" s="1">
        <f t="shared" si="106"/>
        <v>8</v>
      </c>
      <c r="O2162" s="87"/>
    </row>
    <row r="2163" spans="1:15" ht="15.75" hidden="1" x14ac:dyDescent="0.25">
      <c r="A2163" s="1" t="str">
        <f t="shared" si="105"/>
        <v>44776447781995FIFA CCTRANSFERINDIA</v>
      </c>
      <c r="B2163" s="2">
        <v>44776</v>
      </c>
      <c r="C2163" s="2">
        <v>44778</v>
      </c>
      <c r="D2163" s="3" t="s">
        <v>2689</v>
      </c>
      <c r="E2163" s="3">
        <v>1995</v>
      </c>
      <c r="F2163" s="3">
        <v>1</v>
      </c>
      <c r="G2163" s="3">
        <f t="shared" si="107"/>
        <v>1995</v>
      </c>
      <c r="H2163" s="3" t="s">
        <v>3294</v>
      </c>
      <c r="I2163" s="1" t="s">
        <v>22</v>
      </c>
      <c r="J2163" s="1" t="s">
        <v>23</v>
      </c>
      <c r="K2163" s="1" t="s">
        <v>298</v>
      </c>
      <c r="L2163" s="1" t="s">
        <v>267</v>
      </c>
      <c r="M2163" s="1"/>
      <c r="N2163" s="1">
        <f t="shared" si="106"/>
        <v>8</v>
      </c>
      <c r="O2163" s="87"/>
    </row>
    <row r="2164" spans="1:15" ht="15.75" hidden="1" x14ac:dyDescent="0.25">
      <c r="A2164" s="1" t="str">
        <f t="shared" si="105"/>
        <v>447764477872.1FIFA CCSHOPPINGQDF</v>
      </c>
      <c r="B2164" s="2">
        <v>44776</v>
      </c>
      <c r="C2164" s="2">
        <v>44778</v>
      </c>
      <c r="D2164" s="3" t="s">
        <v>2690</v>
      </c>
      <c r="E2164" s="3">
        <v>72.099999999999994</v>
      </c>
      <c r="F2164" s="3">
        <v>1</v>
      </c>
      <c r="G2164" s="3">
        <f t="shared" si="107"/>
        <v>72.099999999999994</v>
      </c>
      <c r="H2164" s="3" t="s">
        <v>3294</v>
      </c>
      <c r="I2164" s="1" t="s">
        <v>194</v>
      </c>
      <c r="J2164" s="1" t="s">
        <v>2900</v>
      </c>
      <c r="K2164" s="1" t="s">
        <v>298</v>
      </c>
      <c r="L2164" s="1" t="s">
        <v>267</v>
      </c>
      <c r="M2164" s="1"/>
      <c r="N2164" s="1">
        <f t="shared" si="106"/>
        <v>8</v>
      </c>
      <c r="O2164" s="87"/>
    </row>
    <row r="2165" spans="1:15" ht="15.75" hidden="1" x14ac:dyDescent="0.25">
      <c r="A2165" s="1" t="str">
        <f t="shared" si="105"/>
        <v>44776447786FIFA CCFOODSIDEWALK</v>
      </c>
      <c r="B2165" s="2">
        <v>44776</v>
      </c>
      <c r="C2165" s="2">
        <v>44778</v>
      </c>
      <c r="D2165" s="3" t="s">
        <v>2691</v>
      </c>
      <c r="E2165" s="3">
        <v>6</v>
      </c>
      <c r="F2165" s="3">
        <v>1</v>
      </c>
      <c r="G2165" s="3">
        <f t="shared" si="107"/>
        <v>6</v>
      </c>
      <c r="H2165" s="3" t="s">
        <v>3294</v>
      </c>
      <c r="I2165" s="1" t="s">
        <v>10</v>
      </c>
      <c r="J2165" s="1" t="s">
        <v>1423</v>
      </c>
      <c r="K2165" s="1" t="s">
        <v>298</v>
      </c>
      <c r="L2165" s="1" t="s">
        <v>267</v>
      </c>
      <c r="M2165" s="1"/>
      <c r="N2165" s="1">
        <f t="shared" si="106"/>
        <v>8</v>
      </c>
      <c r="O2165" s="87"/>
    </row>
    <row r="2166" spans="1:15" ht="15.75" hidden="1" x14ac:dyDescent="0.25">
      <c r="A2166" s="1" t="str">
        <f t="shared" si="105"/>
        <v>4477644778415FIFA CCTRANSFERINDIA</v>
      </c>
      <c r="B2166" s="2">
        <v>44776</v>
      </c>
      <c r="C2166" s="2">
        <v>44778</v>
      </c>
      <c r="D2166" s="3" t="s">
        <v>2692</v>
      </c>
      <c r="E2166" s="3">
        <v>415</v>
      </c>
      <c r="F2166" s="3">
        <v>1</v>
      </c>
      <c r="G2166" s="3">
        <f t="shared" si="107"/>
        <v>415</v>
      </c>
      <c r="H2166" s="3" t="s">
        <v>3294</v>
      </c>
      <c r="I2166" s="1" t="s">
        <v>22</v>
      </c>
      <c r="J2166" s="1" t="s">
        <v>23</v>
      </c>
      <c r="K2166" s="1" t="s">
        <v>298</v>
      </c>
      <c r="L2166" s="1" t="s">
        <v>267</v>
      </c>
      <c r="M2166" s="1"/>
      <c r="N2166" s="1">
        <f t="shared" si="106"/>
        <v>8</v>
      </c>
      <c r="O2166" s="87"/>
    </row>
    <row r="2167" spans="1:15" ht="15.75" hidden="1" x14ac:dyDescent="0.25">
      <c r="A2167" s="1" t="str">
        <f t="shared" si="105"/>
        <v>447774477918.7FIFA CCTRANSPORTCAREEM</v>
      </c>
      <c r="B2167" s="2">
        <v>44777</v>
      </c>
      <c r="C2167" s="2">
        <v>44779</v>
      </c>
      <c r="D2167" s="3" t="s">
        <v>2688</v>
      </c>
      <c r="E2167" s="3">
        <v>18.7</v>
      </c>
      <c r="F2167" s="3">
        <v>1</v>
      </c>
      <c r="G2167" s="3">
        <f t="shared" si="107"/>
        <v>18.7</v>
      </c>
      <c r="H2167" s="3" t="s">
        <v>3294</v>
      </c>
      <c r="I2167" s="1" t="s">
        <v>296</v>
      </c>
      <c r="J2167" s="1" t="s">
        <v>297</v>
      </c>
      <c r="K2167" s="1" t="s">
        <v>298</v>
      </c>
      <c r="L2167" s="1" t="s">
        <v>267</v>
      </c>
      <c r="M2167" s="1"/>
      <c r="N2167" s="1">
        <f t="shared" si="106"/>
        <v>8</v>
      </c>
      <c r="O2167" s="87"/>
    </row>
    <row r="2168" spans="1:15" ht="15.75" hidden="1" x14ac:dyDescent="0.25">
      <c r="A2168" s="1" t="str">
        <f t="shared" si="105"/>
        <v>44780447801250CURRENTSAVINGSELF</v>
      </c>
      <c r="B2168" s="2">
        <v>44780</v>
      </c>
      <c r="C2168" s="2">
        <v>44780</v>
      </c>
      <c r="D2168" s="3" t="s">
        <v>1167</v>
      </c>
      <c r="E2168" s="3">
        <v>-1250</v>
      </c>
      <c r="F2168" s="3">
        <v>1</v>
      </c>
      <c r="G2168" s="3">
        <f t="shared" si="107"/>
        <v>1250</v>
      </c>
      <c r="H2168" s="3" t="s">
        <v>293</v>
      </c>
      <c r="I2168" s="1" t="s">
        <v>302</v>
      </c>
      <c r="J2168" s="1" t="s">
        <v>14</v>
      </c>
      <c r="K2168" s="1" t="s">
        <v>298</v>
      </c>
      <c r="L2168" s="1" t="s">
        <v>257</v>
      </c>
      <c r="M2168" s="1"/>
      <c r="N2168" s="1">
        <f t="shared" si="106"/>
        <v>8</v>
      </c>
      <c r="O2168" s="87"/>
    </row>
    <row r="2169" spans="1:15" ht="15.75" hidden="1" x14ac:dyDescent="0.25">
      <c r="A2169" s="1" t="str">
        <f t="shared" si="105"/>
        <v>4478244782208FIFA CCRENTKAHRAMAA</v>
      </c>
      <c r="B2169" s="2">
        <v>44782</v>
      </c>
      <c r="C2169" s="2">
        <v>44782</v>
      </c>
      <c r="D2169" s="3" t="s">
        <v>2686</v>
      </c>
      <c r="E2169" s="3">
        <v>208</v>
      </c>
      <c r="F2169" s="3">
        <v>1</v>
      </c>
      <c r="G2169" s="3">
        <f t="shared" si="107"/>
        <v>208</v>
      </c>
      <c r="H2169" s="3" t="s">
        <v>3294</v>
      </c>
      <c r="I2169" s="1" t="s">
        <v>83</v>
      </c>
      <c r="J2169" s="1" t="s">
        <v>4113</v>
      </c>
      <c r="K2169" s="1" t="s">
        <v>298</v>
      </c>
      <c r="L2169" s="1" t="s">
        <v>267</v>
      </c>
      <c r="M2169" s="1"/>
      <c r="N2169" s="1">
        <f t="shared" si="106"/>
        <v>8</v>
      </c>
      <c r="O2169" s="87"/>
    </row>
    <row r="2170" spans="1:15" ht="15.75" hidden="1" x14ac:dyDescent="0.25">
      <c r="A2170" s="1" t="str">
        <f t="shared" si="105"/>
        <v>4478244782250FIFA CCRENTVODAFONE</v>
      </c>
      <c r="B2170" s="2">
        <v>44782</v>
      </c>
      <c r="C2170" s="2">
        <v>44782</v>
      </c>
      <c r="D2170" s="3" t="s">
        <v>2687</v>
      </c>
      <c r="E2170" s="3">
        <v>250</v>
      </c>
      <c r="F2170" s="3">
        <v>1</v>
      </c>
      <c r="G2170" s="3">
        <f t="shared" si="107"/>
        <v>250</v>
      </c>
      <c r="H2170" s="3" t="s">
        <v>3294</v>
      </c>
      <c r="I2170" s="1" t="s">
        <v>83</v>
      </c>
      <c r="J2170" s="1" t="s">
        <v>78</v>
      </c>
      <c r="K2170" s="1" t="s">
        <v>298</v>
      </c>
      <c r="L2170" s="1" t="s">
        <v>267</v>
      </c>
      <c r="M2170" s="1"/>
      <c r="N2170" s="1">
        <f t="shared" si="106"/>
        <v>8</v>
      </c>
      <c r="O2170" s="87"/>
    </row>
    <row r="2171" spans="1:15" ht="15.75" hidden="1" x14ac:dyDescent="0.25">
      <c r="A2171" s="1" t="str">
        <f t="shared" si="105"/>
        <v>44783447831166.25CURRENTTRANSFERINDIA</v>
      </c>
      <c r="B2171" s="2">
        <v>44783</v>
      </c>
      <c r="C2171" s="2">
        <v>44783</v>
      </c>
      <c r="D2171" s="3" t="s">
        <v>694</v>
      </c>
      <c r="E2171" s="3">
        <v>-1166.25</v>
      </c>
      <c r="F2171" s="3">
        <v>1</v>
      </c>
      <c r="G2171" s="3">
        <f t="shared" si="107"/>
        <v>1166.25</v>
      </c>
      <c r="H2171" s="3" t="s">
        <v>293</v>
      </c>
      <c r="I2171" s="1" t="s">
        <v>22</v>
      </c>
      <c r="J2171" s="1" t="s">
        <v>23</v>
      </c>
      <c r="K2171" s="1" t="s">
        <v>298</v>
      </c>
      <c r="L2171" s="1" t="s">
        <v>257</v>
      </c>
      <c r="M2171" s="1"/>
      <c r="N2171" s="1">
        <f t="shared" si="106"/>
        <v>8</v>
      </c>
      <c r="O2171" s="87"/>
    </row>
    <row r="2172" spans="1:15" ht="15.75" hidden="1" x14ac:dyDescent="0.25">
      <c r="A2172" s="1" t="str">
        <f t="shared" si="105"/>
        <v>447864478840FIFA CCFOODCAFÉ/REST.</v>
      </c>
      <c r="B2172" s="2">
        <v>44786</v>
      </c>
      <c r="C2172" s="2">
        <v>44788</v>
      </c>
      <c r="D2172" s="3" t="s">
        <v>2680</v>
      </c>
      <c r="E2172" s="3">
        <v>40</v>
      </c>
      <c r="F2172" s="3">
        <v>1</v>
      </c>
      <c r="G2172" s="3">
        <f t="shared" si="107"/>
        <v>40</v>
      </c>
      <c r="H2172" s="3" t="s">
        <v>3294</v>
      </c>
      <c r="I2172" s="1" t="s">
        <v>10</v>
      </c>
      <c r="J2172" s="1" t="s">
        <v>11</v>
      </c>
      <c r="K2172" s="1" t="s">
        <v>298</v>
      </c>
      <c r="L2172" s="1" t="s">
        <v>267</v>
      </c>
      <c r="M2172" s="1"/>
      <c r="N2172" s="1">
        <f t="shared" si="106"/>
        <v>8</v>
      </c>
      <c r="O2172" s="87"/>
    </row>
    <row r="2173" spans="1:15" ht="15.75" hidden="1" x14ac:dyDescent="0.25">
      <c r="A2173" s="1" t="str">
        <f t="shared" si="105"/>
        <v>447864478912.25FIFA CCGROCERYFFC</v>
      </c>
      <c r="B2173" s="2">
        <v>44786</v>
      </c>
      <c r="C2173" s="2">
        <v>44789</v>
      </c>
      <c r="D2173" s="3" t="s">
        <v>2681</v>
      </c>
      <c r="E2173" s="3">
        <v>12.25</v>
      </c>
      <c r="F2173" s="3">
        <v>1</v>
      </c>
      <c r="G2173" s="3">
        <f t="shared" si="107"/>
        <v>12.25</v>
      </c>
      <c r="H2173" s="3" t="s">
        <v>3294</v>
      </c>
      <c r="I2173" s="1" t="s">
        <v>43</v>
      </c>
      <c r="J2173" s="1" t="s">
        <v>96</v>
      </c>
      <c r="K2173" s="1" t="s">
        <v>298</v>
      </c>
      <c r="L2173" s="1" t="s">
        <v>267</v>
      </c>
      <c r="M2173" s="1"/>
      <c r="N2173" s="1">
        <f t="shared" si="106"/>
        <v>8</v>
      </c>
      <c r="O2173" s="87"/>
    </row>
    <row r="2174" spans="1:15" ht="15.75" hidden="1" x14ac:dyDescent="0.25">
      <c r="A2174" s="1" t="str">
        <f t="shared" si="105"/>
        <v>447864478933FIFA CCGROCERYWOQOD</v>
      </c>
      <c r="B2174" s="2">
        <v>44786</v>
      </c>
      <c r="C2174" s="2">
        <v>44789</v>
      </c>
      <c r="D2174" s="3" t="s">
        <v>2682</v>
      </c>
      <c r="E2174" s="3">
        <v>33</v>
      </c>
      <c r="F2174" s="3">
        <v>1</v>
      </c>
      <c r="G2174" s="3">
        <f t="shared" si="107"/>
        <v>33</v>
      </c>
      <c r="H2174" s="3" t="s">
        <v>3294</v>
      </c>
      <c r="I2174" s="1" t="s">
        <v>43</v>
      </c>
      <c r="J2174" s="1" t="s">
        <v>1942</v>
      </c>
      <c r="K2174" s="1" t="s">
        <v>298</v>
      </c>
      <c r="L2174" s="1" t="s">
        <v>267</v>
      </c>
      <c r="M2174" s="1"/>
      <c r="N2174" s="1">
        <f t="shared" si="106"/>
        <v>8</v>
      </c>
      <c r="O2174" s="87"/>
    </row>
    <row r="2175" spans="1:15" ht="15.75" hidden="1" x14ac:dyDescent="0.25">
      <c r="A2175" s="1" t="str">
        <f t="shared" si="105"/>
        <v>447864478828.1FIFA CCTRANSPORTCAREEM</v>
      </c>
      <c r="B2175" s="2">
        <v>44786</v>
      </c>
      <c r="C2175" s="2">
        <v>44788</v>
      </c>
      <c r="D2175" s="3" t="s">
        <v>2683</v>
      </c>
      <c r="E2175" s="3">
        <v>28.1</v>
      </c>
      <c r="F2175" s="3">
        <v>1</v>
      </c>
      <c r="G2175" s="3">
        <f t="shared" si="107"/>
        <v>28.1</v>
      </c>
      <c r="H2175" s="3" t="s">
        <v>3294</v>
      </c>
      <c r="I2175" s="1" t="s">
        <v>296</v>
      </c>
      <c r="J2175" s="1" t="s">
        <v>297</v>
      </c>
      <c r="K2175" s="1" t="s">
        <v>298</v>
      </c>
      <c r="L2175" s="1" t="s">
        <v>267</v>
      </c>
      <c r="M2175" s="1"/>
      <c r="N2175" s="1">
        <f t="shared" si="106"/>
        <v>8</v>
      </c>
      <c r="O2175" s="87"/>
    </row>
    <row r="2176" spans="1:15" ht="15.75" hidden="1" x14ac:dyDescent="0.25">
      <c r="A2176" s="1" t="str">
        <f t="shared" si="105"/>
        <v>4478644787146.87FIFA CCGROCERYINDIAN SUPER</v>
      </c>
      <c r="B2176" s="2">
        <v>44786</v>
      </c>
      <c r="C2176" s="2">
        <v>44787</v>
      </c>
      <c r="D2176" s="3" t="s">
        <v>2684</v>
      </c>
      <c r="E2176" s="3">
        <v>146.87</v>
      </c>
      <c r="F2176" s="3">
        <v>1</v>
      </c>
      <c r="G2176" s="3">
        <f t="shared" si="107"/>
        <v>146.87</v>
      </c>
      <c r="H2176" s="3" t="s">
        <v>3294</v>
      </c>
      <c r="I2176" s="1" t="s">
        <v>43</v>
      </c>
      <c r="J2176" s="1" t="s">
        <v>2273</v>
      </c>
      <c r="K2176" s="1" t="s">
        <v>298</v>
      </c>
      <c r="L2176" s="1" t="s">
        <v>267</v>
      </c>
      <c r="M2176" s="1"/>
      <c r="N2176" s="1">
        <f t="shared" si="106"/>
        <v>8</v>
      </c>
      <c r="O2176" s="87"/>
    </row>
    <row r="2177" spans="1:15" ht="15.75" hidden="1" x14ac:dyDescent="0.25">
      <c r="A2177" s="1" t="str">
        <f t="shared" si="105"/>
        <v>4478644787100FIFA CCTRAVELASTER</v>
      </c>
      <c r="B2177" s="2">
        <v>44786</v>
      </c>
      <c r="C2177" s="2">
        <v>44787</v>
      </c>
      <c r="D2177" s="3" t="s">
        <v>2685</v>
      </c>
      <c r="E2177" s="3">
        <v>100</v>
      </c>
      <c r="F2177" s="3">
        <v>1</v>
      </c>
      <c r="G2177" s="3">
        <f t="shared" si="107"/>
        <v>100</v>
      </c>
      <c r="H2177" s="3" t="s">
        <v>3294</v>
      </c>
      <c r="I2177" s="1" t="s">
        <v>393</v>
      </c>
      <c r="J2177" s="1" t="s">
        <v>303</v>
      </c>
      <c r="K2177" s="1" t="s">
        <v>298</v>
      </c>
      <c r="L2177" s="1" t="s">
        <v>267</v>
      </c>
      <c r="M2177" s="1"/>
      <c r="N2177" s="1">
        <f t="shared" si="106"/>
        <v>8</v>
      </c>
      <c r="O2177" s="87"/>
    </row>
    <row r="2178" spans="1:15" ht="15.75" hidden="1" x14ac:dyDescent="0.25">
      <c r="A2178" s="1" t="str">
        <f t="shared" ref="A2178:A2241" si="108">B2178&amp;C2178&amp;G2178&amp;H2178&amp;I2178&amp;J2178</f>
        <v>447874478912FIFA CCFOODQATAR AIR</v>
      </c>
      <c r="B2178" s="2">
        <v>44787</v>
      </c>
      <c r="C2178" s="2">
        <v>44789</v>
      </c>
      <c r="D2178" s="3" t="s">
        <v>2678</v>
      </c>
      <c r="E2178" s="3">
        <v>12</v>
      </c>
      <c r="F2178" s="3">
        <v>1</v>
      </c>
      <c r="G2178" s="3">
        <f t="shared" si="107"/>
        <v>12</v>
      </c>
      <c r="H2178" s="3" t="s">
        <v>3294</v>
      </c>
      <c r="I2178" s="1" t="s">
        <v>10</v>
      </c>
      <c r="J2178" s="1" t="s">
        <v>19</v>
      </c>
      <c r="K2178" s="1" t="s">
        <v>298</v>
      </c>
      <c r="L2178" s="1" t="s">
        <v>267</v>
      </c>
      <c r="M2178" s="1"/>
      <c r="N2178" s="1">
        <f t="shared" ref="N2178:N2241" si="109">MONTH(C2178)</f>
        <v>8</v>
      </c>
      <c r="O2178" s="87"/>
    </row>
    <row r="2179" spans="1:15" ht="15.75" hidden="1" x14ac:dyDescent="0.25">
      <c r="A2179" s="1" t="str">
        <f t="shared" si="108"/>
        <v>447874478942FIFA CCFOODQATAR AIR</v>
      </c>
      <c r="B2179" s="2">
        <v>44787</v>
      </c>
      <c r="C2179" s="2">
        <v>44789</v>
      </c>
      <c r="D2179" s="3" t="s">
        <v>2679</v>
      </c>
      <c r="E2179" s="3">
        <v>42</v>
      </c>
      <c r="F2179" s="3">
        <v>1</v>
      </c>
      <c r="G2179" s="3">
        <f t="shared" si="107"/>
        <v>42</v>
      </c>
      <c r="H2179" s="3" t="s">
        <v>3294</v>
      </c>
      <c r="I2179" s="1" t="s">
        <v>10</v>
      </c>
      <c r="J2179" s="1" t="s">
        <v>19</v>
      </c>
      <c r="K2179" s="1" t="s">
        <v>298</v>
      </c>
      <c r="L2179" s="1" t="s">
        <v>267</v>
      </c>
      <c r="M2179" s="1"/>
      <c r="N2179" s="1">
        <f t="shared" si="109"/>
        <v>8</v>
      </c>
      <c r="O2179" s="87"/>
    </row>
    <row r="2180" spans="1:15" ht="15.75" hidden="1" x14ac:dyDescent="0.25">
      <c r="A2180" s="1" t="str">
        <f t="shared" si="108"/>
        <v>44788447881200CURRENTEDUCATIONDAFFODILES</v>
      </c>
      <c r="B2180" s="2">
        <v>44788</v>
      </c>
      <c r="C2180" s="2">
        <v>44788</v>
      </c>
      <c r="D2180" s="3" t="s">
        <v>2647</v>
      </c>
      <c r="E2180" s="3">
        <v>-1200</v>
      </c>
      <c r="F2180" s="3">
        <v>1</v>
      </c>
      <c r="G2180" s="3">
        <f t="shared" si="107"/>
        <v>1200</v>
      </c>
      <c r="H2180" s="3" t="s">
        <v>293</v>
      </c>
      <c r="I2180" s="1" t="s">
        <v>543</v>
      </c>
      <c r="J2180" s="1" t="s">
        <v>2271</v>
      </c>
      <c r="K2180" s="1" t="s">
        <v>298</v>
      </c>
      <c r="L2180" s="1" t="s">
        <v>257</v>
      </c>
      <c r="M2180" s="1"/>
      <c r="N2180" s="1">
        <f t="shared" si="109"/>
        <v>8</v>
      </c>
      <c r="O2180" s="87"/>
    </row>
    <row r="2181" spans="1:15" ht="15.75" hidden="1" x14ac:dyDescent="0.25">
      <c r="A2181" s="1" t="str">
        <f t="shared" si="108"/>
        <v>44788447882CURRENTFOODQATAR AIR</v>
      </c>
      <c r="B2181" s="2">
        <v>44788</v>
      </c>
      <c r="C2181" s="2">
        <v>44788</v>
      </c>
      <c r="D2181" s="3" t="s">
        <v>2660</v>
      </c>
      <c r="E2181" s="3">
        <v>-2</v>
      </c>
      <c r="F2181" s="3">
        <v>1</v>
      </c>
      <c r="G2181" s="3">
        <f t="shared" si="107"/>
        <v>2</v>
      </c>
      <c r="H2181" s="3" t="s">
        <v>293</v>
      </c>
      <c r="I2181" s="1" t="s">
        <v>10</v>
      </c>
      <c r="J2181" s="1" t="s">
        <v>19</v>
      </c>
      <c r="K2181" s="1" t="s">
        <v>298</v>
      </c>
      <c r="L2181" s="1" t="s">
        <v>257</v>
      </c>
      <c r="M2181" s="1"/>
      <c r="N2181" s="1">
        <f t="shared" si="109"/>
        <v>8</v>
      </c>
      <c r="O2181" s="87"/>
    </row>
    <row r="2182" spans="1:15" ht="15.75" hidden="1" x14ac:dyDescent="0.25">
      <c r="A2182" s="1" t="str">
        <f t="shared" si="108"/>
        <v>44788447880CURRENTTRANSFERSHAMOAIL</v>
      </c>
      <c r="B2182" s="2">
        <v>44788</v>
      </c>
      <c r="C2182" s="2">
        <v>44788</v>
      </c>
      <c r="D2182" s="3" t="s">
        <v>2661</v>
      </c>
      <c r="E2182" s="3">
        <v>-10000</v>
      </c>
      <c r="F2182" s="3">
        <v>0</v>
      </c>
      <c r="G2182" s="3">
        <f t="shared" si="107"/>
        <v>0</v>
      </c>
      <c r="H2182" s="3" t="s">
        <v>293</v>
      </c>
      <c r="I2182" s="1" t="s">
        <v>22</v>
      </c>
      <c r="J2182" s="1" t="s">
        <v>2700</v>
      </c>
      <c r="K2182" s="1" t="s">
        <v>298</v>
      </c>
      <c r="L2182" s="1" t="s">
        <v>257</v>
      </c>
      <c r="M2182" s="1"/>
      <c r="N2182" s="1">
        <f t="shared" si="109"/>
        <v>8</v>
      </c>
      <c r="O2182" s="87"/>
    </row>
    <row r="2183" spans="1:15" ht="15.75" hidden="1" x14ac:dyDescent="0.25">
      <c r="A2183" s="1" t="str">
        <f t="shared" si="108"/>
        <v>44788447884000CURRENTRENTEZDAN</v>
      </c>
      <c r="B2183" s="2">
        <v>44788</v>
      </c>
      <c r="C2183" s="2">
        <v>44788</v>
      </c>
      <c r="D2183" s="3" t="s">
        <v>2662</v>
      </c>
      <c r="E2183" s="3">
        <v>-4000</v>
      </c>
      <c r="F2183" s="3">
        <v>1</v>
      </c>
      <c r="G2183" s="3">
        <f t="shared" si="107"/>
        <v>4000</v>
      </c>
      <c r="H2183" s="3" t="s">
        <v>293</v>
      </c>
      <c r="I2183" s="1" t="s">
        <v>83</v>
      </c>
      <c r="J2183" s="1" t="s">
        <v>1339</v>
      </c>
      <c r="K2183" s="1" t="s">
        <v>298</v>
      </c>
      <c r="L2183" s="1" t="s">
        <v>257</v>
      </c>
      <c r="M2183" s="1"/>
      <c r="N2183" s="1">
        <f t="shared" si="109"/>
        <v>8</v>
      </c>
      <c r="O2183" s="87"/>
    </row>
    <row r="2184" spans="1:15" ht="15.75" hidden="1" x14ac:dyDescent="0.25">
      <c r="A2184" s="1" t="str">
        <f t="shared" si="108"/>
        <v>4478844788100CURRENTCC BILL PAYMENTBANK</v>
      </c>
      <c r="B2184" s="2">
        <v>44788</v>
      </c>
      <c r="C2184" s="2">
        <v>44788</v>
      </c>
      <c r="D2184" s="3" t="s">
        <v>705</v>
      </c>
      <c r="E2184" s="3">
        <v>-100</v>
      </c>
      <c r="F2184" s="3">
        <v>1</v>
      </c>
      <c r="G2184" s="3">
        <f t="shared" si="107"/>
        <v>100</v>
      </c>
      <c r="H2184" s="3" t="s">
        <v>293</v>
      </c>
      <c r="I2184" s="1" t="s">
        <v>81</v>
      </c>
      <c r="J2184" s="1" t="s">
        <v>8</v>
      </c>
      <c r="K2184" s="1" t="s">
        <v>298</v>
      </c>
      <c r="L2184" s="1" t="s">
        <v>257</v>
      </c>
      <c r="M2184" s="1"/>
      <c r="N2184" s="1">
        <f t="shared" si="109"/>
        <v>8</v>
      </c>
      <c r="O2184" s="87"/>
    </row>
    <row r="2185" spans="1:15" ht="15.75" hidden="1" x14ac:dyDescent="0.25">
      <c r="A2185" s="1" t="str">
        <f t="shared" si="108"/>
        <v>44788447880CURRENTTRANSFERSHAMOAIL</v>
      </c>
      <c r="B2185" s="2">
        <v>44788</v>
      </c>
      <c r="C2185" s="2">
        <v>44788</v>
      </c>
      <c r="D2185" s="3" t="s">
        <v>2663</v>
      </c>
      <c r="E2185" s="3">
        <v>10000</v>
      </c>
      <c r="F2185" s="3">
        <v>0</v>
      </c>
      <c r="G2185" s="3">
        <f t="shared" si="107"/>
        <v>0</v>
      </c>
      <c r="H2185" s="3" t="s">
        <v>293</v>
      </c>
      <c r="I2185" s="1" t="s">
        <v>22</v>
      </c>
      <c r="J2185" s="1" t="s">
        <v>2700</v>
      </c>
      <c r="K2185" s="1" t="s">
        <v>298</v>
      </c>
      <c r="L2185" s="1" t="s">
        <v>257</v>
      </c>
      <c r="M2185" s="1"/>
      <c r="N2185" s="1">
        <f t="shared" si="109"/>
        <v>8</v>
      </c>
      <c r="O2185" s="87" t="s">
        <v>2664</v>
      </c>
    </row>
    <row r="2186" spans="1:15" ht="15.75" hidden="1" x14ac:dyDescent="0.25">
      <c r="A2186" s="1" t="str">
        <f t="shared" si="108"/>
        <v>447884479049FIFA CCFOODQATAR AIR</v>
      </c>
      <c r="B2186" s="2">
        <v>44788</v>
      </c>
      <c r="C2186" s="2">
        <v>44790</v>
      </c>
      <c r="D2186" s="3" t="s">
        <v>2676</v>
      </c>
      <c r="E2186" s="3">
        <v>49</v>
      </c>
      <c r="F2186" s="3">
        <v>1</v>
      </c>
      <c r="G2186" s="3">
        <f t="shared" si="107"/>
        <v>49</v>
      </c>
      <c r="H2186" s="3" t="s">
        <v>3294</v>
      </c>
      <c r="I2186" s="1" t="s">
        <v>10</v>
      </c>
      <c r="J2186" s="1" t="s">
        <v>19</v>
      </c>
      <c r="K2186" s="1" t="s">
        <v>298</v>
      </c>
      <c r="L2186" s="1" t="s">
        <v>267</v>
      </c>
      <c r="M2186" s="1"/>
      <c r="N2186" s="1">
        <f t="shared" si="109"/>
        <v>8</v>
      </c>
      <c r="O2186" s="87"/>
    </row>
    <row r="2187" spans="1:15" ht="15.75" hidden="1" x14ac:dyDescent="0.25">
      <c r="A2187" s="1" t="str">
        <f t="shared" si="108"/>
        <v>447884478950FIFA CCTRAVELASTER</v>
      </c>
      <c r="B2187" s="2">
        <v>44788</v>
      </c>
      <c r="C2187" s="2">
        <v>44789</v>
      </c>
      <c r="D2187" s="3" t="s">
        <v>2677</v>
      </c>
      <c r="E2187" s="3">
        <v>50</v>
      </c>
      <c r="F2187" s="3">
        <v>1</v>
      </c>
      <c r="G2187" s="3">
        <f t="shared" ref="G2187:G2250" si="110">ABS(E2187)*F2187</f>
        <v>50</v>
      </c>
      <c r="H2187" s="3" t="s">
        <v>3294</v>
      </c>
      <c r="I2187" s="1" t="s">
        <v>393</v>
      </c>
      <c r="J2187" s="1" t="s">
        <v>303</v>
      </c>
      <c r="K2187" s="1" t="s">
        <v>298</v>
      </c>
      <c r="L2187" s="1" t="s">
        <v>267</v>
      </c>
      <c r="M2187" s="1"/>
      <c r="N2187" s="1">
        <f t="shared" si="109"/>
        <v>8</v>
      </c>
      <c r="O2187" s="87"/>
    </row>
    <row r="2188" spans="1:15" ht="15.75" hidden="1" x14ac:dyDescent="0.25">
      <c r="A2188" s="1" t="str">
        <f t="shared" si="108"/>
        <v>44788447881200SAVINGTRANSFERARTI</v>
      </c>
      <c r="B2188" s="2">
        <v>44788</v>
      </c>
      <c r="C2188" s="2">
        <v>44788</v>
      </c>
      <c r="D2188" s="3" t="s">
        <v>2706</v>
      </c>
      <c r="E2188" s="3">
        <v>-1200</v>
      </c>
      <c r="F2188" s="3">
        <v>1</v>
      </c>
      <c r="G2188" s="3">
        <f t="shared" si="110"/>
        <v>1200</v>
      </c>
      <c r="H2188" s="3" t="s">
        <v>302</v>
      </c>
      <c r="I2188" s="1" t="s">
        <v>22</v>
      </c>
      <c r="J2188" s="1" t="s">
        <v>453</v>
      </c>
      <c r="K2188" s="1" t="s">
        <v>22</v>
      </c>
      <c r="L2188" s="1" t="s">
        <v>257</v>
      </c>
      <c r="M2188" s="1"/>
      <c r="N2188" s="1">
        <f t="shared" si="109"/>
        <v>8</v>
      </c>
      <c r="O2188" s="87"/>
    </row>
    <row r="2189" spans="1:15" ht="15.75" hidden="1" x14ac:dyDescent="0.25">
      <c r="A2189" s="1" t="str">
        <f t="shared" si="108"/>
        <v>447894479139FIFA CCFOODQATAR AIR</v>
      </c>
      <c r="B2189" s="2">
        <v>44789</v>
      </c>
      <c r="C2189" s="2">
        <v>44791</v>
      </c>
      <c r="D2189" s="3" t="s">
        <v>2675</v>
      </c>
      <c r="E2189" s="3">
        <v>39</v>
      </c>
      <c r="F2189" s="3">
        <v>1</v>
      </c>
      <c r="G2189" s="3">
        <f t="shared" si="110"/>
        <v>39</v>
      </c>
      <c r="H2189" s="3" t="s">
        <v>3294</v>
      </c>
      <c r="I2189" s="1" t="s">
        <v>10</v>
      </c>
      <c r="J2189" s="1" t="s">
        <v>19</v>
      </c>
      <c r="K2189" s="1" t="s">
        <v>298</v>
      </c>
      <c r="L2189" s="1" t="s">
        <v>267</v>
      </c>
      <c r="M2189" s="1"/>
      <c r="N2189" s="1">
        <f t="shared" si="109"/>
        <v>8</v>
      </c>
      <c r="O2189" s="87"/>
    </row>
    <row r="2190" spans="1:15" ht="15.75" hidden="1" x14ac:dyDescent="0.25">
      <c r="A2190" s="1" t="str">
        <f t="shared" si="108"/>
        <v>447904479240FIFA CCFOODQATAR AIR</v>
      </c>
      <c r="B2190" s="2">
        <v>44790</v>
      </c>
      <c r="C2190" s="2">
        <v>44792</v>
      </c>
      <c r="D2190" s="3" t="s">
        <v>2674</v>
      </c>
      <c r="E2190" s="3">
        <v>40</v>
      </c>
      <c r="F2190" s="3">
        <v>1</v>
      </c>
      <c r="G2190" s="3">
        <f t="shared" si="110"/>
        <v>40</v>
      </c>
      <c r="H2190" s="3" t="s">
        <v>3294</v>
      </c>
      <c r="I2190" s="1" t="s">
        <v>10</v>
      </c>
      <c r="J2190" s="1" t="s">
        <v>19</v>
      </c>
      <c r="K2190" s="1" t="s">
        <v>298</v>
      </c>
      <c r="L2190" s="1" t="s">
        <v>267</v>
      </c>
      <c r="M2190" s="1"/>
      <c r="N2190" s="1">
        <f t="shared" si="109"/>
        <v>8</v>
      </c>
      <c r="O2190" s="87"/>
    </row>
    <row r="2191" spans="1:15" ht="15.75" hidden="1" x14ac:dyDescent="0.25">
      <c r="A2191" s="1" t="str">
        <f t="shared" si="108"/>
        <v>447914479121.2CURRENTTRANSPORTCAREEM</v>
      </c>
      <c r="B2191" s="2">
        <v>44791</v>
      </c>
      <c r="C2191" s="2">
        <v>44791</v>
      </c>
      <c r="D2191" s="3" t="s">
        <v>2659</v>
      </c>
      <c r="E2191" s="3">
        <v>-21.2</v>
      </c>
      <c r="F2191" s="3">
        <v>1</v>
      </c>
      <c r="G2191" s="3">
        <f t="shared" si="110"/>
        <v>21.2</v>
      </c>
      <c r="H2191" s="3" t="s">
        <v>293</v>
      </c>
      <c r="I2191" s="1" t="s">
        <v>296</v>
      </c>
      <c r="J2191" s="1" t="s">
        <v>297</v>
      </c>
      <c r="K2191" s="1" t="s">
        <v>298</v>
      </c>
      <c r="L2191" s="1" t="s">
        <v>257</v>
      </c>
      <c r="M2191" s="1"/>
      <c r="N2191" s="1">
        <f t="shared" si="109"/>
        <v>8</v>
      </c>
      <c r="O2191" s="87"/>
    </row>
    <row r="2192" spans="1:15" ht="15.75" hidden="1" x14ac:dyDescent="0.25">
      <c r="A2192" s="1" t="str">
        <f t="shared" si="108"/>
        <v>4479144792219.25FIFA CCSHOPPINGLULU</v>
      </c>
      <c r="B2192" s="2">
        <v>44791</v>
      </c>
      <c r="C2192" s="2">
        <v>44792</v>
      </c>
      <c r="D2192" s="3" t="s">
        <v>2672</v>
      </c>
      <c r="E2192" s="3">
        <v>219.25</v>
      </c>
      <c r="F2192" s="3">
        <v>1</v>
      </c>
      <c r="G2192" s="3">
        <f t="shared" si="110"/>
        <v>219.25</v>
      </c>
      <c r="H2192" s="3" t="s">
        <v>3294</v>
      </c>
      <c r="I2192" s="1" t="s">
        <v>194</v>
      </c>
      <c r="J2192" s="1" t="s">
        <v>44</v>
      </c>
      <c r="K2192" s="1" t="s">
        <v>298</v>
      </c>
      <c r="L2192" s="1" t="s">
        <v>267</v>
      </c>
      <c r="M2192" s="1"/>
      <c r="N2192" s="1">
        <f t="shared" si="109"/>
        <v>8</v>
      </c>
      <c r="O2192" s="87"/>
    </row>
    <row r="2193" spans="1:15" ht="15.75" hidden="1" x14ac:dyDescent="0.25">
      <c r="A2193" s="1" t="str">
        <f t="shared" si="108"/>
        <v>4479144792324.04FIFA CCGROCERYLULU</v>
      </c>
      <c r="B2193" s="2">
        <v>44791</v>
      </c>
      <c r="C2193" s="2">
        <v>44792</v>
      </c>
      <c r="D2193" s="3" t="s">
        <v>2673</v>
      </c>
      <c r="E2193" s="3">
        <v>324.04000000000002</v>
      </c>
      <c r="F2193" s="3">
        <v>1</v>
      </c>
      <c r="G2193" s="3">
        <f t="shared" si="110"/>
        <v>324.04000000000002</v>
      </c>
      <c r="H2193" s="3" t="s">
        <v>3294</v>
      </c>
      <c r="I2193" s="1" t="s">
        <v>43</v>
      </c>
      <c r="J2193" s="1" t="s">
        <v>44</v>
      </c>
      <c r="K2193" s="1" t="s">
        <v>298</v>
      </c>
      <c r="L2193" s="1" t="s">
        <v>267</v>
      </c>
      <c r="M2193" s="1"/>
      <c r="N2193" s="1">
        <f t="shared" si="109"/>
        <v>8</v>
      </c>
      <c r="O2193" s="87"/>
    </row>
    <row r="2194" spans="1:15" ht="15.75" hidden="1" x14ac:dyDescent="0.25">
      <c r="A2194" s="1" t="str">
        <f t="shared" si="108"/>
        <v>447934479615FIFA CCGROCERYWOQOD</v>
      </c>
      <c r="B2194" s="2">
        <v>44793</v>
      </c>
      <c r="C2194" s="2">
        <v>44796</v>
      </c>
      <c r="D2194" s="3" t="s">
        <v>2670</v>
      </c>
      <c r="E2194" s="3">
        <v>15</v>
      </c>
      <c r="F2194" s="3">
        <v>1</v>
      </c>
      <c r="G2194" s="3">
        <f t="shared" si="110"/>
        <v>15</v>
      </c>
      <c r="H2194" s="3" t="s">
        <v>3294</v>
      </c>
      <c r="I2194" s="1" t="s">
        <v>43</v>
      </c>
      <c r="J2194" s="1" t="s">
        <v>1942</v>
      </c>
      <c r="K2194" s="1" t="s">
        <v>298</v>
      </c>
      <c r="L2194" s="1" t="s">
        <v>267</v>
      </c>
      <c r="M2194" s="1"/>
      <c r="N2194" s="1">
        <f t="shared" si="109"/>
        <v>8</v>
      </c>
      <c r="O2194" s="87"/>
    </row>
    <row r="2195" spans="1:15" ht="15.75" hidden="1" x14ac:dyDescent="0.25">
      <c r="A2195" s="1" t="str">
        <f t="shared" si="108"/>
        <v>447934479594.5FIFA CCTRANSPORTWOQOD</v>
      </c>
      <c r="B2195" s="2">
        <v>44793</v>
      </c>
      <c r="C2195" s="2">
        <v>44795</v>
      </c>
      <c r="D2195" s="3" t="s">
        <v>2671</v>
      </c>
      <c r="E2195" s="3">
        <v>94.5</v>
      </c>
      <c r="F2195" s="3">
        <v>1</v>
      </c>
      <c r="G2195" s="3">
        <f t="shared" si="110"/>
        <v>94.5</v>
      </c>
      <c r="H2195" s="3" t="s">
        <v>3294</v>
      </c>
      <c r="I2195" s="1" t="s">
        <v>296</v>
      </c>
      <c r="J2195" s="1" t="s">
        <v>1942</v>
      </c>
      <c r="K2195" s="1" t="s">
        <v>298</v>
      </c>
      <c r="L2195" s="1" t="s">
        <v>267</v>
      </c>
      <c r="M2195" s="1"/>
      <c r="N2195" s="1">
        <f t="shared" si="109"/>
        <v>8</v>
      </c>
      <c r="O2195" s="87"/>
    </row>
    <row r="2196" spans="1:15" ht="15.75" hidden="1" x14ac:dyDescent="0.25">
      <c r="A2196" s="1" t="str">
        <f t="shared" si="108"/>
        <v>447944479426.8CURRENTTRANSPORTCAREEM</v>
      </c>
      <c r="B2196" s="2">
        <v>44794</v>
      </c>
      <c r="C2196" s="2">
        <v>44794</v>
      </c>
      <c r="D2196" s="3" t="s">
        <v>2654</v>
      </c>
      <c r="E2196" s="3">
        <v>-26.8</v>
      </c>
      <c r="F2196" s="3">
        <v>1</v>
      </c>
      <c r="G2196" s="3">
        <f t="shared" si="110"/>
        <v>26.8</v>
      </c>
      <c r="H2196" s="3" t="s">
        <v>293</v>
      </c>
      <c r="I2196" s="1" t="s">
        <v>296</v>
      </c>
      <c r="J2196" s="1" t="s">
        <v>297</v>
      </c>
      <c r="K2196" s="1" t="s">
        <v>298</v>
      </c>
      <c r="L2196" s="1" t="s">
        <v>257</v>
      </c>
      <c r="M2196" s="1"/>
      <c r="N2196" s="1">
        <f t="shared" si="109"/>
        <v>8</v>
      </c>
      <c r="O2196" s="87"/>
    </row>
    <row r="2197" spans="1:15" ht="15.75" hidden="1" x14ac:dyDescent="0.25">
      <c r="A2197" s="1" t="str">
        <f t="shared" si="108"/>
        <v>447944479420CURRENTTRANSPORTCAREEM</v>
      </c>
      <c r="B2197" s="2">
        <v>44794</v>
      </c>
      <c r="C2197" s="2">
        <v>44794</v>
      </c>
      <c r="D2197" s="3" t="s">
        <v>2655</v>
      </c>
      <c r="E2197" s="3">
        <v>-20</v>
      </c>
      <c r="F2197" s="3">
        <v>1</v>
      </c>
      <c r="G2197" s="3">
        <f t="shared" si="110"/>
        <v>20</v>
      </c>
      <c r="H2197" s="3" t="s">
        <v>293</v>
      </c>
      <c r="I2197" s="1" t="s">
        <v>296</v>
      </c>
      <c r="J2197" s="1" t="s">
        <v>297</v>
      </c>
      <c r="K2197" s="1" t="s">
        <v>298</v>
      </c>
      <c r="L2197" s="1" t="s">
        <v>257</v>
      </c>
      <c r="M2197" s="1"/>
      <c r="N2197" s="1">
        <f t="shared" si="109"/>
        <v>8</v>
      </c>
      <c r="O2197" s="87"/>
    </row>
    <row r="2198" spans="1:15" ht="15.75" hidden="1" x14ac:dyDescent="0.25">
      <c r="A2198" s="1" t="str">
        <f t="shared" si="108"/>
        <v>447944479415CURRENTSERVICEBANK</v>
      </c>
      <c r="B2198" s="2">
        <v>44794</v>
      </c>
      <c r="C2198" s="2">
        <v>44794</v>
      </c>
      <c r="D2198" s="3" t="s">
        <v>2656</v>
      </c>
      <c r="E2198" s="3">
        <v>-15</v>
      </c>
      <c r="F2198" s="3">
        <v>1</v>
      </c>
      <c r="G2198" s="3">
        <f t="shared" si="110"/>
        <v>15</v>
      </c>
      <c r="H2198" s="3" t="s">
        <v>293</v>
      </c>
      <c r="I2198" s="1" t="s">
        <v>7</v>
      </c>
      <c r="J2198" s="1" t="s">
        <v>8</v>
      </c>
      <c r="K2198" s="1" t="s">
        <v>298</v>
      </c>
      <c r="L2198" s="1" t="s">
        <v>257</v>
      </c>
      <c r="M2198" s="1"/>
      <c r="N2198" s="1">
        <f t="shared" si="109"/>
        <v>8</v>
      </c>
      <c r="O2198" s="87"/>
    </row>
    <row r="2199" spans="1:15" ht="15.75" hidden="1" x14ac:dyDescent="0.25">
      <c r="A2199" s="1" t="str">
        <f t="shared" si="108"/>
        <v>44794447940CURRENTRENTALBAKER</v>
      </c>
      <c r="B2199" s="2">
        <v>44794</v>
      </c>
      <c r="C2199" s="2">
        <v>44794</v>
      </c>
      <c r="D2199" s="3" t="s">
        <v>2657</v>
      </c>
      <c r="E2199" s="3">
        <v>-7500</v>
      </c>
      <c r="F2199" s="3">
        <v>0</v>
      </c>
      <c r="G2199" s="3">
        <f t="shared" si="110"/>
        <v>0</v>
      </c>
      <c r="H2199" s="3" t="s">
        <v>293</v>
      </c>
      <c r="I2199" s="1" t="s">
        <v>83</v>
      </c>
      <c r="J2199" s="1" t="s">
        <v>2701</v>
      </c>
      <c r="K2199" s="1" t="s">
        <v>298</v>
      </c>
      <c r="L2199" s="1" t="s">
        <v>257</v>
      </c>
      <c r="M2199" s="1"/>
      <c r="N2199" s="1">
        <f t="shared" si="109"/>
        <v>8</v>
      </c>
      <c r="O2199" s="87"/>
    </row>
    <row r="2200" spans="1:15" ht="15.75" hidden="1" x14ac:dyDescent="0.25">
      <c r="A2200" s="1" t="str">
        <f t="shared" si="108"/>
        <v>44794447942000CURRENTRENTKAHRAMAA</v>
      </c>
      <c r="B2200" s="2">
        <v>44794</v>
      </c>
      <c r="C2200" s="2">
        <v>44794</v>
      </c>
      <c r="D2200" s="3" t="s">
        <v>2657</v>
      </c>
      <c r="E2200" s="3">
        <v>-2000</v>
      </c>
      <c r="F2200" s="3">
        <v>1</v>
      </c>
      <c r="G2200" s="3">
        <f t="shared" si="110"/>
        <v>2000</v>
      </c>
      <c r="H2200" s="3" t="s">
        <v>293</v>
      </c>
      <c r="I2200" s="1" t="s">
        <v>83</v>
      </c>
      <c r="J2200" s="1" t="s">
        <v>4113</v>
      </c>
      <c r="K2200" s="1" t="s">
        <v>298</v>
      </c>
      <c r="L2200" s="1" t="s">
        <v>257</v>
      </c>
      <c r="M2200" s="1"/>
      <c r="N2200" s="1">
        <f t="shared" si="109"/>
        <v>8</v>
      </c>
      <c r="O2200" s="87"/>
    </row>
    <row r="2201" spans="1:15" ht="15.75" hidden="1" x14ac:dyDescent="0.25">
      <c r="A2201" s="1" t="str">
        <f t="shared" si="108"/>
        <v>44794448145000CURRENTRENTALBAKER</v>
      </c>
      <c r="B2201" s="2">
        <v>44794</v>
      </c>
      <c r="C2201" s="2">
        <v>44814</v>
      </c>
      <c r="D2201" s="3" t="s">
        <v>2657</v>
      </c>
      <c r="E2201" s="3">
        <v>-5000</v>
      </c>
      <c r="F2201" s="3">
        <v>1</v>
      </c>
      <c r="G2201" s="3">
        <f t="shared" si="110"/>
        <v>5000</v>
      </c>
      <c r="H2201" s="3" t="s">
        <v>293</v>
      </c>
      <c r="I2201" s="1" t="s">
        <v>83</v>
      </c>
      <c r="J2201" s="1" t="s">
        <v>2701</v>
      </c>
      <c r="K2201" s="1" t="s">
        <v>298</v>
      </c>
      <c r="L2201" s="1" t="s">
        <v>257</v>
      </c>
      <c r="M2201" s="1"/>
      <c r="N2201" s="1">
        <f t="shared" si="109"/>
        <v>9</v>
      </c>
      <c r="O2201" s="87"/>
    </row>
    <row r="2202" spans="1:15" ht="15.75" hidden="1" x14ac:dyDescent="0.25">
      <c r="A2202" s="1" t="str">
        <f t="shared" si="108"/>
        <v>4479444794300CURRENTRENTBALADIYA</v>
      </c>
      <c r="B2202" s="2">
        <v>44794</v>
      </c>
      <c r="C2202" s="2">
        <v>44794</v>
      </c>
      <c r="D2202" s="3" t="s">
        <v>2657</v>
      </c>
      <c r="E2202" s="3">
        <v>-300</v>
      </c>
      <c r="F2202" s="3">
        <v>1</v>
      </c>
      <c r="G2202" s="3">
        <f t="shared" si="110"/>
        <v>300</v>
      </c>
      <c r="H2202" s="3" t="s">
        <v>293</v>
      </c>
      <c r="I2202" s="1" t="s">
        <v>83</v>
      </c>
      <c r="J2202" s="1" t="s">
        <v>2705</v>
      </c>
      <c r="K2202" s="1" t="s">
        <v>298</v>
      </c>
      <c r="L2202" s="1" t="s">
        <v>257</v>
      </c>
      <c r="M2202" s="1"/>
      <c r="N2202" s="1">
        <f t="shared" si="109"/>
        <v>8</v>
      </c>
      <c r="O2202" s="87"/>
    </row>
    <row r="2203" spans="1:15" ht="15.75" hidden="1" x14ac:dyDescent="0.25">
      <c r="A2203" s="1" t="str">
        <f t="shared" si="108"/>
        <v>4479444794200CURRENTWITHDRAWSELF</v>
      </c>
      <c r="B2203" s="2">
        <v>44794</v>
      </c>
      <c r="C2203" s="2">
        <v>44794</v>
      </c>
      <c r="D2203" s="3" t="s">
        <v>2657</v>
      </c>
      <c r="E2203" s="3">
        <v>-200</v>
      </c>
      <c r="F2203" s="3">
        <v>1</v>
      </c>
      <c r="G2203" s="3">
        <f t="shared" si="110"/>
        <v>200</v>
      </c>
      <c r="H2203" s="3" t="s">
        <v>293</v>
      </c>
      <c r="I2203" s="1" t="s">
        <v>13</v>
      </c>
      <c r="J2203" s="1" t="s">
        <v>14</v>
      </c>
      <c r="K2203" s="1" t="s">
        <v>298</v>
      </c>
      <c r="L2203" s="1" t="s">
        <v>257</v>
      </c>
      <c r="M2203" s="1"/>
      <c r="N2203" s="1">
        <f t="shared" si="109"/>
        <v>8</v>
      </c>
      <c r="O2203" s="87"/>
    </row>
    <row r="2204" spans="1:15" ht="15.75" hidden="1" x14ac:dyDescent="0.25">
      <c r="A2204" s="1" t="str">
        <f t="shared" si="108"/>
        <v>447944479410000SAVINGTRANSFERSELF</v>
      </c>
      <c r="B2204" s="2">
        <v>44794</v>
      </c>
      <c r="C2204" s="2">
        <v>44794</v>
      </c>
      <c r="D2204" s="3" t="s">
        <v>2658</v>
      </c>
      <c r="E2204" s="3">
        <v>10000</v>
      </c>
      <c r="F2204" s="3">
        <v>1</v>
      </c>
      <c r="G2204" s="3">
        <f t="shared" si="110"/>
        <v>10000</v>
      </c>
      <c r="H2204" s="3" t="s">
        <v>302</v>
      </c>
      <c r="I2204" s="1" t="s">
        <v>22</v>
      </c>
      <c r="J2204" s="1" t="s">
        <v>14</v>
      </c>
      <c r="K2204" s="1" t="s">
        <v>22</v>
      </c>
      <c r="L2204" s="1" t="s">
        <v>257</v>
      </c>
      <c r="M2204" s="1"/>
      <c r="N2204" s="1">
        <f t="shared" si="109"/>
        <v>8</v>
      </c>
      <c r="O2204" s="87"/>
    </row>
    <row r="2205" spans="1:15" ht="15.75" hidden="1" x14ac:dyDescent="0.25">
      <c r="A2205" s="1" t="str">
        <f t="shared" si="108"/>
        <v>44795447952500CURRENTRENTAGENT</v>
      </c>
      <c r="B2205" s="2">
        <v>44795</v>
      </c>
      <c r="C2205" s="2">
        <v>44795</v>
      </c>
      <c r="D2205" s="3" t="s">
        <v>2653</v>
      </c>
      <c r="E2205" s="3">
        <v>-2500</v>
      </c>
      <c r="F2205" s="3">
        <v>1</v>
      </c>
      <c r="G2205" s="3">
        <f t="shared" si="110"/>
        <v>2500</v>
      </c>
      <c r="H2205" s="3" t="s">
        <v>293</v>
      </c>
      <c r="I2205" s="1" t="s">
        <v>83</v>
      </c>
      <c r="J2205" s="1" t="s">
        <v>2702</v>
      </c>
      <c r="K2205" s="1" t="s">
        <v>298</v>
      </c>
      <c r="L2205" s="1" t="s">
        <v>257</v>
      </c>
      <c r="M2205" s="1"/>
      <c r="N2205" s="1">
        <f t="shared" si="109"/>
        <v>8</v>
      </c>
      <c r="O2205" s="87"/>
    </row>
    <row r="2206" spans="1:15" ht="15.75" hidden="1" x14ac:dyDescent="0.25">
      <c r="A2206" s="1" t="str">
        <f t="shared" si="108"/>
        <v>447954479715FIFA CCTRANSPORTMR VALET</v>
      </c>
      <c r="B2206" s="2">
        <v>44795</v>
      </c>
      <c r="C2206" s="2">
        <v>44797</v>
      </c>
      <c r="D2206" s="3" t="s">
        <v>2668</v>
      </c>
      <c r="E2206" s="3">
        <v>15</v>
      </c>
      <c r="F2206" s="3">
        <v>1</v>
      </c>
      <c r="G2206" s="3">
        <f t="shared" si="110"/>
        <v>15</v>
      </c>
      <c r="H2206" s="3" t="s">
        <v>3294</v>
      </c>
      <c r="I2206" s="1" t="s">
        <v>296</v>
      </c>
      <c r="J2206" s="1" t="s">
        <v>2703</v>
      </c>
      <c r="K2206" s="1" t="s">
        <v>298</v>
      </c>
      <c r="L2206" s="1" t="s">
        <v>267</v>
      </c>
      <c r="M2206" s="1"/>
      <c r="N2206" s="1">
        <f t="shared" si="109"/>
        <v>8</v>
      </c>
      <c r="O2206" s="87"/>
    </row>
    <row r="2207" spans="1:15" ht="15.75" hidden="1" x14ac:dyDescent="0.25">
      <c r="A2207" s="1" t="str">
        <f t="shared" si="108"/>
        <v>447954479670.78FIFA CCGROCERYTOTAL FRESH</v>
      </c>
      <c r="B2207" s="2">
        <v>44795</v>
      </c>
      <c r="C2207" s="2">
        <v>44796</v>
      </c>
      <c r="D2207" s="3" t="s">
        <v>2669</v>
      </c>
      <c r="E2207" s="3">
        <v>70.78</v>
      </c>
      <c r="F2207" s="3">
        <v>1</v>
      </c>
      <c r="G2207" s="3">
        <f t="shared" si="110"/>
        <v>70.78</v>
      </c>
      <c r="H2207" s="3" t="s">
        <v>3294</v>
      </c>
      <c r="I2207" s="1" t="s">
        <v>43</v>
      </c>
      <c r="J2207" s="1" t="s">
        <v>1394</v>
      </c>
      <c r="K2207" s="1" t="s">
        <v>298</v>
      </c>
      <c r="L2207" s="1" t="s">
        <v>267</v>
      </c>
      <c r="M2207" s="1"/>
      <c r="N2207" s="1">
        <f t="shared" si="109"/>
        <v>8</v>
      </c>
      <c r="O2207" s="87"/>
    </row>
    <row r="2208" spans="1:15" ht="15.75" hidden="1" x14ac:dyDescent="0.25">
      <c r="A2208" s="1" t="str">
        <f t="shared" si="108"/>
        <v>447964479620.6CURRENTTRANSPORTCAREEM</v>
      </c>
      <c r="B2208" s="2">
        <v>44796</v>
      </c>
      <c r="C2208" s="2">
        <v>44796</v>
      </c>
      <c r="D2208" s="3" t="s">
        <v>2652</v>
      </c>
      <c r="E2208" s="3">
        <v>-20.6</v>
      </c>
      <c r="F2208" s="3">
        <v>1</v>
      </c>
      <c r="G2208" s="3">
        <f t="shared" si="110"/>
        <v>20.6</v>
      </c>
      <c r="H2208" s="3" t="s">
        <v>293</v>
      </c>
      <c r="I2208" s="1" t="s">
        <v>296</v>
      </c>
      <c r="J2208" s="1" t="s">
        <v>297</v>
      </c>
      <c r="K2208" s="1" t="s">
        <v>298</v>
      </c>
      <c r="L2208" s="1" t="s">
        <v>257</v>
      </c>
      <c r="M2208" s="1"/>
      <c r="N2208" s="1">
        <f t="shared" si="109"/>
        <v>8</v>
      </c>
      <c r="O2208" s="87"/>
    </row>
    <row r="2209" spans="1:15" ht="15.75" hidden="1" x14ac:dyDescent="0.25">
      <c r="A2209" s="1" t="str">
        <f t="shared" si="108"/>
        <v>4479644797164FIFA CCSHOPPINGBABYSHOP</v>
      </c>
      <c r="B2209" s="2">
        <v>44796</v>
      </c>
      <c r="C2209" s="2">
        <v>44797</v>
      </c>
      <c r="D2209" s="3" t="s">
        <v>2667</v>
      </c>
      <c r="E2209" s="3">
        <v>164</v>
      </c>
      <c r="F2209" s="3">
        <v>1</v>
      </c>
      <c r="G2209" s="3">
        <f t="shared" si="110"/>
        <v>164</v>
      </c>
      <c r="H2209" s="3" t="s">
        <v>3294</v>
      </c>
      <c r="I2209" s="1" t="s">
        <v>194</v>
      </c>
      <c r="J2209" s="1" t="s">
        <v>1650</v>
      </c>
      <c r="K2209" s="1" t="s">
        <v>298</v>
      </c>
      <c r="L2209" s="1" t="s">
        <v>267</v>
      </c>
      <c r="M2209" s="1"/>
      <c r="N2209" s="1">
        <f t="shared" si="109"/>
        <v>8</v>
      </c>
      <c r="O2209" s="87"/>
    </row>
    <row r="2210" spans="1:15" ht="15.75" hidden="1" x14ac:dyDescent="0.25">
      <c r="A2210" s="1" t="str">
        <f t="shared" si="108"/>
        <v>447974479720.9CURRENTTRANSPORTCAREEM</v>
      </c>
      <c r="B2210" s="2">
        <v>44797</v>
      </c>
      <c r="C2210" s="2">
        <v>44797</v>
      </c>
      <c r="D2210" s="3" t="s">
        <v>2651</v>
      </c>
      <c r="E2210" s="3">
        <v>-20.9</v>
      </c>
      <c r="F2210" s="3">
        <v>1</v>
      </c>
      <c r="G2210" s="3">
        <f t="shared" si="110"/>
        <v>20.9</v>
      </c>
      <c r="H2210" s="3" t="s">
        <v>293</v>
      </c>
      <c r="I2210" s="1" t="s">
        <v>296</v>
      </c>
      <c r="J2210" s="1" t="s">
        <v>297</v>
      </c>
      <c r="K2210" s="1" t="s">
        <v>298</v>
      </c>
      <c r="L2210" s="1" t="s">
        <v>257</v>
      </c>
      <c r="M2210" s="1"/>
      <c r="N2210" s="1">
        <f t="shared" si="109"/>
        <v>8</v>
      </c>
      <c r="O2210" s="87"/>
    </row>
    <row r="2211" spans="1:15" ht="15.75" hidden="1" x14ac:dyDescent="0.25">
      <c r="A2211" s="1" t="str">
        <f t="shared" si="108"/>
        <v>447984479827.8CURRENTTRANSPORTCAREEM</v>
      </c>
      <c r="B2211" s="2">
        <v>44798</v>
      </c>
      <c r="C2211" s="2">
        <v>44798</v>
      </c>
      <c r="D2211" s="3" t="s">
        <v>2650</v>
      </c>
      <c r="E2211" s="3">
        <v>-27.8</v>
      </c>
      <c r="F2211" s="3">
        <v>1</v>
      </c>
      <c r="G2211" s="3">
        <f t="shared" si="110"/>
        <v>27.8</v>
      </c>
      <c r="H2211" s="3" t="s">
        <v>293</v>
      </c>
      <c r="I2211" s="1" t="s">
        <v>296</v>
      </c>
      <c r="J2211" s="1" t="s">
        <v>297</v>
      </c>
      <c r="K2211" s="1" t="s">
        <v>298</v>
      </c>
      <c r="L2211" s="1" t="s">
        <v>257</v>
      </c>
      <c r="M2211" s="1"/>
      <c r="N2211" s="1">
        <f t="shared" si="109"/>
        <v>8</v>
      </c>
      <c r="O2211" s="87"/>
    </row>
    <row r="2212" spans="1:15" ht="15.75" hidden="1" x14ac:dyDescent="0.25">
      <c r="A2212" s="1" t="str">
        <f t="shared" si="108"/>
        <v>44798448047.5FIFA CCTRANSPORTCAREEM</v>
      </c>
      <c r="B2212" s="2">
        <v>44798</v>
      </c>
      <c r="C2212" s="2">
        <v>44804</v>
      </c>
      <c r="D2212" s="3" t="s">
        <v>2665</v>
      </c>
      <c r="E2212" s="3">
        <v>7.5</v>
      </c>
      <c r="F2212" s="3">
        <v>1</v>
      </c>
      <c r="G2212" s="3">
        <f t="shared" si="110"/>
        <v>7.5</v>
      </c>
      <c r="H2212" s="3" t="s">
        <v>3294</v>
      </c>
      <c r="I2212" s="1" t="s">
        <v>296</v>
      </c>
      <c r="J2212" s="1" t="s">
        <v>297</v>
      </c>
      <c r="K2212" s="1" t="s">
        <v>298</v>
      </c>
      <c r="L2212" s="1" t="s">
        <v>267</v>
      </c>
      <c r="M2212" s="1"/>
      <c r="N2212" s="1">
        <f t="shared" si="109"/>
        <v>8</v>
      </c>
      <c r="O2212" s="87"/>
    </row>
    <row r="2213" spans="1:15" ht="15.75" hidden="1" x14ac:dyDescent="0.25">
      <c r="A2213" s="1" t="str">
        <f t="shared" si="108"/>
        <v>44798448047.5FIFA CCTRANSPORTCAREEM</v>
      </c>
      <c r="B2213" s="2">
        <v>44798</v>
      </c>
      <c r="C2213" s="2">
        <v>44804</v>
      </c>
      <c r="D2213" s="3" t="s">
        <v>2666</v>
      </c>
      <c r="E2213" s="3">
        <v>7.5</v>
      </c>
      <c r="F2213" s="3">
        <v>1</v>
      </c>
      <c r="G2213" s="3">
        <f t="shared" si="110"/>
        <v>7.5</v>
      </c>
      <c r="H2213" s="3" t="s">
        <v>3294</v>
      </c>
      <c r="I2213" s="1" t="s">
        <v>296</v>
      </c>
      <c r="J2213" s="1" t="s">
        <v>297</v>
      </c>
      <c r="K2213" s="1" t="s">
        <v>298</v>
      </c>
      <c r="L2213" s="1" t="s">
        <v>267</v>
      </c>
      <c r="M2213" s="1"/>
      <c r="N2213" s="1">
        <f t="shared" si="109"/>
        <v>8</v>
      </c>
      <c r="O2213" s="87"/>
    </row>
    <row r="2214" spans="1:15" ht="15.75" hidden="1" x14ac:dyDescent="0.25">
      <c r="A2214" s="1" t="str">
        <f t="shared" si="108"/>
        <v>447994480460MASTER CCTELECOMOOREDOO</v>
      </c>
      <c r="B2214" s="2">
        <v>44799</v>
      </c>
      <c r="C2214" s="2">
        <v>44804</v>
      </c>
      <c r="D2214" s="3" t="s">
        <v>2699</v>
      </c>
      <c r="E2214" s="3">
        <v>60</v>
      </c>
      <c r="F2214" s="3">
        <v>1</v>
      </c>
      <c r="G2214" s="3">
        <f t="shared" si="110"/>
        <v>60</v>
      </c>
      <c r="H2214" s="3" t="s">
        <v>291</v>
      </c>
      <c r="I2214" s="1" t="s">
        <v>58</v>
      </c>
      <c r="J2214" s="1" t="s">
        <v>59</v>
      </c>
      <c r="K2214" s="1" t="s">
        <v>298</v>
      </c>
      <c r="L2214" s="1" t="s">
        <v>267</v>
      </c>
      <c r="M2214" s="1"/>
      <c r="N2214" s="1">
        <f t="shared" si="109"/>
        <v>8</v>
      </c>
      <c r="O2214" s="87"/>
    </row>
    <row r="2215" spans="1:15" ht="15.75" hidden="1" x14ac:dyDescent="0.25">
      <c r="A2215" s="1" t="str">
        <f t="shared" si="108"/>
        <v>448014480126.7CURRENTTRANSPORTCAREEM</v>
      </c>
      <c r="B2215" s="2">
        <v>44801</v>
      </c>
      <c r="C2215" s="118">
        <v>44801</v>
      </c>
      <c r="D2215" s="3" t="s">
        <v>2648</v>
      </c>
      <c r="E2215" s="3">
        <v>-26.7</v>
      </c>
      <c r="F2215" s="3">
        <v>1</v>
      </c>
      <c r="G2215" s="3">
        <f t="shared" si="110"/>
        <v>26.7</v>
      </c>
      <c r="H2215" s="3" t="s">
        <v>293</v>
      </c>
      <c r="I2215" s="1" t="s">
        <v>296</v>
      </c>
      <c r="J2215" s="1" t="s">
        <v>297</v>
      </c>
      <c r="K2215" s="1" t="s">
        <v>298</v>
      </c>
      <c r="L2215" s="1" t="s">
        <v>257</v>
      </c>
      <c r="M2215" s="1"/>
      <c r="N2215" s="1">
        <f t="shared" si="109"/>
        <v>8</v>
      </c>
      <c r="O2215" s="87"/>
    </row>
    <row r="2216" spans="1:15" ht="15.75" hidden="1" x14ac:dyDescent="0.25">
      <c r="A2216" s="1" t="str">
        <f t="shared" si="108"/>
        <v>448014480110CURRENTTELECOMOOREDOO</v>
      </c>
      <c r="B2216" s="2">
        <v>44801</v>
      </c>
      <c r="C2216" s="2">
        <v>44801</v>
      </c>
      <c r="D2216" s="3" t="s">
        <v>2649</v>
      </c>
      <c r="E2216" s="3">
        <v>-10</v>
      </c>
      <c r="F2216" s="3">
        <v>1</v>
      </c>
      <c r="G2216" s="3">
        <f t="shared" si="110"/>
        <v>10</v>
      </c>
      <c r="H2216" s="3" t="s">
        <v>293</v>
      </c>
      <c r="I2216" s="1" t="s">
        <v>58</v>
      </c>
      <c r="J2216" s="1" t="s">
        <v>59</v>
      </c>
      <c r="K2216" s="1" t="s">
        <v>298</v>
      </c>
      <c r="L2216" s="1" t="s">
        <v>257</v>
      </c>
      <c r="M2216" s="1"/>
      <c r="N2216" s="1">
        <f t="shared" si="109"/>
        <v>8</v>
      </c>
      <c r="O2216" s="87"/>
    </row>
    <row r="2217" spans="1:15" ht="15.75" hidden="1" x14ac:dyDescent="0.25">
      <c r="A2217" s="1" t="str">
        <f t="shared" si="108"/>
        <v>448014480115.98CURRENTGROCERYKIN SUPER</v>
      </c>
      <c r="B2217" s="2">
        <v>44801</v>
      </c>
      <c r="C2217" s="2">
        <v>44801</v>
      </c>
      <c r="D2217" s="3" t="s">
        <v>2780</v>
      </c>
      <c r="E2217" s="3">
        <v>-15.98</v>
      </c>
      <c r="F2217" s="3">
        <v>1</v>
      </c>
      <c r="G2217" s="3">
        <f t="shared" si="110"/>
        <v>15.98</v>
      </c>
      <c r="H2217" s="3" t="s">
        <v>293</v>
      </c>
      <c r="I2217" s="1" t="s">
        <v>43</v>
      </c>
      <c r="J2217" s="1" t="s">
        <v>2788</v>
      </c>
      <c r="K2217" s="1" t="s">
        <v>298</v>
      </c>
      <c r="L2217" s="1" t="s">
        <v>257</v>
      </c>
      <c r="M2217" s="1"/>
      <c r="N2217" s="1">
        <f t="shared" si="109"/>
        <v>8</v>
      </c>
      <c r="O2217" s="87"/>
    </row>
    <row r="2218" spans="1:15" ht="15.75" hidden="1" x14ac:dyDescent="0.25">
      <c r="A2218" s="1" t="str">
        <f t="shared" si="108"/>
        <v>448014480128CURRENTTRANSPORTCAREEM</v>
      </c>
      <c r="B2218" s="2">
        <v>44801</v>
      </c>
      <c r="C2218" s="2">
        <v>44801</v>
      </c>
      <c r="D2218" s="3" t="s">
        <v>2781</v>
      </c>
      <c r="E2218" s="3">
        <v>-28</v>
      </c>
      <c r="F2218" s="3">
        <v>1</v>
      </c>
      <c r="G2218" s="3">
        <f t="shared" si="110"/>
        <v>28</v>
      </c>
      <c r="H2218" s="3" t="s">
        <v>293</v>
      </c>
      <c r="I2218" s="1" t="s">
        <v>296</v>
      </c>
      <c r="J2218" s="1" t="s">
        <v>297</v>
      </c>
      <c r="K2218" s="1" t="s">
        <v>298</v>
      </c>
      <c r="L2218" s="1" t="s">
        <v>257</v>
      </c>
      <c r="M2218" s="1"/>
      <c r="N2218" s="1">
        <f t="shared" si="109"/>
        <v>8</v>
      </c>
      <c r="O2218" s="87"/>
    </row>
    <row r="2219" spans="1:15" ht="15.75" hidden="1" x14ac:dyDescent="0.25">
      <c r="A2219" s="1" t="str">
        <f t="shared" si="108"/>
        <v>448014480126.7CURRENTTRANSPORTCAREEM</v>
      </c>
      <c r="B2219" s="2">
        <v>44801</v>
      </c>
      <c r="C2219" s="2">
        <v>44801</v>
      </c>
      <c r="D2219" s="3" t="s">
        <v>2648</v>
      </c>
      <c r="E2219" s="3">
        <v>-26.7</v>
      </c>
      <c r="F2219" s="3">
        <v>1</v>
      </c>
      <c r="G2219" s="3">
        <f t="shared" si="110"/>
        <v>26.7</v>
      </c>
      <c r="H2219" s="3" t="s">
        <v>293</v>
      </c>
      <c r="I2219" s="1" t="s">
        <v>296</v>
      </c>
      <c r="J2219" s="1" t="s">
        <v>297</v>
      </c>
      <c r="K2219" s="1" t="s">
        <v>298</v>
      </c>
      <c r="L2219" s="1" t="s">
        <v>257</v>
      </c>
      <c r="M2219" s="1"/>
      <c r="N2219" s="1">
        <f t="shared" si="109"/>
        <v>8</v>
      </c>
      <c r="O2219" s="87"/>
    </row>
    <row r="2220" spans="1:15" ht="15.75" hidden="1" x14ac:dyDescent="0.25">
      <c r="A2220" s="1" t="str">
        <f t="shared" si="108"/>
        <v>448014480110CURRENTSHOPPINGANSAR</v>
      </c>
      <c r="B2220" s="2">
        <v>44801</v>
      </c>
      <c r="C2220" s="2">
        <v>44801</v>
      </c>
      <c r="D2220" s="3" t="s">
        <v>2782</v>
      </c>
      <c r="E2220" s="3">
        <v>-10</v>
      </c>
      <c r="F2220" s="3">
        <v>1</v>
      </c>
      <c r="G2220" s="3">
        <f t="shared" si="110"/>
        <v>10</v>
      </c>
      <c r="H2220" s="3" t="s">
        <v>293</v>
      </c>
      <c r="I2220" s="1" t="s">
        <v>194</v>
      </c>
      <c r="J2220" s="1" t="s">
        <v>1656</v>
      </c>
      <c r="K2220" s="1" t="s">
        <v>298</v>
      </c>
      <c r="L2220" s="1" t="s">
        <v>257</v>
      </c>
      <c r="M2220" s="1"/>
      <c r="N2220" s="1">
        <f t="shared" si="109"/>
        <v>8</v>
      </c>
      <c r="O2220" s="87"/>
    </row>
    <row r="2221" spans="1:15" ht="15.75" hidden="1" x14ac:dyDescent="0.25">
      <c r="A2221" s="1" t="str">
        <f t="shared" si="108"/>
        <v>448014480134CURRENTFOODANSAR</v>
      </c>
      <c r="B2221" s="2">
        <v>44801</v>
      </c>
      <c r="C2221" s="2">
        <v>44801</v>
      </c>
      <c r="D2221" s="3" t="s">
        <v>2783</v>
      </c>
      <c r="E2221" s="3">
        <v>-34</v>
      </c>
      <c r="F2221" s="3">
        <v>1</v>
      </c>
      <c r="G2221" s="3">
        <f t="shared" si="110"/>
        <v>34</v>
      </c>
      <c r="H2221" s="3" t="s">
        <v>293</v>
      </c>
      <c r="I2221" s="1" t="s">
        <v>10</v>
      </c>
      <c r="J2221" s="1" t="s">
        <v>1656</v>
      </c>
      <c r="K2221" s="1" t="s">
        <v>298</v>
      </c>
      <c r="L2221" s="1" t="s">
        <v>257</v>
      </c>
      <c r="M2221" s="1"/>
      <c r="N2221" s="1">
        <f t="shared" si="109"/>
        <v>8</v>
      </c>
      <c r="O2221" s="87"/>
    </row>
    <row r="2222" spans="1:15" ht="15.75" hidden="1" x14ac:dyDescent="0.25">
      <c r="A2222" s="1" t="str">
        <f t="shared" si="108"/>
        <v>448014480116CURRENTGROCERYTOTAL FRESH</v>
      </c>
      <c r="B2222" s="2">
        <v>44801</v>
      </c>
      <c r="C2222" s="2">
        <v>44801</v>
      </c>
      <c r="D2222" s="3" t="s">
        <v>2784</v>
      </c>
      <c r="E2222" s="3">
        <v>-16</v>
      </c>
      <c r="F2222" s="3">
        <v>1</v>
      </c>
      <c r="G2222" s="3">
        <f t="shared" si="110"/>
        <v>16</v>
      </c>
      <c r="H2222" s="3" t="s">
        <v>293</v>
      </c>
      <c r="I2222" s="1" t="s">
        <v>43</v>
      </c>
      <c r="J2222" s="1" t="s">
        <v>1394</v>
      </c>
      <c r="K2222" s="1" t="s">
        <v>298</v>
      </c>
      <c r="L2222" s="1" t="s">
        <v>257</v>
      </c>
      <c r="M2222" s="1"/>
      <c r="N2222" s="1">
        <f t="shared" si="109"/>
        <v>8</v>
      </c>
      <c r="O2222" s="87"/>
    </row>
    <row r="2223" spans="1:15" ht="15.75" hidden="1" x14ac:dyDescent="0.25">
      <c r="A2223" s="1" t="str">
        <f t="shared" si="108"/>
        <v>448014480145.51CURRENTGROCERYTOTAL FRESH</v>
      </c>
      <c r="B2223" s="2">
        <v>44801</v>
      </c>
      <c r="C2223" s="2">
        <v>44801</v>
      </c>
      <c r="D2223" s="3" t="s">
        <v>2785</v>
      </c>
      <c r="E2223" s="3">
        <v>-45.51</v>
      </c>
      <c r="F2223" s="3">
        <v>1</v>
      </c>
      <c r="G2223" s="3">
        <f t="shared" si="110"/>
        <v>45.51</v>
      </c>
      <c r="H2223" s="3" t="s">
        <v>293</v>
      </c>
      <c r="I2223" s="1" t="s">
        <v>43</v>
      </c>
      <c r="J2223" s="1" t="s">
        <v>1394</v>
      </c>
      <c r="K2223" s="1" t="s">
        <v>298</v>
      </c>
      <c r="L2223" s="1" t="s">
        <v>257</v>
      </c>
      <c r="M2223" s="1"/>
      <c r="N2223" s="1">
        <f t="shared" si="109"/>
        <v>8</v>
      </c>
      <c r="O2223" s="87"/>
    </row>
    <row r="2224" spans="1:15" ht="15.75" hidden="1" x14ac:dyDescent="0.25">
      <c r="A2224" s="1" t="str">
        <f t="shared" si="108"/>
        <v>448014480157CURRENTSHOPPINGR&amp;B</v>
      </c>
      <c r="B2224" s="2">
        <v>44801</v>
      </c>
      <c r="C2224" s="2">
        <v>44801</v>
      </c>
      <c r="D2224" s="3" t="s">
        <v>2786</v>
      </c>
      <c r="E2224" s="3">
        <v>-57</v>
      </c>
      <c r="F2224" s="3">
        <v>1</v>
      </c>
      <c r="G2224" s="3">
        <f t="shared" si="110"/>
        <v>57</v>
      </c>
      <c r="H2224" s="3" t="s">
        <v>293</v>
      </c>
      <c r="I2224" s="1" t="s">
        <v>194</v>
      </c>
      <c r="J2224" s="1" t="s">
        <v>195</v>
      </c>
      <c r="K2224" s="1" t="s">
        <v>298</v>
      </c>
      <c r="L2224" s="1" t="s">
        <v>257</v>
      </c>
      <c r="M2224" s="1"/>
      <c r="N2224" s="1">
        <f t="shared" si="109"/>
        <v>8</v>
      </c>
      <c r="O2224" s="87"/>
    </row>
    <row r="2225" spans="1:15" ht="15.75" hidden="1" x14ac:dyDescent="0.25">
      <c r="A2225" s="1" t="str">
        <f t="shared" si="108"/>
        <v>448014480144CURRENTSHOPPINGREDTAG</v>
      </c>
      <c r="B2225" s="2">
        <v>44801</v>
      </c>
      <c r="C2225" s="2">
        <v>44801</v>
      </c>
      <c r="D2225" s="3" t="s">
        <v>2787</v>
      </c>
      <c r="E2225" s="3">
        <v>-44</v>
      </c>
      <c r="F2225" s="3">
        <v>1</v>
      </c>
      <c r="G2225" s="3">
        <f t="shared" si="110"/>
        <v>44</v>
      </c>
      <c r="H2225" s="3" t="s">
        <v>293</v>
      </c>
      <c r="I2225" s="1" t="s">
        <v>194</v>
      </c>
      <c r="J2225" s="1" t="s">
        <v>2704</v>
      </c>
      <c r="K2225" s="1" t="s">
        <v>298</v>
      </c>
      <c r="L2225" s="1" t="s">
        <v>257</v>
      </c>
      <c r="M2225" s="1"/>
      <c r="N2225" s="1">
        <f t="shared" si="109"/>
        <v>8</v>
      </c>
      <c r="O2225" s="87"/>
    </row>
    <row r="2226" spans="1:15" ht="15.75" hidden="1" x14ac:dyDescent="0.25">
      <c r="A2226" s="1" t="str">
        <f t="shared" si="108"/>
        <v>448014480110CURRENTTELECOMOOREDOO</v>
      </c>
      <c r="B2226" s="2">
        <v>44801</v>
      </c>
      <c r="C2226" s="2">
        <v>44801</v>
      </c>
      <c r="D2226" s="3" t="s">
        <v>2649</v>
      </c>
      <c r="E2226" s="3">
        <v>-10</v>
      </c>
      <c r="F2226" s="3">
        <v>1</v>
      </c>
      <c r="G2226" s="3">
        <f t="shared" si="110"/>
        <v>10</v>
      </c>
      <c r="H2226" s="3" t="s">
        <v>293</v>
      </c>
      <c r="I2226" s="1" t="s">
        <v>58</v>
      </c>
      <c r="J2226" s="1" t="s">
        <v>59</v>
      </c>
      <c r="K2226" s="1" t="s">
        <v>298</v>
      </c>
      <c r="L2226" s="1" t="s">
        <v>257</v>
      </c>
      <c r="M2226" s="1"/>
      <c r="N2226" s="1">
        <f t="shared" si="109"/>
        <v>8</v>
      </c>
      <c r="O2226" s="87"/>
    </row>
    <row r="2227" spans="1:15" ht="15.75" hidden="1" x14ac:dyDescent="0.25">
      <c r="A2227" s="1" t="str">
        <f t="shared" si="108"/>
        <v>44802448034373DINERSCC BILL PAYMENTBANK</v>
      </c>
      <c r="B2227" s="2">
        <v>44802</v>
      </c>
      <c r="C2227" s="2">
        <v>44803</v>
      </c>
      <c r="D2227" s="3" t="s">
        <v>80</v>
      </c>
      <c r="E2227" s="3">
        <v>-4373</v>
      </c>
      <c r="F2227" s="3">
        <v>1</v>
      </c>
      <c r="G2227" s="3">
        <f t="shared" si="110"/>
        <v>4373</v>
      </c>
      <c r="H2227" s="3" t="s">
        <v>266</v>
      </c>
      <c r="I2227" s="1" t="s">
        <v>81</v>
      </c>
      <c r="J2227" s="1" t="s">
        <v>8</v>
      </c>
      <c r="K2227" s="1" t="s">
        <v>300</v>
      </c>
      <c r="L2227" s="1" t="s">
        <v>267</v>
      </c>
      <c r="M2227" s="1"/>
      <c r="N2227" s="1">
        <f t="shared" si="109"/>
        <v>8</v>
      </c>
      <c r="O2227" s="87"/>
    </row>
    <row r="2228" spans="1:15" ht="15.75" hidden="1" x14ac:dyDescent="0.25">
      <c r="A2228" s="1" t="str">
        <f t="shared" si="108"/>
        <v>44802448024373CURRENTCC BILL PAYMENTBANK</v>
      </c>
      <c r="B2228" s="2">
        <v>44802</v>
      </c>
      <c r="C2228" s="2">
        <v>44802</v>
      </c>
      <c r="D2228" s="3" t="s">
        <v>2777</v>
      </c>
      <c r="E2228" s="3">
        <v>-4373</v>
      </c>
      <c r="F2228" s="3">
        <v>1</v>
      </c>
      <c r="G2228" s="3">
        <f t="shared" si="110"/>
        <v>4373</v>
      </c>
      <c r="H2228" s="3" t="s">
        <v>293</v>
      </c>
      <c r="I2228" s="1" t="s">
        <v>81</v>
      </c>
      <c r="J2228" s="1" t="s">
        <v>8</v>
      </c>
      <c r="K2228" s="1" t="s">
        <v>298</v>
      </c>
      <c r="L2228" s="1" t="s">
        <v>257</v>
      </c>
      <c r="M2228" s="1"/>
      <c r="N2228" s="1">
        <f t="shared" si="109"/>
        <v>8</v>
      </c>
      <c r="O2228" s="87"/>
    </row>
    <row r="2229" spans="1:15" ht="15.75" hidden="1" x14ac:dyDescent="0.25">
      <c r="A2229" s="1" t="str">
        <f t="shared" si="108"/>
        <v>44802448024976CURRENTLOANBANK</v>
      </c>
      <c r="B2229" s="2">
        <v>44802</v>
      </c>
      <c r="C2229" s="2">
        <v>44802</v>
      </c>
      <c r="D2229" s="3" t="s">
        <v>2627</v>
      </c>
      <c r="E2229" s="3">
        <v>-4976</v>
      </c>
      <c r="F2229" s="3">
        <v>1</v>
      </c>
      <c r="G2229" s="3">
        <f t="shared" si="110"/>
        <v>4976</v>
      </c>
      <c r="H2229" s="3" t="s">
        <v>293</v>
      </c>
      <c r="I2229" s="1" t="s">
        <v>3</v>
      </c>
      <c r="J2229" s="1" t="s">
        <v>8</v>
      </c>
      <c r="K2229" s="1" t="s">
        <v>298</v>
      </c>
      <c r="L2229" s="1" t="s">
        <v>257</v>
      </c>
      <c r="M2229" s="1">
        <v>1</v>
      </c>
      <c r="N2229" s="1">
        <f t="shared" si="109"/>
        <v>8</v>
      </c>
      <c r="O2229" s="87"/>
    </row>
    <row r="2230" spans="1:15" ht="15.75" hidden="1" x14ac:dyDescent="0.25">
      <c r="A2230" s="1" t="str">
        <f t="shared" si="108"/>
        <v>448024480216.3CURRENTTRANSPORTCAREEM</v>
      </c>
      <c r="B2230" s="2">
        <v>44802</v>
      </c>
      <c r="C2230" s="2">
        <v>44802</v>
      </c>
      <c r="D2230" s="3" t="s">
        <v>2778</v>
      </c>
      <c r="E2230" s="3">
        <v>-16.3</v>
      </c>
      <c r="F2230" s="3">
        <v>1</v>
      </c>
      <c r="G2230" s="3">
        <f t="shared" si="110"/>
        <v>16.3</v>
      </c>
      <c r="H2230" s="3" t="s">
        <v>293</v>
      </c>
      <c r="I2230" s="1" t="s">
        <v>296</v>
      </c>
      <c r="J2230" s="1" t="s">
        <v>297</v>
      </c>
      <c r="K2230" s="1" t="s">
        <v>298</v>
      </c>
      <c r="L2230" s="1" t="s">
        <v>257</v>
      </c>
      <c r="M2230" s="1"/>
      <c r="N2230" s="1">
        <f t="shared" si="109"/>
        <v>8</v>
      </c>
      <c r="O2230" s="87"/>
    </row>
    <row r="2231" spans="1:15" ht="15.75" hidden="1" x14ac:dyDescent="0.25">
      <c r="A2231" s="1" t="str">
        <f t="shared" si="108"/>
        <v>448024480220704CURRENTSALARYQATAR AIR</v>
      </c>
      <c r="B2231" s="2">
        <v>44802</v>
      </c>
      <c r="C2231" s="2">
        <v>44802</v>
      </c>
      <c r="D2231" s="3" t="s">
        <v>2779</v>
      </c>
      <c r="E2231" s="3">
        <v>20704</v>
      </c>
      <c r="F2231" s="3">
        <v>1</v>
      </c>
      <c r="G2231" s="3">
        <f t="shared" si="110"/>
        <v>20704</v>
      </c>
      <c r="H2231" s="3" t="s">
        <v>293</v>
      </c>
      <c r="I2231" s="1" t="s">
        <v>18</v>
      </c>
      <c r="J2231" s="1" t="s">
        <v>19</v>
      </c>
      <c r="K2231" s="1" t="s">
        <v>300</v>
      </c>
      <c r="L2231" s="1" t="s">
        <v>257</v>
      </c>
      <c r="M2231" s="1"/>
      <c r="N2231" s="1">
        <f t="shared" si="109"/>
        <v>8</v>
      </c>
      <c r="O2231" s="87"/>
    </row>
    <row r="2232" spans="1:15" ht="15.75" hidden="1" x14ac:dyDescent="0.25">
      <c r="A2232" s="1" t="str">
        <f t="shared" si="108"/>
        <v>44803448043000DINERSCC BILL PAYMENTBANK</v>
      </c>
      <c r="B2232" s="2">
        <v>44803</v>
      </c>
      <c r="C2232" s="2">
        <v>44804</v>
      </c>
      <c r="D2232" s="3" t="s">
        <v>80</v>
      </c>
      <c r="E2232" s="3">
        <v>-3000</v>
      </c>
      <c r="F2232" s="3">
        <v>1</v>
      </c>
      <c r="G2232" s="3">
        <f t="shared" si="110"/>
        <v>3000</v>
      </c>
      <c r="H2232" s="3" t="s">
        <v>266</v>
      </c>
      <c r="I2232" s="1" t="s">
        <v>81</v>
      </c>
      <c r="J2232" s="1" t="s">
        <v>8</v>
      </c>
      <c r="K2232" s="1" t="s">
        <v>300</v>
      </c>
      <c r="L2232" s="1" t="s">
        <v>267</v>
      </c>
      <c r="M2232" s="1"/>
      <c r="N2232" s="1">
        <f t="shared" si="109"/>
        <v>8</v>
      </c>
      <c r="O2232" s="87"/>
    </row>
    <row r="2233" spans="1:15" ht="15.75" hidden="1" x14ac:dyDescent="0.25">
      <c r="A2233" s="1" t="str">
        <f t="shared" si="108"/>
        <v>44803448041499DINERSRENTLULU</v>
      </c>
      <c r="B2233" s="2">
        <v>44803</v>
      </c>
      <c r="C2233" s="2">
        <v>44804</v>
      </c>
      <c r="D2233" s="3" t="s">
        <v>2708</v>
      </c>
      <c r="E2233" s="3">
        <v>1499</v>
      </c>
      <c r="F2233" s="3">
        <v>1</v>
      </c>
      <c r="G2233" s="3">
        <f t="shared" si="110"/>
        <v>1499</v>
      </c>
      <c r="H2233" s="3" t="s">
        <v>266</v>
      </c>
      <c r="I2233" s="1" t="s">
        <v>83</v>
      </c>
      <c r="J2233" s="1" t="s">
        <v>44</v>
      </c>
      <c r="K2233" s="1" t="s">
        <v>298</v>
      </c>
      <c r="L2233" s="1" t="s">
        <v>267</v>
      </c>
      <c r="M2233" s="1"/>
      <c r="N2233" s="1">
        <f t="shared" si="109"/>
        <v>8</v>
      </c>
      <c r="O2233" s="87"/>
    </row>
    <row r="2234" spans="1:15" ht="15.75" hidden="1" x14ac:dyDescent="0.25">
      <c r="A2234" s="1" t="str">
        <f t="shared" si="108"/>
        <v>44803448041399DINERSRENTLULU</v>
      </c>
      <c r="B2234" s="2">
        <v>44803</v>
      </c>
      <c r="C2234" s="2">
        <v>44804</v>
      </c>
      <c r="D2234" s="3" t="s">
        <v>2709</v>
      </c>
      <c r="E2234" s="3">
        <v>1399</v>
      </c>
      <c r="F2234" s="3">
        <v>1</v>
      </c>
      <c r="G2234" s="3">
        <f t="shared" si="110"/>
        <v>1399</v>
      </c>
      <c r="H2234" s="3" t="s">
        <v>266</v>
      </c>
      <c r="I2234" s="1" t="s">
        <v>83</v>
      </c>
      <c r="J2234" s="1" t="s">
        <v>44</v>
      </c>
      <c r="K2234" s="1" t="s">
        <v>298</v>
      </c>
      <c r="L2234" s="1" t="s">
        <v>267</v>
      </c>
      <c r="M2234" s="1"/>
      <c r="N2234" s="1">
        <f t="shared" si="109"/>
        <v>8</v>
      </c>
      <c r="O2234" s="87"/>
    </row>
    <row r="2235" spans="1:15" ht="15.75" hidden="1" x14ac:dyDescent="0.25">
      <c r="A2235" s="1" t="str">
        <f t="shared" si="108"/>
        <v>44803448040MASTER CCENTERTAINMENTOSN</v>
      </c>
      <c r="B2235" s="2">
        <v>44803</v>
      </c>
      <c r="C2235" s="2">
        <v>44804</v>
      </c>
      <c r="D2235" s="3" t="s">
        <v>2743</v>
      </c>
      <c r="E2235" s="3">
        <v>35.28</v>
      </c>
      <c r="F2235" s="3">
        <v>0</v>
      </c>
      <c r="G2235" s="3">
        <f t="shared" si="110"/>
        <v>0</v>
      </c>
      <c r="H2235" s="3" t="s">
        <v>291</v>
      </c>
      <c r="I2235" s="1" t="s">
        <v>2476</v>
      </c>
      <c r="J2235" s="1" t="s">
        <v>2789</v>
      </c>
      <c r="K2235" s="1" t="s">
        <v>298</v>
      </c>
      <c r="L2235" s="1" t="s">
        <v>267</v>
      </c>
      <c r="M2235" s="1"/>
      <c r="N2235" s="1">
        <f t="shared" si="109"/>
        <v>8</v>
      </c>
      <c r="O2235" s="87"/>
    </row>
    <row r="2236" spans="1:15" ht="15.75" hidden="1" x14ac:dyDescent="0.25">
      <c r="A2236" s="1" t="str">
        <f t="shared" si="108"/>
        <v>4480344803345CURRENTRENTANSAR</v>
      </c>
      <c r="B2236" s="2">
        <v>44803</v>
      </c>
      <c r="C2236" s="2">
        <v>44803</v>
      </c>
      <c r="D2236" s="3" t="s">
        <v>2770</v>
      </c>
      <c r="E2236" s="3">
        <v>-345</v>
      </c>
      <c r="F2236" s="3">
        <v>1</v>
      </c>
      <c r="G2236" s="3">
        <f t="shared" si="110"/>
        <v>345</v>
      </c>
      <c r="H2236" s="3" t="s">
        <v>293</v>
      </c>
      <c r="I2236" s="1" t="s">
        <v>83</v>
      </c>
      <c r="J2236" s="1" t="s">
        <v>1656</v>
      </c>
      <c r="K2236" s="1" t="s">
        <v>298</v>
      </c>
      <c r="L2236" s="1" t="s">
        <v>257</v>
      </c>
      <c r="M2236" s="1"/>
      <c r="N2236" s="1">
        <f t="shared" si="109"/>
        <v>8</v>
      </c>
      <c r="O2236" s="87"/>
    </row>
    <row r="2237" spans="1:15" ht="15.75" hidden="1" x14ac:dyDescent="0.25">
      <c r="A2237" s="1" t="str">
        <f t="shared" si="108"/>
        <v>44803448031000CURRENTWITHDRAWSELF</v>
      </c>
      <c r="B2237" s="2">
        <v>44803</v>
      </c>
      <c r="C2237" s="2">
        <v>44803</v>
      </c>
      <c r="D2237" s="3" t="s">
        <v>2771</v>
      </c>
      <c r="E2237" s="3">
        <v>-1000</v>
      </c>
      <c r="F2237" s="3">
        <v>1</v>
      </c>
      <c r="G2237" s="3">
        <f t="shared" si="110"/>
        <v>1000</v>
      </c>
      <c r="H2237" s="3" t="s">
        <v>293</v>
      </c>
      <c r="I2237" s="1" t="s">
        <v>13</v>
      </c>
      <c r="J2237" s="1" t="s">
        <v>14</v>
      </c>
      <c r="K2237" s="1" t="s">
        <v>298</v>
      </c>
      <c r="L2237" s="1" t="s">
        <v>257</v>
      </c>
      <c r="M2237" s="1"/>
      <c r="N2237" s="1">
        <f t="shared" si="109"/>
        <v>8</v>
      </c>
      <c r="O2237" s="87"/>
    </row>
    <row r="2238" spans="1:15" ht="15.75" hidden="1" x14ac:dyDescent="0.25">
      <c r="A2238" s="1" t="str">
        <f t="shared" si="108"/>
        <v>4480344803105.74CURRENTGROCERYLULU</v>
      </c>
      <c r="B2238" s="2">
        <v>44803</v>
      </c>
      <c r="C2238" s="2">
        <v>44803</v>
      </c>
      <c r="D2238" s="3" t="s">
        <v>2772</v>
      </c>
      <c r="E2238" s="3">
        <v>-105.74</v>
      </c>
      <c r="F2238" s="3">
        <v>1</v>
      </c>
      <c r="G2238" s="3">
        <f t="shared" si="110"/>
        <v>105.74</v>
      </c>
      <c r="H2238" s="3" t="s">
        <v>293</v>
      </c>
      <c r="I2238" s="1" t="s">
        <v>43</v>
      </c>
      <c r="J2238" s="1" t="s">
        <v>44</v>
      </c>
      <c r="K2238" s="1" t="s">
        <v>298</v>
      </c>
      <c r="L2238" s="1" t="s">
        <v>257</v>
      </c>
      <c r="M2238" s="1"/>
      <c r="N2238" s="1">
        <f t="shared" si="109"/>
        <v>8</v>
      </c>
      <c r="O2238" s="87"/>
    </row>
    <row r="2239" spans="1:15" ht="15.75" hidden="1" x14ac:dyDescent="0.25">
      <c r="A2239" s="1" t="str">
        <f t="shared" si="108"/>
        <v>448034480339CURRENTSHOPPINGLULU</v>
      </c>
      <c r="B2239" s="2">
        <v>44803</v>
      </c>
      <c r="C2239" s="2">
        <v>44803</v>
      </c>
      <c r="D2239" s="3" t="s">
        <v>2773</v>
      </c>
      <c r="E2239" s="3">
        <v>-39</v>
      </c>
      <c r="F2239" s="3">
        <v>1</v>
      </c>
      <c r="G2239" s="3">
        <f t="shared" si="110"/>
        <v>39</v>
      </c>
      <c r="H2239" s="3" t="s">
        <v>293</v>
      </c>
      <c r="I2239" s="1" t="s">
        <v>194</v>
      </c>
      <c r="J2239" s="1" t="s">
        <v>44</v>
      </c>
      <c r="K2239" s="1" t="s">
        <v>298</v>
      </c>
      <c r="L2239" s="1" t="s">
        <v>257</v>
      </c>
      <c r="M2239" s="1"/>
      <c r="N2239" s="1">
        <f t="shared" si="109"/>
        <v>8</v>
      </c>
      <c r="O2239" s="87"/>
    </row>
    <row r="2240" spans="1:15" ht="15.75" hidden="1" x14ac:dyDescent="0.25">
      <c r="A2240" s="1" t="str">
        <f t="shared" si="108"/>
        <v>44803448033000CURRENTCC BILL PAYMENTBANK</v>
      </c>
      <c r="B2240" s="2">
        <v>44803</v>
      </c>
      <c r="C2240" s="2">
        <v>44803</v>
      </c>
      <c r="D2240" s="3" t="s">
        <v>2774</v>
      </c>
      <c r="E2240" s="3">
        <v>-3000</v>
      </c>
      <c r="F2240" s="3">
        <v>1</v>
      </c>
      <c r="G2240" s="3">
        <f t="shared" si="110"/>
        <v>3000</v>
      </c>
      <c r="H2240" s="3" t="s">
        <v>293</v>
      </c>
      <c r="I2240" s="1" t="s">
        <v>81</v>
      </c>
      <c r="J2240" s="1" t="s">
        <v>8</v>
      </c>
      <c r="K2240" s="1" t="s">
        <v>298</v>
      </c>
      <c r="L2240" s="1" t="s">
        <v>257</v>
      </c>
      <c r="M2240" s="1"/>
      <c r="N2240" s="1">
        <f t="shared" si="109"/>
        <v>8</v>
      </c>
      <c r="O2240" s="87"/>
    </row>
    <row r="2241" spans="1:15" ht="15.75" hidden="1" x14ac:dyDescent="0.25">
      <c r="A2241" s="1" t="str">
        <f t="shared" si="108"/>
        <v>448034480324.5CURRENTTRANSPORTCAREEM</v>
      </c>
      <c r="B2241" s="2">
        <v>44803</v>
      </c>
      <c r="C2241" s="2">
        <v>44803</v>
      </c>
      <c r="D2241" s="3" t="s">
        <v>2775</v>
      </c>
      <c r="E2241" s="3">
        <v>-24.5</v>
      </c>
      <c r="F2241" s="3">
        <v>1</v>
      </c>
      <c r="G2241" s="3">
        <f t="shared" si="110"/>
        <v>24.5</v>
      </c>
      <c r="H2241" s="3" t="s">
        <v>293</v>
      </c>
      <c r="I2241" s="1" t="s">
        <v>296</v>
      </c>
      <c r="J2241" s="1" t="s">
        <v>297</v>
      </c>
      <c r="K2241" s="1" t="s">
        <v>298</v>
      </c>
      <c r="L2241" s="1" t="s">
        <v>257</v>
      </c>
      <c r="M2241" s="1"/>
      <c r="N2241" s="1">
        <f t="shared" si="109"/>
        <v>8</v>
      </c>
      <c r="O2241" s="87"/>
    </row>
    <row r="2242" spans="1:15" ht="15.75" hidden="1" x14ac:dyDescent="0.25">
      <c r="A2242" s="1" t="str">
        <f t="shared" ref="A2242:A2305" si="111">B2242&amp;C2242&amp;G2242&amp;H2242&amp;I2242&amp;J2242</f>
        <v>448034480323CURRENTTRANSPORTCAREEM</v>
      </c>
      <c r="B2242" s="2">
        <v>44803</v>
      </c>
      <c r="C2242" s="2">
        <v>44803</v>
      </c>
      <c r="D2242" s="3" t="s">
        <v>2776</v>
      </c>
      <c r="E2242" s="3">
        <v>-23</v>
      </c>
      <c r="F2242" s="3">
        <v>1</v>
      </c>
      <c r="G2242" s="3">
        <f t="shared" si="110"/>
        <v>23</v>
      </c>
      <c r="H2242" s="3" t="s">
        <v>293</v>
      </c>
      <c r="I2242" s="1" t="s">
        <v>296</v>
      </c>
      <c r="J2242" s="1" t="s">
        <v>297</v>
      </c>
      <c r="K2242" s="1" t="s">
        <v>298</v>
      </c>
      <c r="L2242" s="1" t="s">
        <v>257</v>
      </c>
      <c r="M2242" s="1"/>
      <c r="N2242" s="1">
        <f t="shared" ref="N2242:N2305" si="112">MONTH(C2242)</f>
        <v>8</v>
      </c>
      <c r="O2242" s="87"/>
    </row>
    <row r="2243" spans="1:15" ht="15.75" hidden="1" x14ac:dyDescent="0.25">
      <c r="A2243" s="1" t="str">
        <f t="shared" si="111"/>
        <v>4480444804217CURRENTSHOPPINGBABYSHOP</v>
      </c>
      <c r="B2243" s="2">
        <v>44804</v>
      </c>
      <c r="C2243" s="2">
        <v>44804</v>
      </c>
      <c r="D2243" s="3" t="s">
        <v>2767</v>
      </c>
      <c r="E2243" s="3">
        <v>-217</v>
      </c>
      <c r="F2243" s="3">
        <v>1</v>
      </c>
      <c r="G2243" s="3">
        <f t="shared" si="110"/>
        <v>217</v>
      </c>
      <c r="H2243" s="3" t="s">
        <v>293</v>
      </c>
      <c r="I2243" s="1" t="s">
        <v>194</v>
      </c>
      <c r="J2243" s="1" t="s">
        <v>1650</v>
      </c>
      <c r="K2243" s="1" t="s">
        <v>298</v>
      </c>
      <c r="L2243" s="1" t="s">
        <v>257</v>
      </c>
      <c r="M2243" s="1"/>
      <c r="N2243" s="1">
        <f t="shared" si="112"/>
        <v>8</v>
      </c>
      <c r="O2243" s="87"/>
    </row>
    <row r="2244" spans="1:15" ht="15.75" hidden="1" x14ac:dyDescent="0.25">
      <c r="A2244" s="1" t="str">
        <f t="shared" si="111"/>
        <v>448044480423CURRENTTRANSPORTCAREEM</v>
      </c>
      <c r="B2244" s="2">
        <v>44804</v>
      </c>
      <c r="C2244" s="2">
        <v>44804</v>
      </c>
      <c r="D2244" s="3" t="s">
        <v>2768</v>
      </c>
      <c r="E2244" s="3">
        <v>-23</v>
      </c>
      <c r="F2244" s="3">
        <v>1</v>
      </c>
      <c r="G2244" s="3">
        <f t="shared" si="110"/>
        <v>23</v>
      </c>
      <c r="H2244" s="3" t="s">
        <v>293</v>
      </c>
      <c r="I2244" s="1" t="s">
        <v>296</v>
      </c>
      <c r="J2244" s="1" t="s">
        <v>297</v>
      </c>
      <c r="K2244" s="1" t="s">
        <v>298</v>
      </c>
      <c r="L2244" s="1" t="s">
        <v>257</v>
      </c>
      <c r="M2244" s="1"/>
      <c r="N2244" s="1">
        <f t="shared" si="112"/>
        <v>8</v>
      </c>
      <c r="O2244" s="87"/>
    </row>
    <row r="2245" spans="1:15" ht="15.75" hidden="1" x14ac:dyDescent="0.25">
      <c r="A2245" s="1" t="str">
        <f t="shared" si="111"/>
        <v>4480444804300CURRENTENTERTAINMENTAKSHIT</v>
      </c>
      <c r="B2245" s="2">
        <v>44804</v>
      </c>
      <c r="C2245" s="2">
        <v>44804</v>
      </c>
      <c r="D2245" s="3" t="s">
        <v>2769</v>
      </c>
      <c r="E2245" s="3">
        <v>300</v>
      </c>
      <c r="F2245" s="3">
        <v>1</v>
      </c>
      <c r="G2245" s="3">
        <f t="shared" si="110"/>
        <v>300</v>
      </c>
      <c r="H2245" s="3" t="s">
        <v>293</v>
      </c>
      <c r="I2245" s="1" t="s">
        <v>2476</v>
      </c>
      <c r="J2245" s="1" t="s">
        <v>879</v>
      </c>
      <c r="K2245" s="1" t="s">
        <v>300</v>
      </c>
      <c r="L2245" s="1" t="s">
        <v>257</v>
      </c>
      <c r="M2245" s="1"/>
      <c r="N2245" s="1">
        <f t="shared" si="112"/>
        <v>8</v>
      </c>
      <c r="O2245" s="87"/>
    </row>
    <row r="2246" spans="1:15" ht="15.75" hidden="1" x14ac:dyDescent="0.25">
      <c r="A2246" s="1" t="str">
        <f t="shared" si="111"/>
        <v>4480544806183FIFA CCRENTKAHRAMAA</v>
      </c>
      <c r="B2246" s="2">
        <v>44805</v>
      </c>
      <c r="C2246" s="2">
        <v>44806</v>
      </c>
      <c r="D2246" s="3" t="s">
        <v>2734</v>
      </c>
      <c r="E2246" s="3">
        <v>183</v>
      </c>
      <c r="F2246" s="3">
        <v>1</v>
      </c>
      <c r="G2246" s="3">
        <f t="shared" si="110"/>
        <v>183</v>
      </c>
      <c r="H2246" s="3" t="s">
        <v>3294</v>
      </c>
      <c r="I2246" s="1" t="s">
        <v>83</v>
      </c>
      <c r="J2246" s="1" t="s">
        <v>4113</v>
      </c>
      <c r="K2246" s="1" t="s">
        <v>298</v>
      </c>
      <c r="L2246" s="1" t="s">
        <v>267</v>
      </c>
      <c r="M2246" s="1"/>
      <c r="N2246" s="1">
        <f t="shared" si="112"/>
        <v>9</v>
      </c>
      <c r="O2246" s="87"/>
    </row>
    <row r="2247" spans="1:15" ht="15.75" hidden="1" x14ac:dyDescent="0.25">
      <c r="A2247" s="1" t="str">
        <f t="shared" si="111"/>
        <v>4480544809103FIFA CCTRANSPORTWOQOD</v>
      </c>
      <c r="B2247" s="2">
        <v>44805</v>
      </c>
      <c r="C2247" s="2">
        <v>44809</v>
      </c>
      <c r="D2247" s="3" t="s">
        <v>2735</v>
      </c>
      <c r="E2247" s="3">
        <v>103</v>
      </c>
      <c r="F2247" s="3">
        <v>1</v>
      </c>
      <c r="G2247" s="3">
        <f t="shared" si="110"/>
        <v>103</v>
      </c>
      <c r="H2247" s="3" t="s">
        <v>3294</v>
      </c>
      <c r="I2247" s="1" t="s">
        <v>296</v>
      </c>
      <c r="J2247" s="1" t="s">
        <v>1942</v>
      </c>
      <c r="K2247" s="1" t="s">
        <v>298</v>
      </c>
      <c r="L2247" s="1" t="s">
        <v>267</v>
      </c>
      <c r="M2247" s="1"/>
      <c r="N2247" s="1">
        <f t="shared" si="112"/>
        <v>9</v>
      </c>
      <c r="O2247" s="87"/>
    </row>
    <row r="2248" spans="1:15" ht="15.75" hidden="1" x14ac:dyDescent="0.25">
      <c r="A2248" s="1" t="str">
        <f t="shared" si="111"/>
        <v>44805448053000CURRENTSAVINGSELF</v>
      </c>
      <c r="B2248" s="2">
        <v>44805</v>
      </c>
      <c r="C2248" s="2">
        <v>44805</v>
      </c>
      <c r="D2248" s="3" t="s">
        <v>1519</v>
      </c>
      <c r="E2248" s="3">
        <v>-3000</v>
      </c>
      <c r="F2248" s="3">
        <v>1</v>
      </c>
      <c r="G2248" s="3">
        <f t="shared" si="110"/>
        <v>3000</v>
      </c>
      <c r="H2248" s="3" t="s">
        <v>293</v>
      </c>
      <c r="I2248" s="1" t="s">
        <v>302</v>
      </c>
      <c r="J2248" s="1" t="s">
        <v>14</v>
      </c>
      <c r="K2248" s="1" t="s">
        <v>298</v>
      </c>
      <c r="L2248" s="1" t="s">
        <v>257</v>
      </c>
      <c r="M2248" s="1"/>
      <c r="N2248" s="1">
        <f t="shared" si="112"/>
        <v>9</v>
      </c>
      <c r="O2248" s="87"/>
    </row>
    <row r="2249" spans="1:15" ht="15.75" hidden="1" x14ac:dyDescent="0.25">
      <c r="A2249" s="1" t="str">
        <f t="shared" si="111"/>
        <v>4480544805500CURRENTSAVINGARTI</v>
      </c>
      <c r="B2249" s="2">
        <v>44805</v>
      </c>
      <c r="C2249" s="2">
        <v>44805</v>
      </c>
      <c r="D2249" s="3" t="s">
        <v>1588</v>
      </c>
      <c r="E2249" s="3">
        <v>-500</v>
      </c>
      <c r="F2249" s="3">
        <v>1</v>
      </c>
      <c r="G2249" s="3">
        <f t="shared" si="110"/>
        <v>500</v>
      </c>
      <c r="H2249" s="3" t="s">
        <v>293</v>
      </c>
      <c r="I2249" s="1" t="s">
        <v>302</v>
      </c>
      <c r="J2249" s="1" t="s">
        <v>453</v>
      </c>
      <c r="K2249" s="1" t="s">
        <v>298</v>
      </c>
      <c r="L2249" s="1" t="s">
        <v>257</v>
      </c>
      <c r="M2249" s="1"/>
      <c r="N2249" s="1">
        <f t="shared" si="112"/>
        <v>9</v>
      </c>
      <c r="O2249" s="87"/>
    </row>
    <row r="2250" spans="1:15" ht="15.75" hidden="1" x14ac:dyDescent="0.25">
      <c r="A2250" s="1" t="str">
        <f t="shared" si="111"/>
        <v>4480644807199FIFA CCSHOPPINGLULU</v>
      </c>
      <c r="B2250" s="2">
        <v>44806</v>
      </c>
      <c r="C2250" s="2">
        <v>44807</v>
      </c>
      <c r="D2250" s="3" t="s">
        <v>2732</v>
      </c>
      <c r="E2250" s="3">
        <v>199</v>
      </c>
      <c r="F2250" s="3">
        <v>1</v>
      </c>
      <c r="G2250" s="3">
        <f t="shared" si="110"/>
        <v>199</v>
      </c>
      <c r="H2250" s="3" t="s">
        <v>3294</v>
      </c>
      <c r="I2250" s="1" t="s">
        <v>194</v>
      </c>
      <c r="J2250" s="1" t="s">
        <v>44</v>
      </c>
      <c r="K2250" s="1" t="s">
        <v>298</v>
      </c>
      <c r="L2250" s="1" t="s">
        <v>267</v>
      </c>
      <c r="M2250" s="1"/>
      <c r="N2250" s="1">
        <f t="shared" si="112"/>
        <v>9</v>
      </c>
      <c r="O2250" s="87"/>
    </row>
    <row r="2251" spans="1:15" ht="15.75" hidden="1" x14ac:dyDescent="0.25">
      <c r="A2251" s="1" t="str">
        <f t="shared" si="111"/>
        <v>448064480797.5FIFA CCGROCERYTOTAL FRESH</v>
      </c>
      <c r="B2251" s="2">
        <v>44806</v>
      </c>
      <c r="C2251" s="2">
        <v>44807</v>
      </c>
      <c r="D2251" s="3" t="s">
        <v>2733</v>
      </c>
      <c r="E2251" s="3">
        <v>97.5</v>
      </c>
      <c r="F2251" s="3">
        <v>1</v>
      </c>
      <c r="G2251" s="3">
        <f t="shared" ref="G2251:G2314" si="113">ABS(E2251)*F2251</f>
        <v>97.5</v>
      </c>
      <c r="H2251" s="3" t="s">
        <v>3294</v>
      </c>
      <c r="I2251" s="1" t="s">
        <v>43</v>
      </c>
      <c r="J2251" s="1" t="s">
        <v>1394</v>
      </c>
      <c r="K2251" s="1" t="s">
        <v>298</v>
      </c>
      <c r="L2251" s="1" t="s">
        <v>267</v>
      </c>
      <c r="M2251" s="1"/>
      <c r="N2251" s="1">
        <f t="shared" si="112"/>
        <v>9</v>
      </c>
      <c r="O2251" s="87"/>
    </row>
    <row r="2252" spans="1:15" ht="15.75" hidden="1" x14ac:dyDescent="0.25">
      <c r="A2252" s="1" t="str">
        <f t="shared" si="111"/>
        <v>448074480827.5FIFA CCGROCERYINDIAN SUPER</v>
      </c>
      <c r="B2252" s="2">
        <v>44807</v>
      </c>
      <c r="C2252" s="2">
        <v>44808</v>
      </c>
      <c r="D2252" s="3" t="s">
        <v>2730</v>
      </c>
      <c r="E2252" s="3">
        <v>27.5</v>
      </c>
      <c r="F2252" s="3">
        <v>1</v>
      </c>
      <c r="G2252" s="3">
        <f t="shared" si="113"/>
        <v>27.5</v>
      </c>
      <c r="H2252" s="3" t="s">
        <v>3294</v>
      </c>
      <c r="I2252" s="1" t="s">
        <v>43</v>
      </c>
      <c r="J2252" s="1" t="s">
        <v>2273</v>
      </c>
      <c r="K2252" s="1" t="s">
        <v>298</v>
      </c>
      <c r="L2252" s="1" t="s">
        <v>267</v>
      </c>
      <c r="M2252" s="1"/>
      <c r="N2252" s="1">
        <f t="shared" si="112"/>
        <v>9</v>
      </c>
      <c r="O2252" s="87"/>
    </row>
    <row r="2253" spans="1:15" ht="15.75" hidden="1" x14ac:dyDescent="0.25">
      <c r="A2253" s="1" t="str">
        <f t="shared" si="111"/>
        <v>448074480967FIFA CCGROCERYFFC</v>
      </c>
      <c r="B2253" s="2">
        <v>44807</v>
      </c>
      <c r="C2253" s="2">
        <v>44809</v>
      </c>
      <c r="D2253" s="3" t="s">
        <v>2731</v>
      </c>
      <c r="E2253" s="3">
        <v>67</v>
      </c>
      <c r="F2253" s="3">
        <v>1</v>
      </c>
      <c r="G2253" s="3">
        <f t="shared" si="113"/>
        <v>67</v>
      </c>
      <c r="H2253" s="3" t="s">
        <v>3294</v>
      </c>
      <c r="I2253" s="1" t="s">
        <v>43</v>
      </c>
      <c r="J2253" s="1" t="s">
        <v>96</v>
      </c>
      <c r="K2253" s="1" t="s">
        <v>298</v>
      </c>
      <c r="L2253" s="1" t="s">
        <v>267</v>
      </c>
      <c r="M2253" s="1"/>
      <c r="N2253" s="1">
        <f t="shared" si="112"/>
        <v>9</v>
      </c>
      <c r="O2253" s="87"/>
    </row>
    <row r="2254" spans="1:15" ht="15.75" hidden="1" x14ac:dyDescent="0.25">
      <c r="A2254" s="1" t="str">
        <f t="shared" si="111"/>
        <v>448084480919FIFA CCTRANSPORTOTHER</v>
      </c>
      <c r="B2254" s="2">
        <v>44808</v>
      </c>
      <c r="C2254" s="2">
        <v>44809</v>
      </c>
      <c r="D2254" s="3" t="s">
        <v>2729</v>
      </c>
      <c r="E2254" s="3">
        <v>19</v>
      </c>
      <c r="F2254" s="3">
        <v>1</v>
      </c>
      <c r="G2254" s="3">
        <f t="shared" si="113"/>
        <v>19</v>
      </c>
      <c r="H2254" s="3" t="s">
        <v>3294</v>
      </c>
      <c r="I2254" s="1" t="s">
        <v>296</v>
      </c>
      <c r="J2254" s="1" t="s">
        <v>1285</v>
      </c>
      <c r="K2254" s="1" t="s">
        <v>298</v>
      </c>
      <c r="L2254" s="1" t="s">
        <v>267</v>
      </c>
      <c r="M2254" s="1"/>
      <c r="N2254" s="1">
        <f t="shared" si="112"/>
        <v>9</v>
      </c>
      <c r="O2254" s="87"/>
    </row>
    <row r="2255" spans="1:15" ht="15.75" hidden="1" x14ac:dyDescent="0.25">
      <c r="A2255" s="1" t="str">
        <f t="shared" si="111"/>
        <v>448084481010MASTER CCTELECOMOOREDOO</v>
      </c>
      <c r="B2255" s="2">
        <v>44808</v>
      </c>
      <c r="C2255" s="2">
        <v>44810</v>
      </c>
      <c r="D2255" s="3" t="s">
        <v>2741</v>
      </c>
      <c r="E2255" s="3">
        <v>10</v>
      </c>
      <c r="F2255" s="3">
        <v>1</v>
      </c>
      <c r="G2255" s="3">
        <f t="shared" si="113"/>
        <v>10</v>
      </c>
      <c r="H2255" s="3" t="s">
        <v>291</v>
      </c>
      <c r="I2255" s="1" t="s">
        <v>58</v>
      </c>
      <c r="J2255" s="1" t="s">
        <v>59</v>
      </c>
      <c r="K2255" s="1" t="s">
        <v>298</v>
      </c>
      <c r="L2255" s="1" t="s">
        <v>267</v>
      </c>
      <c r="M2255" s="1"/>
      <c r="N2255" s="1">
        <f t="shared" si="112"/>
        <v>9</v>
      </c>
      <c r="O2255" s="87"/>
    </row>
    <row r="2256" spans="1:15" ht="15.75" hidden="1" x14ac:dyDescent="0.25">
      <c r="A2256" s="1" t="str">
        <f t="shared" si="111"/>
        <v>448084481060MASTER CCTELECOMOOREDOO</v>
      </c>
      <c r="B2256" s="2">
        <v>44808</v>
      </c>
      <c r="C2256" s="2">
        <v>44810</v>
      </c>
      <c r="D2256" s="3" t="s">
        <v>2742</v>
      </c>
      <c r="E2256" s="3">
        <v>60</v>
      </c>
      <c r="F2256" s="3">
        <v>1</v>
      </c>
      <c r="G2256" s="3">
        <f t="shared" si="113"/>
        <v>60</v>
      </c>
      <c r="H2256" s="3" t="s">
        <v>291</v>
      </c>
      <c r="I2256" s="1" t="s">
        <v>58</v>
      </c>
      <c r="J2256" s="1" t="s">
        <v>59</v>
      </c>
      <c r="K2256" s="1" t="s">
        <v>298</v>
      </c>
      <c r="L2256" s="1" t="s">
        <v>267</v>
      </c>
      <c r="M2256" s="1"/>
      <c r="N2256" s="1">
        <f t="shared" si="112"/>
        <v>9</v>
      </c>
      <c r="O2256" s="87"/>
    </row>
    <row r="2257" spans="1:15" ht="15.75" hidden="1" x14ac:dyDescent="0.25">
      <c r="A2257" s="1" t="str">
        <f t="shared" si="111"/>
        <v>448084480821.1CURRENTTRANSPORTCAREEM</v>
      </c>
      <c r="B2257" s="2">
        <v>44808</v>
      </c>
      <c r="C2257" s="2">
        <v>44808</v>
      </c>
      <c r="D2257" s="3" t="s">
        <v>2764</v>
      </c>
      <c r="E2257" s="3">
        <v>-21.1</v>
      </c>
      <c r="F2257" s="3">
        <v>1</v>
      </c>
      <c r="G2257" s="3">
        <f t="shared" si="113"/>
        <v>21.1</v>
      </c>
      <c r="H2257" s="3" t="s">
        <v>293</v>
      </c>
      <c r="I2257" s="1" t="s">
        <v>296</v>
      </c>
      <c r="J2257" s="1" t="s">
        <v>297</v>
      </c>
      <c r="K2257" s="1" t="s">
        <v>298</v>
      </c>
      <c r="L2257" s="1" t="s">
        <v>257</v>
      </c>
      <c r="M2257" s="1"/>
      <c r="N2257" s="1">
        <f t="shared" si="112"/>
        <v>9</v>
      </c>
      <c r="O2257" s="87"/>
    </row>
    <row r="2258" spans="1:15" ht="15.75" hidden="1" x14ac:dyDescent="0.25">
      <c r="A2258" s="1" t="str">
        <f t="shared" si="111"/>
        <v>448084480822.6CURRENTTRANSPORTCAREEM</v>
      </c>
      <c r="B2258" s="2">
        <v>44808</v>
      </c>
      <c r="C2258" s="2">
        <v>44808</v>
      </c>
      <c r="D2258" s="3" t="s">
        <v>2765</v>
      </c>
      <c r="E2258" s="3">
        <v>-22.6</v>
      </c>
      <c r="F2258" s="3">
        <v>1</v>
      </c>
      <c r="G2258" s="3">
        <f t="shared" si="113"/>
        <v>22.6</v>
      </c>
      <c r="H2258" s="3" t="s">
        <v>293</v>
      </c>
      <c r="I2258" s="1" t="s">
        <v>296</v>
      </c>
      <c r="J2258" s="1" t="s">
        <v>297</v>
      </c>
      <c r="K2258" s="1" t="s">
        <v>298</v>
      </c>
      <c r="L2258" s="1" t="s">
        <v>257</v>
      </c>
      <c r="M2258" s="1"/>
      <c r="N2258" s="1">
        <f t="shared" si="112"/>
        <v>9</v>
      </c>
      <c r="O2258" s="87"/>
    </row>
    <row r="2259" spans="1:15" ht="15.75" hidden="1" x14ac:dyDescent="0.25">
      <c r="A2259" s="1" t="str">
        <f t="shared" si="111"/>
        <v>44808448081500CURRENTWITHDRAWSELF</v>
      </c>
      <c r="B2259" s="2">
        <v>44808</v>
      </c>
      <c r="C2259" s="2">
        <v>44808</v>
      </c>
      <c r="D2259" s="3" t="s">
        <v>2766</v>
      </c>
      <c r="E2259" s="3">
        <v>-1500</v>
      </c>
      <c r="F2259" s="3">
        <v>1</v>
      </c>
      <c r="G2259" s="3">
        <f t="shared" si="113"/>
        <v>1500</v>
      </c>
      <c r="H2259" s="3" t="s">
        <v>293</v>
      </c>
      <c r="I2259" s="1" t="s">
        <v>13</v>
      </c>
      <c r="J2259" s="1" t="s">
        <v>14</v>
      </c>
      <c r="K2259" s="1" t="s">
        <v>298</v>
      </c>
      <c r="L2259" s="1" t="s">
        <v>257</v>
      </c>
      <c r="M2259" s="1"/>
      <c r="N2259" s="1">
        <f t="shared" si="112"/>
        <v>9</v>
      </c>
      <c r="O2259" s="87"/>
    </row>
    <row r="2260" spans="1:15" ht="15.75" hidden="1" x14ac:dyDescent="0.25">
      <c r="A2260" s="1" t="str">
        <f t="shared" si="111"/>
        <v>44808448082000CURRENTSAVINGSELF</v>
      </c>
      <c r="B2260" s="2">
        <v>44808</v>
      </c>
      <c r="C2260" s="2">
        <v>44808</v>
      </c>
      <c r="D2260" s="3" t="s">
        <v>1939</v>
      </c>
      <c r="E2260" s="3">
        <v>-2000</v>
      </c>
      <c r="F2260" s="3">
        <v>1</v>
      </c>
      <c r="G2260" s="3">
        <f t="shared" si="113"/>
        <v>2000</v>
      </c>
      <c r="H2260" s="3" t="s">
        <v>293</v>
      </c>
      <c r="I2260" s="1" t="s">
        <v>302</v>
      </c>
      <c r="J2260" s="1" t="s">
        <v>14</v>
      </c>
      <c r="K2260" s="1" t="s">
        <v>298</v>
      </c>
      <c r="L2260" s="1" t="s">
        <v>257</v>
      </c>
      <c r="M2260" s="1"/>
      <c r="N2260" s="1">
        <f t="shared" si="112"/>
        <v>9</v>
      </c>
      <c r="O2260" s="87"/>
    </row>
    <row r="2261" spans="1:15" ht="15.75" hidden="1" x14ac:dyDescent="0.25">
      <c r="A2261" s="1" t="str">
        <f t="shared" si="111"/>
        <v>4480944810293.15FIFA CCGROCERYLULU</v>
      </c>
      <c r="B2261" s="2">
        <v>44809</v>
      </c>
      <c r="C2261" s="2">
        <v>44810</v>
      </c>
      <c r="D2261" s="3" t="s">
        <v>2727</v>
      </c>
      <c r="E2261" s="3">
        <v>293.14999999999998</v>
      </c>
      <c r="F2261" s="3">
        <v>1</v>
      </c>
      <c r="G2261" s="3">
        <f t="shared" si="113"/>
        <v>293.14999999999998</v>
      </c>
      <c r="H2261" s="3" t="s">
        <v>3294</v>
      </c>
      <c r="I2261" s="1" t="s">
        <v>43</v>
      </c>
      <c r="J2261" s="1" t="s">
        <v>44</v>
      </c>
      <c r="K2261" s="1" t="s">
        <v>298</v>
      </c>
      <c r="L2261" s="1" t="s">
        <v>267</v>
      </c>
      <c r="M2261" s="1"/>
      <c r="N2261" s="1">
        <f t="shared" si="112"/>
        <v>9</v>
      </c>
      <c r="O2261" s="87"/>
    </row>
    <row r="2262" spans="1:15" ht="15.75" hidden="1" x14ac:dyDescent="0.25">
      <c r="A2262" s="1" t="str">
        <f t="shared" si="111"/>
        <v>44809448117.5FIFA CCTRANSPORTCAREEM</v>
      </c>
      <c r="B2262" s="2">
        <v>44809</v>
      </c>
      <c r="C2262" s="2">
        <v>44811</v>
      </c>
      <c r="D2262" s="3" t="s">
        <v>2728</v>
      </c>
      <c r="E2262" s="3">
        <v>7.5</v>
      </c>
      <c r="F2262" s="3">
        <v>1</v>
      </c>
      <c r="G2262" s="3">
        <f t="shared" si="113"/>
        <v>7.5</v>
      </c>
      <c r="H2262" s="3" t="s">
        <v>3294</v>
      </c>
      <c r="I2262" s="1" t="s">
        <v>296</v>
      </c>
      <c r="J2262" s="1" t="s">
        <v>297</v>
      </c>
      <c r="K2262" s="1" t="s">
        <v>298</v>
      </c>
      <c r="L2262" s="1" t="s">
        <v>267</v>
      </c>
      <c r="M2262" s="1"/>
      <c r="N2262" s="1">
        <f t="shared" si="112"/>
        <v>9</v>
      </c>
      <c r="O2262" s="87"/>
    </row>
    <row r="2263" spans="1:15" ht="15.75" hidden="1" x14ac:dyDescent="0.25">
      <c r="A2263" s="1" t="str">
        <f t="shared" si="111"/>
        <v>448094481130MASTER CCTELECOMOOREDOO</v>
      </c>
      <c r="B2263" s="2">
        <v>44809</v>
      </c>
      <c r="C2263" s="2">
        <v>44811</v>
      </c>
      <c r="D2263" s="3" t="s">
        <v>2740</v>
      </c>
      <c r="E2263" s="3">
        <v>30</v>
      </c>
      <c r="F2263" s="3">
        <v>1</v>
      </c>
      <c r="G2263" s="3">
        <f t="shared" si="113"/>
        <v>30</v>
      </c>
      <c r="H2263" s="3" t="s">
        <v>291</v>
      </c>
      <c r="I2263" s="1" t="s">
        <v>58</v>
      </c>
      <c r="J2263" s="1" t="s">
        <v>59</v>
      </c>
      <c r="K2263" s="1" t="s">
        <v>298</v>
      </c>
      <c r="L2263" s="1" t="s">
        <v>267</v>
      </c>
      <c r="M2263" s="1"/>
      <c r="N2263" s="1">
        <f t="shared" si="112"/>
        <v>9</v>
      </c>
      <c r="O2263" s="87"/>
    </row>
    <row r="2264" spans="1:15" ht="15.75" hidden="1" x14ac:dyDescent="0.25">
      <c r="A2264" s="1" t="str">
        <f t="shared" si="111"/>
        <v>44810448120MASTER CCENTERTAINMENTOSN</v>
      </c>
      <c r="B2264" s="2">
        <v>44810</v>
      </c>
      <c r="C2264" s="2">
        <v>44812</v>
      </c>
      <c r="D2264" s="3" t="s">
        <v>2739</v>
      </c>
      <c r="E2264" s="3">
        <v>-35.28</v>
      </c>
      <c r="F2264" s="3">
        <v>0</v>
      </c>
      <c r="G2264" s="3">
        <f t="shared" si="113"/>
        <v>0</v>
      </c>
      <c r="H2264" s="3" t="s">
        <v>291</v>
      </c>
      <c r="I2264" s="1" t="s">
        <v>2476</v>
      </c>
      <c r="J2264" s="1" t="s">
        <v>2789</v>
      </c>
      <c r="K2264" s="1" t="s">
        <v>298</v>
      </c>
      <c r="L2264" s="1" t="s">
        <v>267</v>
      </c>
      <c r="M2264" s="1"/>
      <c r="N2264" s="1">
        <f t="shared" si="112"/>
        <v>9</v>
      </c>
      <c r="O2264" s="87"/>
    </row>
    <row r="2265" spans="1:15" ht="15.75" hidden="1" x14ac:dyDescent="0.25">
      <c r="A2265" s="1" t="str">
        <f t="shared" si="111"/>
        <v>448104481010000CURRENTSAVINGSELF</v>
      </c>
      <c r="B2265" s="2">
        <v>44810</v>
      </c>
      <c r="C2265" s="2">
        <v>44810</v>
      </c>
      <c r="D2265" s="3" t="s">
        <v>2761</v>
      </c>
      <c r="E2265" s="3">
        <v>-10000</v>
      </c>
      <c r="F2265" s="3">
        <v>1</v>
      </c>
      <c r="G2265" s="3">
        <f t="shared" si="113"/>
        <v>10000</v>
      </c>
      <c r="H2265" s="3" t="s">
        <v>293</v>
      </c>
      <c r="I2265" s="1" t="s">
        <v>302</v>
      </c>
      <c r="J2265" s="1" t="s">
        <v>14</v>
      </c>
      <c r="K2265" s="1" t="s">
        <v>298</v>
      </c>
      <c r="L2265" s="1" t="s">
        <v>257</v>
      </c>
      <c r="M2265" s="1"/>
      <c r="N2265" s="1">
        <f t="shared" si="112"/>
        <v>9</v>
      </c>
      <c r="O2265" s="87"/>
    </row>
    <row r="2266" spans="1:15" ht="15.75" hidden="1" x14ac:dyDescent="0.25">
      <c r="A2266" s="1" t="str">
        <f t="shared" si="111"/>
        <v>44810448100CURRENTDEPOSITSELF</v>
      </c>
      <c r="B2266" s="2">
        <v>44810</v>
      </c>
      <c r="C2266" s="2">
        <v>44810</v>
      </c>
      <c r="D2266" s="3" t="s">
        <v>2762</v>
      </c>
      <c r="E2266" s="3">
        <v>600</v>
      </c>
      <c r="F2266" s="3">
        <v>0</v>
      </c>
      <c r="G2266" s="3">
        <f t="shared" si="113"/>
        <v>0</v>
      </c>
      <c r="H2266" s="3" t="s">
        <v>293</v>
      </c>
      <c r="I2266" s="1" t="s">
        <v>2790</v>
      </c>
      <c r="J2266" s="1" t="s">
        <v>14</v>
      </c>
      <c r="K2266" s="1" t="s">
        <v>300</v>
      </c>
      <c r="L2266" s="1" t="s">
        <v>257</v>
      </c>
      <c r="M2266" s="1"/>
      <c r="N2266" s="1">
        <f t="shared" si="112"/>
        <v>9</v>
      </c>
      <c r="O2266" s="87"/>
    </row>
    <row r="2267" spans="1:15" ht="15.75" hidden="1" x14ac:dyDescent="0.25">
      <c r="A2267" s="1" t="str">
        <f t="shared" si="111"/>
        <v>44810448100CURRENTDEPOSITSELF</v>
      </c>
      <c r="B2267" s="2">
        <v>44810</v>
      </c>
      <c r="C2267" s="2">
        <v>44810</v>
      </c>
      <c r="D2267" s="3" t="s">
        <v>2763</v>
      </c>
      <c r="E2267" s="3">
        <v>9600</v>
      </c>
      <c r="F2267" s="3">
        <v>0</v>
      </c>
      <c r="G2267" s="3">
        <f t="shared" si="113"/>
        <v>0</v>
      </c>
      <c r="H2267" s="3" t="s">
        <v>293</v>
      </c>
      <c r="I2267" s="1" t="s">
        <v>2790</v>
      </c>
      <c r="J2267" s="1" t="s">
        <v>14</v>
      </c>
      <c r="K2267" s="1" t="s">
        <v>300</v>
      </c>
      <c r="L2267" s="1" t="s">
        <v>257</v>
      </c>
      <c r="M2267" s="1"/>
      <c r="N2267" s="1">
        <f t="shared" si="112"/>
        <v>9</v>
      </c>
      <c r="O2267" s="87"/>
    </row>
    <row r="2268" spans="1:15" ht="15.75" hidden="1" x14ac:dyDescent="0.25">
      <c r="A2268" s="1" t="str">
        <f t="shared" si="111"/>
        <v>448114481312FIFA CCFOODQATAR AIR</v>
      </c>
      <c r="B2268" s="2">
        <v>44811</v>
      </c>
      <c r="C2268" s="2">
        <v>44813</v>
      </c>
      <c r="D2268" s="3" t="s">
        <v>2723</v>
      </c>
      <c r="E2268" s="3">
        <v>12</v>
      </c>
      <c r="F2268" s="3">
        <v>1</v>
      </c>
      <c r="G2268" s="3">
        <f t="shared" si="113"/>
        <v>12</v>
      </c>
      <c r="H2268" s="3" t="s">
        <v>3294</v>
      </c>
      <c r="I2268" s="1" t="s">
        <v>10</v>
      </c>
      <c r="J2268" s="1" t="s">
        <v>19</v>
      </c>
      <c r="K2268" s="1" t="s">
        <v>298</v>
      </c>
      <c r="L2268" s="1" t="s">
        <v>267</v>
      </c>
      <c r="M2268" s="1"/>
      <c r="N2268" s="1">
        <f t="shared" si="112"/>
        <v>9</v>
      </c>
      <c r="O2268" s="87"/>
    </row>
    <row r="2269" spans="1:15" ht="15.75" hidden="1" x14ac:dyDescent="0.25">
      <c r="A2269" s="1" t="str">
        <f t="shared" si="111"/>
        <v>448114481330FIFA CCFOODQATAR AIR</v>
      </c>
      <c r="B2269" s="2">
        <v>44811</v>
      </c>
      <c r="C2269" s="2">
        <v>44813</v>
      </c>
      <c r="D2269" s="3" t="s">
        <v>2724</v>
      </c>
      <c r="E2269" s="3">
        <v>30</v>
      </c>
      <c r="F2269" s="3">
        <v>1</v>
      </c>
      <c r="G2269" s="3">
        <f t="shared" si="113"/>
        <v>30</v>
      </c>
      <c r="H2269" s="3" t="s">
        <v>3294</v>
      </c>
      <c r="I2269" s="1" t="s">
        <v>10</v>
      </c>
      <c r="J2269" s="1" t="s">
        <v>19</v>
      </c>
      <c r="K2269" s="1" t="s">
        <v>298</v>
      </c>
      <c r="L2269" s="1" t="s">
        <v>267</v>
      </c>
      <c r="M2269" s="1"/>
      <c r="N2269" s="1">
        <f t="shared" si="112"/>
        <v>9</v>
      </c>
      <c r="O2269" s="87"/>
    </row>
    <row r="2270" spans="1:15" ht="15.75" hidden="1" x14ac:dyDescent="0.25">
      <c r="A2270" s="1" t="str">
        <f t="shared" si="111"/>
        <v>448114481312FIFA CCFOODQATAR AIR</v>
      </c>
      <c r="B2270" s="2">
        <v>44811</v>
      </c>
      <c r="C2270" s="2">
        <v>44813</v>
      </c>
      <c r="D2270" s="3" t="s">
        <v>2725</v>
      </c>
      <c r="E2270" s="3">
        <v>12</v>
      </c>
      <c r="F2270" s="3">
        <v>1</v>
      </c>
      <c r="G2270" s="3">
        <f t="shared" si="113"/>
        <v>12</v>
      </c>
      <c r="H2270" s="3" t="s">
        <v>3294</v>
      </c>
      <c r="I2270" s="1" t="s">
        <v>10</v>
      </c>
      <c r="J2270" s="1" t="s">
        <v>19</v>
      </c>
      <c r="K2270" s="1" t="s">
        <v>298</v>
      </c>
      <c r="L2270" s="1" t="s">
        <v>267</v>
      </c>
      <c r="M2270" s="1"/>
      <c r="N2270" s="1">
        <f t="shared" si="112"/>
        <v>9</v>
      </c>
      <c r="O2270" s="87"/>
    </row>
    <row r="2271" spans="1:15" ht="15.75" hidden="1" x14ac:dyDescent="0.25">
      <c r="A2271" s="1" t="str">
        <f t="shared" si="111"/>
        <v>448114481358FIFA CCSHOPPINGCARREFOUR</v>
      </c>
      <c r="B2271" s="2">
        <v>44811</v>
      </c>
      <c r="C2271" s="2">
        <v>44813</v>
      </c>
      <c r="D2271" s="3" t="s">
        <v>2726</v>
      </c>
      <c r="E2271" s="3">
        <v>58</v>
      </c>
      <c r="F2271" s="3">
        <v>1</v>
      </c>
      <c r="G2271" s="3">
        <f t="shared" si="113"/>
        <v>58</v>
      </c>
      <c r="H2271" s="3" t="s">
        <v>3294</v>
      </c>
      <c r="I2271" s="1" t="s">
        <v>194</v>
      </c>
      <c r="J2271" s="1" t="s">
        <v>67</v>
      </c>
      <c r="K2271" s="1" t="s">
        <v>298</v>
      </c>
      <c r="L2271" s="1" t="s">
        <v>267</v>
      </c>
      <c r="M2271" s="1"/>
      <c r="N2271" s="1">
        <f t="shared" si="112"/>
        <v>9</v>
      </c>
      <c r="O2271" s="87"/>
    </row>
    <row r="2272" spans="1:15" ht="15.75" hidden="1" x14ac:dyDescent="0.25">
      <c r="A2272" s="1" t="str">
        <f t="shared" si="111"/>
        <v>4481144813111.03MASTER CCRENTOOREDOO</v>
      </c>
      <c r="B2272" s="2">
        <v>44811</v>
      </c>
      <c r="C2272" s="2">
        <v>44813</v>
      </c>
      <c r="D2272" s="3" t="s">
        <v>2738</v>
      </c>
      <c r="E2272" s="3">
        <v>111.03</v>
      </c>
      <c r="F2272" s="3">
        <v>1</v>
      </c>
      <c r="G2272" s="3">
        <f t="shared" si="113"/>
        <v>111.03</v>
      </c>
      <c r="H2272" s="3" t="s">
        <v>291</v>
      </c>
      <c r="I2272" s="1" t="s">
        <v>83</v>
      </c>
      <c r="J2272" s="1" t="s">
        <v>59</v>
      </c>
      <c r="K2272" s="1" t="s">
        <v>298</v>
      </c>
      <c r="L2272" s="1" t="s">
        <v>267</v>
      </c>
      <c r="M2272" s="1"/>
      <c r="N2272" s="1">
        <f t="shared" si="112"/>
        <v>9</v>
      </c>
      <c r="O2272" s="87"/>
    </row>
    <row r="2273" spans="1:15" ht="15.75" hidden="1" x14ac:dyDescent="0.25">
      <c r="A2273" s="1" t="str">
        <f t="shared" si="111"/>
        <v>44812448126.4CURRENTTRANSPORTCAREEM</v>
      </c>
      <c r="B2273" s="2">
        <v>44812</v>
      </c>
      <c r="C2273" s="2">
        <v>44812</v>
      </c>
      <c r="D2273" s="3" t="s">
        <v>2760</v>
      </c>
      <c r="E2273" s="3">
        <v>-6.4</v>
      </c>
      <c r="F2273" s="3">
        <v>1</v>
      </c>
      <c r="G2273" s="3">
        <f t="shared" si="113"/>
        <v>6.4</v>
      </c>
      <c r="H2273" s="3" t="s">
        <v>293</v>
      </c>
      <c r="I2273" s="1" t="s">
        <v>296</v>
      </c>
      <c r="J2273" s="1" t="s">
        <v>297</v>
      </c>
      <c r="K2273" s="1" t="s">
        <v>298</v>
      </c>
      <c r="L2273" s="1" t="s">
        <v>257</v>
      </c>
      <c r="M2273" s="1"/>
      <c r="N2273" s="1">
        <f t="shared" si="112"/>
        <v>9</v>
      </c>
      <c r="O2273" s="87"/>
    </row>
    <row r="2274" spans="1:15" ht="15.75" hidden="1" x14ac:dyDescent="0.25">
      <c r="A2274" s="1" t="str">
        <f t="shared" si="111"/>
        <v>4481344814130.89FIFA CCGROCERYINDIAN SUPER</v>
      </c>
      <c r="B2274" s="2">
        <v>44813</v>
      </c>
      <c r="C2274" s="2">
        <v>44814</v>
      </c>
      <c r="D2274" s="3" t="s">
        <v>2722</v>
      </c>
      <c r="E2274" s="3">
        <v>130.88999999999999</v>
      </c>
      <c r="F2274" s="3">
        <v>1</v>
      </c>
      <c r="G2274" s="3">
        <f t="shared" si="113"/>
        <v>130.88999999999999</v>
      </c>
      <c r="H2274" s="3" t="s">
        <v>3294</v>
      </c>
      <c r="I2274" s="1" t="s">
        <v>43</v>
      </c>
      <c r="J2274" s="1" t="s">
        <v>2273</v>
      </c>
      <c r="K2274" s="1" t="s">
        <v>298</v>
      </c>
      <c r="L2274" s="1" t="s">
        <v>267</v>
      </c>
      <c r="M2274" s="1"/>
      <c r="N2274" s="1">
        <f t="shared" si="112"/>
        <v>9</v>
      </c>
      <c r="O2274" s="87"/>
    </row>
    <row r="2275" spans="1:15" ht="15.75" hidden="1" x14ac:dyDescent="0.25">
      <c r="A2275" s="1" t="str">
        <f t="shared" si="111"/>
        <v>4481444815204.75FIFA CCSHOPPINGANSAR</v>
      </c>
      <c r="B2275" s="2">
        <v>44814</v>
      </c>
      <c r="C2275" s="2">
        <v>44815</v>
      </c>
      <c r="D2275" s="3" t="s">
        <v>2719</v>
      </c>
      <c r="E2275" s="3">
        <v>204.75</v>
      </c>
      <c r="F2275" s="3">
        <v>1</v>
      </c>
      <c r="G2275" s="3">
        <f t="shared" si="113"/>
        <v>204.75</v>
      </c>
      <c r="H2275" s="3" t="s">
        <v>3294</v>
      </c>
      <c r="I2275" s="1" t="s">
        <v>194</v>
      </c>
      <c r="J2275" s="1" t="s">
        <v>1656</v>
      </c>
      <c r="K2275" s="1" t="s">
        <v>298</v>
      </c>
      <c r="L2275" s="1" t="s">
        <v>267</v>
      </c>
      <c r="M2275" s="1"/>
      <c r="N2275" s="1">
        <f t="shared" si="112"/>
        <v>9</v>
      </c>
      <c r="O2275" s="87"/>
    </row>
    <row r="2276" spans="1:15" ht="15.75" hidden="1" x14ac:dyDescent="0.25">
      <c r="A2276" s="1" t="str">
        <f t="shared" si="111"/>
        <v>448144481650FIFA CCFOODWISHBOX</v>
      </c>
      <c r="B2276" s="2">
        <v>44814</v>
      </c>
      <c r="C2276" s="2">
        <v>44816</v>
      </c>
      <c r="D2276" s="3" t="s">
        <v>2720</v>
      </c>
      <c r="E2276" s="3">
        <v>50</v>
      </c>
      <c r="F2276" s="3">
        <v>1</v>
      </c>
      <c r="G2276" s="3">
        <f t="shared" si="113"/>
        <v>50</v>
      </c>
      <c r="H2276" s="3" t="s">
        <v>3294</v>
      </c>
      <c r="I2276" s="1" t="s">
        <v>10</v>
      </c>
      <c r="J2276" s="1" t="s">
        <v>1199</v>
      </c>
      <c r="K2276" s="1" t="s">
        <v>298</v>
      </c>
      <c r="L2276" s="1" t="s">
        <v>267</v>
      </c>
      <c r="M2276" s="1"/>
      <c r="N2276" s="1">
        <f t="shared" si="112"/>
        <v>9</v>
      </c>
      <c r="O2276" s="87"/>
    </row>
    <row r="2277" spans="1:15" ht="15.75" hidden="1" x14ac:dyDescent="0.25">
      <c r="A2277" s="1" t="str">
        <f t="shared" si="111"/>
        <v>448144481634FIFA CCGROCERYFFC</v>
      </c>
      <c r="B2277" s="2">
        <v>44814</v>
      </c>
      <c r="C2277" s="2">
        <v>44816</v>
      </c>
      <c r="D2277" s="3" t="s">
        <v>2721</v>
      </c>
      <c r="E2277" s="3">
        <v>34</v>
      </c>
      <c r="F2277" s="3">
        <v>1</v>
      </c>
      <c r="G2277" s="3">
        <f t="shared" si="113"/>
        <v>34</v>
      </c>
      <c r="H2277" s="3" t="s">
        <v>3294</v>
      </c>
      <c r="I2277" s="1" t="s">
        <v>43</v>
      </c>
      <c r="J2277" s="1" t="s">
        <v>96</v>
      </c>
      <c r="K2277" s="1" t="s">
        <v>298</v>
      </c>
      <c r="L2277" s="1" t="s">
        <v>267</v>
      </c>
      <c r="M2277" s="1"/>
      <c r="N2277" s="1">
        <f t="shared" si="112"/>
        <v>9</v>
      </c>
      <c r="O2277" s="87"/>
    </row>
    <row r="2278" spans="1:15" ht="15.75" hidden="1" x14ac:dyDescent="0.25">
      <c r="A2278" s="1" t="str">
        <f t="shared" si="111"/>
        <v>448154481550CURRENTPENALTYBANK</v>
      </c>
      <c r="B2278" s="2">
        <v>44815</v>
      </c>
      <c r="C2278" s="2">
        <v>44815</v>
      </c>
      <c r="D2278" s="3" t="s">
        <v>2755</v>
      </c>
      <c r="E2278" s="3">
        <v>-50</v>
      </c>
      <c r="F2278" s="3">
        <v>1</v>
      </c>
      <c r="G2278" s="3">
        <f t="shared" si="113"/>
        <v>50</v>
      </c>
      <c r="H2278" s="3" t="s">
        <v>293</v>
      </c>
      <c r="I2278" s="1" t="s">
        <v>2791</v>
      </c>
      <c r="J2278" s="1" t="s">
        <v>8</v>
      </c>
      <c r="K2278" s="1" t="s">
        <v>298</v>
      </c>
      <c r="L2278" s="1" t="s">
        <v>257</v>
      </c>
      <c r="M2278" s="1"/>
      <c r="N2278" s="1">
        <f t="shared" si="112"/>
        <v>9</v>
      </c>
      <c r="O2278" s="87"/>
    </row>
    <row r="2279" spans="1:15" ht="15.75" hidden="1" x14ac:dyDescent="0.25">
      <c r="A2279" s="1" t="str">
        <f t="shared" si="111"/>
        <v>44815448156.4CURRENTTRANSPORTCAREEM</v>
      </c>
      <c r="B2279" s="2">
        <v>44815</v>
      </c>
      <c r="C2279" s="2">
        <v>44815</v>
      </c>
      <c r="D2279" s="3" t="s">
        <v>2756</v>
      </c>
      <c r="E2279" s="3">
        <v>-6.4</v>
      </c>
      <c r="F2279" s="3">
        <v>1</v>
      </c>
      <c r="G2279" s="3">
        <f t="shared" si="113"/>
        <v>6.4</v>
      </c>
      <c r="H2279" s="3" t="s">
        <v>293</v>
      </c>
      <c r="I2279" s="1" t="s">
        <v>296</v>
      </c>
      <c r="J2279" s="1" t="s">
        <v>297</v>
      </c>
      <c r="K2279" s="1" t="s">
        <v>298</v>
      </c>
      <c r="L2279" s="1" t="s">
        <v>257</v>
      </c>
      <c r="M2279" s="1"/>
      <c r="N2279" s="1">
        <f t="shared" si="112"/>
        <v>9</v>
      </c>
      <c r="O2279" s="87"/>
    </row>
    <row r="2280" spans="1:15" ht="15.75" hidden="1" x14ac:dyDescent="0.25">
      <c r="A2280" s="1" t="str">
        <f t="shared" si="111"/>
        <v>44815448156.4CURRENTTRANSPORTCAREEM</v>
      </c>
      <c r="B2280" s="2">
        <v>44815</v>
      </c>
      <c r="C2280" s="2">
        <v>44815</v>
      </c>
      <c r="D2280" s="3" t="s">
        <v>2757</v>
      </c>
      <c r="E2280" s="3">
        <v>-6.4</v>
      </c>
      <c r="F2280" s="3">
        <v>1</v>
      </c>
      <c r="G2280" s="3">
        <f t="shared" si="113"/>
        <v>6.4</v>
      </c>
      <c r="H2280" s="3" t="s">
        <v>293</v>
      </c>
      <c r="I2280" s="1" t="s">
        <v>296</v>
      </c>
      <c r="J2280" s="1" t="s">
        <v>297</v>
      </c>
      <c r="K2280" s="1" t="s">
        <v>298</v>
      </c>
      <c r="L2280" s="1" t="s">
        <v>257</v>
      </c>
      <c r="M2280" s="1"/>
      <c r="N2280" s="1">
        <f t="shared" si="112"/>
        <v>9</v>
      </c>
      <c r="O2280" s="87"/>
    </row>
    <row r="2281" spans="1:15" ht="15.75" hidden="1" x14ac:dyDescent="0.25">
      <c r="A2281" s="1" t="str">
        <f t="shared" si="111"/>
        <v>448154481570.5CURRENTSHOPPINGANSAR</v>
      </c>
      <c r="B2281" s="2">
        <v>44815</v>
      </c>
      <c r="C2281" s="2">
        <v>44815</v>
      </c>
      <c r="D2281" s="3" t="s">
        <v>2758</v>
      </c>
      <c r="E2281" s="3">
        <v>-70.5</v>
      </c>
      <c r="F2281" s="3">
        <v>1</v>
      </c>
      <c r="G2281" s="3">
        <f t="shared" si="113"/>
        <v>70.5</v>
      </c>
      <c r="H2281" s="3" t="s">
        <v>293</v>
      </c>
      <c r="I2281" s="1" t="s">
        <v>194</v>
      </c>
      <c r="J2281" s="1" t="s">
        <v>1656</v>
      </c>
      <c r="K2281" s="1" t="s">
        <v>298</v>
      </c>
      <c r="L2281" s="1" t="s">
        <v>257</v>
      </c>
      <c r="M2281" s="1"/>
      <c r="N2281" s="1">
        <f t="shared" si="112"/>
        <v>9</v>
      </c>
      <c r="O2281" s="87"/>
    </row>
    <row r="2282" spans="1:15" ht="15.75" hidden="1" x14ac:dyDescent="0.25">
      <c r="A2282" s="1" t="str">
        <f t="shared" si="111"/>
        <v>44815448150CURRENTTRANSFERSELF</v>
      </c>
      <c r="B2282" s="2">
        <v>44815</v>
      </c>
      <c r="C2282" s="2">
        <v>44815</v>
      </c>
      <c r="D2282" s="3" t="s">
        <v>2759</v>
      </c>
      <c r="E2282" s="3">
        <v>1500</v>
      </c>
      <c r="F2282" s="3">
        <v>0</v>
      </c>
      <c r="G2282" s="3">
        <f t="shared" si="113"/>
        <v>0</v>
      </c>
      <c r="H2282" s="3" t="s">
        <v>293</v>
      </c>
      <c r="I2282" s="1" t="s">
        <v>22</v>
      </c>
      <c r="J2282" s="1" t="s">
        <v>14</v>
      </c>
      <c r="K2282" s="1" t="s">
        <v>300</v>
      </c>
      <c r="L2282" s="1" t="s">
        <v>257</v>
      </c>
      <c r="M2282" s="1"/>
      <c r="N2282" s="1">
        <f t="shared" si="112"/>
        <v>9</v>
      </c>
      <c r="O2282" s="87"/>
    </row>
    <row r="2283" spans="1:15" ht="15.75" hidden="1" x14ac:dyDescent="0.25">
      <c r="A2283" s="1" t="str">
        <f t="shared" si="111"/>
        <v>44816448161165.25CURRENTTRANSFERINDIA</v>
      </c>
      <c r="B2283" s="2">
        <v>44816</v>
      </c>
      <c r="C2283" s="2">
        <v>44816</v>
      </c>
      <c r="D2283" s="3" t="s">
        <v>694</v>
      </c>
      <c r="E2283" s="3">
        <v>-1165.25</v>
      </c>
      <c r="F2283" s="3">
        <v>1</v>
      </c>
      <c r="G2283" s="3">
        <f t="shared" si="113"/>
        <v>1165.25</v>
      </c>
      <c r="H2283" s="3" t="s">
        <v>293</v>
      </c>
      <c r="I2283" s="1" t="s">
        <v>22</v>
      </c>
      <c r="J2283" s="1" t="s">
        <v>23</v>
      </c>
      <c r="K2283" s="1" t="s">
        <v>298</v>
      </c>
      <c r="L2283" s="1" t="s">
        <v>257</v>
      </c>
      <c r="M2283" s="1"/>
      <c r="N2283" s="1">
        <f t="shared" si="112"/>
        <v>9</v>
      </c>
      <c r="O2283" s="87"/>
    </row>
    <row r="2284" spans="1:15" ht="15.75" hidden="1" x14ac:dyDescent="0.25">
      <c r="A2284" s="1" t="str">
        <f t="shared" si="111"/>
        <v>448174481947FIFA CCFOODWISHBOX</v>
      </c>
      <c r="B2284" s="2">
        <v>44817</v>
      </c>
      <c r="C2284" s="2">
        <v>44819</v>
      </c>
      <c r="D2284" s="3" t="s">
        <v>2718</v>
      </c>
      <c r="E2284" s="3">
        <v>47</v>
      </c>
      <c r="F2284" s="3">
        <v>1</v>
      </c>
      <c r="G2284" s="3">
        <f t="shared" si="113"/>
        <v>47</v>
      </c>
      <c r="H2284" s="3" t="s">
        <v>3294</v>
      </c>
      <c r="I2284" s="1" t="s">
        <v>10</v>
      </c>
      <c r="J2284" s="1" t="s">
        <v>1199</v>
      </c>
      <c r="K2284" s="1" t="s">
        <v>298</v>
      </c>
      <c r="L2284" s="1" t="s">
        <v>267</v>
      </c>
      <c r="M2284" s="1"/>
      <c r="N2284" s="1">
        <f t="shared" si="112"/>
        <v>9</v>
      </c>
      <c r="O2284" s="87"/>
    </row>
    <row r="2285" spans="1:15" ht="15.75" hidden="1" x14ac:dyDescent="0.25">
      <c r="A2285" s="1" t="str">
        <f t="shared" si="111"/>
        <v>44817448176.4CURRENTTRANSPORTCAREEM</v>
      </c>
      <c r="B2285" s="2">
        <v>44817</v>
      </c>
      <c r="C2285" s="2">
        <v>44817</v>
      </c>
      <c r="D2285" s="3" t="s">
        <v>2754</v>
      </c>
      <c r="E2285" s="3">
        <v>-6.4</v>
      </c>
      <c r="F2285" s="3">
        <v>1</v>
      </c>
      <c r="G2285" s="3">
        <f t="shared" si="113"/>
        <v>6.4</v>
      </c>
      <c r="H2285" s="3" t="s">
        <v>293</v>
      </c>
      <c r="I2285" s="1" t="s">
        <v>296</v>
      </c>
      <c r="J2285" s="1" t="s">
        <v>297</v>
      </c>
      <c r="K2285" s="1" t="s">
        <v>298</v>
      </c>
      <c r="L2285" s="1" t="s">
        <v>257</v>
      </c>
      <c r="M2285" s="1"/>
      <c r="N2285" s="1">
        <f t="shared" si="112"/>
        <v>9</v>
      </c>
      <c r="O2285" s="87"/>
    </row>
    <row r="2286" spans="1:15" ht="15.75" hidden="1" x14ac:dyDescent="0.25">
      <c r="A2286" s="1" t="str">
        <f t="shared" si="111"/>
        <v>448184482245MASTER CCFOODTALABAT</v>
      </c>
      <c r="B2286" s="2">
        <v>44818</v>
      </c>
      <c r="C2286" s="2">
        <v>44822</v>
      </c>
      <c r="D2286" s="3" t="s">
        <v>2737</v>
      </c>
      <c r="E2286" s="3">
        <v>45</v>
      </c>
      <c r="F2286" s="3">
        <v>1</v>
      </c>
      <c r="G2286" s="3">
        <f t="shared" si="113"/>
        <v>45</v>
      </c>
      <c r="H2286" s="3" t="s">
        <v>291</v>
      </c>
      <c r="I2286" s="1" t="s">
        <v>10</v>
      </c>
      <c r="J2286" s="1" t="s">
        <v>865</v>
      </c>
      <c r="K2286" s="1" t="s">
        <v>298</v>
      </c>
      <c r="L2286" s="1" t="s">
        <v>267</v>
      </c>
      <c r="M2286" s="1"/>
      <c r="N2286" s="1">
        <f t="shared" si="112"/>
        <v>9</v>
      </c>
      <c r="O2286" s="87"/>
    </row>
    <row r="2287" spans="1:15" ht="15.75" hidden="1" x14ac:dyDescent="0.25">
      <c r="A2287" s="1" t="str">
        <f t="shared" si="111"/>
        <v>44818448187.5CURRENTTRANSPORTCAREEM</v>
      </c>
      <c r="B2287" s="2">
        <v>44818</v>
      </c>
      <c r="C2287" s="2">
        <v>44818</v>
      </c>
      <c r="D2287" s="3" t="s">
        <v>2753</v>
      </c>
      <c r="E2287" s="3">
        <v>-7.5</v>
      </c>
      <c r="F2287" s="3">
        <v>1</v>
      </c>
      <c r="G2287" s="3">
        <f t="shared" si="113"/>
        <v>7.5</v>
      </c>
      <c r="H2287" s="3" t="s">
        <v>293</v>
      </c>
      <c r="I2287" s="1" t="s">
        <v>296</v>
      </c>
      <c r="J2287" s="1" t="s">
        <v>297</v>
      </c>
      <c r="K2287" s="1" t="s">
        <v>298</v>
      </c>
      <c r="L2287" s="1" t="s">
        <v>257</v>
      </c>
      <c r="M2287" s="1"/>
      <c r="N2287" s="1">
        <f t="shared" si="112"/>
        <v>9</v>
      </c>
      <c r="O2287" s="87"/>
    </row>
    <row r="2288" spans="1:15" ht="15.75" hidden="1" x14ac:dyDescent="0.25">
      <c r="A2288" s="1" t="str">
        <f t="shared" si="111"/>
        <v>4481944820286.31FIFA CCGROCERYLULU</v>
      </c>
      <c r="B2288" s="2">
        <v>44819</v>
      </c>
      <c r="C2288" s="2">
        <v>44820</v>
      </c>
      <c r="D2288" s="3" t="s">
        <v>2716</v>
      </c>
      <c r="E2288" s="3">
        <v>286.31</v>
      </c>
      <c r="F2288" s="3">
        <v>1</v>
      </c>
      <c r="G2288" s="3">
        <f t="shared" si="113"/>
        <v>286.31</v>
      </c>
      <c r="H2288" s="3" t="s">
        <v>3294</v>
      </c>
      <c r="I2288" s="1" t="s">
        <v>43</v>
      </c>
      <c r="J2288" s="1" t="s">
        <v>44</v>
      </c>
      <c r="K2288" s="1" t="s">
        <v>298</v>
      </c>
      <c r="L2288" s="1" t="s">
        <v>267</v>
      </c>
      <c r="M2288" s="1"/>
      <c r="N2288" s="1">
        <f t="shared" si="112"/>
        <v>9</v>
      </c>
      <c r="O2288" s="87"/>
    </row>
    <row r="2289" spans="1:15" ht="15.75" hidden="1" x14ac:dyDescent="0.25">
      <c r="A2289" s="1" t="str">
        <f t="shared" si="111"/>
        <v>4481944822259.5FIFA CCSHOPPINGLULU</v>
      </c>
      <c r="B2289" s="2">
        <v>44819</v>
      </c>
      <c r="C2289" s="2">
        <v>44822</v>
      </c>
      <c r="D2289" s="3" t="s">
        <v>2717</v>
      </c>
      <c r="E2289" s="3">
        <v>259.5</v>
      </c>
      <c r="F2289" s="3">
        <v>1</v>
      </c>
      <c r="G2289" s="3">
        <f t="shared" si="113"/>
        <v>259.5</v>
      </c>
      <c r="H2289" s="3" t="s">
        <v>3294</v>
      </c>
      <c r="I2289" s="1" t="s">
        <v>194</v>
      </c>
      <c r="J2289" s="1" t="s">
        <v>44</v>
      </c>
      <c r="K2289" s="1" t="s">
        <v>298</v>
      </c>
      <c r="L2289" s="1" t="s">
        <v>267</v>
      </c>
      <c r="M2289" s="1"/>
      <c r="N2289" s="1">
        <f t="shared" si="112"/>
        <v>9</v>
      </c>
      <c r="O2289" s="87"/>
    </row>
    <row r="2290" spans="1:15" ht="15.75" hidden="1" x14ac:dyDescent="0.25">
      <c r="A2290" s="1" t="str">
        <f t="shared" si="111"/>
        <v>4482144822105.65FIFA CCGROCERYLULU</v>
      </c>
      <c r="B2290" s="2">
        <v>44821</v>
      </c>
      <c r="C2290" s="2">
        <v>44822</v>
      </c>
      <c r="D2290" s="3" t="s">
        <v>2715</v>
      </c>
      <c r="E2290" s="3">
        <v>105.65</v>
      </c>
      <c r="F2290" s="3">
        <v>1</v>
      </c>
      <c r="G2290" s="3">
        <f t="shared" si="113"/>
        <v>105.65</v>
      </c>
      <c r="H2290" s="3" t="s">
        <v>3294</v>
      </c>
      <c r="I2290" s="1" t="s">
        <v>43</v>
      </c>
      <c r="J2290" s="1" t="s">
        <v>44</v>
      </c>
      <c r="K2290" s="1" t="s">
        <v>298</v>
      </c>
      <c r="L2290" s="1" t="s">
        <v>267</v>
      </c>
      <c r="M2290" s="1"/>
      <c r="N2290" s="1">
        <f t="shared" si="112"/>
        <v>9</v>
      </c>
      <c r="O2290" s="87"/>
    </row>
    <row r="2291" spans="1:15" ht="15.75" hidden="1" x14ac:dyDescent="0.25">
      <c r="A2291" s="1" t="str">
        <f t="shared" si="111"/>
        <v>448224482428FIFA CCFOODQATAR AIR</v>
      </c>
      <c r="B2291" s="2">
        <v>44822</v>
      </c>
      <c r="C2291" s="2">
        <v>44824</v>
      </c>
      <c r="D2291" s="3" t="s">
        <v>2714</v>
      </c>
      <c r="E2291" s="3">
        <v>28</v>
      </c>
      <c r="F2291" s="3">
        <v>1</v>
      </c>
      <c r="G2291" s="3">
        <f t="shared" si="113"/>
        <v>28</v>
      </c>
      <c r="H2291" s="3" t="s">
        <v>3294</v>
      </c>
      <c r="I2291" s="1" t="s">
        <v>10</v>
      </c>
      <c r="J2291" s="1" t="s">
        <v>19</v>
      </c>
      <c r="K2291" s="1" t="s">
        <v>298</v>
      </c>
      <c r="L2291" s="1" t="s">
        <v>267</v>
      </c>
      <c r="M2291" s="1"/>
      <c r="N2291" s="1">
        <f t="shared" si="112"/>
        <v>9</v>
      </c>
      <c r="O2291" s="87"/>
    </row>
    <row r="2292" spans="1:15" ht="15.75" hidden="1" x14ac:dyDescent="0.25">
      <c r="A2292" s="1" t="str">
        <f t="shared" si="111"/>
        <v>4482244824119MASTER CCTELECOMOOREDOO</v>
      </c>
      <c r="B2292" s="2">
        <v>44822</v>
      </c>
      <c r="C2292" s="2">
        <v>44824</v>
      </c>
      <c r="D2292" s="3" t="s">
        <v>2736</v>
      </c>
      <c r="E2292" s="3">
        <v>119</v>
      </c>
      <c r="F2292" s="3">
        <v>1</v>
      </c>
      <c r="G2292" s="3">
        <f t="shared" si="113"/>
        <v>119</v>
      </c>
      <c r="H2292" s="3" t="s">
        <v>291</v>
      </c>
      <c r="I2292" s="1" t="s">
        <v>58</v>
      </c>
      <c r="J2292" s="1" t="s">
        <v>59</v>
      </c>
      <c r="K2292" s="1" t="s">
        <v>298</v>
      </c>
      <c r="L2292" s="1" t="s">
        <v>267</v>
      </c>
      <c r="M2292" s="1"/>
      <c r="N2292" s="1">
        <f t="shared" si="112"/>
        <v>9</v>
      </c>
      <c r="O2292" s="87"/>
    </row>
    <row r="2293" spans="1:15" ht="15.75" hidden="1" x14ac:dyDescent="0.25">
      <c r="A2293" s="1" t="str">
        <f t="shared" si="111"/>
        <v>44822448227.5CURRENTTRANSPORTCAREEM</v>
      </c>
      <c r="B2293" s="2">
        <v>44822</v>
      </c>
      <c r="C2293" s="2">
        <v>44822</v>
      </c>
      <c r="D2293" s="3" t="s">
        <v>2750</v>
      </c>
      <c r="E2293" s="3">
        <v>-7.5</v>
      </c>
      <c r="F2293" s="3">
        <v>1</v>
      </c>
      <c r="G2293" s="3">
        <f t="shared" si="113"/>
        <v>7.5</v>
      </c>
      <c r="H2293" s="3" t="s">
        <v>293</v>
      </c>
      <c r="I2293" s="1" t="s">
        <v>296</v>
      </c>
      <c r="J2293" s="1" t="s">
        <v>297</v>
      </c>
      <c r="K2293" s="1" t="s">
        <v>298</v>
      </c>
      <c r="L2293" s="1" t="s">
        <v>257</v>
      </c>
      <c r="M2293" s="1"/>
      <c r="N2293" s="1">
        <f t="shared" si="112"/>
        <v>9</v>
      </c>
      <c r="O2293" s="87"/>
    </row>
    <row r="2294" spans="1:15" ht="15.75" hidden="1" x14ac:dyDescent="0.25">
      <c r="A2294" s="1" t="str">
        <f t="shared" si="111"/>
        <v>44822448227.5CURRENTTRANSPORTCAREEM</v>
      </c>
      <c r="B2294" s="2">
        <v>44822</v>
      </c>
      <c r="C2294" s="2">
        <v>44822</v>
      </c>
      <c r="D2294" s="3" t="s">
        <v>2751</v>
      </c>
      <c r="E2294" s="3">
        <v>-7.5</v>
      </c>
      <c r="F2294" s="3">
        <v>1</v>
      </c>
      <c r="G2294" s="3">
        <f t="shared" si="113"/>
        <v>7.5</v>
      </c>
      <c r="H2294" s="3" t="s">
        <v>293</v>
      </c>
      <c r="I2294" s="1" t="s">
        <v>296</v>
      </c>
      <c r="J2294" s="1" t="s">
        <v>297</v>
      </c>
      <c r="K2294" s="1" t="s">
        <v>298</v>
      </c>
      <c r="L2294" s="1" t="s">
        <v>257</v>
      </c>
      <c r="M2294" s="1"/>
      <c r="N2294" s="1">
        <f t="shared" si="112"/>
        <v>9</v>
      </c>
      <c r="O2294" s="87"/>
    </row>
    <row r="2295" spans="1:15" ht="15.75" hidden="1" x14ac:dyDescent="0.25">
      <c r="A2295" s="1" t="str">
        <f t="shared" si="111"/>
        <v>4482244822130CURRENTRENTKAHRAMAA</v>
      </c>
      <c r="B2295" s="2">
        <v>44822</v>
      </c>
      <c r="C2295" s="2">
        <v>44822</v>
      </c>
      <c r="D2295" s="3" t="s">
        <v>2752</v>
      </c>
      <c r="E2295" s="3">
        <f>2000-1870</f>
        <v>130</v>
      </c>
      <c r="F2295" s="3">
        <v>1</v>
      </c>
      <c r="G2295" s="3">
        <f t="shared" si="113"/>
        <v>130</v>
      </c>
      <c r="H2295" s="3" t="s">
        <v>293</v>
      </c>
      <c r="I2295" s="1" t="s">
        <v>83</v>
      </c>
      <c r="J2295" s="1" t="s">
        <v>4113</v>
      </c>
      <c r="K2295" s="1" t="s">
        <v>298</v>
      </c>
      <c r="L2295" s="1" t="s">
        <v>257</v>
      </c>
      <c r="M2295" s="1"/>
      <c r="N2295" s="1">
        <f t="shared" si="112"/>
        <v>9</v>
      </c>
      <c r="O2295" s="87"/>
    </row>
    <row r="2296" spans="1:15" ht="15.75" hidden="1" x14ac:dyDescent="0.25">
      <c r="A2296" s="1" t="str">
        <f t="shared" si="111"/>
        <v>44822448220CURRENTRENTKAHRAMAA</v>
      </c>
      <c r="B2296" s="2">
        <v>44822</v>
      </c>
      <c r="C2296" s="2">
        <v>44822</v>
      </c>
      <c r="D2296" s="3" t="s">
        <v>2752</v>
      </c>
      <c r="E2296" s="3">
        <v>1870</v>
      </c>
      <c r="F2296" s="3">
        <v>0</v>
      </c>
      <c r="G2296" s="3">
        <f t="shared" si="113"/>
        <v>0</v>
      </c>
      <c r="H2296" s="3" t="s">
        <v>293</v>
      </c>
      <c r="I2296" s="1" t="s">
        <v>83</v>
      </c>
      <c r="J2296" s="1" t="s">
        <v>4113</v>
      </c>
      <c r="K2296" s="1" t="s">
        <v>300</v>
      </c>
      <c r="L2296" s="1" t="s">
        <v>257</v>
      </c>
      <c r="M2296" s="1"/>
      <c r="N2296" s="1">
        <f t="shared" si="112"/>
        <v>9</v>
      </c>
      <c r="O2296" s="87"/>
    </row>
    <row r="2297" spans="1:15" ht="15.75" hidden="1" x14ac:dyDescent="0.25">
      <c r="A2297" s="1" t="str">
        <f t="shared" si="111"/>
        <v>4482344824515DINERSSHOPPINGKALYAN</v>
      </c>
      <c r="B2297" s="2">
        <v>44823</v>
      </c>
      <c r="C2297" s="2">
        <v>44824</v>
      </c>
      <c r="D2297" s="3" t="s">
        <v>2707</v>
      </c>
      <c r="E2297" s="3">
        <v>515</v>
      </c>
      <c r="F2297" s="3">
        <v>1</v>
      </c>
      <c r="G2297" s="3">
        <f t="shared" si="113"/>
        <v>515</v>
      </c>
      <c r="H2297" s="3" t="s">
        <v>266</v>
      </c>
      <c r="I2297" s="1" t="s">
        <v>194</v>
      </c>
      <c r="J2297" s="1" t="s">
        <v>173</v>
      </c>
      <c r="K2297" s="1" t="s">
        <v>298</v>
      </c>
      <c r="L2297" s="1" t="s">
        <v>267</v>
      </c>
      <c r="M2297" s="1"/>
      <c r="N2297" s="1">
        <f t="shared" si="112"/>
        <v>9</v>
      </c>
      <c r="O2297" s="87"/>
    </row>
    <row r="2298" spans="1:15" ht="15.75" hidden="1" x14ac:dyDescent="0.25">
      <c r="A2298" s="1" t="str">
        <f t="shared" si="111"/>
        <v>4482344824599FIFA CCSHOPPINGLULU</v>
      </c>
      <c r="B2298" s="2">
        <v>44823</v>
      </c>
      <c r="C2298" s="2">
        <v>44824</v>
      </c>
      <c r="D2298" s="3" t="s">
        <v>2711</v>
      </c>
      <c r="E2298" s="3">
        <v>599</v>
      </c>
      <c r="F2298" s="3">
        <v>1</v>
      </c>
      <c r="G2298" s="3">
        <f t="shared" si="113"/>
        <v>599</v>
      </c>
      <c r="H2298" s="3" t="s">
        <v>3294</v>
      </c>
      <c r="I2298" s="1" t="s">
        <v>194</v>
      </c>
      <c r="J2298" s="1" t="s">
        <v>44</v>
      </c>
      <c r="K2298" s="1" t="s">
        <v>298</v>
      </c>
      <c r="L2298" s="1" t="s">
        <v>267</v>
      </c>
      <c r="M2298" s="1"/>
      <c r="N2298" s="1">
        <f t="shared" si="112"/>
        <v>9</v>
      </c>
      <c r="O2298" s="87"/>
    </row>
    <row r="2299" spans="1:15" ht="15.75" hidden="1" x14ac:dyDescent="0.25">
      <c r="A2299" s="1" t="str">
        <f t="shared" si="111"/>
        <v>448234482474.67FIFA CCGROCERYLULU</v>
      </c>
      <c r="B2299" s="2">
        <v>44823</v>
      </c>
      <c r="C2299" s="2">
        <v>44824</v>
      </c>
      <c r="D2299" s="3" t="s">
        <v>2712</v>
      </c>
      <c r="E2299" s="3">
        <v>74.67</v>
      </c>
      <c r="F2299" s="3">
        <v>1</v>
      </c>
      <c r="G2299" s="3">
        <f t="shared" si="113"/>
        <v>74.67</v>
      </c>
      <c r="H2299" s="3" t="s">
        <v>3294</v>
      </c>
      <c r="I2299" s="1" t="s">
        <v>43</v>
      </c>
      <c r="J2299" s="1" t="s">
        <v>44</v>
      </c>
      <c r="K2299" s="1" t="s">
        <v>298</v>
      </c>
      <c r="L2299" s="1" t="s">
        <v>267</v>
      </c>
      <c r="M2299" s="1"/>
      <c r="N2299" s="1">
        <f t="shared" si="112"/>
        <v>9</v>
      </c>
      <c r="O2299" s="87"/>
    </row>
    <row r="2300" spans="1:15" ht="15.75" hidden="1" x14ac:dyDescent="0.25">
      <c r="A2300" s="1" t="str">
        <f t="shared" si="111"/>
        <v>4482344824122.45FIFA CCTELECOMOOREDOO</v>
      </c>
      <c r="B2300" s="2">
        <v>44823</v>
      </c>
      <c r="C2300" s="2">
        <v>44824</v>
      </c>
      <c r="D2300" s="3" t="s">
        <v>2713</v>
      </c>
      <c r="E2300" s="3">
        <v>122.45</v>
      </c>
      <c r="F2300" s="3">
        <v>1</v>
      </c>
      <c r="G2300" s="3">
        <f t="shared" si="113"/>
        <v>122.45</v>
      </c>
      <c r="H2300" s="3" t="s">
        <v>3294</v>
      </c>
      <c r="I2300" s="1" t="s">
        <v>58</v>
      </c>
      <c r="J2300" s="1" t="s">
        <v>59</v>
      </c>
      <c r="K2300" s="1" t="s">
        <v>298</v>
      </c>
      <c r="L2300" s="1" t="s">
        <v>267</v>
      </c>
      <c r="M2300" s="1"/>
      <c r="N2300" s="1">
        <f t="shared" si="112"/>
        <v>9</v>
      </c>
      <c r="O2300" s="87"/>
    </row>
    <row r="2301" spans="1:15" ht="15.75" hidden="1" x14ac:dyDescent="0.25">
      <c r="A2301" s="1" t="str">
        <f t="shared" si="111"/>
        <v>44823448237.5CURRENTTRANSPORTCAREEM</v>
      </c>
      <c r="B2301" s="2">
        <v>44823</v>
      </c>
      <c r="C2301" s="2">
        <v>44823</v>
      </c>
      <c r="D2301" s="3" t="s">
        <v>2748</v>
      </c>
      <c r="E2301" s="3">
        <v>-7.5</v>
      </c>
      <c r="F2301" s="3">
        <v>1</v>
      </c>
      <c r="G2301" s="3">
        <f t="shared" si="113"/>
        <v>7.5</v>
      </c>
      <c r="H2301" s="3" t="s">
        <v>293</v>
      </c>
      <c r="I2301" s="1" t="s">
        <v>296</v>
      </c>
      <c r="J2301" s="1" t="s">
        <v>297</v>
      </c>
      <c r="K2301" s="1" t="s">
        <v>298</v>
      </c>
      <c r="L2301" s="1" t="s">
        <v>257</v>
      </c>
      <c r="M2301" s="1"/>
      <c r="N2301" s="1">
        <f t="shared" si="112"/>
        <v>9</v>
      </c>
      <c r="O2301" s="87"/>
    </row>
    <row r="2302" spans="1:15" ht="15.75" hidden="1" x14ac:dyDescent="0.25">
      <c r="A2302" s="1" t="str">
        <f t="shared" si="111"/>
        <v>44823448237.5CURRENTTRANSPORTCAREEM</v>
      </c>
      <c r="B2302" s="2">
        <v>44823</v>
      </c>
      <c r="C2302" s="2">
        <v>44823</v>
      </c>
      <c r="D2302" s="3" t="s">
        <v>2749</v>
      </c>
      <c r="E2302" s="3">
        <v>-7.5</v>
      </c>
      <c r="F2302" s="3">
        <v>1</v>
      </c>
      <c r="G2302" s="3">
        <f t="shared" si="113"/>
        <v>7.5</v>
      </c>
      <c r="H2302" s="3" t="s">
        <v>293</v>
      </c>
      <c r="I2302" s="1" t="s">
        <v>296</v>
      </c>
      <c r="J2302" s="1" t="s">
        <v>297</v>
      </c>
      <c r="K2302" s="1" t="s">
        <v>298</v>
      </c>
      <c r="L2302" s="1" t="s">
        <v>257</v>
      </c>
      <c r="M2302" s="1"/>
      <c r="N2302" s="1">
        <f t="shared" si="112"/>
        <v>9</v>
      </c>
      <c r="O2302" s="87"/>
    </row>
    <row r="2303" spans="1:15" ht="15.75" hidden="1" x14ac:dyDescent="0.25">
      <c r="A2303" s="1" t="str">
        <f t="shared" si="111"/>
        <v>44824448247.5CURRENTTRANSPORTCAREEM</v>
      </c>
      <c r="B2303" s="2">
        <v>44824</v>
      </c>
      <c r="C2303" s="2">
        <v>44824</v>
      </c>
      <c r="D2303" s="3" t="s">
        <v>2747</v>
      </c>
      <c r="E2303" s="3">
        <v>-7.5</v>
      </c>
      <c r="F2303" s="3">
        <v>1</v>
      </c>
      <c r="G2303" s="3">
        <f t="shared" si="113"/>
        <v>7.5</v>
      </c>
      <c r="H2303" s="3" t="s">
        <v>293</v>
      </c>
      <c r="I2303" s="1" t="s">
        <v>296</v>
      </c>
      <c r="J2303" s="1" t="s">
        <v>297</v>
      </c>
      <c r="K2303" s="1" t="s">
        <v>298</v>
      </c>
      <c r="L2303" s="1" t="s">
        <v>257</v>
      </c>
      <c r="M2303" s="1"/>
      <c r="N2303" s="1">
        <f t="shared" si="112"/>
        <v>9</v>
      </c>
      <c r="O2303" s="87"/>
    </row>
    <row r="2304" spans="1:15" ht="15.75" hidden="1" x14ac:dyDescent="0.25">
      <c r="A2304" s="1" t="str">
        <f t="shared" si="111"/>
        <v>44825448257.5CURRENTTRANSPORTCAREEM</v>
      </c>
      <c r="B2304" s="2">
        <v>44825</v>
      </c>
      <c r="C2304" s="2">
        <v>44825</v>
      </c>
      <c r="D2304" s="3" t="s">
        <v>2746</v>
      </c>
      <c r="E2304" s="3">
        <v>-7.5</v>
      </c>
      <c r="F2304" s="3">
        <v>1</v>
      </c>
      <c r="G2304" s="3">
        <f t="shared" si="113"/>
        <v>7.5</v>
      </c>
      <c r="H2304" s="3" t="s">
        <v>293</v>
      </c>
      <c r="I2304" s="1" t="s">
        <v>296</v>
      </c>
      <c r="J2304" s="1" t="s">
        <v>297</v>
      </c>
      <c r="K2304" s="1" t="s">
        <v>298</v>
      </c>
      <c r="L2304" s="1" t="s">
        <v>257</v>
      </c>
      <c r="M2304" s="1"/>
      <c r="N2304" s="1">
        <f t="shared" si="112"/>
        <v>9</v>
      </c>
      <c r="O2304" s="87"/>
    </row>
    <row r="2305" spans="1:15" ht="15.75" hidden="1" x14ac:dyDescent="0.25">
      <c r="A2305" s="1" t="str">
        <f t="shared" si="111"/>
        <v>448264482694FIFA CCTRANSPORTWOQOD</v>
      </c>
      <c r="B2305" s="2">
        <v>44826</v>
      </c>
      <c r="C2305" s="2">
        <f>B2305</f>
        <v>44826</v>
      </c>
      <c r="D2305" s="3" t="s">
        <v>2710</v>
      </c>
      <c r="E2305" s="3">
        <v>94</v>
      </c>
      <c r="F2305" s="3">
        <v>1</v>
      </c>
      <c r="G2305" s="3">
        <f t="shared" si="113"/>
        <v>94</v>
      </c>
      <c r="H2305" s="3" t="s">
        <v>3294</v>
      </c>
      <c r="I2305" s="1" t="s">
        <v>296</v>
      </c>
      <c r="J2305" s="1" t="s">
        <v>1942</v>
      </c>
      <c r="K2305" s="1" t="s">
        <v>298</v>
      </c>
      <c r="L2305" s="1" t="s">
        <v>267</v>
      </c>
      <c r="M2305" s="1"/>
      <c r="N2305" s="1">
        <f t="shared" si="112"/>
        <v>9</v>
      </c>
      <c r="O2305" s="87"/>
    </row>
    <row r="2306" spans="1:15" ht="15.75" hidden="1" x14ac:dyDescent="0.25">
      <c r="A2306" s="1" t="str">
        <f t="shared" ref="A2306:A2369" si="114">B2306&amp;C2306&amp;G2306&amp;H2306&amp;I2306&amp;J2306</f>
        <v>44826448267.5CURRENTTRANSPORTCAREEM</v>
      </c>
      <c r="B2306" s="2">
        <v>44826</v>
      </c>
      <c r="C2306" s="2">
        <v>44826</v>
      </c>
      <c r="D2306" s="3" t="s">
        <v>2745</v>
      </c>
      <c r="E2306" s="3">
        <v>-7.5</v>
      </c>
      <c r="F2306" s="3">
        <v>1</v>
      </c>
      <c r="G2306" s="3">
        <f t="shared" si="113"/>
        <v>7.5</v>
      </c>
      <c r="H2306" s="3" t="s">
        <v>293</v>
      </c>
      <c r="I2306" s="1" t="s">
        <v>296</v>
      </c>
      <c r="J2306" s="1" t="s">
        <v>297</v>
      </c>
      <c r="K2306" s="1" t="s">
        <v>298</v>
      </c>
      <c r="L2306" s="1" t="s">
        <v>257</v>
      </c>
      <c r="M2306" s="1"/>
      <c r="N2306" s="1">
        <f t="shared" ref="N2306:N2369" si="115">MONTH(C2306)</f>
        <v>9</v>
      </c>
      <c r="O2306" s="87"/>
    </row>
    <row r="2307" spans="1:15" ht="15.75" hidden="1" x14ac:dyDescent="0.25">
      <c r="A2307" s="1" t="str">
        <f t="shared" si="114"/>
        <v>44827448284050FIFA CCTRANSFERINDIA</v>
      </c>
      <c r="B2307" s="2">
        <v>44827</v>
      </c>
      <c r="C2307" s="2">
        <v>44828</v>
      </c>
      <c r="D2307" s="3" t="s">
        <v>2891</v>
      </c>
      <c r="E2307" s="3">
        <v>4050</v>
      </c>
      <c r="F2307" s="3">
        <v>1</v>
      </c>
      <c r="G2307" s="3">
        <f t="shared" si="113"/>
        <v>4050</v>
      </c>
      <c r="H2307" s="3" t="s">
        <v>3294</v>
      </c>
      <c r="I2307" s="1" t="s">
        <v>22</v>
      </c>
      <c r="J2307" s="1" t="s">
        <v>23</v>
      </c>
      <c r="K2307" s="1" t="s">
        <v>298</v>
      </c>
      <c r="L2307" s="1" t="s">
        <v>267</v>
      </c>
      <c r="M2307" s="1"/>
      <c r="N2307" s="1">
        <f t="shared" si="115"/>
        <v>9</v>
      </c>
      <c r="O2307" s="87"/>
    </row>
    <row r="2308" spans="1:15" ht="15.75" hidden="1" x14ac:dyDescent="0.25">
      <c r="A2308" s="1" t="str">
        <f t="shared" si="114"/>
        <v>448274482816FIFA CCGROCERYLULU</v>
      </c>
      <c r="B2308" s="2">
        <v>44827</v>
      </c>
      <c r="C2308" s="2">
        <v>44828</v>
      </c>
      <c r="D2308" s="3" t="s">
        <v>2892</v>
      </c>
      <c r="E2308" s="3">
        <v>16</v>
      </c>
      <c r="F2308" s="3">
        <v>1</v>
      </c>
      <c r="G2308" s="3">
        <f t="shared" si="113"/>
        <v>16</v>
      </c>
      <c r="H2308" s="3" t="s">
        <v>3294</v>
      </c>
      <c r="I2308" s="1" t="s">
        <v>43</v>
      </c>
      <c r="J2308" s="1" t="s">
        <v>44</v>
      </c>
      <c r="K2308" s="1" t="s">
        <v>298</v>
      </c>
      <c r="L2308" s="1" t="s">
        <v>267</v>
      </c>
      <c r="M2308" s="1"/>
      <c r="N2308" s="1">
        <f t="shared" si="115"/>
        <v>9</v>
      </c>
      <c r="O2308" s="87"/>
    </row>
    <row r="2309" spans="1:15" ht="15.75" hidden="1" x14ac:dyDescent="0.25">
      <c r="A2309" s="1" t="str">
        <f t="shared" si="114"/>
        <v>4482744828271.43FIFA CCGROCERYLULU</v>
      </c>
      <c r="B2309" s="2">
        <v>44827</v>
      </c>
      <c r="C2309" s="2">
        <v>44828</v>
      </c>
      <c r="D2309" s="3" t="s">
        <v>2893</v>
      </c>
      <c r="E2309" s="3">
        <v>271.43</v>
      </c>
      <c r="F2309" s="3">
        <v>1</v>
      </c>
      <c r="G2309" s="3">
        <f t="shared" si="113"/>
        <v>271.43</v>
      </c>
      <c r="H2309" s="3" t="s">
        <v>3294</v>
      </c>
      <c r="I2309" s="1" t="s">
        <v>43</v>
      </c>
      <c r="J2309" s="1" t="s">
        <v>44</v>
      </c>
      <c r="K2309" s="1" t="s">
        <v>298</v>
      </c>
      <c r="L2309" s="1" t="s">
        <v>267</v>
      </c>
      <c r="M2309" s="1"/>
      <c r="N2309" s="1">
        <f t="shared" si="115"/>
        <v>9</v>
      </c>
      <c r="O2309" s="87"/>
    </row>
    <row r="2310" spans="1:15" ht="15.75" hidden="1" x14ac:dyDescent="0.25">
      <c r="A2310" s="1" t="str">
        <f t="shared" si="114"/>
        <v>44829448298.3CURRENTTRANSPORTCAREEM</v>
      </c>
      <c r="B2310" s="2">
        <v>44829</v>
      </c>
      <c r="C2310" s="2">
        <v>44829</v>
      </c>
      <c r="D2310" s="3" t="s">
        <v>2744</v>
      </c>
      <c r="E2310" s="3">
        <v>-8.3000000000000007</v>
      </c>
      <c r="F2310" s="3">
        <v>1</v>
      </c>
      <c r="G2310" s="3">
        <f t="shared" si="113"/>
        <v>8.3000000000000007</v>
      </c>
      <c r="H2310" s="3" t="s">
        <v>293</v>
      </c>
      <c r="I2310" s="1" t="s">
        <v>296</v>
      </c>
      <c r="J2310" s="1" t="s">
        <v>297</v>
      </c>
      <c r="K2310" s="1" t="s">
        <v>298</v>
      </c>
      <c r="L2310" s="1" t="s">
        <v>257</v>
      </c>
      <c r="M2310" s="1"/>
      <c r="N2310" s="1">
        <f t="shared" si="115"/>
        <v>9</v>
      </c>
      <c r="O2310" s="87"/>
    </row>
    <row r="2311" spans="1:15" ht="15.75" hidden="1" x14ac:dyDescent="0.25">
      <c r="A2311" s="1" t="str">
        <f t="shared" si="114"/>
        <v>44829448297.5CURRENTTRANSPORTCAREEM</v>
      </c>
      <c r="B2311" s="2">
        <v>44829</v>
      </c>
      <c r="C2311" s="2">
        <v>44829</v>
      </c>
      <c r="D2311" s="3" t="s">
        <v>2831</v>
      </c>
      <c r="E2311" s="3">
        <v>-7.5</v>
      </c>
      <c r="F2311" s="3">
        <v>1</v>
      </c>
      <c r="G2311" s="3">
        <f t="shared" si="113"/>
        <v>7.5</v>
      </c>
      <c r="H2311" s="3" t="s">
        <v>293</v>
      </c>
      <c r="I2311" s="1" t="s">
        <v>296</v>
      </c>
      <c r="J2311" s="1" t="s">
        <v>297</v>
      </c>
      <c r="K2311" s="1" t="s">
        <v>298</v>
      </c>
      <c r="L2311" s="1" t="s">
        <v>257</v>
      </c>
      <c r="M2311" s="1"/>
      <c r="N2311" s="1">
        <f t="shared" si="115"/>
        <v>9</v>
      </c>
      <c r="O2311" s="87"/>
    </row>
    <row r="2312" spans="1:15" ht="15.75" hidden="1" x14ac:dyDescent="0.25">
      <c r="A2312" s="1" t="str">
        <f t="shared" si="114"/>
        <v>4483044830132.45CURRENTGROCERYINDIAN SUPER</v>
      </c>
      <c r="B2312" s="2">
        <v>44830</v>
      </c>
      <c r="C2312" s="2">
        <v>44830</v>
      </c>
      <c r="D2312" s="3" t="s">
        <v>2830</v>
      </c>
      <c r="E2312" s="3">
        <v>-132.44999999999999</v>
      </c>
      <c r="F2312" s="3">
        <v>1</v>
      </c>
      <c r="G2312" s="3">
        <f t="shared" si="113"/>
        <v>132.44999999999999</v>
      </c>
      <c r="H2312" s="3" t="s">
        <v>293</v>
      </c>
      <c r="I2312" s="1" t="s">
        <v>43</v>
      </c>
      <c r="J2312" s="1" t="s">
        <v>2273</v>
      </c>
      <c r="K2312" s="1" t="s">
        <v>298</v>
      </c>
      <c r="L2312" s="1" t="s">
        <v>257</v>
      </c>
      <c r="M2312" s="1"/>
      <c r="N2312" s="1">
        <f t="shared" si="115"/>
        <v>9</v>
      </c>
      <c r="O2312" s="87"/>
    </row>
    <row r="2313" spans="1:15" ht="15.75" hidden="1" x14ac:dyDescent="0.25">
      <c r="A2313" s="1" t="str">
        <f t="shared" si="114"/>
        <v>44831448317.5CURRENTTRANSPORTCAREEM</v>
      </c>
      <c r="B2313" s="2">
        <v>44831</v>
      </c>
      <c r="C2313" s="2">
        <v>44831</v>
      </c>
      <c r="D2313" s="3" t="s">
        <v>2829</v>
      </c>
      <c r="E2313" s="3">
        <v>-7.5</v>
      </c>
      <c r="F2313" s="3">
        <v>1</v>
      </c>
      <c r="G2313" s="3">
        <f t="shared" si="113"/>
        <v>7.5</v>
      </c>
      <c r="H2313" s="3" t="s">
        <v>293</v>
      </c>
      <c r="I2313" s="1" t="s">
        <v>296</v>
      </c>
      <c r="J2313" s="1" t="s">
        <v>297</v>
      </c>
      <c r="K2313" s="1" t="s">
        <v>298</v>
      </c>
      <c r="L2313" s="1" t="s">
        <v>257</v>
      </c>
      <c r="M2313" s="1"/>
      <c r="N2313" s="1">
        <f t="shared" si="115"/>
        <v>9</v>
      </c>
      <c r="O2313" s="87"/>
    </row>
    <row r="2314" spans="1:15" ht="15.75" hidden="1" x14ac:dyDescent="0.25">
      <c r="A2314" s="1" t="str">
        <f t="shared" si="114"/>
        <v>44832448328244.15CURRENTCC BILL PAYMENTBANK</v>
      </c>
      <c r="B2314" s="2">
        <v>44832</v>
      </c>
      <c r="C2314" s="2">
        <v>44832</v>
      </c>
      <c r="D2314" s="3" t="s">
        <v>2826</v>
      </c>
      <c r="E2314" s="3">
        <v>-8244.15</v>
      </c>
      <c r="F2314" s="3">
        <v>1</v>
      </c>
      <c r="G2314" s="3">
        <f t="shared" si="113"/>
        <v>8244.15</v>
      </c>
      <c r="H2314" s="3" t="s">
        <v>293</v>
      </c>
      <c r="I2314" s="1" t="s">
        <v>81</v>
      </c>
      <c r="J2314" s="1" t="s">
        <v>8</v>
      </c>
      <c r="K2314" s="1" t="s">
        <v>298</v>
      </c>
      <c r="L2314" s="1" t="s">
        <v>257</v>
      </c>
      <c r="M2314" s="1"/>
      <c r="N2314" s="1">
        <f t="shared" si="115"/>
        <v>9</v>
      </c>
      <c r="O2314" s="87"/>
    </row>
    <row r="2315" spans="1:15" ht="15.75" hidden="1" x14ac:dyDescent="0.25">
      <c r="A2315" s="1" t="str">
        <f t="shared" si="114"/>
        <v>44832448324976CURRENTLOANBANK</v>
      </c>
      <c r="B2315" s="2">
        <v>44832</v>
      </c>
      <c r="C2315" s="2">
        <v>44832</v>
      </c>
      <c r="D2315" s="3" t="s">
        <v>2627</v>
      </c>
      <c r="E2315" s="3">
        <v>-4976</v>
      </c>
      <c r="F2315" s="3">
        <v>1</v>
      </c>
      <c r="G2315" s="3">
        <f t="shared" ref="G2315:G2378" si="116">ABS(E2315)*F2315</f>
        <v>4976</v>
      </c>
      <c r="H2315" s="3" t="s">
        <v>293</v>
      </c>
      <c r="I2315" s="1" t="s">
        <v>3</v>
      </c>
      <c r="J2315" s="1" t="s">
        <v>8</v>
      </c>
      <c r="K2315" s="1" t="s">
        <v>298</v>
      </c>
      <c r="L2315" s="1" t="s">
        <v>257</v>
      </c>
      <c r="M2315" s="1">
        <v>1</v>
      </c>
      <c r="N2315" s="1">
        <f t="shared" si="115"/>
        <v>9</v>
      </c>
      <c r="O2315" s="87"/>
    </row>
    <row r="2316" spans="1:15" ht="15.75" hidden="1" x14ac:dyDescent="0.25">
      <c r="A2316" s="1" t="str">
        <f t="shared" si="114"/>
        <v>44832448327.5CURRENTTRANSPORTCAREEM</v>
      </c>
      <c r="B2316" s="2">
        <v>44832</v>
      </c>
      <c r="C2316" s="2">
        <v>44832</v>
      </c>
      <c r="D2316" s="3" t="s">
        <v>2827</v>
      </c>
      <c r="E2316" s="3">
        <v>-7.5</v>
      </c>
      <c r="F2316" s="3">
        <v>1</v>
      </c>
      <c r="G2316" s="3">
        <f t="shared" si="116"/>
        <v>7.5</v>
      </c>
      <c r="H2316" s="3" t="s">
        <v>293</v>
      </c>
      <c r="I2316" s="1" t="s">
        <v>296</v>
      </c>
      <c r="J2316" s="1" t="s">
        <v>297</v>
      </c>
      <c r="K2316" s="1" t="s">
        <v>298</v>
      </c>
      <c r="L2316" s="1" t="s">
        <v>257</v>
      </c>
      <c r="M2316" s="1"/>
      <c r="N2316" s="1">
        <f t="shared" si="115"/>
        <v>9</v>
      </c>
      <c r="O2316" s="87"/>
    </row>
    <row r="2317" spans="1:15" ht="15.75" hidden="1" x14ac:dyDescent="0.25">
      <c r="A2317" s="1" t="str">
        <f t="shared" si="114"/>
        <v>448324483220204CURRENTSALARYQATAR AIR</v>
      </c>
      <c r="B2317" s="2">
        <v>44832</v>
      </c>
      <c r="C2317" s="2">
        <v>44832</v>
      </c>
      <c r="D2317" s="3" t="s">
        <v>2828</v>
      </c>
      <c r="E2317" s="3">
        <v>20204</v>
      </c>
      <c r="F2317" s="3">
        <v>1</v>
      </c>
      <c r="G2317" s="3">
        <f t="shared" si="116"/>
        <v>20204</v>
      </c>
      <c r="H2317" s="3" t="s">
        <v>293</v>
      </c>
      <c r="I2317" s="1" t="s">
        <v>18</v>
      </c>
      <c r="J2317" s="1" t="s">
        <v>19</v>
      </c>
      <c r="K2317" s="1" t="s">
        <v>300</v>
      </c>
      <c r="L2317" s="1" t="s">
        <v>257</v>
      </c>
      <c r="M2317" s="1"/>
      <c r="N2317" s="1">
        <f t="shared" si="115"/>
        <v>9</v>
      </c>
      <c r="O2317" s="87"/>
    </row>
    <row r="2318" spans="1:15" ht="15.75" hidden="1" x14ac:dyDescent="0.25">
      <c r="A2318" s="1" t="str">
        <f t="shared" si="114"/>
        <v>44832448328244.15DINERSCC BILL PAYMENTBANK</v>
      </c>
      <c r="B2318" s="2">
        <v>44832</v>
      </c>
      <c r="C2318" s="2">
        <v>44832</v>
      </c>
      <c r="D2318" s="3" t="s">
        <v>80</v>
      </c>
      <c r="E2318" s="3">
        <v>-8244.15</v>
      </c>
      <c r="F2318" s="3">
        <v>1</v>
      </c>
      <c r="G2318" s="3">
        <f t="shared" si="116"/>
        <v>8244.15</v>
      </c>
      <c r="H2318" s="3" t="s">
        <v>266</v>
      </c>
      <c r="I2318" s="1" t="s">
        <v>81</v>
      </c>
      <c r="J2318" s="1" t="s">
        <v>8</v>
      </c>
      <c r="K2318" s="1" t="s">
        <v>300</v>
      </c>
      <c r="L2318" s="1" t="s">
        <v>267</v>
      </c>
      <c r="M2318" s="1"/>
      <c r="N2318" s="1">
        <f t="shared" si="115"/>
        <v>9</v>
      </c>
      <c r="O2318" s="87"/>
    </row>
    <row r="2319" spans="1:15" ht="15.75" hidden="1" x14ac:dyDescent="0.25">
      <c r="A2319" s="1" t="str">
        <f t="shared" si="114"/>
        <v>44833448337.5CURRENTTRANSPORTCAREEM</v>
      </c>
      <c r="B2319" s="2">
        <v>44833</v>
      </c>
      <c r="C2319" s="2">
        <v>44833</v>
      </c>
      <c r="D2319" s="3" t="s">
        <v>2825</v>
      </c>
      <c r="E2319" s="3">
        <v>-7.5</v>
      </c>
      <c r="F2319" s="3">
        <v>1</v>
      </c>
      <c r="G2319" s="3">
        <f t="shared" si="116"/>
        <v>7.5</v>
      </c>
      <c r="H2319" s="3" t="s">
        <v>293</v>
      </c>
      <c r="I2319" s="1" t="s">
        <v>296</v>
      </c>
      <c r="J2319" s="1" t="s">
        <v>297</v>
      </c>
      <c r="K2319" s="1" t="s">
        <v>298</v>
      </c>
      <c r="L2319" s="1" t="s">
        <v>257</v>
      </c>
      <c r="M2319" s="1"/>
      <c r="N2319" s="1">
        <f t="shared" si="115"/>
        <v>9</v>
      </c>
      <c r="O2319" s="87"/>
    </row>
    <row r="2320" spans="1:15" ht="15.75" hidden="1" x14ac:dyDescent="0.25">
      <c r="A2320" s="1" t="str">
        <f t="shared" si="114"/>
        <v>448344483493CURRENTGROCERYFFC</v>
      </c>
      <c r="B2320" s="2">
        <v>44834</v>
      </c>
      <c r="C2320" s="2">
        <v>44834</v>
      </c>
      <c r="D2320" s="3" t="s">
        <v>2823</v>
      </c>
      <c r="E2320" s="3">
        <v>-93</v>
      </c>
      <c r="F2320" s="3">
        <v>1</v>
      </c>
      <c r="G2320" s="3">
        <f t="shared" si="116"/>
        <v>93</v>
      </c>
      <c r="H2320" s="3" t="s">
        <v>293</v>
      </c>
      <c r="I2320" s="1" t="s">
        <v>43</v>
      </c>
      <c r="J2320" s="1" t="s">
        <v>96</v>
      </c>
      <c r="K2320" s="1" t="s">
        <v>298</v>
      </c>
      <c r="L2320" s="1" t="s">
        <v>257</v>
      </c>
      <c r="M2320" s="1"/>
      <c r="N2320" s="1">
        <f t="shared" si="115"/>
        <v>9</v>
      </c>
      <c r="O2320" s="87"/>
    </row>
    <row r="2321" spans="1:15" ht="15.75" hidden="1" x14ac:dyDescent="0.25">
      <c r="A2321" s="1" t="str">
        <f t="shared" si="114"/>
        <v>44834448347.5CURRENTTRANSPORTCAREEM</v>
      </c>
      <c r="B2321" s="2">
        <v>44834</v>
      </c>
      <c r="C2321" s="2">
        <v>44834</v>
      </c>
      <c r="D2321" s="3" t="s">
        <v>2824</v>
      </c>
      <c r="E2321" s="3">
        <v>-7.5</v>
      </c>
      <c r="F2321" s="3">
        <v>1</v>
      </c>
      <c r="G2321" s="3">
        <f t="shared" si="116"/>
        <v>7.5</v>
      </c>
      <c r="H2321" s="3" t="s">
        <v>293</v>
      </c>
      <c r="I2321" s="1" t="s">
        <v>296</v>
      </c>
      <c r="J2321" s="1" t="s">
        <v>297</v>
      </c>
      <c r="K2321" s="1" t="s">
        <v>298</v>
      </c>
      <c r="L2321" s="1" t="s">
        <v>257</v>
      </c>
      <c r="M2321" s="1"/>
      <c r="N2321" s="1">
        <f t="shared" si="115"/>
        <v>9</v>
      </c>
      <c r="O2321" s="87"/>
    </row>
    <row r="2322" spans="1:15" ht="15.75" hidden="1" x14ac:dyDescent="0.25">
      <c r="A2322" s="1" t="str">
        <f t="shared" si="114"/>
        <v>4483544836120FIFA CCFOODCAFÉ/REST.</v>
      </c>
      <c r="B2322" s="2">
        <v>44835</v>
      </c>
      <c r="C2322" s="2">
        <v>44836</v>
      </c>
      <c r="D2322" s="3" t="s">
        <v>2890</v>
      </c>
      <c r="E2322" s="3">
        <v>120</v>
      </c>
      <c r="F2322" s="3">
        <v>1</v>
      </c>
      <c r="G2322" s="3">
        <f t="shared" si="116"/>
        <v>120</v>
      </c>
      <c r="H2322" s="3" t="s">
        <v>3294</v>
      </c>
      <c r="I2322" s="1" t="s">
        <v>10</v>
      </c>
      <c r="J2322" s="1" t="s">
        <v>11</v>
      </c>
      <c r="K2322" s="1" t="s">
        <v>298</v>
      </c>
      <c r="L2322" s="1" t="s">
        <v>267</v>
      </c>
      <c r="M2322" s="1"/>
      <c r="N2322" s="1">
        <f t="shared" si="115"/>
        <v>10</v>
      </c>
      <c r="O2322" s="87"/>
    </row>
    <row r="2323" spans="1:15" ht="15.75" hidden="1" x14ac:dyDescent="0.25">
      <c r="A2323" s="1" t="str">
        <f t="shared" si="114"/>
        <v>44836448361000CURRENTWITHDRAWSELF</v>
      </c>
      <c r="B2323" s="2">
        <v>44836</v>
      </c>
      <c r="C2323" s="2">
        <v>44836</v>
      </c>
      <c r="D2323" s="3" t="s">
        <v>2821</v>
      </c>
      <c r="E2323" s="3">
        <v>-1000</v>
      </c>
      <c r="F2323" s="3">
        <v>1</v>
      </c>
      <c r="G2323" s="3">
        <f t="shared" si="116"/>
        <v>1000</v>
      </c>
      <c r="H2323" s="3" t="s">
        <v>293</v>
      </c>
      <c r="I2323" s="1" t="s">
        <v>13</v>
      </c>
      <c r="J2323" s="1" t="s">
        <v>14</v>
      </c>
      <c r="K2323" s="1" t="s">
        <v>298</v>
      </c>
      <c r="L2323" s="1" t="s">
        <v>257</v>
      </c>
      <c r="M2323" s="1"/>
      <c r="N2323" s="1">
        <f t="shared" si="115"/>
        <v>10</v>
      </c>
      <c r="O2323" s="87"/>
    </row>
    <row r="2324" spans="1:15" ht="15.75" hidden="1" x14ac:dyDescent="0.25">
      <c r="A2324" s="1" t="str">
        <f t="shared" si="114"/>
        <v>44836448367.5CURRENTTRANSPORTCAREEM</v>
      </c>
      <c r="B2324" s="2">
        <v>44836</v>
      </c>
      <c r="C2324" s="2">
        <v>44836</v>
      </c>
      <c r="D2324" s="3" t="s">
        <v>2822</v>
      </c>
      <c r="E2324" s="3">
        <v>-7.5</v>
      </c>
      <c r="F2324" s="3">
        <v>1</v>
      </c>
      <c r="G2324" s="3">
        <f t="shared" si="116"/>
        <v>7.5</v>
      </c>
      <c r="H2324" s="3" t="s">
        <v>293</v>
      </c>
      <c r="I2324" s="1" t="s">
        <v>296</v>
      </c>
      <c r="J2324" s="1" t="s">
        <v>297</v>
      </c>
      <c r="K2324" s="1" t="s">
        <v>298</v>
      </c>
      <c r="L2324" s="1" t="s">
        <v>257</v>
      </c>
      <c r="M2324" s="1"/>
      <c r="N2324" s="1">
        <f t="shared" si="115"/>
        <v>10</v>
      </c>
      <c r="O2324" s="87"/>
    </row>
    <row r="2325" spans="1:15" ht="15.75" hidden="1" x14ac:dyDescent="0.25">
      <c r="A2325" s="1" t="str">
        <f t="shared" si="114"/>
        <v>44836448362000CURRENTSAVINGSELF</v>
      </c>
      <c r="B2325" s="2">
        <v>44836</v>
      </c>
      <c r="C2325" s="2">
        <v>44836</v>
      </c>
      <c r="D2325" s="3" t="s">
        <v>1519</v>
      </c>
      <c r="E2325" s="3">
        <v>-2000</v>
      </c>
      <c r="F2325" s="3">
        <v>1</v>
      </c>
      <c r="G2325" s="3">
        <f t="shared" si="116"/>
        <v>2000</v>
      </c>
      <c r="H2325" s="3" t="s">
        <v>293</v>
      </c>
      <c r="I2325" s="1" t="s">
        <v>302</v>
      </c>
      <c r="J2325" s="1" t="s">
        <v>14</v>
      </c>
      <c r="K2325" s="1" t="s">
        <v>298</v>
      </c>
      <c r="L2325" s="1" t="s">
        <v>257</v>
      </c>
      <c r="M2325" s="1"/>
      <c r="N2325" s="1">
        <f t="shared" si="115"/>
        <v>10</v>
      </c>
      <c r="O2325" s="87"/>
    </row>
    <row r="2326" spans="1:15" ht="15.75" hidden="1" x14ac:dyDescent="0.25">
      <c r="A2326" s="1" t="str">
        <f t="shared" si="114"/>
        <v>4483644836500CURRENTSAVINGARTI</v>
      </c>
      <c r="B2326" s="2">
        <v>44836</v>
      </c>
      <c r="C2326" s="2">
        <v>44836</v>
      </c>
      <c r="D2326" s="3" t="s">
        <v>1588</v>
      </c>
      <c r="E2326" s="3">
        <v>-500</v>
      </c>
      <c r="F2326" s="3">
        <v>1</v>
      </c>
      <c r="G2326" s="3">
        <f t="shared" si="116"/>
        <v>500</v>
      </c>
      <c r="H2326" s="3" t="s">
        <v>293</v>
      </c>
      <c r="I2326" s="1" t="s">
        <v>302</v>
      </c>
      <c r="J2326" s="1" t="s">
        <v>453</v>
      </c>
      <c r="K2326" s="1" t="s">
        <v>298</v>
      </c>
      <c r="L2326" s="1" t="s">
        <v>257</v>
      </c>
      <c r="M2326" s="1"/>
      <c r="N2326" s="1">
        <f t="shared" si="115"/>
        <v>10</v>
      </c>
      <c r="O2326" s="87"/>
    </row>
    <row r="2327" spans="1:15" ht="15.75" hidden="1" x14ac:dyDescent="0.25">
      <c r="A2327" s="1" t="str">
        <f t="shared" si="114"/>
        <v>448364483830FIFA CCFOODCAFÉ/REST.</v>
      </c>
      <c r="B2327" s="2">
        <v>44836</v>
      </c>
      <c r="C2327" s="2">
        <v>44838</v>
      </c>
      <c r="D2327" s="3" t="s">
        <v>2888</v>
      </c>
      <c r="E2327" s="3">
        <v>30</v>
      </c>
      <c r="F2327" s="3">
        <v>1</v>
      </c>
      <c r="G2327" s="3">
        <f t="shared" si="116"/>
        <v>30</v>
      </c>
      <c r="H2327" s="3" t="s">
        <v>3294</v>
      </c>
      <c r="I2327" s="1" t="s">
        <v>10</v>
      </c>
      <c r="J2327" s="1" t="s">
        <v>11</v>
      </c>
      <c r="K2327" s="1" t="s">
        <v>298</v>
      </c>
      <c r="L2327" s="1" t="s">
        <v>267</v>
      </c>
      <c r="M2327" s="1"/>
      <c r="N2327" s="1">
        <f t="shared" si="115"/>
        <v>10</v>
      </c>
      <c r="O2327" s="87"/>
    </row>
    <row r="2328" spans="1:15" ht="15.75" hidden="1" x14ac:dyDescent="0.25">
      <c r="A2328" s="1" t="str">
        <f t="shared" si="114"/>
        <v>4483644837248FIFA CCSHOPPINGANSAR</v>
      </c>
      <c r="B2328" s="2">
        <v>44836</v>
      </c>
      <c r="C2328" s="2">
        <v>44837</v>
      </c>
      <c r="D2328" s="3" t="s">
        <v>2889</v>
      </c>
      <c r="E2328" s="3">
        <v>248</v>
      </c>
      <c r="F2328" s="3">
        <v>1</v>
      </c>
      <c r="G2328" s="3">
        <f t="shared" si="116"/>
        <v>248</v>
      </c>
      <c r="H2328" s="3" t="s">
        <v>3294</v>
      </c>
      <c r="I2328" s="1" t="s">
        <v>194</v>
      </c>
      <c r="J2328" s="1" t="s">
        <v>1656</v>
      </c>
      <c r="K2328" s="1" t="s">
        <v>298</v>
      </c>
      <c r="L2328" s="1" t="s">
        <v>267</v>
      </c>
      <c r="M2328" s="1"/>
      <c r="N2328" s="1">
        <f t="shared" si="115"/>
        <v>10</v>
      </c>
      <c r="O2328" s="87"/>
    </row>
    <row r="2329" spans="1:15" ht="15.75" hidden="1" x14ac:dyDescent="0.25">
      <c r="A2329" s="1" t="str">
        <f t="shared" si="114"/>
        <v>44837448371300CURRENTTRANSFERARTI</v>
      </c>
      <c r="B2329" s="2">
        <v>44837</v>
      </c>
      <c r="C2329" s="2">
        <v>44837</v>
      </c>
      <c r="D2329" s="3" t="s">
        <v>2820</v>
      </c>
      <c r="E2329" s="3">
        <v>1300</v>
      </c>
      <c r="F2329" s="3">
        <v>1</v>
      </c>
      <c r="G2329" s="3">
        <f t="shared" si="116"/>
        <v>1300</v>
      </c>
      <c r="H2329" s="3" t="s">
        <v>293</v>
      </c>
      <c r="I2329" s="1" t="s">
        <v>22</v>
      </c>
      <c r="J2329" s="1" t="s">
        <v>453</v>
      </c>
      <c r="K2329" s="1" t="s">
        <v>22</v>
      </c>
      <c r="L2329" s="1" t="s">
        <v>257</v>
      </c>
      <c r="M2329" s="1"/>
      <c r="N2329" s="1">
        <f t="shared" si="115"/>
        <v>10</v>
      </c>
      <c r="O2329" s="87"/>
    </row>
    <row r="2330" spans="1:15" ht="15.75" hidden="1" x14ac:dyDescent="0.25">
      <c r="A2330" s="1" t="str">
        <f t="shared" si="114"/>
        <v>448374483912FIFA CCTRANSPORTCAREEM</v>
      </c>
      <c r="B2330" s="2">
        <v>44837</v>
      </c>
      <c r="C2330" s="2">
        <v>44839</v>
      </c>
      <c r="D2330" s="3" t="s">
        <v>2885</v>
      </c>
      <c r="E2330" s="3">
        <v>12</v>
      </c>
      <c r="F2330" s="3">
        <v>1</v>
      </c>
      <c r="G2330" s="3">
        <f t="shared" si="116"/>
        <v>12</v>
      </c>
      <c r="H2330" s="3" t="s">
        <v>3294</v>
      </c>
      <c r="I2330" s="1" t="s">
        <v>296</v>
      </c>
      <c r="J2330" s="1" t="s">
        <v>297</v>
      </c>
      <c r="K2330" s="1" t="s">
        <v>298</v>
      </c>
      <c r="L2330" s="1" t="s">
        <v>267</v>
      </c>
      <c r="M2330" s="1"/>
      <c r="N2330" s="1">
        <f t="shared" si="115"/>
        <v>10</v>
      </c>
      <c r="O2330" s="87"/>
    </row>
    <row r="2331" spans="1:15" ht="15.75" hidden="1" x14ac:dyDescent="0.25">
      <c r="A2331" s="1" t="str">
        <f t="shared" si="114"/>
        <v>448374483929FIFA CCFOODQATAR AIR</v>
      </c>
      <c r="B2331" s="2">
        <v>44837</v>
      </c>
      <c r="C2331" s="2">
        <v>44839</v>
      </c>
      <c r="D2331" s="3" t="s">
        <v>2886</v>
      </c>
      <c r="E2331" s="3">
        <v>29</v>
      </c>
      <c r="F2331" s="3">
        <v>1</v>
      </c>
      <c r="G2331" s="3">
        <f t="shared" si="116"/>
        <v>29</v>
      </c>
      <c r="H2331" s="3" t="s">
        <v>3294</v>
      </c>
      <c r="I2331" s="1" t="s">
        <v>10</v>
      </c>
      <c r="J2331" s="1" t="s">
        <v>19</v>
      </c>
      <c r="K2331" s="1" t="s">
        <v>298</v>
      </c>
      <c r="L2331" s="1" t="s">
        <v>267</v>
      </c>
      <c r="M2331" s="1"/>
      <c r="N2331" s="1">
        <f t="shared" si="115"/>
        <v>10</v>
      </c>
      <c r="O2331" s="87"/>
    </row>
    <row r="2332" spans="1:15" ht="15.75" hidden="1" x14ac:dyDescent="0.25">
      <c r="A2332" s="1" t="str">
        <f t="shared" si="114"/>
        <v>448374483914FIFA CCFOODQATAR AIR</v>
      </c>
      <c r="B2332" s="2">
        <v>44837</v>
      </c>
      <c r="C2332" s="2">
        <v>44839</v>
      </c>
      <c r="D2332" s="3" t="s">
        <v>2887</v>
      </c>
      <c r="E2332" s="3">
        <v>14</v>
      </c>
      <c r="F2332" s="3">
        <v>1</v>
      </c>
      <c r="G2332" s="3">
        <f t="shared" si="116"/>
        <v>14</v>
      </c>
      <c r="H2332" s="3" t="s">
        <v>3294</v>
      </c>
      <c r="I2332" s="1" t="s">
        <v>10</v>
      </c>
      <c r="J2332" s="1" t="s">
        <v>19</v>
      </c>
      <c r="K2332" s="1" t="s">
        <v>298</v>
      </c>
      <c r="L2332" s="1" t="s">
        <v>267</v>
      </c>
      <c r="M2332" s="1"/>
      <c r="N2332" s="1">
        <f t="shared" si="115"/>
        <v>10</v>
      </c>
      <c r="O2332" s="87"/>
    </row>
    <row r="2333" spans="1:15" ht="15.75" hidden="1" x14ac:dyDescent="0.25">
      <c r="A2333" s="1" t="str">
        <f t="shared" si="114"/>
        <v>448374483960MASTER CCTELECOMOOREDOO</v>
      </c>
      <c r="B2333" s="2">
        <v>44837</v>
      </c>
      <c r="C2333" s="2">
        <v>44839</v>
      </c>
      <c r="D2333" s="3" t="s">
        <v>2898</v>
      </c>
      <c r="E2333" s="3">
        <v>60</v>
      </c>
      <c r="F2333" s="3">
        <v>1</v>
      </c>
      <c r="G2333" s="3">
        <f t="shared" si="116"/>
        <v>60</v>
      </c>
      <c r="H2333" s="3" t="s">
        <v>291</v>
      </c>
      <c r="I2333" s="1" t="s">
        <v>58</v>
      </c>
      <c r="J2333" s="1" t="s">
        <v>59</v>
      </c>
      <c r="K2333" s="1" t="s">
        <v>298</v>
      </c>
      <c r="L2333" s="1" t="s">
        <v>267</v>
      </c>
      <c r="M2333" s="1"/>
      <c r="N2333" s="1">
        <f t="shared" si="115"/>
        <v>10</v>
      </c>
      <c r="O2333" s="87"/>
    </row>
    <row r="2334" spans="1:15" ht="15.75" hidden="1" x14ac:dyDescent="0.25">
      <c r="A2334" s="1" t="str">
        <f t="shared" si="114"/>
        <v>44839448397.5CURRENTTRANSPORTCAREEM</v>
      </c>
      <c r="B2334" s="2">
        <v>44839</v>
      </c>
      <c r="C2334" s="2">
        <v>44839</v>
      </c>
      <c r="D2334" s="3" t="s">
        <v>2817</v>
      </c>
      <c r="E2334" s="3">
        <v>-7.5</v>
      </c>
      <c r="F2334" s="3">
        <v>1</v>
      </c>
      <c r="G2334" s="3">
        <f t="shared" si="116"/>
        <v>7.5</v>
      </c>
      <c r="H2334" s="3" t="s">
        <v>293</v>
      </c>
      <c r="I2334" s="1" t="s">
        <v>296</v>
      </c>
      <c r="J2334" s="1" t="s">
        <v>297</v>
      </c>
      <c r="K2334" s="1" t="s">
        <v>298</v>
      </c>
      <c r="L2334" s="1" t="s">
        <v>257</v>
      </c>
      <c r="M2334" s="1"/>
      <c r="N2334" s="1">
        <f t="shared" si="115"/>
        <v>10</v>
      </c>
      <c r="O2334" s="87"/>
    </row>
    <row r="2335" spans="1:15" ht="15.75" hidden="1" x14ac:dyDescent="0.25">
      <c r="A2335" s="1" t="str">
        <f t="shared" si="114"/>
        <v>44839448397.5CURRENTTRANSPORTCAREEM</v>
      </c>
      <c r="B2335" s="2">
        <v>44839</v>
      </c>
      <c r="C2335" s="2">
        <v>44839</v>
      </c>
      <c r="D2335" s="3" t="s">
        <v>2818</v>
      </c>
      <c r="E2335" s="3">
        <v>-7.5</v>
      </c>
      <c r="F2335" s="3">
        <v>1</v>
      </c>
      <c r="G2335" s="3">
        <f t="shared" si="116"/>
        <v>7.5</v>
      </c>
      <c r="H2335" s="3" t="s">
        <v>293</v>
      </c>
      <c r="I2335" s="1" t="s">
        <v>296</v>
      </c>
      <c r="J2335" s="1" t="s">
        <v>297</v>
      </c>
      <c r="K2335" s="1" t="s">
        <v>298</v>
      </c>
      <c r="L2335" s="1" t="s">
        <v>257</v>
      </c>
      <c r="M2335" s="1"/>
      <c r="N2335" s="1">
        <f t="shared" si="115"/>
        <v>10</v>
      </c>
      <c r="O2335" s="87"/>
    </row>
    <row r="2336" spans="1:15" ht="15.75" hidden="1" x14ac:dyDescent="0.25">
      <c r="A2336" s="1" t="str">
        <f t="shared" si="114"/>
        <v>44839448393500CURRENTRENTEZDAN</v>
      </c>
      <c r="B2336" s="2">
        <v>44839</v>
      </c>
      <c r="C2336" s="2">
        <v>44839</v>
      </c>
      <c r="D2336" s="3" t="s">
        <v>2819</v>
      </c>
      <c r="E2336" s="3">
        <v>3500</v>
      </c>
      <c r="F2336" s="3">
        <v>1</v>
      </c>
      <c r="G2336" s="3">
        <f t="shared" si="116"/>
        <v>3500</v>
      </c>
      <c r="H2336" s="3" t="s">
        <v>293</v>
      </c>
      <c r="I2336" s="1" t="s">
        <v>83</v>
      </c>
      <c r="J2336" s="1" t="s">
        <v>1339</v>
      </c>
      <c r="K2336" s="1" t="s">
        <v>300</v>
      </c>
      <c r="L2336" s="1" t="s">
        <v>257</v>
      </c>
      <c r="M2336" s="1"/>
      <c r="N2336" s="1">
        <f t="shared" si="115"/>
        <v>10</v>
      </c>
      <c r="O2336" s="87"/>
    </row>
    <row r="2337" spans="1:15" ht="15.75" hidden="1" x14ac:dyDescent="0.25">
      <c r="A2337" s="1" t="str">
        <f t="shared" si="114"/>
        <v>4483944841345FIFA CCSHOPPINGCARREFOUR</v>
      </c>
      <c r="B2337" s="2">
        <v>44839</v>
      </c>
      <c r="C2337" s="2">
        <v>44841</v>
      </c>
      <c r="D2337" s="3" t="s">
        <v>2880</v>
      </c>
      <c r="E2337" s="3">
        <v>345</v>
      </c>
      <c r="F2337" s="3">
        <v>1</v>
      </c>
      <c r="G2337" s="3">
        <f t="shared" si="116"/>
        <v>345</v>
      </c>
      <c r="H2337" s="3" t="s">
        <v>3294</v>
      </c>
      <c r="I2337" s="1" t="s">
        <v>194</v>
      </c>
      <c r="J2337" s="1" t="s">
        <v>67</v>
      </c>
      <c r="K2337" s="1" t="s">
        <v>298</v>
      </c>
      <c r="L2337" s="1" t="s">
        <v>267</v>
      </c>
      <c r="M2337" s="1"/>
      <c r="N2337" s="1">
        <f t="shared" si="115"/>
        <v>10</v>
      </c>
      <c r="O2337" s="87"/>
    </row>
    <row r="2338" spans="1:15" ht="15.75" hidden="1" x14ac:dyDescent="0.25">
      <c r="A2338" s="1" t="str">
        <f t="shared" si="114"/>
        <v>448394484115FIFA CCFOODCAFÉ/REST.</v>
      </c>
      <c r="B2338" s="2">
        <v>44839</v>
      </c>
      <c r="C2338" s="2">
        <v>44841</v>
      </c>
      <c r="D2338" s="3" t="s">
        <v>2881</v>
      </c>
      <c r="E2338" s="3">
        <v>15</v>
      </c>
      <c r="F2338" s="3">
        <v>1</v>
      </c>
      <c r="G2338" s="3">
        <f t="shared" si="116"/>
        <v>15</v>
      </c>
      <c r="H2338" s="3" t="s">
        <v>3294</v>
      </c>
      <c r="I2338" s="1" t="s">
        <v>10</v>
      </c>
      <c r="J2338" s="1" t="s">
        <v>11</v>
      </c>
      <c r="K2338" s="1" t="s">
        <v>298</v>
      </c>
      <c r="L2338" s="1" t="s">
        <v>267</v>
      </c>
      <c r="M2338" s="1"/>
      <c r="N2338" s="1">
        <f t="shared" si="115"/>
        <v>10</v>
      </c>
      <c r="O2338" s="87"/>
    </row>
    <row r="2339" spans="1:15" ht="15.75" hidden="1" x14ac:dyDescent="0.25">
      <c r="A2339" s="1" t="str">
        <f t="shared" si="114"/>
        <v>448394484060FIFA CCENTERTAINMENTFUN</v>
      </c>
      <c r="B2339" s="2">
        <v>44839</v>
      </c>
      <c r="C2339" s="2">
        <v>44840</v>
      </c>
      <c r="D2339" s="3" t="s">
        <v>2882</v>
      </c>
      <c r="E2339" s="3">
        <v>60</v>
      </c>
      <c r="F2339" s="3">
        <v>1</v>
      </c>
      <c r="G2339" s="3">
        <f t="shared" si="116"/>
        <v>60</v>
      </c>
      <c r="H2339" s="3" t="s">
        <v>3294</v>
      </c>
      <c r="I2339" s="1" t="s">
        <v>2476</v>
      </c>
      <c r="J2339" s="1" t="s">
        <v>2581</v>
      </c>
      <c r="K2339" s="1" t="s">
        <v>298</v>
      </c>
      <c r="L2339" s="1" t="s">
        <v>267</v>
      </c>
      <c r="M2339" s="1"/>
      <c r="N2339" s="1">
        <f t="shared" si="115"/>
        <v>10</v>
      </c>
      <c r="O2339" s="87"/>
    </row>
    <row r="2340" spans="1:15" ht="15.75" hidden="1" x14ac:dyDescent="0.25">
      <c r="A2340" s="1" t="str">
        <f t="shared" si="114"/>
        <v>448394484020FIFA CCFOODCAFÉ/REST.</v>
      </c>
      <c r="B2340" s="2">
        <v>44839</v>
      </c>
      <c r="C2340" s="2">
        <v>44840</v>
      </c>
      <c r="D2340" s="3" t="s">
        <v>2883</v>
      </c>
      <c r="E2340" s="3">
        <v>20</v>
      </c>
      <c r="F2340" s="3">
        <v>1</v>
      </c>
      <c r="G2340" s="3">
        <f t="shared" si="116"/>
        <v>20</v>
      </c>
      <c r="H2340" s="3" t="s">
        <v>3294</v>
      </c>
      <c r="I2340" s="1" t="s">
        <v>10</v>
      </c>
      <c r="J2340" s="1" t="s">
        <v>11</v>
      </c>
      <c r="K2340" s="1" t="s">
        <v>298</v>
      </c>
      <c r="L2340" s="1" t="s">
        <v>267</v>
      </c>
      <c r="M2340" s="1"/>
      <c r="N2340" s="1">
        <f t="shared" si="115"/>
        <v>10</v>
      </c>
      <c r="O2340" s="87"/>
    </row>
    <row r="2341" spans="1:15" ht="15.75" hidden="1" x14ac:dyDescent="0.25">
      <c r="A2341" s="1" t="str">
        <f t="shared" si="114"/>
        <v>44839448407935FIFA CCTRANSFERINDIA</v>
      </c>
      <c r="B2341" s="2">
        <v>44839</v>
      </c>
      <c r="C2341" s="2">
        <v>44840</v>
      </c>
      <c r="D2341" s="3" t="s">
        <v>2884</v>
      </c>
      <c r="E2341" s="3">
        <v>7935</v>
      </c>
      <c r="F2341" s="3">
        <v>1</v>
      </c>
      <c r="G2341" s="3">
        <f t="shared" si="116"/>
        <v>7935</v>
      </c>
      <c r="H2341" s="3" t="s">
        <v>3294</v>
      </c>
      <c r="I2341" s="1" t="s">
        <v>22</v>
      </c>
      <c r="J2341" s="1" t="s">
        <v>23</v>
      </c>
      <c r="K2341" s="1" t="s">
        <v>298</v>
      </c>
      <c r="L2341" s="1" t="s">
        <v>267</v>
      </c>
      <c r="M2341" s="1"/>
      <c r="N2341" s="1">
        <f t="shared" si="115"/>
        <v>10</v>
      </c>
      <c r="O2341" s="87"/>
    </row>
    <row r="2342" spans="1:15" ht="15.75" hidden="1" x14ac:dyDescent="0.25">
      <c r="A2342" s="1" t="str">
        <f t="shared" si="114"/>
        <v>44840448427.5MASTER CCTRANSPORTCAREEM</v>
      </c>
      <c r="B2342" s="2">
        <v>44840</v>
      </c>
      <c r="C2342" s="2">
        <v>44842</v>
      </c>
      <c r="D2342" s="3" t="s">
        <v>2897</v>
      </c>
      <c r="E2342" s="3">
        <v>7.5</v>
      </c>
      <c r="F2342" s="3">
        <v>1</v>
      </c>
      <c r="G2342" s="3">
        <f t="shared" si="116"/>
        <v>7.5</v>
      </c>
      <c r="H2342" s="3" t="s">
        <v>291</v>
      </c>
      <c r="I2342" s="1" t="s">
        <v>296</v>
      </c>
      <c r="J2342" s="1" t="s">
        <v>297</v>
      </c>
      <c r="K2342" s="1" t="s">
        <v>298</v>
      </c>
      <c r="L2342" s="1" t="s">
        <v>267</v>
      </c>
      <c r="M2342" s="1"/>
      <c r="N2342" s="1">
        <f t="shared" si="115"/>
        <v>10</v>
      </c>
      <c r="O2342" s="87"/>
    </row>
    <row r="2343" spans="1:15" ht="15.75" hidden="1" x14ac:dyDescent="0.25">
      <c r="A2343" s="1" t="str">
        <f t="shared" si="114"/>
        <v>4484144844109FIFA CCGROCERYFFC</v>
      </c>
      <c r="B2343" s="2">
        <v>44841</v>
      </c>
      <c r="C2343" s="2">
        <v>44844</v>
      </c>
      <c r="D2343" s="3" t="s">
        <v>2876</v>
      </c>
      <c r="E2343" s="3">
        <v>109</v>
      </c>
      <c r="F2343" s="3">
        <v>1</v>
      </c>
      <c r="G2343" s="3">
        <f t="shared" si="116"/>
        <v>109</v>
      </c>
      <c r="H2343" s="3" t="s">
        <v>3294</v>
      </c>
      <c r="I2343" s="1" t="s">
        <v>43</v>
      </c>
      <c r="J2343" s="1" t="s">
        <v>96</v>
      </c>
      <c r="K2343" s="1" t="s">
        <v>298</v>
      </c>
      <c r="L2343" s="1" t="s">
        <v>267</v>
      </c>
      <c r="M2343" s="1"/>
      <c r="N2343" s="1">
        <f t="shared" si="115"/>
        <v>10</v>
      </c>
      <c r="O2343" s="87"/>
    </row>
    <row r="2344" spans="1:15" ht="15.75" x14ac:dyDescent="0.25">
      <c r="A2344" s="1" t="str">
        <f t="shared" si="114"/>
        <v>44841448432480FIFA CCGOLDMALABAR</v>
      </c>
      <c r="B2344" s="2">
        <v>44841</v>
      </c>
      <c r="C2344" s="2">
        <v>44843</v>
      </c>
      <c r="D2344" s="3" t="s">
        <v>2877</v>
      </c>
      <c r="E2344" s="3">
        <v>2480</v>
      </c>
      <c r="F2344" s="3">
        <v>1</v>
      </c>
      <c r="G2344" s="3">
        <f t="shared" si="116"/>
        <v>2480</v>
      </c>
      <c r="H2344" s="3" t="s">
        <v>3294</v>
      </c>
      <c r="I2344" s="1" t="s">
        <v>106</v>
      </c>
      <c r="J2344" s="1" t="s">
        <v>107</v>
      </c>
      <c r="K2344" s="1" t="s">
        <v>298</v>
      </c>
      <c r="L2344" s="1" t="s">
        <v>267</v>
      </c>
      <c r="M2344" s="1"/>
      <c r="N2344" s="1">
        <f t="shared" si="115"/>
        <v>10</v>
      </c>
      <c r="O2344" s="87"/>
    </row>
    <row r="2345" spans="1:15" ht="15.75" hidden="1" x14ac:dyDescent="0.25">
      <c r="A2345" s="1" t="str">
        <f t="shared" si="114"/>
        <v>448414484222.44FIFA CCGROCERYINDIAN SUPER</v>
      </c>
      <c r="B2345" s="2">
        <v>44841</v>
      </c>
      <c r="C2345" s="2">
        <v>44842</v>
      </c>
      <c r="D2345" s="3" t="s">
        <v>2878</v>
      </c>
      <c r="E2345" s="3">
        <v>22.44</v>
      </c>
      <c r="F2345" s="3">
        <v>1</v>
      </c>
      <c r="G2345" s="3">
        <f t="shared" si="116"/>
        <v>22.44</v>
      </c>
      <c r="H2345" s="3" t="s">
        <v>3294</v>
      </c>
      <c r="I2345" s="1" t="s">
        <v>43</v>
      </c>
      <c r="J2345" s="1" t="s">
        <v>2273</v>
      </c>
      <c r="K2345" s="1" t="s">
        <v>298</v>
      </c>
      <c r="L2345" s="1" t="s">
        <v>267</v>
      </c>
      <c r="M2345" s="1"/>
      <c r="N2345" s="1">
        <f t="shared" si="115"/>
        <v>10</v>
      </c>
      <c r="O2345" s="87"/>
    </row>
    <row r="2346" spans="1:15" ht="15.75" hidden="1" x14ac:dyDescent="0.25">
      <c r="A2346" s="1" t="str">
        <f t="shared" si="114"/>
        <v>4484144842117.1FIFA CCGROCERYLULU</v>
      </c>
      <c r="B2346" s="2">
        <v>44841</v>
      </c>
      <c r="C2346" s="2">
        <v>44842</v>
      </c>
      <c r="D2346" s="3" t="s">
        <v>2879</v>
      </c>
      <c r="E2346" s="3">
        <v>117.1</v>
      </c>
      <c r="F2346" s="3">
        <v>1</v>
      </c>
      <c r="G2346" s="3">
        <f t="shared" si="116"/>
        <v>117.1</v>
      </c>
      <c r="H2346" s="3" t="s">
        <v>3294</v>
      </c>
      <c r="I2346" s="1" t="s">
        <v>43</v>
      </c>
      <c r="J2346" s="1" t="s">
        <v>44</v>
      </c>
      <c r="K2346" s="1" t="s">
        <v>298</v>
      </c>
      <c r="L2346" s="1" t="s">
        <v>267</v>
      </c>
      <c r="M2346" s="1"/>
      <c r="N2346" s="1">
        <f t="shared" si="115"/>
        <v>10</v>
      </c>
      <c r="O2346" s="87"/>
    </row>
    <row r="2347" spans="1:15" ht="15.75" hidden="1" x14ac:dyDescent="0.25">
      <c r="A2347" s="1" t="str">
        <f t="shared" si="114"/>
        <v>4484344845107FIFA CCRENTKAHRAMAA</v>
      </c>
      <c r="B2347" s="2">
        <v>44843</v>
      </c>
      <c r="C2347" s="2">
        <v>44845</v>
      </c>
      <c r="D2347" s="3" t="s">
        <v>2874</v>
      </c>
      <c r="E2347" s="3">
        <v>107</v>
      </c>
      <c r="F2347" s="3">
        <v>1</v>
      </c>
      <c r="G2347" s="3">
        <f t="shared" si="116"/>
        <v>107</v>
      </c>
      <c r="H2347" s="3" t="s">
        <v>3294</v>
      </c>
      <c r="I2347" s="1" t="s">
        <v>83</v>
      </c>
      <c r="J2347" s="1" t="s">
        <v>4113</v>
      </c>
      <c r="K2347" s="1" t="s">
        <v>298</v>
      </c>
      <c r="L2347" s="1" t="s">
        <v>267</v>
      </c>
      <c r="M2347" s="1"/>
      <c r="N2347" s="1">
        <f t="shared" si="115"/>
        <v>10</v>
      </c>
      <c r="O2347" s="87"/>
    </row>
    <row r="2348" spans="1:15" ht="15.75" hidden="1" x14ac:dyDescent="0.25">
      <c r="A2348" s="1" t="str">
        <f t="shared" si="114"/>
        <v>4484344845438.02FIFA CCSHOPPINGQDF</v>
      </c>
      <c r="B2348" s="2">
        <v>44843</v>
      </c>
      <c r="C2348" s="2">
        <v>44845</v>
      </c>
      <c r="D2348" s="3" t="s">
        <v>2875</v>
      </c>
      <c r="E2348" s="3">
        <v>438.02</v>
      </c>
      <c r="F2348" s="3">
        <v>1</v>
      </c>
      <c r="G2348" s="3">
        <f t="shared" si="116"/>
        <v>438.02</v>
      </c>
      <c r="H2348" s="3" t="s">
        <v>3294</v>
      </c>
      <c r="I2348" s="1" t="s">
        <v>194</v>
      </c>
      <c r="J2348" s="1" t="s">
        <v>2900</v>
      </c>
      <c r="K2348" s="1" t="s">
        <v>298</v>
      </c>
      <c r="L2348" s="1" t="s">
        <v>267</v>
      </c>
      <c r="M2348" s="1"/>
      <c r="N2348" s="1">
        <f t="shared" si="115"/>
        <v>10</v>
      </c>
      <c r="O2348" s="87"/>
    </row>
    <row r="2349" spans="1:15" ht="15.75" hidden="1" x14ac:dyDescent="0.25">
      <c r="A2349" s="1" t="str">
        <f t="shared" si="114"/>
        <v>44844448445000CURRENTRENTALBAKER</v>
      </c>
      <c r="B2349" s="2">
        <v>44844</v>
      </c>
      <c r="C2349" s="2">
        <v>44844</v>
      </c>
      <c r="D2349" s="3" t="s">
        <v>2814</v>
      </c>
      <c r="E2349" s="3">
        <v>-5000</v>
      </c>
      <c r="F2349" s="3">
        <v>1</v>
      </c>
      <c r="G2349" s="3">
        <f t="shared" si="116"/>
        <v>5000</v>
      </c>
      <c r="H2349" s="3" t="s">
        <v>293</v>
      </c>
      <c r="I2349" s="1" t="s">
        <v>83</v>
      </c>
      <c r="J2349" s="1" t="s">
        <v>2701</v>
      </c>
      <c r="K2349" s="1" t="s">
        <v>298</v>
      </c>
      <c r="L2349" s="1" t="s">
        <v>257</v>
      </c>
      <c r="M2349" s="1"/>
      <c r="N2349" s="1">
        <f t="shared" si="115"/>
        <v>10</v>
      </c>
      <c r="O2349" s="87"/>
    </row>
    <row r="2350" spans="1:15" ht="15.75" hidden="1" x14ac:dyDescent="0.25">
      <c r="A2350" s="1" t="str">
        <f t="shared" si="114"/>
        <v>448444484411000CURRENTCC BILL PAYMENTBANK</v>
      </c>
      <c r="B2350" s="2">
        <v>44844</v>
      </c>
      <c r="C2350" s="2">
        <v>44844</v>
      </c>
      <c r="D2350" s="3" t="s">
        <v>2815</v>
      </c>
      <c r="E2350" s="3">
        <v>-11000</v>
      </c>
      <c r="F2350" s="3">
        <v>1</v>
      </c>
      <c r="G2350" s="3">
        <f t="shared" si="116"/>
        <v>11000</v>
      </c>
      <c r="H2350" s="3" t="s">
        <v>293</v>
      </c>
      <c r="I2350" s="1" t="s">
        <v>81</v>
      </c>
      <c r="J2350" s="1" t="s">
        <v>8</v>
      </c>
      <c r="K2350" s="1" t="s">
        <v>298</v>
      </c>
      <c r="L2350" s="1" t="s">
        <v>257</v>
      </c>
      <c r="M2350" s="1"/>
      <c r="N2350" s="1">
        <f t="shared" si="115"/>
        <v>10</v>
      </c>
      <c r="O2350" s="87"/>
    </row>
    <row r="2351" spans="1:15" ht="15.75" hidden="1" x14ac:dyDescent="0.25">
      <c r="A2351" s="1" t="str">
        <f t="shared" si="114"/>
        <v>44844448448000CURRENTTRANSFERINDIA</v>
      </c>
      <c r="B2351" s="2">
        <v>44844</v>
      </c>
      <c r="C2351" s="2">
        <v>44844</v>
      </c>
      <c r="D2351" s="3" t="s">
        <v>2816</v>
      </c>
      <c r="E2351" s="3">
        <v>8000</v>
      </c>
      <c r="F2351" s="3">
        <v>1</v>
      </c>
      <c r="G2351" s="3">
        <f t="shared" si="116"/>
        <v>8000</v>
      </c>
      <c r="H2351" s="3" t="s">
        <v>293</v>
      </c>
      <c r="I2351" s="1" t="s">
        <v>22</v>
      </c>
      <c r="J2351" s="1" t="s">
        <v>23</v>
      </c>
      <c r="K2351" s="1" t="s">
        <v>298</v>
      </c>
      <c r="L2351" s="1" t="s">
        <v>257</v>
      </c>
      <c r="M2351" s="1"/>
      <c r="N2351" s="1">
        <f t="shared" si="115"/>
        <v>10</v>
      </c>
      <c r="O2351" s="87"/>
    </row>
    <row r="2352" spans="1:15" ht="15.75" hidden="1" x14ac:dyDescent="0.25">
      <c r="A2352" s="1" t="str">
        <f t="shared" si="114"/>
        <v>448444484411000FIFA CCCC BILL PAYMENTBANK</v>
      </c>
      <c r="B2352" s="2">
        <v>44844</v>
      </c>
      <c r="C2352" s="2">
        <v>44844</v>
      </c>
      <c r="D2352" s="3" t="s">
        <v>80</v>
      </c>
      <c r="E2352" s="3">
        <v>-11000</v>
      </c>
      <c r="F2352" s="3">
        <v>1</v>
      </c>
      <c r="G2352" s="3">
        <f t="shared" si="116"/>
        <v>11000</v>
      </c>
      <c r="H2352" s="3" t="s">
        <v>3294</v>
      </c>
      <c r="I2352" s="1" t="s">
        <v>81</v>
      </c>
      <c r="J2352" s="1" t="s">
        <v>8</v>
      </c>
      <c r="K2352" s="1" t="s">
        <v>300</v>
      </c>
      <c r="L2352" s="1" t="s">
        <v>267</v>
      </c>
      <c r="M2352" s="1"/>
      <c r="N2352" s="1">
        <f t="shared" si="115"/>
        <v>10</v>
      </c>
      <c r="O2352" s="87"/>
    </row>
    <row r="2353" spans="1:15" ht="15.75" hidden="1" x14ac:dyDescent="0.25">
      <c r="A2353" s="1" t="str">
        <f t="shared" si="114"/>
        <v>4484444846109FIFA CCSHOPPINGALANEES</v>
      </c>
      <c r="B2353" s="2">
        <v>44844</v>
      </c>
      <c r="C2353" s="2">
        <v>44846</v>
      </c>
      <c r="D2353" s="3" t="s">
        <v>2873</v>
      </c>
      <c r="E2353" s="3">
        <v>109</v>
      </c>
      <c r="F2353" s="3">
        <v>1</v>
      </c>
      <c r="G2353" s="3">
        <f t="shared" si="116"/>
        <v>109</v>
      </c>
      <c r="H2353" s="3" t="s">
        <v>3294</v>
      </c>
      <c r="I2353" s="1" t="s">
        <v>194</v>
      </c>
      <c r="J2353" s="1" t="s">
        <v>2901</v>
      </c>
      <c r="K2353" s="1" t="s">
        <v>298</v>
      </c>
      <c r="L2353" s="1" t="s">
        <v>267</v>
      </c>
      <c r="M2353" s="1"/>
      <c r="N2353" s="1">
        <f t="shared" si="115"/>
        <v>10</v>
      </c>
      <c r="O2353" s="87"/>
    </row>
    <row r="2354" spans="1:15" ht="15.75" hidden="1" x14ac:dyDescent="0.25">
      <c r="A2354" s="1" t="str">
        <f t="shared" si="114"/>
        <v>44845448457.5CURRENTTRANSPORTCAREEM</v>
      </c>
      <c r="B2354" s="2">
        <v>44845</v>
      </c>
      <c r="C2354" s="2">
        <v>44845</v>
      </c>
      <c r="D2354" s="3" t="s">
        <v>2813</v>
      </c>
      <c r="E2354" s="3">
        <v>-7.5</v>
      </c>
      <c r="F2354" s="3">
        <v>1</v>
      </c>
      <c r="G2354" s="3">
        <f t="shared" si="116"/>
        <v>7.5</v>
      </c>
      <c r="H2354" s="3" t="s">
        <v>293</v>
      </c>
      <c r="I2354" s="1" t="s">
        <v>296</v>
      </c>
      <c r="J2354" s="1" t="s">
        <v>297</v>
      </c>
      <c r="K2354" s="1" t="s">
        <v>298</v>
      </c>
      <c r="L2354" s="1" t="s">
        <v>257</v>
      </c>
      <c r="M2354" s="1"/>
      <c r="N2354" s="1">
        <f t="shared" si="115"/>
        <v>10</v>
      </c>
      <c r="O2354" s="87"/>
    </row>
    <row r="2355" spans="1:15" ht="15.75" hidden="1" x14ac:dyDescent="0.25">
      <c r="A2355" s="1" t="str">
        <f t="shared" si="114"/>
        <v>4484544846213.52FIFA CCGROCERYINDIAN SUPER</v>
      </c>
      <c r="B2355" s="2">
        <v>44845</v>
      </c>
      <c r="C2355" s="2">
        <v>44846</v>
      </c>
      <c r="D2355" s="3" t="s">
        <v>2872</v>
      </c>
      <c r="E2355" s="3">
        <v>213.52</v>
      </c>
      <c r="F2355" s="3">
        <v>1</v>
      </c>
      <c r="G2355" s="3">
        <f t="shared" si="116"/>
        <v>213.52</v>
      </c>
      <c r="H2355" s="3" t="s">
        <v>3294</v>
      </c>
      <c r="I2355" s="1" t="s">
        <v>43</v>
      </c>
      <c r="J2355" s="1" t="s">
        <v>2273</v>
      </c>
      <c r="K2355" s="1" t="s">
        <v>298</v>
      </c>
      <c r="L2355" s="1" t="s">
        <v>267</v>
      </c>
      <c r="M2355" s="1"/>
      <c r="N2355" s="1">
        <f t="shared" si="115"/>
        <v>10</v>
      </c>
      <c r="O2355" s="87"/>
    </row>
    <row r="2356" spans="1:15" ht="15.75" hidden="1" x14ac:dyDescent="0.25">
      <c r="A2356" s="1" t="str">
        <f t="shared" si="114"/>
        <v>44846448467.5CURRENTTRANSPORTCAREEM</v>
      </c>
      <c r="B2356" s="2">
        <v>44846</v>
      </c>
      <c r="C2356" s="2">
        <v>44846</v>
      </c>
      <c r="D2356" s="3" t="s">
        <v>2812</v>
      </c>
      <c r="E2356" s="3">
        <v>-7.5</v>
      </c>
      <c r="F2356" s="3">
        <v>1</v>
      </c>
      <c r="G2356" s="3">
        <f t="shared" si="116"/>
        <v>7.5</v>
      </c>
      <c r="H2356" s="3" t="s">
        <v>293</v>
      </c>
      <c r="I2356" s="1" t="s">
        <v>296</v>
      </c>
      <c r="J2356" s="1" t="s">
        <v>297</v>
      </c>
      <c r="K2356" s="1" t="s">
        <v>298</v>
      </c>
      <c r="L2356" s="1" t="s">
        <v>257</v>
      </c>
      <c r="M2356" s="1"/>
      <c r="N2356" s="1">
        <f t="shared" si="115"/>
        <v>10</v>
      </c>
      <c r="O2356" s="87"/>
    </row>
    <row r="2357" spans="1:15" ht="15.75" hidden="1" x14ac:dyDescent="0.25">
      <c r="A2357" s="1" t="str">
        <f t="shared" si="114"/>
        <v>4484644848200FIFA CCMEDICALHEALTH CENTER</v>
      </c>
      <c r="B2357" s="2">
        <v>44846</v>
      </c>
      <c r="C2357" s="2">
        <v>44848</v>
      </c>
      <c r="D2357" s="3" t="s">
        <v>2868</v>
      </c>
      <c r="E2357" s="3">
        <v>200</v>
      </c>
      <c r="F2357" s="3">
        <v>1</v>
      </c>
      <c r="G2357" s="3">
        <f t="shared" si="116"/>
        <v>200</v>
      </c>
      <c r="H2357" s="3" t="s">
        <v>3294</v>
      </c>
      <c r="I2357" s="1" t="s">
        <v>301</v>
      </c>
      <c r="J2357" s="1" t="s">
        <v>159</v>
      </c>
      <c r="K2357" s="1" t="s">
        <v>298</v>
      </c>
      <c r="L2357" s="1" t="s">
        <v>267</v>
      </c>
      <c r="M2357" s="1"/>
      <c r="N2357" s="1">
        <f t="shared" si="115"/>
        <v>10</v>
      </c>
      <c r="O2357" s="87"/>
    </row>
    <row r="2358" spans="1:15" ht="15.75" hidden="1" x14ac:dyDescent="0.25">
      <c r="A2358" s="1" t="str">
        <f t="shared" si="114"/>
        <v>4484644848100FIFA CCMEDICALHEALTH CENTER</v>
      </c>
      <c r="B2358" s="2">
        <v>44846</v>
      </c>
      <c r="C2358" s="2">
        <v>44848</v>
      </c>
      <c r="D2358" s="3" t="s">
        <v>2869</v>
      </c>
      <c r="E2358" s="3">
        <v>100</v>
      </c>
      <c r="F2358" s="3">
        <v>1</v>
      </c>
      <c r="G2358" s="3">
        <f t="shared" si="116"/>
        <v>100</v>
      </c>
      <c r="H2358" s="3" t="s">
        <v>3294</v>
      </c>
      <c r="I2358" s="1" t="s">
        <v>301</v>
      </c>
      <c r="J2358" s="1" t="s">
        <v>159</v>
      </c>
      <c r="K2358" s="1" t="s">
        <v>298</v>
      </c>
      <c r="L2358" s="1" t="s">
        <v>267</v>
      </c>
      <c r="M2358" s="1"/>
      <c r="N2358" s="1">
        <f t="shared" si="115"/>
        <v>10</v>
      </c>
      <c r="O2358" s="87"/>
    </row>
    <row r="2359" spans="1:15" ht="15.75" hidden="1" x14ac:dyDescent="0.25">
      <c r="A2359" s="1" t="str">
        <f t="shared" si="114"/>
        <v>448464484788FIFA CCSHOPPINGBABYSHOP</v>
      </c>
      <c r="B2359" s="2">
        <v>44846</v>
      </c>
      <c r="C2359" s="2">
        <v>44847</v>
      </c>
      <c r="D2359" s="3" t="s">
        <v>2870</v>
      </c>
      <c r="E2359" s="3">
        <v>88</v>
      </c>
      <c r="F2359" s="3">
        <v>1</v>
      </c>
      <c r="G2359" s="3">
        <f t="shared" si="116"/>
        <v>88</v>
      </c>
      <c r="H2359" s="3" t="s">
        <v>3294</v>
      </c>
      <c r="I2359" s="1" t="s">
        <v>194</v>
      </c>
      <c r="J2359" s="1" t="s">
        <v>1650</v>
      </c>
      <c r="K2359" s="1" t="s">
        <v>298</v>
      </c>
      <c r="L2359" s="1" t="s">
        <v>267</v>
      </c>
      <c r="M2359" s="1"/>
      <c r="N2359" s="1">
        <f t="shared" si="115"/>
        <v>10</v>
      </c>
      <c r="O2359" s="87"/>
    </row>
    <row r="2360" spans="1:15" ht="15.75" hidden="1" x14ac:dyDescent="0.25">
      <c r="A2360" s="1" t="str">
        <f t="shared" si="114"/>
        <v>448464484720FIFA CCFOODCAFÉ/REST.</v>
      </c>
      <c r="B2360" s="2">
        <v>44846</v>
      </c>
      <c r="C2360" s="2">
        <v>44847</v>
      </c>
      <c r="D2360" s="3" t="s">
        <v>2871</v>
      </c>
      <c r="E2360" s="3">
        <v>20</v>
      </c>
      <c r="F2360" s="3">
        <v>1</v>
      </c>
      <c r="G2360" s="3">
        <f t="shared" si="116"/>
        <v>20</v>
      </c>
      <c r="H2360" s="3" t="s">
        <v>3294</v>
      </c>
      <c r="I2360" s="1" t="s">
        <v>10</v>
      </c>
      <c r="J2360" s="1" t="s">
        <v>11</v>
      </c>
      <c r="K2360" s="1" t="s">
        <v>298</v>
      </c>
      <c r="L2360" s="1" t="s">
        <v>267</v>
      </c>
      <c r="M2360" s="1"/>
      <c r="N2360" s="1">
        <f t="shared" si="115"/>
        <v>10</v>
      </c>
      <c r="O2360" s="87"/>
    </row>
    <row r="2361" spans="1:15" ht="15.75" hidden="1" x14ac:dyDescent="0.25">
      <c r="A2361" s="1" t="str">
        <f t="shared" si="114"/>
        <v>44847448477.5CURRENTTRANSPORTCAREEM</v>
      </c>
      <c r="B2361" s="2">
        <v>44847</v>
      </c>
      <c r="C2361" s="2">
        <v>44847</v>
      </c>
      <c r="D2361" s="3" t="s">
        <v>2811</v>
      </c>
      <c r="E2361" s="3">
        <v>-7.5</v>
      </c>
      <c r="F2361" s="3">
        <v>1</v>
      </c>
      <c r="G2361" s="3">
        <f t="shared" si="116"/>
        <v>7.5</v>
      </c>
      <c r="H2361" s="3" t="s">
        <v>293</v>
      </c>
      <c r="I2361" s="1" t="s">
        <v>296</v>
      </c>
      <c r="J2361" s="1" t="s">
        <v>297</v>
      </c>
      <c r="K2361" s="1" t="s">
        <v>298</v>
      </c>
      <c r="L2361" s="1" t="s">
        <v>257</v>
      </c>
      <c r="M2361" s="1"/>
      <c r="N2361" s="1">
        <f t="shared" si="115"/>
        <v>10</v>
      </c>
      <c r="O2361" s="87"/>
    </row>
    <row r="2362" spans="1:15" ht="15.75" hidden="1" x14ac:dyDescent="0.25">
      <c r="A2362" s="1" t="str">
        <f t="shared" si="114"/>
        <v>448474485183FIFA CCGROCERYFFC</v>
      </c>
      <c r="B2362" s="2">
        <v>44847</v>
      </c>
      <c r="C2362" s="2">
        <v>44851</v>
      </c>
      <c r="D2362" s="3" t="s">
        <v>2865</v>
      </c>
      <c r="E2362" s="3">
        <v>83</v>
      </c>
      <c r="F2362" s="3">
        <v>1</v>
      </c>
      <c r="G2362" s="3">
        <f t="shared" si="116"/>
        <v>83</v>
      </c>
      <c r="H2362" s="3" t="s">
        <v>3294</v>
      </c>
      <c r="I2362" s="1" t="s">
        <v>43</v>
      </c>
      <c r="J2362" s="1" t="s">
        <v>96</v>
      </c>
      <c r="K2362" s="1" t="s">
        <v>298</v>
      </c>
      <c r="L2362" s="1" t="s">
        <v>267</v>
      </c>
      <c r="M2362" s="1"/>
      <c r="N2362" s="1">
        <f t="shared" si="115"/>
        <v>10</v>
      </c>
      <c r="O2362" s="87"/>
    </row>
    <row r="2363" spans="1:15" ht="15.75" hidden="1" x14ac:dyDescent="0.25">
      <c r="A2363" s="1" t="str">
        <f t="shared" si="114"/>
        <v>448474485124FIFA CCFOODQATAR AIR</v>
      </c>
      <c r="B2363" s="2">
        <v>44847</v>
      </c>
      <c r="C2363" s="2">
        <v>44851</v>
      </c>
      <c r="D2363" s="3" t="s">
        <v>2866</v>
      </c>
      <c r="E2363" s="3">
        <v>24</v>
      </c>
      <c r="F2363" s="3">
        <v>1</v>
      </c>
      <c r="G2363" s="3">
        <f t="shared" si="116"/>
        <v>24</v>
      </c>
      <c r="H2363" s="3" t="s">
        <v>3294</v>
      </c>
      <c r="I2363" s="1" t="s">
        <v>10</v>
      </c>
      <c r="J2363" s="1" t="s">
        <v>19</v>
      </c>
      <c r="K2363" s="1" t="s">
        <v>298</v>
      </c>
      <c r="L2363" s="1" t="s">
        <v>267</v>
      </c>
      <c r="M2363" s="1"/>
      <c r="N2363" s="1">
        <f t="shared" si="115"/>
        <v>10</v>
      </c>
      <c r="O2363" s="87"/>
    </row>
    <row r="2364" spans="1:15" ht="15.75" hidden="1" x14ac:dyDescent="0.25">
      <c r="A2364" s="1" t="str">
        <f t="shared" si="114"/>
        <v>448474484843.5FIFA CCFOODCAFÉ/REST.</v>
      </c>
      <c r="B2364" s="2">
        <v>44847</v>
      </c>
      <c r="C2364" s="2">
        <v>44848</v>
      </c>
      <c r="D2364" s="3" t="s">
        <v>2867</v>
      </c>
      <c r="E2364" s="3">
        <v>43.5</v>
      </c>
      <c r="F2364" s="3">
        <v>1</v>
      </c>
      <c r="G2364" s="3">
        <f t="shared" si="116"/>
        <v>43.5</v>
      </c>
      <c r="H2364" s="3" t="s">
        <v>3294</v>
      </c>
      <c r="I2364" s="1" t="s">
        <v>10</v>
      </c>
      <c r="J2364" s="1" t="s">
        <v>11</v>
      </c>
      <c r="K2364" s="1" t="s">
        <v>298</v>
      </c>
      <c r="L2364" s="1" t="s">
        <v>267</v>
      </c>
      <c r="M2364" s="1"/>
      <c r="N2364" s="1">
        <f t="shared" si="115"/>
        <v>10</v>
      </c>
      <c r="O2364" s="87"/>
    </row>
    <row r="2365" spans="1:15" ht="15.75" hidden="1" x14ac:dyDescent="0.25">
      <c r="A2365" s="1" t="str">
        <f t="shared" si="114"/>
        <v>4484844850161.68FIFA CCGROCERYLULU</v>
      </c>
      <c r="B2365" s="2">
        <v>44848</v>
      </c>
      <c r="C2365" s="2">
        <v>44850</v>
      </c>
      <c r="D2365" s="3" t="s">
        <v>2864</v>
      </c>
      <c r="E2365" s="3">
        <v>161.68</v>
      </c>
      <c r="F2365" s="3">
        <v>1</v>
      </c>
      <c r="G2365" s="3">
        <f t="shared" si="116"/>
        <v>161.68</v>
      </c>
      <c r="H2365" s="3" t="s">
        <v>3294</v>
      </c>
      <c r="I2365" s="1" t="s">
        <v>43</v>
      </c>
      <c r="J2365" s="1" t="s">
        <v>44</v>
      </c>
      <c r="K2365" s="1" t="s">
        <v>298</v>
      </c>
      <c r="L2365" s="1" t="s">
        <v>267</v>
      </c>
      <c r="M2365" s="1"/>
      <c r="N2365" s="1">
        <f t="shared" si="115"/>
        <v>10</v>
      </c>
      <c r="O2365" s="87"/>
    </row>
    <row r="2366" spans="1:15" ht="15.75" hidden="1" x14ac:dyDescent="0.25">
      <c r="A2366" s="1" t="str">
        <f t="shared" si="114"/>
        <v>448494485130FIFA CCSHOPPINGMAXX</v>
      </c>
      <c r="B2366" s="2">
        <v>44849</v>
      </c>
      <c r="C2366" s="2">
        <v>44851</v>
      </c>
      <c r="D2366" s="3" t="s">
        <v>2859</v>
      </c>
      <c r="E2366" s="3">
        <v>30</v>
      </c>
      <c r="F2366" s="3">
        <v>1</v>
      </c>
      <c r="G2366" s="3">
        <f t="shared" si="116"/>
        <v>30</v>
      </c>
      <c r="H2366" s="3" t="s">
        <v>3294</v>
      </c>
      <c r="I2366" s="1" t="s">
        <v>194</v>
      </c>
      <c r="J2366" s="1" t="s">
        <v>2903</v>
      </c>
      <c r="K2366" s="1" t="s">
        <v>298</v>
      </c>
      <c r="L2366" s="1" t="s">
        <v>267</v>
      </c>
      <c r="M2366" s="1"/>
      <c r="N2366" s="1">
        <f t="shared" si="115"/>
        <v>10</v>
      </c>
      <c r="O2366" s="87"/>
    </row>
    <row r="2367" spans="1:15" ht="15.75" hidden="1" x14ac:dyDescent="0.25">
      <c r="A2367" s="1" t="str">
        <f t="shared" si="114"/>
        <v>4484944851110FIFA CCTRANSPORTWOQOD</v>
      </c>
      <c r="B2367" s="2">
        <v>44849</v>
      </c>
      <c r="C2367" s="2">
        <v>44851</v>
      </c>
      <c r="D2367" s="3" t="s">
        <v>2860</v>
      </c>
      <c r="E2367" s="3">
        <v>110</v>
      </c>
      <c r="F2367" s="3">
        <v>1</v>
      </c>
      <c r="G2367" s="3">
        <f t="shared" si="116"/>
        <v>110</v>
      </c>
      <c r="H2367" s="3" t="s">
        <v>3294</v>
      </c>
      <c r="I2367" s="1" t="s">
        <v>296</v>
      </c>
      <c r="J2367" s="1" t="s">
        <v>1942</v>
      </c>
      <c r="K2367" s="1" t="s">
        <v>298</v>
      </c>
      <c r="L2367" s="1" t="s">
        <v>267</v>
      </c>
      <c r="M2367" s="1"/>
      <c r="N2367" s="1">
        <f t="shared" si="115"/>
        <v>10</v>
      </c>
      <c r="O2367" s="87"/>
    </row>
    <row r="2368" spans="1:15" ht="15.75" hidden="1" x14ac:dyDescent="0.25">
      <c r="A2368" s="1" t="str">
        <f t="shared" si="114"/>
        <v>448494485137FIFA CCFOODCAFÉ/REST.</v>
      </c>
      <c r="B2368" s="2">
        <v>44849</v>
      </c>
      <c r="C2368" s="2">
        <v>44851</v>
      </c>
      <c r="D2368" s="3" t="s">
        <v>2861</v>
      </c>
      <c r="E2368" s="3">
        <v>37</v>
      </c>
      <c r="F2368" s="3">
        <v>1</v>
      </c>
      <c r="G2368" s="3">
        <f t="shared" si="116"/>
        <v>37</v>
      </c>
      <c r="H2368" s="3" t="s">
        <v>3294</v>
      </c>
      <c r="I2368" s="1" t="s">
        <v>10</v>
      </c>
      <c r="J2368" s="1" t="s">
        <v>11</v>
      </c>
      <c r="K2368" s="1" t="s">
        <v>298</v>
      </c>
      <c r="L2368" s="1" t="s">
        <v>267</v>
      </c>
      <c r="M2368" s="1"/>
      <c r="N2368" s="1">
        <f t="shared" si="115"/>
        <v>10</v>
      </c>
      <c r="O2368" s="87"/>
    </row>
    <row r="2369" spans="1:15" ht="15.75" hidden="1" x14ac:dyDescent="0.25">
      <c r="A2369" s="1" t="str">
        <f t="shared" si="114"/>
        <v>448494485119FIFA CCSHOPPINGCENTER POINT</v>
      </c>
      <c r="B2369" s="2">
        <v>44849</v>
      </c>
      <c r="C2369" s="2">
        <v>44851</v>
      </c>
      <c r="D2369" s="3" t="s">
        <v>2862</v>
      </c>
      <c r="E2369" s="3">
        <v>19</v>
      </c>
      <c r="F2369" s="3">
        <v>1</v>
      </c>
      <c r="G2369" s="3">
        <f t="shared" si="116"/>
        <v>19</v>
      </c>
      <c r="H2369" s="3" t="s">
        <v>3294</v>
      </c>
      <c r="I2369" s="1" t="s">
        <v>194</v>
      </c>
      <c r="J2369" s="1" t="s">
        <v>2902</v>
      </c>
      <c r="K2369" s="1" t="s">
        <v>298</v>
      </c>
      <c r="L2369" s="1" t="s">
        <v>267</v>
      </c>
      <c r="M2369" s="1"/>
      <c r="N2369" s="1">
        <f t="shared" si="115"/>
        <v>10</v>
      </c>
      <c r="O2369" s="87"/>
    </row>
    <row r="2370" spans="1:15" ht="15.75" hidden="1" x14ac:dyDescent="0.25">
      <c r="A2370" s="1" t="str">
        <f t="shared" ref="A2370:A2433" si="117">B2370&amp;C2370&amp;G2370&amp;H2370&amp;I2370&amp;J2370</f>
        <v>448494485057.5FIFA CCGROCERYFFC</v>
      </c>
      <c r="B2370" s="2">
        <v>44849</v>
      </c>
      <c r="C2370" s="2">
        <v>44850</v>
      </c>
      <c r="D2370" s="3" t="s">
        <v>2863</v>
      </c>
      <c r="E2370" s="3">
        <v>57.5</v>
      </c>
      <c r="F2370" s="3">
        <v>1</v>
      </c>
      <c r="G2370" s="3">
        <f t="shared" si="116"/>
        <v>57.5</v>
      </c>
      <c r="H2370" s="3" t="s">
        <v>3294</v>
      </c>
      <c r="I2370" s="1" t="s">
        <v>43</v>
      </c>
      <c r="J2370" s="1" t="s">
        <v>96</v>
      </c>
      <c r="K2370" s="1" t="s">
        <v>298</v>
      </c>
      <c r="L2370" s="1" t="s">
        <v>267</v>
      </c>
      <c r="M2370" s="1"/>
      <c r="N2370" s="1">
        <f t="shared" ref="N2370:N2433" si="118">MONTH(C2370)</f>
        <v>10</v>
      </c>
      <c r="O2370" s="87"/>
    </row>
    <row r="2371" spans="1:15" ht="15.75" hidden="1" x14ac:dyDescent="0.25">
      <c r="A2371" s="1" t="str">
        <f t="shared" si="117"/>
        <v>44850448507.5CURRENTTRANSPORTCAREEM</v>
      </c>
      <c r="B2371" s="2">
        <v>44850</v>
      </c>
      <c r="C2371" s="2">
        <v>44850</v>
      </c>
      <c r="D2371" s="3" t="s">
        <v>2809</v>
      </c>
      <c r="E2371" s="3">
        <v>-7.5</v>
      </c>
      <c r="F2371" s="3">
        <v>1</v>
      </c>
      <c r="G2371" s="3">
        <f t="shared" si="116"/>
        <v>7.5</v>
      </c>
      <c r="H2371" s="3" t="s">
        <v>293</v>
      </c>
      <c r="I2371" s="1" t="s">
        <v>296</v>
      </c>
      <c r="J2371" s="1" t="s">
        <v>297</v>
      </c>
      <c r="K2371" s="1" t="s">
        <v>298</v>
      </c>
      <c r="L2371" s="1" t="s">
        <v>257</v>
      </c>
      <c r="M2371" s="1"/>
      <c r="N2371" s="1">
        <f t="shared" si="118"/>
        <v>10</v>
      </c>
      <c r="O2371" s="87"/>
    </row>
    <row r="2372" spans="1:15" ht="15.75" hidden="1" x14ac:dyDescent="0.25">
      <c r="A2372" s="1" t="str">
        <f t="shared" si="117"/>
        <v>44850448507.5CURRENTTRANSPORTCAREEM</v>
      </c>
      <c r="B2372" s="2">
        <v>44850</v>
      </c>
      <c r="C2372" s="2">
        <v>44850</v>
      </c>
      <c r="D2372" s="3" t="s">
        <v>2810</v>
      </c>
      <c r="E2372" s="3">
        <v>-7.5</v>
      </c>
      <c r="F2372" s="3">
        <v>1</v>
      </c>
      <c r="G2372" s="3">
        <f t="shared" si="116"/>
        <v>7.5</v>
      </c>
      <c r="H2372" s="3" t="s">
        <v>293</v>
      </c>
      <c r="I2372" s="1" t="s">
        <v>296</v>
      </c>
      <c r="J2372" s="1" t="s">
        <v>297</v>
      </c>
      <c r="K2372" s="1" t="s">
        <v>298</v>
      </c>
      <c r="L2372" s="1" t="s">
        <v>257</v>
      </c>
      <c r="M2372" s="1"/>
      <c r="N2372" s="1">
        <f t="shared" si="118"/>
        <v>10</v>
      </c>
      <c r="O2372" s="87"/>
    </row>
    <row r="2373" spans="1:15" ht="15.75" hidden="1" x14ac:dyDescent="0.25">
      <c r="A2373" s="1" t="str">
        <f t="shared" si="117"/>
        <v>448504485215FIFA CCFOODQATAR AIR</v>
      </c>
      <c r="B2373" s="2">
        <v>44850</v>
      </c>
      <c r="C2373" s="2">
        <v>44852</v>
      </c>
      <c r="D2373" s="3" t="s">
        <v>2858</v>
      </c>
      <c r="E2373" s="3">
        <v>15</v>
      </c>
      <c r="F2373" s="3">
        <v>1</v>
      </c>
      <c r="G2373" s="3">
        <f t="shared" si="116"/>
        <v>15</v>
      </c>
      <c r="H2373" s="3" t="s">
        <v>3294</v>
      </c>
      <c r="I2373" s="1" t="s">
        <v>10</v>
      </c>
      <c r="J2373" s="1" t="s">
        <v>19</v>
      </c>
      <c r="K2373" s="1" t="s">
        <v>298</v>
      </c>
      <c r="L2373" s="1" t="s">
        <v>267</v>
      </c>
      <c r="M2373" s="1"/>
      <c r="N2373" s="1">
        <f t="shared" si="118"/>
        <v>10</v>
      </c>
      <c r="O2373" s="87"/>
    </row>
    <row r="2374" spans="1:15" ht="15.75" hidden="1" x14ac:dyDescent="0.25">
      <c r="A2374" s="1" t="str">
        <f t="shared" si="117"/>
        <v>4485144851500CURRENTWITHDRAWSELF</v>
      </c>
      <c r="B2374" s="2">
        <v>44851</v>
      </c>
      <c r="C2374" s="2">
        <v>44851</v>
      </c>
      <c r="D2374" s="3" t="s">
        <v>2808</v>
      </c>
      <c r="E2374" s="3">
        <v>-500</v>
      </c>
      <c r="F2374" s="3">
        <v>1</v>
      </c>
      <c r="G2374" s="3">
        <f t="shared" si="116"/>
        <v>500</v>
      </c>
      <c r="H2374" s="3" t="s">
        <v>293</v>
      </c>
      <c r="I2374" s="1" t="s">
        <v>13</v>
      </c>
      <c r="J2374" s="1" t="s">
        <v>14</v>
      </c>
      <c r="K2374" s="1" t="s">
        <v>298</v>
      </c>
      <c r="L2374" s="1" t="s">
        <v>257</v>
      </c>
      <c r="M2374" s="1"/>
      <c r="N2374" s="1">
        <f t="shared" si="118"/>
        <v>10</v>
      </c>
      <c r="O2374" s="87"/>
    </row>
    <row r="2375" spans="1:15" ht="15.75" hidden="1" x14ac:dyDescent="0.25">
      <c r="A2375" s="1" t="str">
        <f t="shared" si="117"/>
        <v>448514485315FIFA CCFOODQATAR AIR</v>
      </c>
      <c r="B2375" s="2">
        <v>44851</v>
      </c>
      <c r="C2375" s="2">
        <v>44853</v>
      </c>
      <c r="D2375" s="3" t="s">
        <v>2854</v>
      </c>
      <c r="E2375" s="3">
        <v>15</v>
      </c>
      <c r="F2375" s="3">
        <v>1</v>
      </c>
      <c r="G2375" s="3">
        <f t="shared" si="116"/>
        <v>15</v>
      </c>
      <c r="H2375" s="3" t="s">
        <v>3294</v>
      </c>
      <c r="I2375" s="1" t="s">
        <v>10</v>
      </c>
      <c r="J2375" s="1" t="s">
        <v>19</v>
      </c>
      <c r="K2375" s="1" t="s">
        <v>298</v>
      </c>
      <c r="L2375" s="1" t="s">
        <v>267</v>
      </c>
      <c r="M2375" s="1"/>
      <c r="N2375" s="1">
        <f t="shared" si="118"/>
        <v>10</v>
      </c>
      <c r="O2375" s="87"/>
    </row>
    <row r="2376" spans="1:15" ht="15.75" hidden="1" x14ac:dyDescent="0.25">
      <c r="A2376" s="1" t="str">
        <f t="shared" si="117"/>
        <v>448514485328.8FIFA CCFOODQATAR AIR</v>
      </c>
      <c r="B2376" s="2">
        <v>44851</v>
      </c>
      <c r="C2376" s="2">
        <v>44853</v>
      </c>
      <c r="D2376" s="3" t="s">
        <v>2855</v>
      </c>
      <c r="E2376" s="3">
        <v>28.8</v>
      </c>
      <c r="F2376" s="3">
        <v>1</v>
      </c>
      <c r="G2376" s="3">
        <f t="shared" si="116"/>
        <v>28.8</v>
      </c>
      <c r="H2376" s="3" t="s">
        <v>3294</v>
      </c>
      <c r="I2376" s="1" t="s">
        <v>10</v>
      </c>
      <c r="J2376" s="1" t="s">
        <v>19</v>
      </c>
      <c r="K2376" s="1" t="s">
        <v>298</v>
      </c>
      <c r="L2376" s="1" t="s">
        <v>267</v>
      </c>
      <c r="M2376" s="1"/>
      <c r="N2376" s="1">
        <f t="shared" si="118"/>
        <v>10</v>
      </c>
      <c r="O2376" s="87"/>
    </row>
    <row r="2377" spans="1:15" ht="15.75" hidden="1" x14ac:dyDescent="0.25">
      <c r="A2377" s="1" t="str">
        <f t="shared" si="117"/>
        <v>448514485250FIFA CCTELECOMOOREDOO</v>
      </c>
      <c r="B2377" s="2">
        <v>44851</v>
      </c>
      <c r="C2377" s="2">
        <v>44852</v>
      </c>
      <c r="D2377" s="3" t="s">
        <v>2856</v>
      </c>
      <c r="E2377" s="3">
        <v>50</v>
      </c>
      <c r="F2377" s="3">
        <v>1</v>
      </c>
      <c r="G2377" s="3">
        <f t="shared" si="116"/>
        <v>50</v>
      </c>
      <c r="H2377" s="3" t="s">
        <v>3294</v>
      </c>
      <c r="I2377" s="1" t="s">
        <v>58</v>
      </c>
      <c r="J2377" s="1" t="s">
        <v>59</v>
      </c>
      <c r="K2377" s="1" t="s">
        <v>298</v>
      </c>
      <c r="L2377" s="1" t="s">
        <v>267</v>
      </c>
      <c r="M2377" s="1"/>
      <c r="N2377" s="1">
        <f t="shared" si="118"/>
        <v>10</v>
      </c>
      <c r="O2377" s="87"/>
    </row>
    <row r="2378" spans="1:15" ht="15.75" hidden="1" x14ac:dyDescent="0.25">
      <c r="A2378" s="1" t="str">
        <f t="shared" si="117"/>
        <v>448514485230FIFA CCTELECOMOOREDOO</v>
      </c>
      <c r="B2378" s="2">
        <v>44851</v>
      </c>
      <c r="C2378" s="2">
        <v>44852</v>
      </c>
      <c r="D2378" s="3" t="s">
        <v>2857</v>
      </c>
      <c r="E2378" s="3">
        <v>30</v>
      </c>
      <c r="F2378" s="3">
        <v>1</v>
      </c>
      <c r="G2378" s="3">
        <f t="shared" si="116"/>
        <v>30</v>
      </c>
      <c r="H2378" s="3" t="s">
        <v>3294</v>
      </c>
      <c r="I2378" s="1" t="s">
        <v>58</v>
      </c>
      <c r="J2378" s="1" t="s">
        <v>59</v>
      </c>
      <c r="K2378" s="1" t="s">
        <v>298</v>
      </c>
      <c r="L2378" s="1" t="s">
        <v>267</v>
      </c>
      <c r="M2378" s="1"/>
      <c r="N2378" s="1">
        <f t="shared" si="118"/>
        <v>10</v>
      </c>
      <c r="O2378" s="87"/>
    </row>
    <row r="2379" spans="1:15" ht="15.75" hidden="1" x14ac:dyDescent="0.25">
      <c r="A2379" s="1" t="str">
        <f t="shared" si="117"/>
        <v>44852448527.5CURRENTTRANSPORTCAREEM</v>
      </c>
      <c r="B2379" s="2">
        <v>44852</v>
      </c>
      <c r="C2379" s="2">
        <v>44852</v>
      </c>
      <c r="D2379" s="3" t="s">
        <v>2807</v>
      </c>
      <c r="E2379" s="3">
        <v>-7.5</v>
      </c>
      <c r="F2379" s="3">
        <v>1</v>
      </c>
      <c r="G2379" s="3">
        <f t="shared" ref="G2379:G2442" si="119">ABS(E2379)*F2379</f>
        <v>7.5</v>
      </c>
      <c r="H2379" s="3" t="s">
        <v>293</v>
      </c>
      <c r="I2379" s="1" t="s">
        <v>296</v>
      </c>
      <c r="J2379" s="1" t="s">
        <v>297</v>
      </c>
      <c r="K2379" s="1" t="s">
        <v>298</v>
      </c>
      <c r="L2379" s="1" t="s">
        <v>257</v>
      </c>
      <c r="M2379" s="1"/>
      <c r="N2379" s="1">
        <f t="shared" si="118"/>
        <v>10</v>
      </c>
      <c r="O2379" s="87"/>
    </row>
    <row r="2380" spans="1:15" ht="15.75" hidden="1" x14ac:dyDescent="0.25">
      <c r="A2380" s="1" t="str">
        <f t="shared" si="117"/>
        <v>448524487333FIFA CCFOODWISHBOX</v>
      </c>
      <c r="B2380" s="2">
        <v>44852</v>
      </c>
      <c r="C2380" s="2">
        <v>44873</v>
      </c>
      <c r="D2380" s="3" t="s">
        <v>2853</v>
      </c>
      <c r="E2380" s="3">
        <v>33</v>
      </c>
      <c r="F2380" s="3">
        <v>1</v>
      </c>
      <c r="G2380" s="3">
        <f t="shared" si="119"/>
        <v>33</v>
      </c>
      <c r="H2380" s="3" t="s">
        <v>3294</v>
      </c>
      <c r="I2380" s="1" t="s">
        <v>10</v>
      </c>
      <c r="J2380" s="1" t="s">
        <v>1199</v>
      </c>
      <c r="K2380" s="1" t="s">
        <v>298</v>
      </c>
      <c r="L2380" s="1" t="s">
        <v>267</v>
      </c>
      <c r="M2380" s="1"/>
      <c r="N2380" s="1">
        <f t="shared" si="118"/>
        <v>11</v>
      </c>
      <c r="O2380" s="87"/>
    </row>
    <row r="2381" spans="1:15" ht="15.75" hidden="1" x14ac:dyDescent="0.25">
      <c r="A2381" s="1" t="str">
        <f t="shared" si="117"/>
        <v>4485244854104MASTER CCTELECOMOOREDOO</v>
      </c>
      <c r="B2381" s="2">
        <v>44852</v>
      </c>
      <c r="C2381" s="2">
        <v>44854</v>
      </c>
      <c r="D2381" s="3" t="s">
        <v>2895</v>
      </c>
      <c r="E2381" s="3">
        <v>104</v>
      </c>
      <c r="F2381" s="3">
        <v>1</v>
      </c>
      <c r="G2381" s="3">
        <f t="shared" si="119"/>
        <v>104</v>
      </c>
      <c r="H2381" s="3" t="s">
        <v>291</v>
      </c>
      <c r="I2381" s="1" t="s">
        <v>58</v>
      </c>
      <c r="J2381" s="1" t="s">
        <v>59</v>
      </c>
      <c r="K2381" s="1" t="s">
        <v>298</v>
      </c>
      <c r="L2381" s="1" t="s">
        <v>267</v>
      </c>
      <c r="M2381" s="1"/>
      <c r="N2381" s="1">
        <f t="shared" si="118"/>
        <v>10</v>
      </c>
      <c r="O2381" s="87"/>
    </row>
    <row r="2382" spans="1:15" ht="15.75" hidden="1" x14ac:dyDescent="0.25">
      <c r="A2382" s="1" t="str">
        <f t="shared" si="117"/>
        <v>4485244854292MASTER CCRENTOOREDOO</v>
      </c>
      <c r="B2382" s="2">
        <v>44852</v>
      </c>
      <c r="C2382" s="2">
        <v>44854</v>
      </c>
      <c r="D2382" s="3" t="s">
        <v>2896</v>
      </c>
      <c r="E2382" s="3">
        <v>292</v>
      </c>
      <c r="F2382" s="3">
        <v>1</v>
      </c>
      <c r="G2382" s="3">
        <f t="shared" si="119"/>
        <v>292</v>
      </c>
      <c r="H2382" s="3" t="s">
        <v>291</v>
      </c>
      <c r="I2382" s="1" t="s">
        <v>83</v>
      </c>
      <c r="J2382" s="1" t="s">
        <v>59</v>
      </c>
      <c r="K2382" s="1" t="s">
        <v>298</v>
      </c>
      <c r="L2382" s="1" t="s">
        <v>267</v>
      </c>
      <c r="M2382" s="1"/>
      <c r="N2382" s="1">
        <f t="shared" si="118"/>
        <v>10</v>
      </c>
      <c r="O2382" s="87"/>
    </row>
    <row r="2383" spans="1:15" ht="15.75" hidden="1" x14ac:dyDescent="0.25">
      <c r="A2383" s="1" t="str">
        <f t="shared" si="117"/>
        <v>448534485585FIFA CCMEDICALQIC</v>
      </c>
      <c r="B2383" s="2">
        <v>44853</v>
      </c>
      <c r="C2383" s="2">
        <v>44855</v>
      </c>
      <c r="D2383" s="3" t="s">
        <v>2850</v>
      </c>
      <c r="E2383" s="3">
        <v>85</v>
      </c>
      <c r="F2383" s="3">
        <v>1</v>
      </c>
      <c r="G2383" s="3">
        <f t="shared" si="119"/>
        <v>85</v>
      </c>
      <c r="H2383" s="3" t="s">
        <v>3294</v>
      </c>
      <c r="I2383" s="1" t="s">
        <v>301</v>
      </c>
      <c r="J2383" s="1" t="s">
        <v>2899</v>
      </c>
      <c r="K2383" s="1" t="s">
        <v>298</v>
      </c>
      <c r="L2383" s="1" t="s">
        <v>267</v>
      </c>
      <c r="M2383" s="1"/>
      <c r="N2383" s="1">
        <f t="shared" si="118"/>
        <v>10</v>
      </c>
      <c r="O2383" s="87"/>
    </row>
    <row r="2384" spans="1:15" ht="15.75" hidden="1" x14ac:dyDescent="0.25">
      <c r="A2384" s="1" t="str">
        <f t="shared" si="117"/>
        <v>4485344854100FIFA CCGROCERYLULU</v>
      </c>
      <c r="B2384" s="2">
        <v>44853</v>
      </c>
      <c r="C2384" s="2">
        <v>44854</v>
      </c>
      <c r="D2384" s="3" t="s">
        <v>2851</v>
      </c>
      <c r="E2384" s="3">
        <v>100</v>
      </c>
      <c r="F2384" s="3">
        <v>1</v>
      </c>
      <c r="G2384" s="3">
        <f t="shared" si="119"/>
        <v>100</v>
      </c>
      <c r="H2384" s="3" t="s">
        <v>3294</v>
      </c>
      <c r="I2384" s="1" t="s">
        <v>43</v>
      </c>
      <c r="J2384" s="1" t="s">
        <v>44</v>
      </c>
      <c r="K2384" s="1" t="s">
        <v>298</v>
      </c>
      <c r="L2384" s="1" t="s">
        <v>267</v>
      </c>
      <c r="M2384" s="1"/>
      <c r="N2384" s="1">
        <f t="shared" si="118"/>
        <v>10</v>
      </c>
      <c r="O2384" s="87"/>
    </row>
    <row r="2385" spans="1:15" ht="15.75" hidden="1" x14ac:dyDescent="0.25">
      <c r="A2385" s="1" t="str">
        <f t="shared" si="117"/>
        <v>4485344854272.5FIFA CCGROCERYLULU</v>
      </c>
      <c r="B2385" s="2">
        <v>44853</v>
      </c>
      <c r="C2385" s="2">
        <v>44854</v>
      </c>
      <c r="D2385" s="3" t="s">
        <v>2852</v>
      </c>
      <c r="E2385" s="3">
        <v>272.5</v>
      </c>
      <c r="F2385" s="3">
        <v>1</v>
      </c>
      <c r="G2385" s="3">
        <f t="shared" si="119"/>
        <v>272.5</v>
      </c>
      <c r="H2385" s="3" t="s">
        <v>3294</v>
      </c>
      <c r="I2385" s="1" t="s">
        <v>43</v>
      </c>
      <c r="J2385" s="1" t="s">
        <v>44</v>
      </c>
      <c r="K2385" s="1" t="s">
        <v>298</v>
      </c>
      <c r="L2385" s="1" t="s">
        <v>267</v>
      </c>
      <c r="M2385" s="1"/>
      <c r="N2385" s="1">
        <f t="shared" si="118"/>
        <v>10</v>
      </c>
      <c r="O2385" s="87"/>
    </row>
    <row r="2386" spans="1:15" ht="15.75" hidden="1" x14ac:dyDescent="0.25">
      <c r="A2386" s="1" t="str">
        <f t="shared" si="117"/>
        <v>44854448547.5CURRENTTRANSPORTCAREEM</v>
      </c>
      <c r="B2386" s="2">
        <v>44854</v>
      </c>
      <c r="C2386" s="2">
        <v>44854</v>
      </c>
      <c r="D2386" s="3" t="s">
        <v>2806</v>
      </c>
      <c r="E2386" s="3">
        <v>-7.5</v>
      </c>
      <c r="F2386" s="3">
        <v>1</v>
      </c>
      <c r="G2386" s="3">
        <f t="shared" si="119"/>
        <v>7.5</v>
      </c>
      <c r="H2386" s="3" t="s">
        <v>293</v>
      </c>
      <c r="I2386" s="1" t="s">
        <v>296</v>
      </c>
      <c r="J2386" s="1" t="s">
        <v>297</v>
      </c>
      <c r="K2386" s="1" t="s">
        <v>298</v>
      </c>
      <c r="L2386" s="1" t="s">
        <v>257</v>
      </c>
      <c r="M2386" s="1"/>
      <c r="N2386" s="1">
        <f t="shared" si="118"/>
        <v>10</v>
      </c>
      <c r="O2386" s="87"/>
    </row>
    <row r="2387" spans="1:15" ht="15.75" hidden="1" x14ac:dyDescent="0.25">
      <c r="A2387" s="1" t="str">
        <f t="shared" si="117"/>
        <v>448544485622.2FIFA CCTRANSPORTCAREEM</v>
      </c>
      <c r="B2387" s="2">
        <v>44854</v>
      </c>
      <c r="C2387" s="2">
        <v>44856</v>
      </c>
      <c r="D2387" s="3" t="s">
        <v>2848</v>
      </c>
      <c r="E2387" s="3">
        <v>22.2</v>
      </c>
      <c r="F2387" s="3">
        <v>1</v>
      </c>
      <c r="G2387" s="3">
        <f t="shared" si="119"/>
        <v>22.2</v>
      </c>
      <c r="H2387" s="3" t="s">
        <v>3294</v>
      </c>
      <c r="I2387" s="1" t="s">
        <v>296</v>
      </c>
      <c r="J2387" s="1" t="s">
        <v>297</v>
      </c>
      <c r="K2387" s="1" t="s">
        <v>298</v>
      </c>
      <c r="L2387" s="1" t="s">
        <v>267</v>
      </c>
      <c r="M2387" s="1"/>
      <c r="N2387" s="1">
        <f t="shared" si="118"/>
        <v>10</v>
      </c>
      <c r="O2387" s="87"/>
    </row>
    <row r="2388" spans="1:15" ht="15.75" hidden="1" x14ac:dyDescent="0.25">
      <c r="A2388" s="1" t="str">
        <f t="shared" si="117"/>
        <v>448544485839FIFA CCFOODWISHBOX</v>
      </c>
      <c r="B2388" s="2">
        <v>44854</v>
      </c>
      <c r="C2388" s="2">
        <v>44858</v>
      </c>
      <c r="D2388" s="3" t="s">
        <v>2849</v>
      </c>
      <c r="E2388" s="3">
        <v>39</v>
      </c>
      <c r="F2388" s="3">
        <v>1</v>
      </c>
      <c r="G2388" s="3">
        <f t="shared" si="119"/>
        <v>39</v>
      </c>
      <c r="H2388" s="3" t="s">
        <v>3294</v>
      </c>
      <c r="I2388" s="1" t="s">
        <v>10</v>
      </c>
      <c r="J2388" s="1" t="s">
        <v>1199</v>
      </c>
      <c r="K2388" s="1" t="s">
        <v>298</v>
      </c>
      <c r="L2388" s="1" t="s">
        <v>267</v>
      </c>
      <c r="M2388" s="1"/>
      <c r="N2388" s="1">
        <f t="shared" si="118"/>
        <v>10</v>
      </c>
      <c r="O2388" s="87"/>
    </row>
    <row r="2389" spans="1:15" ht="15.75" hidden="1" x14ac:dyDescent="0.25">
      <c r="A2389" s="1" t="str">
        <f t="shared" si="117"/>
        <v>448554485934FIFA CCFOODCAFÉ/REST.</v>
      </c>
      <c r="B2389" s="2">
        <v>44855</v>
      </c>
      <c r="C2389" s="2">
        <v>44859</v>
      </c>
      <c r="D2389" s="3" t="s">
        <v>2847</v>
      </c>
      <c r="E2389" s="3">
        <v>34</v>
      </c>
      <c r="F2389" s="3">
        <v>1</v>
      </c>
      <c r="G2389" s="3">
        <f t="shared" si="119"/>
        <v>34</v>
      </c>
      <c r="H2389" s="3" t="s">
        <v>3294</v>
      </c>
      <c r="I2389" s="1" t="s">
        <v>10</v>
      </c>
      <c r="J2389" s="1" t="s">
        <v>11</v>
      </c>
      <c r="K2389" s="1" t="s">
        <v>298</v>
      </c>
      <c r="L2389" s="1" t="s">
        <v>267</v>
      </c>
      <c r="M2389" s="1"/>
      <c r="N2389" s="1">
        <f t="shared" si="118"/>
        <v>10</v>
      </c>
      <c r="O2389" s="87"/>
    </row>
    <row r="2390" spans="1:15" ht="15.75" hidden="1" x14ac:dyDescent="0.25">
      <c r="A2390" s="1" t="str">
        <f t="shared" si="117"/>
        <v>44857448577.5CURRENTTRANSPORTCAREEM</v>
      </c>
      <c r="B2390" s="2">
        <v>44857</v>
      </c>
      <c r="C2390" s="2">
        <v>44857</v>
      </c>
      <c r="D2390" s="3" t="s">
        <v>2804</v>
      </c>
      <c r="E2390" s="3">
        <v>-7.5</v>
      </c>
      <c r="F2390" s="3">
        <v>1</v>
      </c>
      <c r="G2390" s="3">
        <f t="shared" si="119"/>
        <v>7.5</v>
      </c>
      <c r="H2390" s="3" t="s">
        <v>293</v>
      </c>
      <c r="I2390" s="1" t="s">
        <v>296</v>
      </c>
      <c r="J2390" s="1" t="s">
        <v>297</v>
      </c>
      <c r="K2390" s="1" t="s">
        <v>298</v>
      </c>
      <c r="L2390" s="1" t="s">
        <v>257</v>
      </c>
      <c r="M2390" s="1"/>
      <c r="N2390" s="1">
        <f t="shared" si="118"/>
        <v>10</v>
      </c>
      <c r="O2390" s="87"/>
    </row>
    <row r="2391" spans="1:15" ht="15.75" hidden="1" x14ac:dyDescent="0.25">
      <c r="A2391" s="1" t="str">
        <f t="shared" si="117"/>
        <v>44857448577.5CURRENTTRANSPORTCAREEM</v>
      </c>
      <c r="B2391" s="2">
        <v>44857</v>
      </c>
      <c r="C2391" s="2">
        <v>44857</v>
      </c>
      <c r="D2391" s="3" t="s">
        <v>2805</v>
      </c>
      <c r="E2391" s="3">
        <v>-7.5</v>
      </c>
      <c r="F2391" s="3">
        <v>1</v>
      </c>
      <c r="G2391" s="3">
        <f t="shared" si="119"/>
        <v>7.5</v>
      </c>
      <c r="H2391" s="3" t="s">
        <v>293</v>
      </c>
      <c r="I2391" s="1" t="s">
        <v>296</v>
      </c>
      <c r="J2391" s="1" t="s">
        <v>297</v>
      </c>
      <c r="K2391" s="1" t="s">
        <v>298</v>
      </c>
      <c r="L2391" s="1" t="s">
        <v>257</v>
      </c>
      <c r="M2391" s="1"/>
      <c r="N2391" s="1">
        <f t="shared" si="118"/>
        <v>10</v>
      </c>
      <c r="O2391" s="87"/>
    </row>
    <row r="2392" spans="1:15" ht="15.75" hidden="1" x14ac:dyDescent="0.25">
      <c r="A2392" s="1" t="str">
        <f t="shared" si="117"/>
        <v>44864448643403.11CURRENTCC BILL PAYMENTBANK</v>
      </c>
      <c r="B2392" s="2">
        <v>44864</v>
      </c>
      <c r="C2392" s="2">
        <v>44864</v>
      </c>
      <c r="D2392" s="3" t="s">
        <v>2802</v>
      </c>
      <c r="E2392" s="3">
        <v>-3403.11</v>
      </c>
      <c r="F2392" s="3">
        <v>1</v>
      </c>
      <c r="G2392" s="3">
        <f t="shared" si="119"/>
        <v>3403.11</v>
      </c>
      <c r="H2392" s="3" t="s">
        <v>293</v>
      </c>
      <c r="I2392" s="1" t="s">
        <v>81</v>
      </c>
      <c r="J2392" s="1" t="s">
        <v>8</v>
      </c>
      <c r="K2392" s="1" t="s">
        <v>298</v>
      </c>
      <c r="L2392" s="1" t="s">
        <v>257</v>
      </c>
      <c r="M2392" s="1"/>
      <c r="N2392" s="1">
        <f t="shared" si="118"/>
        <v>10</v>
      </c>
      <c r="O2392" s="87"/>
    </row>
    <row r="2393" spans="1:15" ht="15.75" hidden="1" x14ac:dyDescent="0.25">
      <c r="A2393" s="1" t="str">
        <f t="shared" si="117"/>
        <v>44864448644976CURRENTLOANBANK</v>
      </c>
      <c r="B2393" s="2">
        <v>44864</v>
      </c>
      <c r="C2393" s="2">
        <v>44864</v>
      </c>
      <c r="D2393" s="3" t="s">
        <v>2627</v>
      </c>
      <c r="E2393" s="3">
        <v>-4976</v>
      </c>
      <c r="F2393" s="3">
        <v>1</v>
      </c>
      <c r="G2393" s="3">
        <f t="shared" si="119"/>
        <v>4976</v>
      </c>
      <c r="H2393" s="3" t="s">
        <v>293</v>
      </c>
      <c r="I2393" s="1" t="s">
        <v>3</v>
      </c>
      <c r="J2393" s="1" t="s">
        <v>8</v>
      </c>
      <c r="K2393" s="1" t="s">
        <v>298</v>
      </c>
      <c r="L2393" s="1" t="s">
        <v>257</v>
      </c>
      <c r="M2393" s="1">
        <v>1</v>
      </c>
      <c r="N2393" s="1">
        <f t="shared" si="118"/>
        <v>10</v>
      </c>
      <c r="O2393" s="87"/>
    </row>
    <row r="2394" spans="1:15" ht="15.75" hidden="1" x14ac:dyDescent="0.25">
      <c r="A2394" s="1" t="str">
        <f t="shared" si="117"/>
        <v>448644486418964CURRENTSALARYQATAR AIR</v>
      </c>
      <c r="B2394" s="2">
        <v>44864</v>
      </c>
      <c r="C2394" s="2">
        <v>44864</v>
      </c>
      <c r="D2394" s="3" t="s">
        <v>2803</v>
      </c>
      <c r="E2394" s="3">
        <v>18964</v>
      </c>
      <c r="F2394" s="3">
        <v>1</v>
      </c>
      <c r="G2394" s="3">
        <f t="shared" si="119"/>
        <v>18964</v>
      </c>
      <c r="H2394" s="3" t="s">
        <v>293</v>
      </c>
      <c r="I2394" s="1" t="s">
        <v>18</v>
      </c>
      <c r="J2394" s="1" t="s">
        <v>19</v>
      </c>
      <c r="K2394" s="1" t="s">
        <v>300</v>
      </c>
      <c r="L2394" s="1" t="s">
        <v>257</v>
      </c>
      <c r="M2394" s="1"/>
      <c r="N2394" s="1">
        <f t="shared" si="118"/>
        <v>10</v>
      </c>
      <c r="O2394" s="87"/>
    </row>
    <row r="2395" spans="1:15" ht="15.75" hidden="1" x14ac:dyDescent="0.25">
      <c r="A2395" s="1" t="str">
        <f t="shared" si="117"/>
        <v>44864448643403.11FIFA CCCC BILL PAYMENTBANK</v>
      </c>
      <c r="B2395" s="2">
        <v>44864</v>
      </c>
      <c r="C2395" s="2">
        <v>44864</v>
      </c>
      <c r="D2395" s="3" t="s">
        <v>80</v>
      </c>
      <c r="E2395" s="3">
        <v>-3403.11</v>
      </c>
      <c r="F2395" s="3">
        <v>1</v>
      </c>
      <c r="G2395" s="3">
        <f t="shared" si="119"/>
        <v>3403.11</v>
      </c>
      <c r="H2395" s="3" t="s">
        <v>3294</v>
      </c>
      <c r="I2395" s="1" t="s">
        <v>81</v>
      </c>
      <c r="J2395" s="1" t="s">
        <v>8</v>
      </c>
      <c r="K2395" s="1" t="s">
        <v>300</v>
      </c>
      <c r="L2395" s="1" t="s">
        <v>267</v>
      </c>
      <c r="M2395" s="1"/>
      <c r="N2395" s="1">
        <f t="shared" si="118"/>
        <v>10</v>
      </c>
      <c r="O2395" s="87"/>
    </row>
    <row r="2396" spans="1:15" ht="15.75" hidden="1" x14ac:dyDescent="0.25">
      <c r="A2396" s="1" t="str">
        <f t="shared" si="117"/>
        <v>4486544865100CURRENTFOODQATAR AIR</v>
      </c>
      <c r="B2396" s="2">
        <v>44865</v>
      </c>
      <c r="C2396" s="2">
        <v>44865</v>
      </c>
      <c r="D2396" s="3" t="s">
        <v>2801</v>
      </c>
      <c r="E2396" s="3">
        <v>100</v>
      </c>
      <c r="F2396" s="3">
        <v>1</v>
      </c>
      <c r="G2396" s="3">
        <f t="shared" si="119"/>
        <v>100</v>
      </c>
      <c r="H2396" s="3" t="s">
        <v>293</v>
      </c>
      <c r="I2396" s="1" t="s">
        <v>10</v>
      </c>
      <c r="J2396" s="1" t="s">
        <v>19</v>
      </c>
      <c r="K2396" s="1" t="s">
        <v>300</v>
      </c>
      <c r="L2396" s="1" t="s">
        <v>257</v>
      </c>
      <c r="M2396" s="1"/>
      <c r="N2396" s="1">
        <f t="shared" si="118"/>
        <v>10</v>
      </c>
      <c r="O2396" s="87"/>
    </row>
    <row r="2397" spans="1:15" ht="15.75" hidden="1" x14ac:dyDescent="0.25">
      <c r="A2397" s="1" t="str">
        <f t="shared" si="117"/>
        <v>4486644866500CURRENTSAVINGARTI</v>
      </c>
      <c r="B2397" s="2">
        <v>44866</v>
      </c>
      <c r="C2397" s="2">
        <v>44866</v>
      </c>
      <c r="D2397" s="3" t="s">
        <v>1588</v>
      </c>
      <c r="E2397" s="3">
        <v>-500</v>
      </c>
      <c r="F2397" s="3">
        <v>1</v>
      </c>
      <c r="G2397" s="3">
        <f t="shared" si="119"/>
        <v>500</v>
      </c>
      <c r="H2397" s="3" t="s">
        <v>293</v>
      </c>
      <c r="I2397" s="1" t="s">
        <v>302</v>
      </c>
      <c r="J2397" s="1" t="s">
        <v>453</v>
      </c>
      <c r="K2397" s="1" t="s">
        <v>298</v>
      </c>
      <c r="L2397" s="1" t="s">
        <v>257</v>
      </c>
      <c r="M2397" s="1"/>
      <c r="N2397" s="1">
        <f t="shared" si="118"/>
        <v>11</v>
      </c>
      <c r="O2397" s="87"/>
    </row>
    <row r="2398" spans="1:15" ht="15.75" hidden="1" x14ac:dyDescent="0.25">
      <c r="A2398" s="1" t="str">
        <f t="shared" si="117"/>
        <v>44866448661950CURRENTEDUCATIONDAFFODILES</v>
      </c>
      <c r="B2398" s="2">
        <v>44866</v>
      </c>
      <c r="C2398" s="2">
        <v>44866</v>
      </c>
      <c r="D2398" s="3" t="s">
        <v>2800</v>
      </c>
      <c r="E2398" s="3">
        <v>-1950</v>
      </c>
      <c r="F2398" s="3">
        <v>1</v>
      </c>
      <c r="G2398" s="3">
        <f t="shared" si="119"/>
        <v>1950</v>
      </c>
      <c r="H2398" s="3" t="s">
        <v>293</v>
      </c>
      <c r="I2398" s="1" t="s">
        <v>543</v>
      </c>
      <c r="J2398" s="1" t="s">
        <v>2271</v>
      </c>
      <c r="K2398" s="1" t="s">
        <v>298</v>
      </c>
      <c r="L2398" s="1" t="s">
        <v>257</v>
      </c>
      <c r="M2398" s="1"/>
      <c r="N2398" s="1">
        <f t="shared" si="118"/>
        <v>11</v>
      </c>
      <c r="O2398" s="87"/>
    </row>
    <row r="2399" spans="1:15" ht="15.75" hidden="1" x14ac:dyDescent="0.25">
      <c r="A2399" s="1" t="str">
        <f t="shared" si="117"/>
        <v>448664486670FIFA CCRENTKAHRAMAA</v>
      </c>
      <c r="B2399" s="2">
        <v>44866</v>
      </c>
      <c r="C2399" s="2">
        <v>44866</v>
      </c>
      <c r="D2399" s="3" t="s">
        <v>2844</v>
      </c>
      <c r="E2399" s="3">
        <v>70</v>
      </c>
      <c r="F2399" s="3">
        <v>1</v>
      </c>
      <c r="G2399" s="3">
        <f t="shared" si="119"/>
        <v>70</v>
      </c>
      <c r="H2399" s="3" t="s">
        <v>3294</v>
      </c>
      <c r="I2399" s="1" t="s">
        <v>83</v>
      </c>
      <c r="J2399" s="1" t="s">
        <v>4113</v>
      </c>
      <c r="K2399" s="1" t="s">
        <v>298</v>
      </c>
      <c r="L2399" s="1" t="s">
        <v>267</v>
      </c>
      <c r="M2399" s="1"/>
      <c r="N2399" s="1">
        <f t="shared" si="118"/>
        <v>11</v>
      </c>
      <c r="O2399" s="87"/>
    </row>
    <row r="2400" spans="1:15" ht="15.75" hidden="1" x14ac:dyDescent="0.25">
      <c r="A2400" s="1" t="str">
        <f t="shared" si="117"/>
        <v>448664486750FIFA CCMEDICALASTER</v>
      </c>
      <c r="B2400" s="2">
        <v>44866</v>
      </c>
      <c r="C2400" s="2">
        <v>44867</v>
      </c>
      <c r="D2400" s="3" t="s">
        <v>2845</v>
      </c>
      <c r="E2400" s="3">
        <v>50</v>
      </c>
      <c r="F2400" s="3">
        <v>1</v>
      </c>
      <c r="G2400" s="3">
        <f t="shared" si="119"/>
        <v>50</v>
      </c>
      <c r="H2400" s="3" t="s">
        <v>3294</v>
      </c>
      <c r="I2400" s="1" t="s">
        <v>301</v>
      </c>
      <c r="J2400" s="1" t="s">
        <v>303</v>
      </c>
      <c r="K2400" s="1" t="s">
        <v>298</v>
      </c>
      <c r="L2400" s="1" t="s">
        <v>267</v>
      </c>
      <c r="M2400" s="1"/>
      <c r="N2400" s="1">
        <f t="shared" si="118"/>
        <v>11</v>
      </c>
      <c r="O2400" s="87"/>
    </row>
    <row r="2401" spans="1:15" ht="15.75" hidden="1" x14ac:dyDescent="0.25">
      <c r="A2401" s="1" t="str">
        <f t="shared" si="117"/>
        <v>4486644867200.37FIFA CCGROCERYINDIAN SUPER</v>
      </c>
      <c r="B2401" s="2">
        <v>44866</v>
      </c>
      <c r="C2401" s="2">
        <v>44867</v>
      </c>
      <c r="D2401" s="3" t="s">
        <v>2846</v>
      </c>
      <c r="E2401" s="3">
        <v>200.37</v>
      </c>
      <c r="F2401" s="3">
        <v>1</v>
      </c>
      <c r="G2401" s="3">
        <f t="shared" si="119"/>
        <v>200.37</v>
      </c>
      <c r="H2401" s="3" t="s">
        <v>3294</v>
      </c>
      <c r="I2401" s="1" t="s">
        <v>43</v>
      </c>
      <c r="J2401" s="1" t="s">
        <v>2273</v>
      </c>
      <c r="K2401" s="1" t="s">
        <v>298</v>
      </c>
      <c r="L2401" s="1" t="s">
        <v>267</v>
      </c>
      <c r="M2401" s="1"/>
      <c r="N2401" s="1">
        <f t="shared" si="118"/>
        <v>11</v>
      </c>
      <c r="O2401" s="87"/>
    </row>
    <row r="2402" spans="1:15" ht="15.75" hidden="1" x14ac:dyDescent="0.25">
      <c r="A2402" s="1" t="str">
        <f t="shared" si="117"/>
        <v>448684487221FIFA CCTRANSPORTWOQOD</v>
      </c>
      <c r="B2402" s="2">
        <v>44868</v>
      </c>
      <c r="C2402" s="2">
        <v>44872</v>
      </c>
      <c r="D2402" s="3" t="s">
        <v>2843</v>
      </c>
      <c r="E2402" s="3">
        <v>21</v>
      </c>
      <c r="F2402" s="3">
        <v>1</v>
      </c>
      <c r="G2402" s="3">
        <f t="shared" si="119"/>
        <v>21</v>
      </c>
      <c r="H2402" s="3" t="s">
        <v>3294</v>
      </c>
      <c r="I2402" s="1" t="s">
        <v>296</v>
      </c>
      <c r="J2402" s="1" t="s">
        <v>1942</v>
      </c>
      <c r="K2402" s="1" t="s">
        <v>298</v>
      </c>
      <c r="L2402" s="1" t="s">
        <v>267</v>
      </c>
      <c r="M2402" s="1"/>
      <c r="N2402" s="1">
        <f t="shared" si="118"/>
        <v>11</v>
      </c>
      <c r="O2402" s="87"/>
    </row>
    <row r="2403" spans="1:15" ht="15.75" hidden="1" x14ac:dyDescent="0.25">
      <c r="A2403" s="1" t="str">
        <f t="shared" si="117"/>
        <v>448694487239FIFA CCFOODCAFÉ/REST.</v>
      </c>
      <c r="B2403" s="2">
        <v>44869</v>
      </c>
      <c r="C2403" s="2">
        <v>44872</v>
      </c>
      <c r="D2403" s="3" t="s">
        <v>2841</v>
      </c>
      <c r="E2403" s="3">
        <v>39</v>
      </c>
      <c r="F2403" s="3">
        <v>1</v>
      </c>
      <c r="G2403" s="3">
        <f t="shared" si="119"/>
        <v>39</v>
      </c>
      <c r="H2403" s="3" t="s">
        <v>3294</v>
      </c>
      <c r="I2403" s="1" t="s">
        <v>10</v>
      </c>
      <c r="J2403" s="1" t="s">
        <v>11</v>
      </c>
      <c r="K2403" s="1" t="s">
        <v>298</v>
      </c>
      <c r="L2403" s="1" t="s">
        <v>267</v>
      </c>
      <c r="M2403" s="1"/>
      <c r="N2403" s="1">
        <f t="shared" si="118"/>
        <v>11</v>
      </c>
      <c r="O2403" s="87"/>
    </row>
    <row r="2404" spans="1:15" ht="15.75" hidden="1" x14ac:dyDescent="0.25">
      <c r="A2404" s="1" t="str">
        <f t="shared" si="117"/>
        <v>4486944871110FIFA CCFOODCAFÉ/REST.</v>
      </c>
      <c r="B2404" s="2">
        <v>44869</v>
      </c>
      <c r="C2404" s="2">
        <v>44871</v>
      </c>
      <c r="D2404" s="3" t="s">
        <v>2842</v>
      </c>
      <c r="E2404" s="3">
        <v>110</v>
      </c>
      <c r="F2404" s="3">
        <v>1</v>
      </c>
      <c r="G2404" s="3">
        <f t="shared" si="119"/>
        <v>110</v>
      </c>
      <c r="H2404" s="3" t="s">
        <v>3294</v>
      </c>
      <c r="I2404" s="1" t="s">
        <v>10</v>
      </c>
      <c r="J2404" s="1" t="s">
        <v>11</v>
      </c>
      <c r="K2404" s="1" t="s">
        <v>298</v>
      </c>
      <c r="L2404" s="1" t="s">
        <v>267</v>
      </c>
      <c r="M2404" s="1"/>
      <c r="N2404" s="1">
        <f t="shared" si="118"/>
        <v>11</v>
      </c>
      <c r="O2404" s="87"/>
    </row>
    <row r="2405" spans="1:15" ht="15.75" hidden="1" x14ac:dyDescent="0.25">
      <c r="A2405" s="1" t="str">
        <f t="shared" si="117"/>
        <v>448694487360MASTER CCTELECOMOOREDOO</v>
      </c>
      <c r="B2405" s="2">
        <v>44869</v>
      </c>
      <c r="C2405" s="2">
        <v>44873</v>
      </c>
      <c r="D2405" s="3" t="s">
        <v>2894</v>
      </c>
      <c r="E2405" s="3">
        <v>60</v>
      </c>
      <c r="F2405" s="3">
        <v>1</v>
      </c>
      <c r="G2405" s="3">
        <f t="shared" si="119"/>
        <v>60</v>
      </c>
      <c r="H2405" s="3" t="s">
        <v>291</v>
      </c>
      <c r="I2405" s="1" t="s">
        <v>58</v>
      </c>
      <c r="J2405" s="1" t="s">
        <v>59</v>
      </c>
      <c r="K2405" s="1" t="s">
        <v>298</v>
      </c>
      <c r="L2405" s="1" t="s">
        <v>267</v>
      </c>
      <c r="M2405" s="1"/>
      <c r="N2405" s="1">
        <f t="shared" si="118"/>
        <v>11</v>
      </c>
      <c r="O2405" s="87"/>
    </row>
    <row r="2406" spans="1:15" ht="15.75" hidden="1" x14ac:dyDescent="0.25">
      <c r="A2406" s="1" t="str">
        <f t="shared" si="117"/>
        <v>448704487290FIFA CCFOODCAFÉ/REST.</v>
      </c>
      <c r="B2406" s="2">
        <v>44870</v>
      </c>
      <c r="C2406" s="2">
        <v>44872</v>
      </c>
      <c r="D2406" s="3" t="s">
        <v>2840</v>
      </c>
      <c r="E2406" s="3">
        <v>90</v>
      </c>
      <c r="F2406" s="3">
        <v>1</v>
      </c>
      <c r="G2406" s="3">
        <f t="shared" si="119"/>
        <v>90</v>
      </c>
      <c r="H2406" s="3" t="s">
        <v>3294</v>
      </c>
      <c r="I2406" s="1" t="s">
        <v>10</v>
      </c>
      <c r="J2406" s="1" t="s">
        <v>11</v>
      </c>
      <c r="K2406" s="1" t="s">
        <v>298</v>
      </c>
      <c r="L2406" s="1" t="s">
        <v>267</v>
      </c>
      <c r="M2406" s="1"/>
      <c r="N2406" s="1">
        <f t="shared" si="118"/>
        <v>11</v>
      </c>
      <c r="O2406" s="87"/>
    </row>
    <row r="2407" spans="1:15" ht="15.75" hidden="1" x14ac:dyDescent="0.25">
      <c r="A2407" s="1" t="str">
        <f t="shared" si="117"/>
        <v>44871448717.5CURRENTTRANSPORTCAREEM</v>
      </c>
      <c r="B2407" s="2">
        <v>44871</v>
      </c>
      <c r="C2407" s="2">
        <v>44871</v>
      </c>
      <c r="D2407" s="3" t="s">
        <v>2797</v>
      </c>
      <c r="E2407" s="3">
        <v>-7.5</v>
      </c>
      <c r="F2407" s="3">
        <v>1</v>
      </c>
      <c r="G2407" s="3">
        <f t="shared" si="119"/>
        <v>7.5</v>
      </c>
      <c r="H2407" s="3" t="s">
        <v>293</v>
      </c>
      <c r="I2407" s="1" t="s">
        <v>296</v>
      </c>
      <c r="J2407" s="1" t="s">
        <v>297</v>
      </c>
      <c r="K2407" s="1" t="s">
        <v>298</v>
      </c>
      <c r="L2407" s="1" t="s">
        <v>257</v>
      </c>
      <c r="M2407" s="1"/>
      <c r="N2407" s="1">
        <f t="shared" si="118"/>
        <v>11</v>
      </c>
      <c r="O2407" s="87"/>
    </row>
    <row r="2408" spans="1:15" ht="15.75" hidden="1" x14ac:dyDescent="0.25">
      <c r="A2408" s="1" t="str">
        <f t="shared" si="117"/>
        <v>44871448717.5CURRENTTRANSPORTCAREEM</v>
      </c>
      <c r="B2408" s="2">
        <v>44871</v>
      </c>
      <c r="C2408" s="2">
        <v>44871</v>
      </c>
      <c r="D2408" s="3" t="s">
        <v>2798</v>
      </c>
      <c r="E2408" s="3">
        <v>-7.5</v>
      </c>
      <c r="F2408" s="3">
        <v>1</v>
      </c>
      <c r="G2408" s="3">
        <f t="shared" si="119"/>
        <v>7.5</v>
      </c>
      <c r="H2408" s="3" t="s">
        <v>293</v>
      </c>
      <c r="I2408" s="1" t="s">
        <v>296</v>
      </c>
      <c r="J2408" s="1" t="s">
        <v>297</v>
      </c>
      <c r="K2408" s="1" t="s">
        <v>298</v>
      </c>
      <c r="L2408" s="1" t="s">
        <v>257</v>
      </c>
      <c r="M2408" s="1"/>
      <c r="N2408" s="1">
        <f t="shared" si="118"/>
        <v>11</v>
      </c>
      <c r="O2408" s="87"/>
    </row>
    <row r="2409" spans="1:15" ht="15.75" hidden="1" x14ac:dyDescent="0.25">
      <c r="A2409" s="1" t="str">
        <f t="shared" si="117"/>
        <v>44871448711000CURRENTWITHDRAWSELF</v>
      </c>
      <c r="B2409" s="2">
        <v>44871</v>
      </c>
      <c r="C2409" s="2">
        <v>44871</v>
      </c>
      <c r="D2409" s="3" t="s">
        <v>2799</v>
      </c>
      <c r="E2409" s="3">
        <v>-1000</v>
      </c>
      <c r="F2409" s="3">
        <v>1</v>
      </c>
      <c r="G2409" s="3">
        <f t="shared" si="119"/>
        <v>1000</v>
      </c>
      <c r="H2409" s="3" t="s">
        <v>293</v>
      </c>
      <c r="I2409" s="1" t="s">
        <v>13</v>
      </c>
      <c r="J2409" s="1" t="s">
        <v>14</v>
      </c>
      <c r="K2409" s="1" t="s">
        <v>298</v>
      </c>
      <c r="L2409" s="1" t="s">
        <v>257</v>
      </c>
      <c r="M2409" s="1"/>
      <c r="N2409" s="1">
        <f t="shared" si="118"/>
        <v>11</v>
      </c>
      <c r="O2409" s="87"/>
    </row>
    <row r="2410" spans="1:15" ht="15.75" hidden="1" x14ac:dyDescent="0.25">
      <c r="A2410" s="1" t="str">
        <f t="shared" si="117"/>
        <v>44871448736FIFA CCFOODQATAR AIR</v>
      </c>
      <c r="B2410" s="2">
        <v>44871</v>
      </c>
      <c r="C2410" s="2">
        <v>44873</v>
      </c>
      <c r="D2410" s="3" t="s">
        <v>2836</v>
      </c>
      <c r="E2410" s="3">
        <v>6</v>
      </c>
      <c r="F2410" s="3">
        <v>1</v>
      </c>
      <c r="G2410" s="3">
        <f t="shared" si="119"/>
        <v>6</v>
      </c>
      <c r="H2410" s="3" t="s">
        <v>3294</v>
      </c>
      <c r="I2410" s="1" t="s">
        <v>10</v>
      </c>
      <c r="J2410" s="1" t="s">
        <v>19</v>
      </c>
      <c r="K2410" s="1" t="s">
        <v>298</v>
      </c>
      <c r="L2410" s="1" t="s">
        <v>267</v>
      </c>
      <c r="M2410" s="1"/>
      <c r="N2410" s="1">
        <f t="shared" si="118"/>
        <v>11</v>
      </c>
      <c r="O2410" s="87"/>
    </row>
    <row r="2411" spans="1:15" ht="15.75" hidden="1" x14ac:dyDescent="0.25">
      <c r="A2411" s="1" t="str">
        <f t="shared" si="117"/>
        <v>4487144872303.55FIFA CCGROCERYLULU</v>
      </c>
      <c r="B2411" s="2">
        <v>44871</v>
      </c>
      <c r="C2411" s="2">
        <v>44872</v>
      </c>
      <c r="D2411" s="3" t="s">
        <v>2837</v>
      </c>
      <c r="E2411" s="3">
        <v>303.55</v>
      </c>
      <c r="F2411" s="3">
        <v>1</v>
      </c>
      <c r="G2411" s="3">
        <f t="shared" si="119"/>
        <v>303.55</v>
      </c>
      <c r="H2411" s="3" t="s">
        <v>3294</v>
      </c>
      <c r="I2411" s="1" t="s">
        <v>43</v>
      </c>
      <c r="J2411" s="1" t="s">
        <v>44</v>
      </c>
      <c r="K2411" s="1" t="s">
        <v>298</v>
      </c>
      <c r="L2411" s="1" t="s">
        <v>267</v>
      </c>
      <c r="M2411" s="1"/>
      <c r="N2411" s="1">
        <f t="shared" si="118"/>
        <v>11</v>
      </c>
      <c r="O2411" s="87"/>
    </row>
    <row r="2412" spans="1:15" ht="15.75" hidden="1" x14ac:dyDescent="0.25">
      <c r="A2412" s="1" t="str">
        <f t="shared" si="117"/>
        <v>448714487280.5FIFA CCGROCERYLULU</v>
      </c>
      <c r="B2412" s="2">
        <v>44871</v>
      </c>
      <c r="C2412" s="2">
        <v>44872</v>
      </c>
      <c r="D2412" s="3" t="s">
        <v>2838</v>
      </c>
      <c r="E2412" s="3">
        <v>80.5</v>
      </c>
      <c r="F2412" s="3">
        <v>1</v>
      </c>
      <c r="G2412" s="3">
        <f t="shared" si="119"/>
        <v>80.5</v>
      </c>
      <c r="H2412" s="3" t="s">
        <v>3294</v>
      </c>
      <c r="I2412" s="1" t="s">
        <v>43</v>
      </c>
      <c r="J2412" s="1" t="s">
        <v>44</v>
      </c>
      <c r="K2412" s="1" t="s">
        <v>298</v>
      </c>
      <c r="L2412" s="1" t="s">
        <v>267</v>
      </c>
      <c r="M2412" s="1"/>
      <c r="N2412" s="1">
        <f t="shared" si="118"/>
        <v>11</v>
      </c>
      <c r="O2412" s="87"/>
    </row>
    <row r="2413" spans="1:15" ht="15.75" hidden="1" x14ac:dyDescent="0.25">
      <c r="A2413" s="1" t="str">
        <f t="shared" si="117"/>
        <v>44871448723420FIFA CCTRANSFERINDIA</v>
      </c>
      <c r="B2413" s="2">
        <v>44871</v>
      </c>
      <c r="C2413" s="2">
        <v>44872</v>
      </c>
      <c r="D2413" s="3" t="s">
        <v>2839</v>
      </c>
      <c r="E2413" s="3">
        <v>3420</v>
      </c>
      <c r="F2413" s="3">
        <v>1</v>
      </c>
      <c r="G2413" s="3">
        <f t="shared" si="119"/>
        <v>3420</v>
      </c>
      <c r="H2413" s="3" t="s">
        <v>3294</v>
      </c>
      <c r="I2413" s="1" t="s">
        <v>22</v>
      </c>
      <c r="J2413" s="1" t="s">
        <v>23</v>
      </c>
      <c r="K2413" s="1" t="s">
        <v>298</v>
      </c>
      <c r="L2413" s="1" t="s">
        <v>267</v>
      </c>
      <c r="M2413" s="1"/>
      <c r="N2413" s="1">
        <f t="shared" si="118"/>
        <v>11</v>
      </c>
      <c r="O2413" s="87"/>
    </row>
    <row r="2414" spans="1:15" ht="15.75" hidden="1" x14ac:dyDescent="0.25">
      <c r="A2414" s="1" t="str">
        <f t="shared" si="117"/>
        <v>44872448746.4FIFA CCTRANSPORTCAREEM</v>
      </c>
      <c r="B2414" s="2">
        <v>44872</v>
      </c>
      <c r="C2414" s="2">
        <v>44874</v>
      </c>
      <c r="D2414" s="3" t="s">
        <v>2835</v>
      </c>
      <c r="E2414" s="3">
        <v>6.4</v>
      </c>
      <c r="F2414" s="3">
        <v>1</v>
      </c>
      <c r="G2414" s="3">
        <f t="shared" si="119"/>
        <v>6.4</v>
      </c>
      <c r="H2414" s="3" t="s">
        <v>3294</v>
      </c>
      <c r="I2414" s="1" t="s">
        <v>296</v>
      </c>
      <c r="J2414" s="1" t="s">
        <v>297</v>
      </c>
      <c r="K2414" s="1" t="s">
        <v>298</v>
      </c>
      <c r="L2414" s="1" t="s">
        <v>267</v>
      </c>
      <c r="M2414" s="1"/>
      <c r="N2414" s="1">
        <f t="shared" si="118"/>
        <v>11</v>
      </c>
      <c r="O2414" s="87"/>
    </row>
    <row r="2415" spans="1:15" ht="15.75" hidden="1" x14ac:dyDescent="0.25">
      <c r="A2415" s="1" t="str">
        <f t="shared" si="117"/>
        <v>44873448737.5CURRENTTRANSPORTCAREEM</v>
      </c>
      <c r="B2415" s="2">
        <v>44873</v>
      </c>
      <c r="C2415" s="2">
        <v>44873</v>
      </c>
      <c r="D2415" s="3" t="s">
        <v>2796</v>
      </c>
      <c r="E2415" s="3">
        <v>-7.5</v>
      </c>
      <c r="F2415" s="3">
        <v>1</v>
      </c>
      <c r="G2415" s="3">
        <f t="shared" si="119"/>
        <v>7.5</v>
      </c>
      <c r="H2415" s="3" t="s">
        <v>293</v>
      </c>
      <c r="I2415" s="1" t="s">
        <v>296</v>
      </c>
      <c r="J2415" s="1" t="s">
        <v>297</v>
      </c>
      <c r="K2415" s="1" t="s">
        <v>298</v>
      </c>
      <c r="L2415" s="1" t="s">
        <v>257</v>
      </c>
      <c r="M2415" s="1"/>
      <c r="N2415" s="1">
        <f t="shared" si="118"/>
        <v>11</v>
      </c>
      <c r="O2415" s="87"/>
    </row>
    <row r="2416" spans="1:15" ht="15.75" hidden="1" x14ac:dyDescent="0.25">
      <c r="A2416" s="1" t="str">
        <f t="shared" si="117"/>
        <v>44874448745.8CURRENTTRANSPORTCAREEM</v>
      </c>
      <c r="B2416" s="2">
        <v>44874</v>
      </c>
      <c r="C2416" s="2">
        <v>44874</v>
      </c>
      <c r="D2416" s="3" t="s">
        <v>2795</v>
      </c>
      <c r="E2416" s="3">
        <v>-5.8</v>
      </c>
      <c r="F2416" s="3">
        <v>1</v>
      </c>
      <c r="G2416" s="3">
        <f t="shared" si="119"/>
        <v>5.8</v>
      </c>
      <c r="H2416" s="3" t="s">
        <v>293</v>
      </c>
      <c r="I2416" s="1" t="s">
        <v>296</v>
      </c>
      <c r="J2416" s="1" t="s">
        <v>297</v>
      </c>
      <c r="K2416" s="1" t="s">
        <v>298</v>
      </c>
      <c r="L2416" s="1" t="s">
        <v>257</v>
      </c>
      <c r="M2416" s="1"/>
      <c r="N2416" s="1">
        <f t="shared" si="118"/>
        <v>11</v>
      </c>
      <c r="O2416" s="87"/>
    </row>
    <row r="2417" spans="1:15" ht="15.75" hidden="1" x14ac:dyDescent="0.25">
      <c r="A2417" s="1" t="str">
        <f t="shared" si="117"/>
        <v>448744487418.75FIFA CCGROCERYFFC</v>
      </c>
      <c r="B2417" s="2">
        <v>44874</v>
      </c>
      <c r="C2417" s="2">
        <f>B2417</f>
        <v>44874</v>
      </c>
      <c r="D2417" s="3" t="s">
        <v>2832</v>
      </c>
      <c r="E2417" s="3">
        <v>18.75</v>
      </c>
      <c r="F2417" s="3">
        <v>1</v>
      </c>
      <c r="G2417" s="3">
        <f t="shared" si="119"/>
        <v>18.75</v>
      </c>
      <c r="H2417" s="3" t="s">
        <v>3294</v>
      </c>
      <c r="I2417" s="1" t="s">
        <v>43</v>
      </c>
      <c r="J2417" s="1" t="s">
        <v>96</v>
      </c>
      <c r="K2417" s="1" t="s">
        <v>298</v>
      </c>
      <c r="L2417" s="1" t="s">
        <v>267</v>
      </c>
      <c r="M2417" s="1"/>
      <c r="N2417" s="1">
        <f t="shared" si="118"/>
        <v>11</v>
      </c>
      <c r="O2417" s="87"/>
    </row>
    <row r="2418" spans="1:15" ht="15.75" hidden="1" x14ac:dyDescent="0.25">
      <c r="A2418" s="1" t="str">
        <f t="shared" si="117"/>
        <v>4487444874114.31FIFA CCGROCERYINDIAN SUPER</v>
      </c>
      <c r="B2418" s="2">
        <v>44874</v>
      </c>
      <c r="C2418" s="2">
        <f>B2418</f>
        <v>44874</v>
      </c>
      <c r="D2418" s="3" t="s">
        <v>2833</v>
      </c>
      <c r="E2418" s="3">
        <v>114.31</v>
      </c>
      <c r="F2418" s="3">
        <v>1</v>
      </c>
      <c r="G2418" s="3">
        <f t="shared" si="119"/>
        <v>114.31</v>
      </c>
      <c r="H2418" s="3" t="s">
        <v>3294</v>
      </c>
      <c r="I2418" s="1" t="s">
        <v>43</v>
      </c>
      <c r="J2418" s="1" t="s">
        <v>2273</v>
      </c>
      <c r="K2418" s="1" t="s">
        <v>298</v>
      </c>
      <c r="L2418" s="1" t="s">
        <v>267</v>
      </c>
      <c r="M2418" s="1"/>
      <c r="N2418" s="1">
        <f t="shared" si="118"/>
        <v>11</v>
      </c>
      <c r="O2418" s="87"/>
    </row>
    <row r="2419" spans="1:15" ht="15.75" hidden="1" x14ac:dyDescent="0.25">
      <c r="A2419" s="1" t="str">
        <f t="shared" si="117"/>
        <v>448744487531FIFA CCMEDICALASTER</v>
      </c>
      <c r="B2419" s="2">
        <v>44874</v>
      </c>
      <c r="C2419" s="2">
        <v>44875</v>
      </c>
      <c r="D2419" s="3" t="s">
        <v>2834</v>
      </c>
      <c r="E2419" s="3">
        <v>31</v>
      </c>
      <c r="F2419" s="3">
        <v>1</v>
      </c>
      <c r="G2419" s="3">
        <f t="shared" si="119"/>
        <v>31</v>
      </c>
      <c r="H2419" s="3" t="s">
        <v>3294</v>
      </c>
      <c r="I2419" s="1" t="s">
        <v>301</v>
      </c>
      <c r="J2419" s="1" t="s">
        <v>303</v>
      </c>
      <c r="K2419" s="1" t="s">
        <v>298</v>
      </c>
      <c r="L2419" s="1" t="s">
        <v>267</v>
      </c>
      <c r="M2419" s="1"/>
      <c r="N2419" s="1">
        <f t="shared" si="118"/>
        <v>11</v>
      </c>
      <c r="O2419" s="87"/>
    </row>
    <row r="2420" spans="1:15" ht="15.75" hidden="1" x14ac:dyDescent="0.25">
      <c r="A2420" s="1" t="str">
        <f t="shared" si="117"/>
        <v>448744487618.75FIFA CCGROCERYFFC</v>
      </c>
      <c r="B2420" s="2">
        <v>44874</v>
      </c>
      <c r="C2420" s="2">
        <v>44876</v>
      </c>
      <c r="D2420" s="3" t="s">
        <v>2832</v>
      </c>
      <c r="E2420" s="3">
        <v>-18.75</v>
      </c>
      <c r="F2420" s="3">
        <v>1</v>
      </c>
      <c r="G2420" s="3">
        <f t="shared" si="119"/>
        <v>18.75</v>
      </c>
      <c r="H2420" s="3" t="s">
        <v>3294</v>
      </c>
      <c r="I2420" s="1" t="s">
        <v>43</v>
      </c>
      <c r="J2420" s="1" t="s">
        <v>96</v>
      </c>
      <c r="K2420" s="1" t="s">
        <v>298</v>
      </c>
      <c r="L2420" s="1" t="s">
        <v>267</v>
      </c>
      <c r="M2420" s="1"/>
      <c r="N2420" s="1">
        <f t="shared" si="118"/>
        <v>11</v>
      </c>
      <c r="O2420" s="87"/>
    </row>
    <row r="2421" spans="1:15" ht="15.75" hidden="1" x14ac:dyDescent="0.25">
      <c r="A2421" s="1" t="str">
        <f t="shared" si="117"/>
        <v>4487444876114.31FIFA CCGROCERYINDIAN SUPER</v>
      </c>
      <c r="B2421" s="2">
        <v>44874</v>
      </c>
      <c r="C2421" s="2">
        <v>44876</v>
      </c>
      <c r="D2421" s="3" t="s">
        <v>2833</v>
      </c>
      <c r="E2421" s="3">
        <v>-114.31</v>
      </c>
      <c r="F2421" s="3">
        <v>1</v>
      </c>
      <c r="G2421" s="3">
        <f t="shared" si="119"/>
        <v>114.31</v>
      </c>
      <c r="H2421" s="3" t="s">
        <v>3294</v>
      </c>
      <c r="I2421" s="1" t="s">
        <v>43</v>
      </c>
      <c r="J2421" s="1" t="s">
        <v>2273</v>
      </c>
      <c r="K2421" s="1" t="s">
        <v>298</v>
      </c>
      <c r="L2421" s="1" t="s">
        <v>267</v>
      </c>
      <c r="M2421" s="1"/>
      <c r="N2421" s="1">
        <f t="shared" si="118"/>
        <v>11</v>
      </c>
      <c r="O2421" s="87"/>
    </row>
    <row r="2422" spans="1:15" ht="15.75" hidden="1" x14ac:dyDescent="0.25">
      <c r="A2422" s="1" t="str">
        <f t="shared" si="117"/>
        <v>448744487531FIFA CCMEDICALASTER</v>
      </c>
      <c r="B2422" s="2">
        <v>44874</v>
      </c>
      <c r="C2422" s="2">
        <v>44875</v>
      </c>
      <c r="D2422" s="3" t="s">
        <v>2834</v>
      </c>
      <c r="E2422" s="3">
        <v>-31</v>
      </c>
      <c r="F2422" s="3">
        <v>1</v>
      </c>
      <c r="G2422" s="3">
        <f t="shared" si="119"/>
        <v>31</v>
      </c>
      <c r="H2422" s="3" t="s">
        <v>3294</v>
      </c>
      <c r="I2422" s="1" t="s">
        <v>301</v>
      </c>
      <c r="J2422" s="1" t="s">
        <v>303</v>
      </c>
      <c r="K2422" s="1" t="s">
        <v>298</v>
      </c>
      <c r="L2422" s="1" t="s">
        <v>267</v>
      </c>
      <c r="M2422" s="1"/>
      <c r="N2422" s="1">
        <f t="shared" si="118"/>
        <v>11</v>
      </c>
      <c r="O2422" s="87"/>
    </row>
    <row r="2423" spans="1:15" ht="15.75" hidden="1" x14ac:dyDescent="0.25">
      <c r="A2423" s="1" t="str">
        <f t="shared" si="117"/>
        <v>44875448755000CURRENTRENTALBAKER</v>
      </c>
      <c r="B2423" s="2">
        <v>44875</v>
      </c>
      <c r="C2423" s="2">
        <v>44875</v>
      </c>
      <c r="D2423" s="3" t="s">
        <v>2793</v>
      </c>
      <c r="E2423" s="3">
        <v>-5000</v>
      </c>
      <c r="F2423" s="3">
        <v>1</v>
      </c>
      <c r="G2423" s="3">
        <f t="shared" si="119"/>
        <v>5000</v>
      </c>
      <c r="H2423" s="3" t="s">
        <v>293</v>
      </c>
      <c r="I2423" s="1" t="s">
        <v>83</v>
      </c>
      <c r="J2423" s="1" t="s">
        <v>2701</v>
      </c>
      <c r="K2423" s="1" t="s">
        <v>298</v>
      </c>
      <c r="L2423" s="1" t="s">
        <v>257</v>
      </c>
      <c r="M2423" s="1"/>
      <c r="N2423" s="1">
        <f t="shared" si="118"/>
        <v>11</v>
      </c>
      <c r="O2423" s="87"/>
    </row>
    <row r="2424" spans="1:15" ht="15.75" hidden="1" x14ac:dyDescent="0.25">
      <c r="A2424" s="1" t="str">
        <f t="shared" si="117"/>
        <v>44875448757.5CURRENTTRANSPORTCAREEM</v>
      </c>
      <c r="B2424" s="2">
        <v>44875</v>
      </c>
      <c r="C2424" s="2">
        <v>44875</v>
      </c>
      <c r="D2424" s="3" t="s">
        <v>2794</v>
      </c>
      <c r="E2424" s="3">
        <v>-7.5</v>
      </c>
      <c r="F2424" s="3">
        <v>1</v>
      </c>
      <c r="G2424" s="3">
        <f t="shared" si="119"/>
        <v>7.5</v>
      </c>
      <c r="H2424" s="3" t="s">
        <v>293</v>
      </c>
      <c r="I2424" s="1" t="s">
        <v>296</v>
      </c>
      <c r="J2424" s="1" t="s">
        <v>297</v>
      </c>
      <c r="K2424" s="1" t="s">
        <v>298</v>
      </c>
      <c r="L2424" s="1" t="s">
        <v>257</v>
      </c>
      <c r="M2424" s="1"/>
      <c r="N2424" s="1">
        <f t="shared" si="118"/>
        <v>11</v>
      </c>
      <c r="O2424" s="87"/>
    </row>
    <row r="2425" spans="1:15" ht="15.75" hidden="1" x14ac:dyDescent="0.25">
      <c r="A2425" s="1" t="str">
        <f t="shared" si="117"/>
        <v>448764487970FIFA CCFOODCAFÉ/REST.</v>
      </c>
      <c r="B2425" s="2">
        <v>44876</v>
      </c>
      <c r="C2425" s="2">
        <v>44879</v>
      </c>
      <c r="D2425" s="3" t="s">
        <v>2988</v>
      </c>
      <c r="E2425" s="3">
        <v>-70</v>
      </c>
      <c r="F2425" s="3">
        <v>1</v>
      </c>
      <c r="G2425" s="3">
        <f t="shared" si="119"/>
        <v>70</v>
      </c>
      <c r="H2425" s="3" t="s">
        <v>3294</v>
      </c>
      <c r="I2425" s="1" t="s">
        <v>10</v>
      </c>
      <c r="J2425" s="1" t="s">
        <v>11</v>
      </c>
      <c r="K2425" s="1" t="s">
        <v>298</v>
      </c>
      <c r="L2425" s="1" t="s">
        <v>267</v>
      </c>
      <c r="M2425" s="1"/>
      <c r="N2425" s="1">
        <f t="shared" si="118"/>
        <v>11</v>
      </c>
      <c r="O2425" s="87"/>
    </row>
    <row r="2426" spans="1:15" ht="15.75" hidden="1" x14ac:dyDescent="0.25">
      <c r="A2426" s="1" t="str">
        <f t="shared" si="117"/>
        <v>448764487794FIFA CCFOODCAFÉ/REST.</v>
      </c>
      <c r="B2426" s="2">
        <v>44876</v>
      </c>
      <c r="C2426" s="2">
        <v>44877</v>
      </c>
      <c r="D2426" s="3" t="s">
        <v>2989</v>
      </c>
      <c r="E2426" s="3">
        <v>-94</v>
      </c>
      <c r="F2426" s="3">
        <v>1</v>
      </c>
      <c r="G2426" s="3">
        <f t="shared" si="119"/>
        <v>94</v>
      </c>
      <c r="H2426" s="3" t="s">
        <v>3294</v>
      </c>
      <c r="I2426" s="1" t="s">
        <v>10</v>
      </c>
      <c r="J2426" s="1" t="s">
        <v>11</v>
      </c>
      <c r="K2426" s="1" t="s">
        <v>298</v>
      </c>
      <c r="L2426" s="1" t="s">
        <v>267</v>
      </c>
      <c r="M2426" s="1"/>
      <c r="N2426" s="1">
        <f t="shared" si="118"/>
        <v>11</v>
      </c>
      <c r="O2426" s="87"/>
    </row>
    <row r="2427" spans="1:15" ht="15.75" hidden="1" x14ac:dyDescent="0.25">
      <c r="A2427" s="1" t="str">
        <f t="shared" si="117"/>
        <v>448774487942FIFA CCFOODCAFÉ/REST.</v>
      </c>
      <c r="B2427" s="2">
        <v>44877</v>
      </c>
      <c r="C2427" s="2">
        <v>44879</v>
      </c>
      <c r="D2427" s="3" t="s">
        <v>2987</v>
      </c>
      <c r="E2427" s="3">
        <v>-42</v>
      </c>
      <c r="F2427" s="3">
        <v>1</v>
      </c>
      <c r="G2427" s="3">
        <f t="shared" si="119"/>
        <v>42</v>
      </c>
      <c r="H2427" s="3" t="s">
        <v>3294</v>
      </c>
      <c r="I2427" s="1" t="s">
        <v>10</v>
      </c>
      <c r="J2427" s="1" t="s">
        <v>11</v>
      </c>
      <c r="K2427" s="1" t="s">
        <v>298</v>
      </c>
      <c r="L2427" s="1" t="s">
        <v>267</v>
      </c>
      <c r="M2427" s="1"/>
      <c r="N2427" s="1">
        <f t="shared" si="118"/>
        <v>11</v>
      </c>
      <c r="O2427" s="87"/>
    </row>
    <row r="2428" spans="1:15" ht="15.75" hidden="1" x14ac:dyDescent="0.25">
      <c r="A2428" s="1" t="str">
        <f t="shared" si="117"/>
        <v>44878448787.5CURRENTTRANSPORTCAREEM</v>
      </c>
      <c r="B2428" s="2">
        <v>44878</v>
      </c>
      <c r="C2428" s="2">
        <v>44878</v>
      </c>
      <c r="D2428" s="3" t="s">
        <v>2939</v>
      </c>
      <c r="E2428" s="3">
        <v>7.5</v>
      </c>
      <c r="F2428" s="3">
        <v>1</v>
      </c>
      <c r="G2428" s="3">
        <f t="shared" si="119"/>
        <v>7.5</v>
      </c>
      <c r="H2428" s="3" t="s">
        <v>293</v>
      </c>
      <c r="I2428" s="1" t="s">
        <v>296</v>
      </c>
      <c r="J2428" s="1" t="s">
        <v>297</v>
      </c>
      <c r="K2428" s="1" t="s">
        <v>298</v>
      </c>
      <c r="L2428" s="1" t="s">
        <v>257</v>
      </c>
      <c r="M2428" s="1"/>
      <c r="N2428" s="1">
        <f t="shared" si="118"/>
        <v>11</v>
      </c>
      <c r="O2428" s="87"/>
    </row>
    <row r="2429" spans="1:15" ht="15.75" hidden="1" x14ac:dyDescent="0.25">
      <c r="A2429" s="1" t="str">
        <f t="shared" si="117"/>
        <v>44878448787.5CURRENTTRANSPORTCAREEM</v>
      </c>
      <c r="B2429" s="2">
        <v>44878</v>
      </c>
      <c r="C2429" s="2">
        <v>44878</v>
      </c>
      <c r="D2429" s="3" t="s">
        <v>2940</v>
      </c>
      <c r="E2429" s="3">
        <v>7.5</v>
      </c>
      <c r="F2429" s="3">
        <v>1</v>
      </c>
      <c r="G2429" s="3">
        <f t="shared" si="119"/>
        <v>7.5</v>
      </c>
      <c r="H2429" s="3" t="s">
        <v>293</v>
      </c>
      <c r="I2429" s="1" t="s">
        <v>296</v>
      </c>
      <c r="J2429" s="1" t="s">
        <v>297</v>
      </c>
      <c r="K2429" s="1" t="s">
        <v>298</v>
      </c>
      <c r="L2429" s="1" t="s">
        <v>257</v>
      </c>
      <c r="M2429" s="1"/>
      <c r="N2429" s="1">
        <f t="shared" si="118"/>
        <v>11</v>
      </c>
      <c r="O2429" s="87"/>
    </row>
    <row r="2430" spans="1:15" ht="15.75" x14ac:dyDescent="0.25">
      <c r="A2430" s="1" t="str">
        <f t="shared" si="117"/>
        <v>44878448801090FIFA CCGOLDKALYAN</v>
      </c>
      <c r="B2430" s="2">
        <v>44878</v>
      </c>
      <c r="C2430" s="2">
        <v>44880</v>
      </c>
      <c r="D2430" s="3" t="s">
        <v>2985</v>
      </c>
      <c r="E2430" s="3">
        <v>-1090</v>
      </c>
      <c r="F2430" s="3">
        <v>1</v>
      </c>
      <c r="G2430" s="3">
        <f t="shared" si="119"/>
        <v>1090</v>
      </c>
      <c r="H2430" s="3" t="s">
        <v>3294</v>
      </c>
      <c r="I2430" s="1" t="s">
        <v>106</v>
      </c>
      <c r="J2430" s="1" t="s">
        <v>173</v>
      </c>
      <c r="K2430" s="1" t="s">
        <v>298</v>
      </c>
      <c r="L2430" s="1" t="s">
        <v>267</v>
      </c>
      <c r="M2430" s="1"/>
      <c r="N2430" s="1">
        <f t="shared" si="118"/>
        <v>11</v>
      </c>
      <c r="O2430" s="87"/>
    </row>
    <row r="2431" spans="1:15" ht="15.75" hidden="1" x14ac:dyDescent="0.25">
      <c r="A2431" s="1" t="str">
        <f t="shared" si="117"/>
        <v>448784488091.98FIFA CCGROCERYLULU</v>
      </c>
      <c r="B2431" s="2">
        <v>44878</v>
      </c>
      <c r="C2431" s="2">
        <v>44880</v>
      </c>
      <c r="D2431" s="3" t="s">
        <v>2986</v>
      </c>
      <c r="E2431" s="3">
        <v>-91.98</v>
      </c>
      <c r="F2431" s="3">
        <v>1</v>
      </c>
      <c r="G2431" s="3">
        <f t="shared" si="119"/>
        <v>91.98</v>
      </c>
      <c r="H2431" s="3" t="s">
        <v>3294</v>
      </c>
      <c r="I2431" s="1" t="s">
        <v>43</v>
      </c>
      <c r="J2431" s="1" t="s">
        <v>44</v>
      </c>
      <c r="K2431" s="1" t="s">
        <v>298</v>
      </c>
      <c r="L2431" s="1" t="s">
        <v>267</v>
      </c>
      <c r="M2431" s="1"/>
      <c r="N2431" s="1">
        <f t="shared" si="118"/>
        <v>11</v>
      </c>
      <c r="O2431" s="87"/>
    </row>
    <row r="2432" spans="1:15" ht="15.75" hidden="1" x14ac:dyDescent="0.25">
      <c r="A2432" s="1" t="str">
        <f t="shared" si="117"/>
        <v>44879448816.4FIFA CCTRANSPORTCAREEM</v>
      </c>
      <c r="B2432" s="2">
        <v>44879</v>
      </c>
      <c r="C2432" s="2">
        <v>44881</v>
      </c>
      <c r="D2432" s="3" t="s">
        <v>2980</v>
      </c>
      <c r="E2432" s="3">
        <v>-6.4</v>
      </c>
      <c r="F2432" s="3">
        <v>1</v>
      </c>
      <c r="G2432" s="3">
        <f t="shared" si="119"/>
        <v>6.4</v>
      </c>
      <c r="H2432" s="3" t="s">
        <v>3294</v>
      </c>
      <c r="I2432" s="1" t="s">
        <v>296</v>
      </c>
      <c r="J2432" s="1" t="s">
        <v>297</v>
      </c>
      <c r="K2432" s="1" t="s">
        <v>298</v>
      </c>
      <c r="L2432" s="1" t="s">
        <v>267</v>
      </c>
      <c r="M2432" s="1"/>
      <c r="N2432" s="1">
        <f t="shared" si="118"/>
        <v>11</v>
      </c>
      <c r="O2432" s="87"/>
    </row>
    <row r="2433" spans="1:15" ht="15.75" hidden="1" x14ac:dyDescent="0.25">
      <c r="A2433" s="1" t="str">
        <f t="shared" si="117"/>
        <v>4487944881112.5FIFA CCGROCERYFFC</v>
      </c>
      <c r="B2433" s="2">
        <v>44879</v>
      </c>
      <c r="C2433" s="2">
        <v>44881</v>
      </c>
      <c r="D2433" s="3" t="s">
        <v>2981</v>
      </c>
      <c r="E2433" s="3">
        <v>-112.5</v>
      </c>
      <c r="F2433" s="3">
        <v>1</v>
      </c>
      <c r="G2433" s="3">
        <f t="shared" si="119"/>
        <v>112.5</v>
      </c>
      <c r="H2433" s="3" t="s">
        <v>3294</v>
      </c>
      <c r="I2433" s="1" t="s">
        <v>43</v>
      </c>
      <c r="J2433" s="1" t="s">
        <v>96</v>
      </c>
      <c r="K2433" s="1" t="s">
        <v>298</v>
      </c>
      <c r="L2433" s="1" t="s">
        <v>267</v>
      </c>
      <c r="M2433" s="1"/>
      <c r="N2433" s="1">
        <f t="shared" si="118"/>
        <v>11</v>
      </c>
      <c r="O2433" s="87"/>
    </row>
    <row r="2434" spans="1:15" ht="15.75" hidden="1" x14ac:dyDescent="0.25">
      <c r="A2434" s="1" t="str">
        <f t="shared" ref="A2434:A2497" si="120">B2434&amp;C2434&amp;G2434&amp;H2434&amp;I2434&amp;J2434</f>
        <v>44879448819FIFA CCGROCERYFFC</v>
      </c>
      <c r="B2434" s="2">
        <v>44879</v>
      </c>
      <c r="C2434" s="2">
        <v>44881</v>
      </c>
      <c r="D2434" s="3" t="s">
        <v>2982</v>
      </c>
      <c r="E2434" s="3">
        <v>-9</v>
      </c>
      <c r="F2434" s="3">
        <v>1</v>
      </c>
      <c r="G2434" s="3">
        <f t="shared" si="119"/>
        <v>9</v>
      </c>
      <c r="H2434" s="3" t="s">
        <v>3294</v>
      </c>
      <c r="I2434" s="1" t="s">
        <v>43</v>
      </c>
      <c r="J2434" s="1" t="s">
        <v>96</v>
      </c>
      <c r="K2434" s="1" t="s">
        <v>298</v>
      </c>
      <c r="L2434" s="1" t="s">
        <v>267</v>
      </c>
      <c r="M2434" s="1"/>
      <c r="N2434" s="1">
        <f t="shared" ref="N2434:N2497" si="121">MONTH(C2434)</f>
        <v>11</v>
      </c>
      <c r="O2434" s="87"/>
    </row>
    <row r="2435" spans="1:15" ht="15.75" hidden="1" x14ac:dyDescent="0.25">
      <c r="A2435" s="1" t="str">
        <f t="shared" si="120"/>
        <v>448794488146FIFA CCFOODQATAR AIR</v>
      </c>
      <c r="B2435" s="2">
        <v>44879</v>
      </c>
      <c r="C2435" s="2">
        <v>44881</v>
      </c>
      <c r="D2435" s="3" t="s">
        <v>2983</v>
      </c>
      <c r="E2435" s="3">
        <v>-46</v>
      </c>
      <c r="F2435" s="3">
        <v>1</v>
      </c>
      <c r="G2435" s="3">
        <f t="shared" si="119"/>
        <v>46</v>
      </c>
      <c r="H2435" s="3" t="s">
        <v>3294</v>
      </c>
      <c r="I2435" s="1" t="s">
        <v>10</v>
      </c>
      <c r="J2435" s="1" t="s">
        <v>19</v>
      </c>
      <c r="K2435" s="1" t="s">
        <v>298</v>
      </c>
      <c r="L2435" s="1" t="s">
        <v>267</v>
      </c>
      <c r="M2435" s="1"/>
      <c r="N2435" s="1">
        <f t="shared" si="121"/>
        <v>11</v>
      </c>
      <c r="O2435" s="87"/>
    </row>
    <row r="2436" spans="1:15" ht="15.75" hidden="1" x14ac:dyDescent="0.25">
      <c r="A2436" s="1" t="str">
        <f t="shared" si="120"/>
        <v>44879448814FIFA CCGROCERYFFC</v>
      </c>
      <c r="B2436" s="2">
        <v>44879</v>
      </c>
      <c r="C2436" s="2">
        <v>44881</v>
      </c>
      <c r="D2436" s="3" t="s">
        <v>2984</v>
      </c>
      <c r="E2436" s="3">
        <v>-4</v>
      </c>
      <c r="F2436" s="3">
        <v>1</v>
      </c>
      <c r="G2436" s="3">
        <f t="shared" si="119"/>
        <v>4</v>
      </c>
      <c r="H2436" s="3" t="s">
        <v>3294</v>
      </c>
      <c r="I2436" s="1" t="s">
        <v>43</v>
      </c>
      <c r="J2436" s="1" t="s">
        <v>96</v>
      </c>
      <c r="K2436" s="1" t="s">
        <v>298</v>
      </c>
      <c r="L2436" s="1" t="s">
        <v>267</v>
      </c>
      <c r="M2436" s="1"/>
      <c r="N2436" s="1">
        <f t="shared" si="121"/>
        <v>11</v>
      </c>
      <c r="O2436" s="87"/>
    </row>
    <row r="2437" spans="1:15" ht="15.75" hidden="1" x14ac:dyDescent="0.25">
      <c r="A2437" s="1" t="str">
        <f t="shared" si="120"/>
        <v>44880448807.5CURRENTTRANSPORTCAREEM</v>
      </c>
      <c r="B2437" s="2">
        <v>44880</v>
      </c>
      <c r="C2437" s="2">
        <v>44880</v>
      </c>
      <c r="D2437" s="3" t="s">
        <v>2938</v>
      </c>
      <c r="E2437" s="3">
        <v>7.5</v>
      </c>
      <c r="F2437" s="3">
        <v>1</v>
      </c>
      <c r="G2437" s="3">
        <f t="shared" si="119"/>
        <v>7.5</v>
      </c>
      <c r="H2437" s="3" t="s">
        <v>293</v>
      </c>
      <c r="I2437" s="1" t="s">
        <v>296</v>
      </c>
      <c r="J2437" s="1" t="s">
        <v>297</v>
      </c>
      <c r="K2437" s="1" t="s">
        <v>298</v>
      </c>
      <c r="L2437" s="1" t="s">
        <v>257</v>
      </c>
      <c r="M2437" s="1"/>
      <c r="N2437" s="1">
        <f t="shared" si="121"/>
        <v>11</v>
      </c>
      <c r="O2437" s="87"/>
    </row>
    <row r="2438" spans="1:15" ht="15.75" hidden="1" x14ac:dyDescent="0.25">
      <c r="A2438" s="1" t="str">
        <f t="shared" si="120"/>
        <v>448804488260FIFA CCSHOPPINGTECHNOBLUE</v>
      </c>
      <c r="B2438" s="2">
        <v>44880</v>
      </c>
      <c r="C2438" s="2">
        <v>44882</v>
      </c>
      <c r="D2438" s="3" t="s">
        <v>2979</v>
      </c>
      <c r="E2438" s="3">
        <v>-60</v>
      </c>
      <c r="F2438" s="3">
        <v>1</v>
      </c>
      <c r="G2438" s="3">
        <f t="shared" si="119"/>
        <v>60</v>
      </c>
      <c r="H2438" s="3" t="s">
        <v>3294</v>
      </c>
      <c r="I2438" s="1" t="s">
        <v>194</v>
      </c>
      <c r="J2438" s="1" t="s">
        <v>2992</v>
      </c>
      <c r="K2438" s="1" t="s">
        <v>298</v>
      </c>
      <c r="L2438" s="1" t="s">
        <v>267</v>
      </c>
      <c r="M2438" s="1"/>
      <c r="N2438" s="1">
        <f t="shared" si="121"/>
        <v>11</v>
      </c>
      <c r="O2438" s="87"/>
    </row>
    <row r="2439" spans="1:15" ht="15.75" hidden="1" x14ac:dyDescent="0.25">
      <c r="A2439" s="1" t="str">
        <f t="shared" si="120"/>
        <v>44881448817.5CURRENTTRANSPORTCAREEM</v>
      </c>
      <c r="B2439" s="2">
        <v>44881</v>
      </c>
      <c r="C2439" s="2">
        <v>44881</v>
      </c>
      <c r="D2439" s="3" t="s">
        <v>2937</v>
      </c>
      <c r="E2439" s="3">
        <v>7.5</v>
      </c>
      <c r="F2439" s="3">
        <v>1</v>
      </c>
      <c r="G2439" s="3">
        <f t="shared" si="119"/>
        <v>7.5</v>
      </c>
      <c r="H2439" s="3" t="s">
        <v>293</v>
      </c>
      <c r="I2439" s="1" t="s">
        <v>296</v>
      </c>
      <c r="J2439" s="1" t="s">
        <v>297</v>
      </c>
      <c r="K2439" s="1" t="s">
        <v>298</v>
      </c>
      <c r="L2439" s="1" t="s">
        <v>257</v>
      </c>
      <c r="M2439" s="1"/>
      <c r="N2439" s="1">
        <f t="shared" si="121"/>
        <v>11</v>
      </c>
      <c r="O2439" s="87"/>
    </row>
    <row r="2440" spans="1:15" ht="15.75" hidden="1" x14ac:dyDescent="0.25">
      <c r="A2440" s="1" t="str">
        <f t="shared" si="120"/>
        <v>44881448836.4FIFA CCTRANSPORTCAREEM</v>
      </c>
      <c r="B2440" s="2">
        <v>44881</v>
      </c>
      <c r="C2440" s="2">
        <v>44883</v>
      </c>
      <c r="D2440" s="3" t="s">
        <v>2977</v>
      </c>
      <c r="E2440" s="3">
        <v>-6.4</v>
      </c>
      <c r="F2440" s="3">
        <v>1</v>
      </c>
      <c r="G2440" s="3">
        <f t="shared" si="119"/>
        <v>6.4</v>
      </c>
      <c r="H2440" s="3" t="s">
        <v>3294</v>
      </c>
      <c r="I2440" s="1" t="s">
        <v>296</v>
      </c>
      <c r="J2440" s="1" t="s">
        <v>297</v>
      </c>
      <c r="K2440" s="1" t="s">
        <v>298</v>
      </c>
      <c r="L2440" s="1" t="s">
        <v>267</v>
      </c>
      <c r="M2440" s="1"/>
      <c r="N2440" s="1">
        <f t="shared" si="121"/>
        <v>11</v>
      </c>
      <c r="O2440" s="87"/>
    </row>
    <row r="2441" spans="1:15" ht="15.75" hidden="1" x14ac:dyDescent="0.25">
      <c r="A2441" s="1" t="str">
        <f t="shared" si="120"/>
        <v>448814488330.75FIFA CCGROCERYFFC</v>
      </c>
      <c r="B2441" s="2">
        <v>44881</v>
      </c>
      <c r="C2441" s="2">
        <v>44883</v>
      </c>
      <c r="D2441" s="3" t="s">
        <v>2978</v>
      </c>
      <c r="E2441" s="3">
        <v>-30.75</v>
      </c>
      <c r="F2441" s="3">
        <v>1</v>
      </c>
      <c r="G2441" s="3">
        <f t="shared" si="119"/>
        <v>30.75</v>
      </c>
      <c r="H2441" s="3" t="s">
        <v>3294</v>
      </c>
      <c r="I2441" s="1" t="s">
        <v>43</v>
      </c>
      <c r="J2441" s="1" t="s">
        <v>96</v>
      </c>
      <c r="K2441" s="1" t="s">
        <v>298</v>
      </c>
      <c r="L2441" s="1" t="s">
        <v>267</v>
      </c>
      <c r="M2441" s="1"/>
      <c r="N2441" s="1">
        <f t="shared" si="121"/>
        <v>11</v>
      </c>
      <c r="O2441" s="87"/>
    </row>
    <row r="2442" spans="1:15" ht="15.75" hidden="1" x14ac:dyDescent="0.25">
      <c r="A2442" s="1" t="str">
        <f t="shared" si="120"/>
        <v>44882448827.5CURRENTTRANSPORTCAREEM</v>
      </c>
      <c r="B2442" s="2">
        <v>44882</v>
      </c>
      <c r="C2442" s="2">
        <v>44882</v>
      </c>
      <c r="D2442" s="3" t="s">
        <v>2936</v>
      </c>
      <c r="E2442" s="3">
        <v>7.5</v>
      </c>
      <c r="F2442" s="3">
        <v>1</v>
      </c>
      <c r="G2442" s="3">
        <f t="shared" si="119"/>
        <v>7.5</v>
      </c>
      <c r="H2442" s="3" t="s">
        <v>293</v>
      </c>
      <c r="I2442" s="1" t="s">
        <v>296</v>
      </c>
      <c r="J2442" s="1" t="s">
        <v>297</v>
      </c>
      <c r="K2442" s="1" t="s">
        <v>298</v>
      </c>
      <c r="L2442" s="1" t="s">
        <v>257</v>
      </c>
      <c r="M2442" s="1"/>
      <c r="N2442" s="1">
        <f t="shared" si="121"/>
        <v>11</v>
      </c>
      <c r="O2442" s="87"/>
    </row>
    <row r="2443" spans="1:15" ht="15.75" hidden="1" x14ac:dyDescent="0.25">
      <c r="A2443" s="1" t="str">
        <f t="shared" si="120"/>
        <v>448824488425FIFA CCSHOPPINGLULU</v>
      </c>
      <c r="B2443" s="2">
        <v>44882</v>
      </c>
      <c r="C2443" s="2">
        <v>44884</v>
      </c>
      <c r="D2443" s="3" t="s">
        <v>2974</v>
      </c>
      <c r="E2443" s="3">
        <v>-25</v>
      </c>
      <c r="F2443" s="3">
        <v>1</v>
      </c>
      <c r="G2443" s="3">
        <f t="shared" ref="G2443:G2506" si="122">ABS(E2443)*F2443</f>
        <v>25</v>
      </c>
      <c r="H2443" s="3" t="s">
        <v>3294</v>
      </c>
      <c r="I2443" s="1" t="s">
        <v>194</v>
      </c>
      <c r="J2443" s="1" t="s">
        <v>44</v>
      </c>
      <c r="K2443" s="1" t="s">
        <v>298</v>
      </c>
      <c r="L2443" s="1" t="s">
        <v>267</v>
      </c>
      <c r="M2443" s="1"/>
      <c r="N2443" s="1">
        <f t="shared" si="121"/>
        <v>11</v>
      </c>
      <c r="O2443" s="87"/>
    </row>
    <row r="2444" spans="1:15" ht="15.75" hidden="1" x14ac:dyDescent="0.25">
      <c r="A2444" s="1" t="str">
        <f t="shared" si="120"/>
        <v>4488244884252.31FIFA CCGROCERYLULU</v>
      </c>
      <c r="B2444" s="2">
        <v>44882</v>
      </c>
      <c r="C2444" s="2">
        <v>44884</v>
      </c>
      <c r="D2444" s="3" t="s">
        <v>2975</v>
      </c>
      <c r="E2444" s="3">
        <v>-252.31</v>
      </c>
      <c r="F2444" s="3">
        <v>1</v>
      </c>
      <c r="G2444" s="3">
        <f t="shared" si="122"/>
        <v>252.31</v>
      </c>
      <c r="H2444" s="3" t="s">
        <v>3294</v>
      </c>
      <c r="I2444" s="1" t="s">
        <v>43</v>
      </c>
      <c r="J2444" s="1" t="s">
        <v>44</v>
      </c>
      <c r="K2444" s="1" t="s">
        <v>298</v>
      </c>
      <c r="L2444" s="1" t="s">
        <v>267</v>
      </c>
      <c r="M2444" s="1"/>
      <c r="N2444" s="1">
        <f t="shared" si="121"/>
        <v>11</v>
      </c>
      <c r="O2444" s="87"/>
    </row>
    <row r="2445" spans="1:15" ht="15.75" hidden="1" x14ac:dyDescent="0.25">
      <c r="A2445" s="1" t="str">
        <f t="shared" si="120"/>
        <v>448824488490FIFA CCTRANSPORTWOQOD</v>
      </c>
      <c r="B2445" s="2">
        <v>44882</v>
      </c>
      <c r="C2445" s="2">
        <v>44884</v>
      </c>
      <c r="D2445" s="3" t="s">
        <v>2976</v>
      </c>
      <c r="E2445" s="3">
        <v>-90</v>
      </c>
      <c r="F2445" s="3">
        <v>1</v>
      </c>
      <c r="G2445" s="3">
        <f t="shared" si="122"/>
        <v>90</v>
      </c>
      <c r="H2445" s="3" t="s">
        <v>3294</v>
      </c>
      <c r="I2445" s="1" t="s">
        <v>296</v>
      </c>
      <c r="J2445" s="1" t="s">
        <v>1942</v>
      </c>
      <c r="K2445" s="1" t="s">
        <v>298</v>
      </c>
      <c r="L2445" s="1" t="s">
        <v>267</v>
      </c>
      <c r="M2445" s="1"/>
      <c r="N2445" s="1">
        <f t="shared" si="121"/>
        <v>11</v>
      </c>
      <c r="O2445" s="87"/>
    </row>
    <row r="2446" spans="1:15" ht="15.75" hidden="1" x14ac:dyDescent="0.25">
      <c r="A2446" s="1" t="str">
        <f t="shared" si="120"/>
        <v>448824488460MASTER CCTELECOMOOREDOO</v>
      </c>
      <c r="B2446" s="154">
        <v>44882</v>
      </c>
      <c r="C2446" s="154">
        <v>44884</v>
      </c>
      <c r="D2446" s="3" t="s">
        <v>3063</v>
      </c>
      <c r="E2446" s="3">
        <v>-60</v>
      </c>
      <c r="F2446" s="3">
        <v>1</v>
      </c>
      <c r="G2446" s="3">
        <f t="shared" si="122"/>
        <v>60</v>
      </c>
      <c r="H2446" s="3" t="s">
        <v>291</v>
      </c>
      <c r="I2446" s="1" t="s">
        <v>58</v>
      </c>
      <c r="J2446" s="1" t="s">
        <v>59</v>
      </c>
      <c r="K2446" s="1" t="s">
        <v>298</v>
      </c>
      <c r="L2446" s="1" t="s">
        <v>267</v>
      </c>
      <c r="M2446" s="1"/>
      <c r="N2446" s="1">
        <f t="shared" si="121"/>
        <v>11</v>
      </c>
      <c r="O2446" s="87"/>
    </row>
    <row r="2447" spans="1:15" ht="15.75" hidden="1" x14ac:dyDescent="0.25">
      <c r="A2447" s="1" t="str">
        <f t="shared" si="120"/>
        <v>448834488615.5FIFA CCFOODCAFÉ/REST.</v>
      </c>
      <c r="B2447" s="2">
        <v>44883</v>
      </c>
      <c r="C2447" s="2">
        <v>44886</v>
      </c>
      <c r="D2447" s="3" t="s">
        <v>2972</v>
      </c>
      <c r="E2447" s="3">
        <v>-15.5</v>
      </c>
      <c r="F2447" s="3">
        <v>1</v>
      </c>
      <c r="G2447" s="3">
        <f t="shared" si="122"/>
        <v>15.5</v>
      </c>
      <c r="H2447" s="3" t="s">
        <v>3294</v>
      </c>
      <c r="I2447" s="1" t="s">
        <v>10</v>
      </c>
      <c r="J2447" s="1" t="s">
        <v>11</v>
      </c>
      <c r="K2447" s="1" t="s">
        <v>298</v>
      </c>
      <c r="L2447" s="1" t="s">
        <v>267</v>
      </c>
      <c r="M2447" s="1"/>
      <c r="N2447" s="1">
        <f t="shared" si="121"/>
        <v>11</v>
      </c>
      <c r="O2447" s="87"/>
    </row>
    <row r="2448" spans="1:15" ht="15.75" hidden="1" x14ac:dyDescent="0.25">
      <c r="A2448" s="1" t="str">
        <f t="shared" si="120"/>
        <v>448834488533FIFA CCFOODWISHBOX</v>
      </c>
      <c r="B2448" s="2">
        <v>44883</v>
      </c>
      <c r="C2448" s="2">
        <v>44885</v>
      </c>
      <c r="D2448" s="3" t="s">
        <v>2973</v>
      </c>
      <c r="E2448" s="3">
        <v>-33</v>
      </c>
      <c r="F2448" s="3">
        <v>1</v>
      </c>
      <c r="G2448" s="3">
        <f t="shared" si="122"/>
        <v>33</v>
      </c>
      <c r="H2448" s="3" t="s">
        <v>3294</v>
      </c>
      <c r="I2448" s="1" t="s">
        <v>10</v>
      </c>
      <c r="J2448" s="1" t="s">
        <v>1199</v>
      </c>
      <c r="K2448" s="1" t="s">
        <v>298</v>
      </c>
      <c r="L2448" s="1" t="s">
        <v>267</v>
      </c>
      <c r="M2448" s="1"/>
      <c r="N2448" s="1">
        <f t="shared" si="121"/>
        <v>11</v>
      </c>
      <c r="O2448" s="87"/>
    </row>
    <row r="2449" spans="1:15" ht="15.75" hidden="1" x14ac:dyDescent="0.25">
      <c r="A2449" s="1" t="str">
        <f t="shared" si="120"/>
        <v>4488444887124.83FIFA CCSHOPPINGMICROSOFT</v>
      </c>
      <c r="B2449" s="2">
        <v>44884</v>
      </c>
      <c r="C2449" s="2">
        <v>44887</v>
      </c>
      <c r="D2449" s="3" t="s">
        <v>2968</v>
      </c>
      <c r="E2449" s="3">
        <v>-124.83</v>
      </c>
      <c r="F2449" s="3">
        <v>1</v>
      </c>
      <c r="G2449" s="3">
        <f t="shared" si="122"/>
        <v>124.83</v>
      </c>
      <c r="H2449" s="3" t="s">
        <v>3294</v>
      </c>
      <c r="I2449" s="1" t="s">
        <v>194</v>
      </c>
      <c r="J2449" s="1" t="s">
        <v>2990</v>
      </c>
      <c r="K2449" s="1" t="s">
        <v>298</v>
      </c>
      <c r="L2449" s="1" t="s">
        <v>267</v>
      </c>
      <c r="M2449" s="1"/>
      <c r="N2449" s="1">
        <f t="shared" si="121"/>
        <v>11</v>
      </c>
      <c r="O2449" s="87"/>
    </row>
    <row r="2450" spans="1:15" ht="15.75" hidden="1" x14ac:dyDescent="0.25">
      <c r="A2450" s="1" t="str">
        <f t="shared" si="120"/>
        <v>448844488714.81FIFA CCSHOPPINGMICROSOFT</v>
      </c>
      <c r="B2450" s="2">
        <v>44884</v>
      </c>
      <c r="C2450" s="2">
        <v>44887</v>
      </c>
      <c r="D2450" s="3" t="s">
        <v>2969</v>
      </c>
      <c r="E2450" s="3">
        <v>-14.81</v>
      </c>
      <c r="F2450" s="3">
        <v>1</v>
      </c>
      <c r="G2450" s="3">
        <f t="shared" si="122"/>
        <v>14.81</v>
      </c>
      <c r="H2450" s="3" t="s">
        <v>3294</v>
      </c>
      <c r="I2450" s="1" t="s">
        <v>194</v>
      </c>
      <c r="J2450" s="1" t="s">
        <v>2990</v>
      </c>
      <c r="K2450" s="1" t="s">
        <v>298</v>
      </c>
      <c r="L2450" s="1" t="s">
        <v>267</v>
      </c>
      <c r="M2450" s="1"/>
      <c r="N2450" s="1">
        <f t="shared" si="121"/>
        <v>11</v>
      </c>
      <c r="O2450" s="87"/>
    </row>
    <row r="2451" spans="1:15" ht="15.75" hidden="1" x14ac:dyDescent="0.25">
      <c r="A2451" s="1" t="str">
        <f t="shared" si="120"/>
        <v>448844488792.46FIFA CCSHOPPINGMICROSOFT</v>
      </c>
      <c r="B2451" s="2">
        <v>44884</v>
      </c>
      <c r="C2451" s="2">
        <v>44887</v>
      </c>
      <c r="D2451" s="3" t="s">
        <v>2970</v>
      </c>
      <c r="E2451" s="3">
        <v>-92.46</v>
      </c>
      <c r="F2451" s="3">
        <v>1</v>
      </c>
      <c r="G2451" s="3">
        <f t="shared" si="122"/>
        <v>92.46</v>
      </c>
      <c r="H2451" s="3" t="s">
        <v>3294</v>
      </c>
      <c r="I2451" s="1" t="s">
        <v>194</v>
      </c>
      <c r="J2451" s="1" t="s">
        <v>2990</v>
      </c>
      <c r="K2451" s="1" t="s">
        <v>298</v>
      </c>
      <c r="L2451" s="1" t="s">
        <v>267</v>
      </c>
      <c r="M2451" s="1"/>
      <c r="N2451" s="1">
        <f t="shared" si="121"/>
        <v>11</v>
      </c>
      <c r="O2451" s="87"/>
    </row>
    <row r="2452" spans="1:15" ht="15.75" hidden="1" x14ac:dyDescent="0.25">
      <c r="A2452" s="1" t="str">
        <f t="shared" si="120"/>
        <v>448844488736.97FIFA CCSHOPPINGMICROSOFT</v>
      </c>
      <c r="B2452" s="2">
        <v>44884</v>
      </c>
      <c r="C2452" s="2">
        <v>44887</v>
      </c>
      <c r="D2452" s="3" t="s">
        <v>2971</v>
      </c>
      <c r="E2452" s="3">
        <v>-36.97</v>
      </c>
      <c r="F2452" s="3">
        <v>1</v>
      </c>
      <c r="G2452" s="3">
        <f t="shared" si="122"/>
        <v>36.97</v>
      </c>
      <c r="H2452" s="3" t="s">
        <v>3294</v>
      </c>
      <c r="I2452" s="1" t="s">
        <v>194</v>
      </c>
      <c r="J2452" s="1" t="s">
        <v>2990</v>
      </c>
      <c r="K2452" s="1" t="s">
        <v>298</v>
      </c>
      <c r="L2452" s="1" t="s">
        <v>267</v>
      </c>
      <c r="M2452" s="1"/>
      <c r="N2452" s="1">
        <f t="shared" si="121"/>
        <v>11</v>
      </c>
      <c r="O2452" s="87"/>
    </row>
    <row r="2453" spans="1:15" ht="15.75" hidden="1" x14ac:dyDescent="0.25">
      <c r="A2453" s="1" t="str">
        <f t="shared" si="120"/>
        <v>4488444887113.02MASTER CCTELECOMOOREDOO</v>
      </c>
      <c r="B2453" s="154">
        <v>44884</v>
      </c>
      <c r="C2453" s="154">
        <v>44887</v>
      </c>
      <c r="D2453" s="3" t="s">
        <v>3062</v>
      </c>
      <c r="E2453" s="3">
        <v>-113.02</v>
      </c>
      <c r="F2453" s="3">
        <v>1</v>
      </c>
      <c r="G2453" s="3">
        <f t="shared" si="122"/>
        <v>113.02</v>
      </c>
      <c r="H2453" s="3" t="s">
        <v>291</v>
      </c>
      <c r="I2453" s="1" t="s">
        <v>58</v>
      </c>
      <c r="J2453" s="1" t="s">
        <v>59</v>
      </c>
      <c r="K2453" s="1" t="s">
        <v>298</v>
      </c>
      <c r="L2453" s="1" t="s">
        <v>267</v>
      </c>
      <c r="M2453" s="1"/>
      <c r="N2453" s="1">
        <f t="shared" si="121"/>
        <v>11</v>
      </c>
      <c r="O2453" s="87"/>
    </row>
    <row r="2454" spans="1:15" ht="15.75" hidden="1" x14ac:dyDescent="0.25">
      <c r="A2454" s="1" t="str">
        <f t="shared" si="120"/>
        <v>44885448857.5CURRENTTRANSPORTCAREEM</v>
      </c>
      <c r="B2454" s="2">
        <v>44885</v>
      </c>
      <c r="C2454" s="2">
        <v>44885</v>
      </c>
      <c r="D2454" s="3" t="s">
        <v>2934</v>
      </c>
      <c r="E2454" s="3">
        <v>7.5</v>
      </c>
      <c r="F2454" s="3">
        <v>1</v>
      </c>
      <c r="G2454" s="3">
        <f t="shared" si="122"/>
        <v>7.5</v>
      </c>
      <c r="H2454" s="3" t="s">
        <v>293</v>
      </c>
      <c r="I2454" s="1" t="s">
        <v>296</v>
      </c>
      <c r="J2454" s="1" t="s">
        <v>297</v>
      </c>
      <c r="K2454" s="1" t="s">
        <v>298</v>
      </c>
      <c r="L2454" s="1" t="s">
        <v>257</v>
      </c>
      <c r="M2454" s="1"/>
      <c r="N2454" s="1">
        <f t="shared" si="121"/>
        <v>11</v>
      </c>
      <c r="O2454" s="87"/>
    </row>
    <row r="2455" spans="1:15" ht="15.75" hidden="1" x14ac:dyDescent="0.25">
      <c r="A2455" s="1" t="str">
        <f t="shared" si="120"/>
        <v>44885448857.5CURRENTTRANSPORTCAREEM</v>
      </c>
      <c r="B2455" s="2">
        <v>44885</v>
      </c>
      <c r="C2455" s="2">
        <v>44885</v>
      </c>
      <c r="D2455" s="3" t="s">
        <v>2935</v>
      </c>
      <c r="E2455" s="3">
        <v>7.5</v>
      </c>
      <c r="F2455" s="3">
        <v>1</v>
      </c>
      <c r="G2455" s="3">
        <f t="shared" si="122"/>
        <v>7.5</v>
      </c>
      <c r="H2455" s="3" t="s">
        <v>293</v>
      </c>
      <c r="I2455" s="1" t="s">
        <v>296</v>
      </c>
      <c r="J2455" s="1" t="s">
        <v>297</v>
      </c>
      <c r="K2455" s="1" t="s">
        <v>298</v>
      </c>
      <c r="L2455" s="1" t="s">
        <v>257</v>
      </c>
      <c r="M2455" s="1"/>
      <c r="N2455" s="1">
        <f t="shared" si="121"/>
        <v>11</v>
      </c>
      <c r="O2455" s="87"/>
    </row>
    <row r="2456" spans="1:15" ht="15.75" hidden="1" x14ac:dyDescent="0.25">
      <c r="A2456" s="1" t="str">
        <f t="shared" si="120"/>
        <v>448854488739FIFA CCFOODQATAR AIR</v>
      </c>
      <c r="B2456" s="2">
        <v>44885</v>
      </c>
      <c r="C2456" s="2">
        <v>44887</v>
      </c>
      <c r="D2456" s="3" t="s">
        <v>2963</v>
      </c>
      <c r="E2456" s="3">
        <v>-39</v>
      </c>
      <c r="F2456" s="3">
        <v>1</v>
      </c>
      <c r="G2456" s="3">
        <f t="shared" si="122"/>
        <v>39</v>
      </c>
      <c r="H2456" s="3" t="s">
        <v>3294</v>
      </c>
      <c r="I2456" s="1" t="s">
        <v>10</v>
      </c>
      <c r="J2456" s="1" t="s">
        <v>19</v>
      </c>
      <c r="K2456" s="1" t="s">
        <v>298</v>
      </c>
      <c r="L2456" s="1" t="s">
        <v>267</v>
      </c>
      <c r="M2456" s="1"/>
      <c r="N2456" s="1">
        <f t="shared" si="121"/>
        <v>11</v>
      </c>
      <c r="O2456" s="87"/>
    </row>
    <row r="2457" spans="1:15" ht="15.75" hidden="1" x14ac:dyDescent="0.25">
      <c r="A2457" s="1" t="str">
        <f t="shared" si="120"/>
        <v>448854488713.5FIFA CCFOODCAFÉ/REST.</v>
      </c>
      <c r="B2457" s="2">
        <v>44885</v>
      </c>
      <c r="C2457" s="2">
        <v>44887</v>
      </c>
      <c r="D2457" s="3" t="s">
        <v>2964</v>
      </c>
      <c r="E2457" s="3">
        <v>-13.5</v>
      </c>
      <c r="F2457" s="3">
        <v>1</v>
      </c>
      <c r="G2457" s="3">
        <f t="shared" si="122"/>
        <v>13.5</v>
      </c>
      <c r="H2457" s="3" t="s">
        <v>3294</v>
      </c>
      <c r="I2457" s="1" t="s">
        <v>10</v>
      </c>
      <c r="J2457" s="1" t="s">
        <v>11</v>
      </c>
      <c r="K2457" s="1" t="s">
        <v>298</v>
      </c>
      <c r="L2457" s="1" t="s">
        <v>267</v>
      </c>
      <c r="M2457" s="1"/>
      <c r="N2457" s="1">
        <f t="shared" si="121"/>
        <v>11</v>
      </c>
      <c r="O2457" s="87"/>
    </row>
    <row r="2458" spans="1:15" ht="15.75" hidden="1" x14ac:dyDescent="0.25">
      <c r="A2458" s="1" t="str">
        <f t="shared" si="120"/>
        <v>448854488745FIFA CCFOODCAFÉ/REST.</v>
      </c>
      <c r="B2458" s="2">
        <v>44885</v>
      </c>
      <c r="C2458" s="2">
        <v>44887</v>
      </c>
      <c r="D2458" s="3" t="s">
        <v>2965</v>
      </c>
      <c r="E2458" s="3">
        <v>-45</v>
      </c>
      <c r="F2458" s="3">
        <v>1</v>
      </c>
      <c r="G2458" s="3">
        <f t="shared" si="122"/>
        <v>45</v>
      </c>
      <c r="H2458" s="3" t="s">
        <v>3294</v>
      </c>
      <c r="I2458" s="1" t="s">
        <v>10</v>
      </c>
      <c r="J2458" s="1" t="s">
        <v>11</v>
      </c>
      <c r="K2458" s="1" t="s">
        <v>298</v>
      </c>
      <c r="L2458" s="1" t="s">
        <v>267</v>
      </c>
      <c r="M2458" s="1"/>
      <c r="N2458" s="1">
        <f t="shared" si="121"/>
        <v>11</v>
      </c>
      <c r="O2458" s="87"/>
    </row>
    <row r="2459" spans="1:15" ht="15.75" hidden="1" x14ac:dyDescent="0.25">
      <c r="A2459" s="1" t="str">
        <f t="shared" si="120"/>
        <v>4488544886170.76FIFA CCGROCERYANSAR</v>
      </c>
      <c r="B2459" s="2">
        <v>44885</v>
      </c>
      <c r="C2459" s="2">
        <v>44886</v>
      </c>
      <c r="D2459" s="3" t="s">
        <v>2966</v>
      </c>
      <c r="E2459" s="3">
        <v>-170.76</v>
      </c>
      <c r="F2459" s="3">
        <v>1</v>
      </c>
      <c r="G2459" s="3">
        <f t="shared" si="122"/>
        <v>170.76</v>
      </c>
      <c r="H2459" s="3" t="s">
        <v>3294</v>
      </c>
      <c r="I2459" s="1" t="s">
        <v>43</v>
      </c>
      <c r="J2459" s="1" t="s">
        <v>1656</v>
      </c>
      <c r="K2459" s="1" t="s">
        <v>298</v>
      </c>
      <c r="L2459" s="1" t="s">
        <v>267</v>
      </c>
      <c r="M2459" s="1"/>
      <c r="N2459" s="1">
        <f t="shared" si="121"/>
        <v>11</v>
      </c>
      <c r="O2459" s="87"/>
    </row>
    <row r="2460" spans="1:15" ht="15.75" hidden="1" x14ac:dyDescent="0.25">
      <c r="A2460" s="1" t="str">
        <f t="shared" si="120"/>
        <v>448854488621.5FIFA CCGROCERYANSAR</v>
      </c>
      <c r="B2460" s="2">
        <v>44885</v>
      </c>
      <c r="C2460" s="2">
        <v>44886</v>
      </c>
      <c r="D2460" s="3" t="s">
        <v>2967</v>
      </c>
      <c r="E2460" s="3">
        <v>-21.5</v>
      </c>
      <c r="F2460" s="3">
        <v>1</v>
      </c>
      <c r="G2460" s="3">
        <f t="shared" si="122"/>
        <v>21.5</v>
      </c>
      <c r="H2460" s="3" t="s">
        <v>3294</v>
      </c>
      <c r="I2460" s="1" t="s">
        <v>43</v>
      </c>
      <c r="J2460" s="1" t="s">
        <v>1656</v>
      </c>
      <c r="K2460" s="1" t="s">
        <v>298</v>
      </c>
      <c r="L2460" s="1" t="s">
        <v>267</v>
      </c>
      <c r="M2460" s="1"/>
      <c r="N2460" s="1">
        <f t="shared" si="121"/>
        <v>11</v>
      </c>
      <c r="O2460" s="87"/>
    </row>
    <row r="2461" spans="1:15" ht="15.75" hidden="1" x14ac:dyDescent="0.25">
      <c r="A2461" s="1" t="str">
        <f t="shared" si="120"/>
        <v>44885448877.5MASTER CCTRANSPORTCAREEM</v>
      </c>
      <c r="B2461" s="154">
        <v>44885</v>
      </c>
      <c r="C2461" s="154">
        <v>44887</v>
      </c>
      <c r="D2461" s="3" t="s">
        <v>3061</v>
      </c>
      <c r="E2461" s="3">
        <v>-7.5</v>
      </c>
      <c r="F2461" s="3">
        <v>1</v>
      </c>
      <c r="G2461" s="3">
        <f t="shared" si="122"/>
        <v>7.5</v>
      </c>
      <c r="H2461" s="3" t="s">
        <v>291</v>
      </c>
      <c r="I2461" s="1" t="s">
        <v>296</v>
      </c>
      <c r="J2461" s="1" t="s">
        <v>297</v>
      </c>
      <c r="K2461" s="1" t="s">
        <v>298</v>
      </c>
      <c r="L2461" s="1" t="s">
        <v>267</v>
      </c>
      <c r="M2461" s="1"/>
      <c r="N2461" s="1">
        <f t="shared" si="121"/>
        <v>11</v>
      </c>
      <c r="O2461" s="87"/>
    </row>
    <row r="2462" spans="1:15" ht="15.75" hidden="1" x14ac:dyDescent="0.25">
      <c r="A2462" s="1" t="str">
        <f t="shared" si="120"/>
        <v>4488644886700CURRENTWITHDRAWSELF</v>
      </c>
      <c r="B2462" s="2">
        <v>44886</v>
      </c>
      <c r="C2462" s="2">
        <v>44886</v>
      </c>
      <c r="D2462" s="3" t="s">
        <v>2933</v>
      </c>
      <c r="E2462" s="3">
        <v>700</v>
      </c>
      <c r="F2462" s="3">
        <v>1</v>
      </c>
      <c r="G2462" s="3">
        <f t="shared" si="122"/>
        <v>700</v>
      </c>
      <c r="H2462" s="3" t="s">
        <v>293</v>
      </c>
      <c r="I2462" s="1" t="s">
        <v>13</v>
      </c>
      <c r="J2462" s="1" t="s">
        <v>14</v>
      </c>
      <c r="K2462" s="1" t="s">
        <v>298</v>
      </c>
      <c r="L2462" s="1" t="s">
        <v>257</v>
      </c>
      <c r="M2462" s="1"/>
      <c r="N2462" s="1">
        <f t="shared" si="121"/>
        <v>11</v>
      </c>
      <c r="O2462" s="87"/>
    </row>
    <row r="2463" spans="1:15" ht="15.75" hidden="1" x14ac:dyDescent="0.25">
      <c r="A2463" s="1" t="str">
        <f t="shared" si="120"/>
        <v>448864488886.25FIFA CCSHOPPINGLULU</v>
      </c>
      <c r="B2463" s="2">
        <v>44886</v>
      </c>
      <c r="C2463" s="2">
        <v>44888</v>
      </c>
      <c r="D2463" s="3" t="s">
        <v>2961</v>
      </c>
      <c r="E2463" s="3">
        <v>-86.25</v>
      </c>
      <c r="F2463" s="3">
        <v>1</v>
      </c>
      <c r="G2463" s="3">
        <f t="shared" si="122"/>
        <v>86.25</v>
      </c>
      <c r="H2463" s="3" t="s">
        <v>3294</v>
      </c>
      <c r="I2463" s="1" t="s">
        <v>194</v>
      </c>
      <c r="J2463" s="1" t="s">
        <v>44</v>
      </c>
      <c r="K2463" s="1" t="s">
        <v>298</v>
      </c>
      <c r="L2463" s="1" t="s">
        <v>267</v>
      </c>
      <c r="M2463" s="1"/>
      <c r="N2463" s="1">
        <f t="shared" si="121"/>
        <v>11</v>
      </c>
      <c r="O2463" s="87"/>
    </row>
    <row r="2464" spans="1:15" ht="15.75" hidden="1" x14ac:dyDescent="0.25">
      <c r="A2464" s="1" t="str">
        <f t="shared" si="120"/>
        <v>44886448889FIFA CCFOODSIDEWALK</v>
      </c>
      <c r="B2464" s="2">
        <v>44886</v>
      </c>
      <c r="C2464" s="2">
        <v>44888</v>
      </c>
      <c r="D2464" s="3" t="s">
        <v>2962</v>
      </c>
      <c r="E2464" s="3">
        <v>-9</v>
      </c>
      <c r="F2464" s="3">
        <v>1</v>
      </c>
      <c r="G2464" s="3">
        <f t="shared" si="122"/>
        <v>9</v>
      </c>
      <c r="H2464" s="3" t="s">
        <v>3294</v>
      </c>
      <c r="I2464" s="1" t="s">
        <v>10</v>
      </c>
      <c r="J2464" s="1" t="s">
        <v>1423</v>
      </c>
      <c r="K2464" s="1" t="s">
        <v>298</v>
      </c>
      <c r="L2464" s="1" t="s">
        <v>267</v>
      </c>
      <c r="M2464" s="1"/>
      <c r="N2464" s="1">
        <f t="shared" si="121"/>
        <v>11</v>
      </c>
      <c r="O2464" s="87"/>
    </row>
    <row r="2465" spans="1:15" ht="15.75" hidden="1" x14ac:dyDescent="0.25">
      <c r="A2465" s="1" t="str">
        <f t="shared" si="120"/>
        <v>44887448877.5CURRENTTRANSPORTCAREEM</v>
      </c>
      <c r="B2465" s="2">
        <v>44887</v>
      </c>
      <c r="C2465" s="2">
        <v>44887</v>
      </c>
      <c r="D2465" s="3" t="s">
        <v>2932</v>
      </c>
      <c r="E2465" s="3">
        <v>7.5</v>
      </c>
      <c r="F2465" s="3">
        <v>1</v>
      </c>
      <c r="G2465" s="3">
        <f t="shared" si="122"/>
        <v>7.5</v>
      </c>
      <c r="H2465" s="3" t="s">
        <v>293</v>
      </c>
      <c r="I2465" s="1" t="s">
        <v>296</v>
      </c>
      <c r="J2465" s="1" t="s">
        <v>297</v>
      </c>
      <c r="K2465" s="1" t="s">
        <v>298</v>
      </c>
      <c r="L2465" s="1" t="s">
        <v>257</v>
      </c>
      <c r="M2465" s="1"/>
      <c r="N2465" s="1">
        <f t="shared" si="121"/>
        <v>11</v>
      </c>
      <c r="O2465" s="87"/>
    </row>
    <row r="2466" spans="1:15" ht="15.75" hidden="1" x14ac:dyDescent="0.25">
      <c r="A2466" s="1" t="str">
        <f t="shared" si="120"/>
        <v>448884488820CURRENTFOODCAFÉ/REST.</v>
      </c>
      <c r="B2466" s="2">
        <v>44888</v>
      </c>
      <c r="C2466" s="2">
        <v>44888</v>
      </c>
      <c r="D2466" s="3" t="s">
        <v>2930</v>
      </c>
      <c r="E2466" s="3">
        <v>20</v>
      </c>
      <c r="F2466" s="3">
        <v>1</v>
      </c>
      <c r="G2466" s="3">
        <f t="shared" si="122"/>
        <v>20</v>
      </c>
      <c r="H2466" s="3" t="s">
        <v>293</v>
      </c>
      <c r="I2466" s="1" t="s">
        <v>10</v>
      </c>
      <c r="J2466" s="1" t="s">
        <v>11</v>
      </c>
      <c r="K2466" s="1" t="s">
        <v>298</v>
      </c>
      <c r="L2466" s="1" t="s">
        <v>257</v>
      </c>
      <c r="M2466" s="1"/>
      <c r="N2466" s="1">
        <f t="shared" si="121"/>
        <v>11</v>
      </c>
      <c r="O2466" s="87"/>
    </row>
    <row r="2467" spans="1:15" ht="15.75" hidden="1" x14ac:dyDescent="0.25">
      <c r="A2467" s="1" t="str">
        <f t="shared" si="120"/>
        <v>44888448887.5CURRENTTRANSPORTCAREEM</v>
      </c>
      <c r="B2467" s="2">
        <v>44888</v>
      </c>
      <c r="C2467" s="2">
        <v>44888</v>
      </c>
      <c r="D2467" s="3" t="s">
        <v>2931</v>
      </c>
      <c r="E2467" s="3">
        <v>7.5</v>
      </c>
      <c r="F2467" s="3">
        <v>1</v>
      </c>
      <c r="G2467" s="3">
        <f t="shared" si="122"/>
        <v>7.5</v>
      </c>
      <c r="H2467" s="3" t="s">
        <v>293</v>
      </c>
      <c r="I2467" s="1" t="s">
        <v>296</v>
      </c>
      <c r="J2467" s="1" t="s">
        <v>297</v>
      </c>
      <c r="K2467" s="1" t="s">
        <v>298</v>
      </c>
      <c r="L2467" s="1" t="s">
        <v>257</v>
      </c>
      <c r="M2467" s="1"/>
      <c r="N2467" s="1">
        <f t="shared" si="121"/>
        <v>11</v>
      </c>
      <c r="O2467" s="87"/>
    </row>
    <row r="2468" spans="1:15" ht="15.75" hidden="1" x14ac:dyDescent="0.25">
      <c r="A2468" s="1" t="str">
        <f t="shared" si="120"/>
        <v>448884489065FIFA CCFOODCAFÉ/REST.</v>
      </c>
      <c r="B2468" s="2">
        <v>44888</v>
      </c>
      <c r="C2468" s="2">
        <v>44890</v>
      </c>
      <c r="D2468" s="3" t="s">
        <v>2959</v>
      </c>
      <c r="E2468" s="3">
        <v>-65</v>
      </c>
      <c r="F2468" s="3">
        <v>1</v>
      </c>
      <c r="G2468" s="3">
        <f t="shared" si="122"/>
        <v>65</v>
      </c>
      <c r="H2468" s="3" t="s">
        <v>3294</v>
      </c>
      <c r="I2468" s="1" t="s">
        <v>10</v>
      </c>
      <c r="J2468" s="1" t="s">
        <v>11</v>
      </c>
      <c r="K2468" s="1" t="s">
        <v>298</v>
      </c>
      <c r="L2468" s="1" t="s">
        <v>267</v>
      </c>
      <c r="M2468" s="1"/>
      <c r="N2468" s="1">
        <f t="shared" si="121"/>
        <v>11</v>
      </c>
      <c r="O2468" s="87"/>
    </row>
    <row r="2469" spans="1:15" ht="15.75" hidden="1" x14ac:dyDescent="0.25">
      <c r="A2469" s="1" t="str">
        <f t="shared" si="120"/>
        <v>448884489067.5FIFA CCGROCERYFFC</v>
      </c>
      <c r="B2469" s="2">
        <v>44888</v>
      </c>
      <c r="C2469" s="2">
        <v>44890</v>
      </c>
      <c r="D2469" s="3" t="s">
        <v>2960</v>
      </c>
      <c r="E2469" s="3">
        <v>-67.5</v>
      </c>
      <c r="F2469" s="3">
        <v>1</v>
      </c>
      <c r="G2469" s="3">
        <f t="shared" si="122"/>
        <v>67.5</v>
      </c>
      <c r="H2469" s="3" t="s">
        <v>3294</v>
      </c>
      <c r="I2469" s="1" t="s">
        <v>43</v>
      </c>
      <c r="J2469" s="1" t="s">
        <v>96</v>
      </c>
      <c r="K2469" s="1" t="s">
        <v>298</v>
      </c>
      <c r="L2469" s="1" t="s">
        <v>267</v>
      </c>
      <c r="M2469" s="1"/>
      <c r="N2469" s="1">
        <f t="shared" si="121"/>
        <v>11</v>
      </c>
      <c r="O2469" s="87"/>
    </row>
    <row r="2470" spans="1:15" ht="15.75" hidden="1" x14ac:dyDescent="0.25">
      <c r="A2470" s="1" t="str">
        <f t="shared" si="120"/>
        <v>44889448897.5CURRENTTRANSPORTCAREEM</v>
      </c>
      <c r="B2470" s="2">
        <v>44889</v>
      </c>
      <c r="C2470" s="2">
        <v>44889</v>
      </c>
      <c r="D2470" s="3" t="s">
        <v>2929</v>
      </c>
      <c r="E2470" s="3">
        <v>7.5</v>
      </c>
      <c r="F2470" s="3">
        <v>1</v>
      </c>
      <c r="G2470" s="3">
        <f t="shared" si="122"/>
        <v>7.5</v>
      </c>
      <c r="H2470" s="3" t="s">
        <v>293</v>
      </c>
      <c r="I2470" s="1" t="s">
        <v>296</v>
      </c>
      <c r="J2470" s="1" t="s">
        <v>297</v>
      </c>
      <c r="K2470" s="1" t="s">
        <v>298</v>
      </c>
      <c r="L2470" s="1" t="s">
        <v>257</v>
      </c>
      <c r="M2470" s="1"/>
      <c r="N2470" s="1">
        <f t="shared" si="121"/>
        <v>11</v>
      </c>
      <c r="O2470" s="87"/>
    </row>
    <row r="2471" spans="1:15" ht="15.75" hidden="1" x14ac:dyDescent="0.25">
      <c r="A2471" s="1" t="str">
        <f t="shared" si="120"/>
        <v>448904489313.3FIFA CCTRANSPORTCAREEM</v>
      </c>
      <c r="B2471" s="2">
        <v>44890</v>
      </c>
      <c r="C2471" s="2">
        <v>44893</v>
      </c>
      <c r="D2471" s="3" t="s">
        <v>2957</v>
      </c>
      <c r="E2471" s="3">
        <v>-13.3</v>
      </c>
      <c r="F2471" s="3">
        <v>1</v>
      </c>
      <c r="G2471" s="3">
        <f t="shared" si="122"/>
        <v>13.3</v>
      </c>
      <c r="H2471" s="3" t="s">
        <v>3294</v>
      </c>
      <c r="I2471" s="1" t="s">
        <v>296</v>
      </c>
      <c r="J2471" s="1" t="s">
        <v>297</v>
      </c>
      <c r="K2471" s="1" t="s">
        <v>298</v>
      </c>
      <c r="L2471" s="1" t="s">
        <v>267</v>
      </c>
      <c r="M2471" s="1"/>
      <c r="N2471" s="1">
        <f t="shared" si="121"/>
        <v>11</v>
      </c>
      <c r="O2471" s="87"/>
    </row>
    <row r="2472" spans="1:15" ht="15.75" hidden="1" x14ac:dyDescent="0.25">
      <c r="A2472" s="1" t="str">
        <f t="shared" si="120"/>
        <v>4489044893191FIFA CCGROCERYFFC</v>
      </c>
      <c r="B2472" s="2">
        <v>44890</v>
      </c>
      <c r="C2472" s="2">
        <v>44893</v>
      </c>
      <c r="D2472" s="3" t="s">
        <v>2958</v>
      </c>
      <c r="E2472" s="3">
        <v>-191</v>
      </c>
      <c r="F2472" s="3">
        <v>1</v>
      </c>
      <c r="G2472" s="3">
        <f t="shared" si="122"/>
        <v>191</v>
      </c>
      <c r="H2472" s="3" t="s">
        <v>3294</v>
      </c>
      <c r="I2472" s="1" t="s">
        <v>43</v>
      </c>
      <c r="J2472" s="1" t="s">
        <v>96</v>
      </c>
      <c r="K2472" s="1" t="s">
        <v>298</v>
      </c>
      <c r="L2472" s="1" t="s">
        <v>267</v>
      </c>
      <c r="M2472" s="1"/>
      <c r="N2472" s="1">
        <f t="shared" si="121"/>
        <v>11</v>
      </c>
      <c r="O2472" s="87"/>
    </row>
    <row r="2473" spans="1:15" ht="15.75" hidden="1" x14ac:dyDescent="0.25">
      <c r="A2473" s="1" t="str">
        <f t="shared" si="120"/>
        <v>4489044891199.5MASTER CCSHOPPINGREDTAG</v>
      </c>
      <c r="B2473" s="154">
        <v>44890</v>
      </c>
      <c r="C2473" s="154">
        <v>44891</v>
      </c>
      <c r="D2473" s="3" t="s">
        <v>3060</v>
      </c>
      <c r="E2473" s="3">
        <v>-199.5</v>
      </c>
      <c r="F2473" s="3">
        <v>1</v>
      </c>
      <c r="G2473" s="3">
        <f t="shared" si="122"/>
        <v>199.5</v>
      </c>
      <c r="H2473" s="3" t="s">
        <v>291</v>
      </c>
      <c r="I2473" s="1" t="s">
        <v>194</v>
      </c>
      <c r="J2473" s="1" t="s">
        <v>2704</v>
      </c>
      <c r="K2473" s="1" t="s">
        <v>298</v>
      </c>
      <c r="L2473" s="1" t="s">
        <v>267</v>
      </c>
      <c r="M2473" s="1"/>
      <c r="N2473" s="1">
        <f t="shared" si="121"/>
        <v>11</v>
      </c>
      <c r="O2473" s="87"/>
    </row>
    <row r="2474" spans="1:15" ht="15.75" hidden="1" x14ac:dyDescent="0.25">
      <c r="A2474" s="1" t="str">
        <f t="shared" si="120"/>
        <v>4489144893345.8FIFA CCSHOPPINGMICROSOFT</v>
      </c>
      <c r="B2474" s="2">
        <v>44891</v>
      </c>
      <c r="C2474" s="2">
        <v>44893</v>
      </c>
      <c r="D2474" s="3" t="s">
        <v>2956</v>
      </c>
      <c r="E2474" s="3">
        <v>-345.8</v>
      </c>
      <c r="F2474" s="3">
        <v>1</v>
      </c>
      <c r="G2474" s="3">
        <f t="shared" si="122"/>
        <v>345.8</v>
      </c>
      <c r="H2474" s="3" t="s">
        <v>3294</v>
      </c>
      <c r="I2474" s="1" t="s">
        <v>194</v>
      </c>
      <c r="J2474" s="1" t="s">
        <v>2990</v>
      </c>
      <c r="K2474" s="1" t="s">
        <v>298</v>
      </c>
      <c r="L2474" s="1" t="s">
        <v>267</v>
      </c>
      <c r="M2474" s="1"/>
      <c r="N2474" s="1">
        <f t="shared" si="121"/>
        <v>11</v>
      </c>
      <c r="O2474" s="87"/>
    </row>
    <row r="2475" spans="1:15" ht="15.75" hidden="1" x14ac:dyDescent="0.25">
      <c r="A2475" s="1" t="str">
        <f t="shared" si="120"/>
        <v>448924489229.5CURRENTSHOPPINGLULU</v>
      </c>
      <c r="B2475" s="2">
        <v>44892</v>
      </c>
      <c r="C2475" s="2">
        <v>44892</v>
      </c>
      <c r="D2475" s="3" t="s">
        <v>2920</v>
      </c>
      <c r="E2475" s="3">
        <v>29.5</v>
      </c>
      <c r="F2475" s="3">
        <v>1</v>
      </c>
      <c r="G2475" s="3">
        <f t="shared" si="122"/>
        <v>29.5</v>
      </c>
      <c r="H2475" s="3" t="s">
        <v>293</v>
      </c>
      <c r="I2475" s="1" t="s">
        <v>194</v>
      </c>
      <c r="J2475" s="1" t="s">
        <v>44</v>
      </c>
      <c r="K2475" s="1" t="s">
        <v>298</v>
      </c>
      <c r="L2475" s="1" t="s">
        <v>257</v>
      </c>
      <c r="M2475" s="1"/>
      <c r="N2475" s="1">
        <f t="shared" si="121"/>
        <v>11</v>
      </c>
      <c r="O2475" s="87"/>
    </row>
    <row r="2476" spans="1:15" ht="15.75" hidden="1" x14ac:dyDescent="0.25">
      <c r="A2476" s="1" t="str">
        <f t="shared" si="120"/>
        <v>448924489225CURRENTSHOPPINGLULU</v>
      </c>
      <c r="B2476" s="2">
        <v>44892</v>
      </c>
      <c r="C2476" s="2">
        <v>44892</v>
      </c>
      <c r="D2476" s="3" t="s">
        <v>2921</v>
      </c>
      <c r="E2476" s="3">
        <v>25</v>
      </c>
      <c r="F2476" s="3">
        <v>1</v>
      </c>
      <c r="G2476" s="3">
        <f t="shared" si="122"/>
        <v>25</v>
      </c>
      <c r="H2476" s="3" t="s">
        <v>293</v>
      </c>
      <c r="I2476" s="1" t="s">
        <v>194</v>
      </c>
      <c r="J2476" s="1" t="s">
        <v>44</v>
      </c>
      <c r="K2476" s="1" t="s">
        <v>298</v>
      </c>
      <c r="L2476" s="1" t="s">
        <v>257</v>
      </c>
      <c r="M2476" s="1"/>
      <c r="N2476" s="1">
        <f t="shared" si="121"/>
        <v>11</v>
      </c>
      <c r="O2476" s="87"/>
    </row>
    <row r="2477" spans="1:15" ht="15.75" hidden="1" x14ac:dyDescent="0.25">
      <c r="A2477" s="1" t="str">
        <f t="shared" si="120"/>
        <v>448924489210CURRENTFOODQATAR AIR</v>
      </c>
      <c r="B2477" s="2">
        <v>44892</v>
      </c>
      <c r="C2477" s="2">
        <v>44892</v>
      </c>
      <c r="D2477" s="3" t="s">
        <v>2922</v>
      </c>
      <c r="E2477" s="3">
        <v>10</v>
      </c>
      <c r="F2477" s="3">
        <v>1</v>
      </c>
      <c r="G2477" s="3">
        <f t="shared" si="122"/>
        <v>10</v>
      </c>
      <c r="H2477" s="3" t="s">
        <v>293</v>
      </c>
      <c r="I2477" s="1" t="s">
        <v>10</v>
      </c>
      <c r="J2477" s="1" t="s">
        <v>19</v>
      </c>
      <c r="K2477" s="1" t="s">
        <v>298</v>
      </c>
      <c r="L2477" s="1" t="s">
        <v>257</v>
      </c>
      <c r="M2477" s="1"/>
      <c r="N2477" s="1">
        <f t="shared" si="121"/>
        <v>11</v>
      </c>
      <c r="O2477" s="87"/>
    </row>
    <row r="2478" spans="1:15" ht="15.75" hidden="1" x14ac:dyDescent="0.25">
      <c r="A2478" s="1" t="str">
        <f t="shared" si="120"/>
        <v>448924489274.5CURRENTGROCERYLULU</v>
      </c>
      <c r="B2478" s="2">
        <v>44892</v>
      </c>
      <c r="C2478" s="2">
        <v>44892</v>
      </c>
      <c r="D2478" s="3" t="s">
        <v>2923</v>
      </c>
      <c r="E2478" s="3">
        <v>74.5</v>
      </c>
      <c r="F2478" s="3">
        <v>1</v>
      </c>
      <c r="G2478" s="3">
        <f t="shared" si="122"/>
        <v>74.5</v>
      </c>
      <c r="H2478" s="3" t="s">
        <v>293</v>
      </c>
      <c r="I2478" s="1" t="s">
        <v>43</v>
      </c>
      <c r="J2478" s="1" t="s">
        <v>44</v>
      </c>
      <c r="K2478" s="1" t="s">
        <v>298</v>
      </c>
      <c r="L2478" s="1" t="s">
        <v>257</v>
      </c>
      <c r="M2478" s="1"/>
      <c r="N2478" s="1">
        <f t="shared" si="121"/>
        <v>11</v>
      </c>
      <c r="O2478" s="87"/>
    </row>
    <row r="2479" spans="1:15" ht="15.75" hidden="1" x14ac:dyDescent="0.25">
      <c r="A2479" s="1" t="str">
        <f t="shared" si="120"/>
        <v>44892448926.4CURRENTTRANSPORTCAREEM</v>
      </c>
      <c r="B2479" s="2">
        <v>44892</v>
      </c>
      <c r="C2479" s="2">
        <v>44892</v>
      </c>
      <c r="D2479" s="3" t="s">
        <v>2924</v>
      </c>
      <c r="E2479" s="3">
        <v>6.4</v>
      </c>
      <c r="F2479" s="3">
        <v>1</v>
      </c>
      <c r="G2479" s="3">
        <f t="shared" si="122"/>
        <v>6.4</v>
      </c>
      <c r="H2479" s="3" t="s">
        <v>293</v>
      </c>
      <c r="I2479" s="1" t="s">
        <v>296</v>
      </c>
      <c r="J2479" s="1" t="s">
        <v>297</v>
      </c>
      <c r="K2479" s="1" t="s">
        <v>298</v>
      </c>
      <c r="L2479" s="1" t="s">
        <v>257</v>
      </c>
      <c r="M2479" s="1"/>
      <c r="N2479" s="1">
        <f t="shared" si="121"/>
        <v>11</v>
      </c>
      <c r="O2479" s="87"/>
    </row>
    <row r="2480" spans="1:15" ht="15.75" hidden="1" x14ac:dyDescent="0.25">
      <c r="A2480" s="1" t="str">
        <f t="shared" si="120"/>
        <v>44892448927.5CURRENTTRANSPORTCAREEM</v>
      </c>
      <c r="B2480" s="2">
        <v>44892</v>
      </c>
      <c r="C2480" s="2">
        <v>44892</v>
      </c>
      <c r="D2480" s="3" t="s">
        <v>2925</v>
      </c>
      <c r="E2480" s="3">
        <v>7.5</v>
      </c>
      <c r="F2480" s="3">
        <v>1</v>
      </c>
      <c r="G2480" s="3">
        <f t="shared" si="122"/>
        <v>7.5</v>
      </c>
      <c r="H2480" s="3" t="s">
        <v>293</v>
      </c>
      <c r="I2480" s="1" t="s">
        <v>296</v>
      </c>
      <c r="J2480" s="1" t="s">
        <v>297</v>
      </c>
      <c r="K2480" s="1" t="s">
        <v>298</v>
      </c>
      <c r="L2480" s="1" t="s">
        <v>257</v>
      </c>
      <c r="M2480" s="1"/>
      <c r="N2480" s="1">
        <f t="shared" si="121"/>
        <v>11</v>
      </c>
      <c r="O2480" s="87"/>
    </row>
    <row r="2481" spans="1:15" ht="15.75" hidden="1" x14ac:dyDescent="0.25">
      <c r="A2481" s="1" t="str">
        <f t="shared" si="120"/>
        <v>448924489215CURRENTFOODCAFÉ/REST.</v>
      </c>
      <c r="B2481" s="2">
        <v>44892</v>
      </c>
      <c r="C2481" s="2">
        <v>44892</v>
      </c>
      <c r="D2481" s="3" t="s">
        <v>2926</v>
      </c>
      <c r="E2481" s="3">
        <v>15</v>
      </c>
      <c r="F2481" s="3">
        <v>1</v>
      </c>
      <c r="G2481" s="3">
        <f t="shared" si="122"/>
        <v>15</v>
      </c>
      <c r="H2481" s="3" t="s">
        <v>293</v>
      </c>
      <c r="I2481" s="1" t="s">
        <v>10</v>
      </c>
      <c r="J2481" s="1" t="s">
        <v>11</v>
      </c>
      <c r="K2481" s="1" t="s">
        <v>298</v>
      </c>
      <c r="L2481" s="1" t="s">
        <v>257</v>
      </c>
      <c r="M2481" s="1"/>
      <c r="N2481" s="1">
        <f t="shared" si="121"/>
        <v>11</v>
      </c>
      <c r="O2481" s="87"/>
    </row>
    <row r="2482" spans="1:15" ht="15.75" hidden="1" x14ac:dyDescent="0.25">
      <c r="A2482" s="1" t="str">
        <f t="shared" si="120"/>
        <v>4489244892101CURRENTFOODCAFÉ/REST.</v>
      </c>
      <c r="B2482" s="2">
        <v>44892</v>
      </c>
      <c r="C2482" s="2">
        <v>44892</v>
      </c>
      <c r="D2482" s="3" t="s">
        <v>2927</v>
      </c>
      <c r="E2482" s="3">
        <v>101</v>
      </c>
      <c r="F2482" s="3">
        <v>1</v>
      </c>
      <c r="G2482" s="3">
        <f t="shared" si="122"/>
        <v>101</v>
      </c>
      <c r="H2482" s="3" t="s">
        <v>293</v>
      </c>
      <c r="I2482" s="1" t="s">
        <v>10</v>
      </c>
      <c r="J2482" s="1" t="s">
        <v>11</v>
      </c>
      <c r="K2482" s="1" t="s">
        <v>298</v>
      </c>
      <c r="L2482" s="1" t="s">
        <v>257</v>
      </c>
      <c r="M2482" s="1"/>
      <c r="N2482" s="1">
        <f t="shared" si="121"/>
        <v>11</v>
      </c>
      <c r="O2482" s="87"/>
    </row>
    <row r="2483" spans="1:15" ht="15.75" hidden="1" x14ac:dyDescent="0.25">
      <c r="A2483" s="1" t="str">
        <f t="shared" si="120"/>
        <v>4489244892254.49CURRENTGROCERYLULU</v>
      </c>
      <c r="B2483" s="2">
        <v>44892</v>
      </c>
      <c r="C2483" s="2">
        <v>44892</v>
      </c>
      <c r="D2483" s="3" t="s">
        <v>2928</v>
      </c>
      <c r="E2483" s="3">
        <v>254.49</v>
      </c>
      <c r="F2483" s="3">
        <v>1</v>
      </c>
      <c r="G2483" s="3">
        <f t="shared" si="122"/>
        <v>254.49</v>
      </c>
      <c r="H2483" s="3" t="s">
        <v>293</v>
      </c>
      <c r="I2483" s="1" t="s">
        <v>43</v>
      </c>
      <c r="J2483" s="1" t="s">
        <v>44</v>
      </c>
      <c r="K2483" s="1" t="s">
        <v>298</v>
      </c>
      <c r="L2483" s="1" t="s">
        <v>257</v>
      </c>
      <c r="M2483" s="1"/>
      <c r="N2483" s="1">
        <f t="shared" si="121"/>
        <v>11</v>
      </c>
      <c r="O2483" s="87"/>
    </row>
    <row r="2484" spans="1:15" ht="15.75" hidden="1" x14ac:dyDescent="0.25">
      <c r="A2484" s="1" t="str">
        <f t="shared" si="120"/>
        <v>448924489410.2MASTER CCTRANSPORTCAREEM</v>
      </c>
      <c r="B2484" s="154">
        <v>44892</v>
      </c>
      <c r="C2484" s="154">
        <v>44894</v>
      </c>
      <c r="D2484" s="3" t="s">
        <v>3059</v>
      </c>
      <c r="E2484" s="3">
        <v>-10.199999999999999</v>
      </c>
      <c r="F2484" s="3">
        <v>1</v>
      </c>
      <c r="G2484" s="3">
        <f t="shared" si="122"/>
        <v>10.199999999999999</v>
      </c>
      <c r="H2484" s="3" t="s">
        <v>291</v>
      </c>
      <c r="I2484" s="1" t="s">
        <v>296</v>
      </c>
      <c r="J2484" s="1" t="s">
        <v>297</v>
      </c>
      <c r="K2484" s="1" t="s">
        <v>298</v>
      </c>
      <c r="L2484" s="1" t="s">
        <v>267</v>
      </c>
      <c r="M2484" s="1"/>
      <c r="N2484" s="1">
        <f t="shared" si="121"/>
        <v>11</v>
      </c>
      <c r="O2484" s="87"/>
    </row>
    <row r="2485" spans="1:15" ht="15.75" hidden="1" x14ac:dyDescent="0.25">
      <c r="A2485" s="1" t="str">
        <f t="shared" si="120"/>
        <v>4489344893105CURRENTENTERTAINMENTCINEMA</v>
      </c>
      <c r="B2485" s="2">
        <v>44893</v>
      </c>
      <c r="C2485" s="2">
        <v>44893</v>
      </c>
      <c r="D2485" s="3" t="s">
        <v>2918</v>
      </c>
      <c r="E2485" s="3">
        <v>105</v>
      </c>
      <c r="F2485" s="3">
        <v>1</v>
      </c>
      <c r="G2485" s="3">
        <f t="shared" si="122"/>
        <v>105</v>
      </c>
      <c r="H2485" s="3" t="s">
        <v>293</v>
      </c>
      <c r="I2485" s="1" t="s">
        <v>2476</v>
      </c>
      <c r="J2485" s="1" t="s">
        <v>2991</v>
      </c>
      <c r="K2485" s="1" t="s">
        <v>298</v>
      </c>
      <c r="L2485" s="1" t="s">
        <v>257</v>
      </c>
      <c r="M2485" s="1"/>
      <c r="N2485" s="1">
        <f t="shared" si="121"/>
        <v>11</v>
      </c>
      <c r="O2485" s="87"/>
    </row>
    <row r="2486" spans="1:15" ht="15.75" hidden="1" x14ac:dyDescent="0.25">
      <c r="A2486" s="1" t="str">
        <f t="shared" si="120"/>
        <v>448934489310.2CURRENTTRANSPORTCAREEM</v>
      </c>
      <c r="B2486" s="2">
        <v>44893</v>
      </c>
      <c r="C2486" s="2">
        <v>44893</v>
      </c>
      <c r="D2486" s="3" t="s">
        <v>2919</v>
      </c>
      <c r="E2486" s="3">
        <v>10.199999999999999</v>
      </c>
      <c r="F2486" s="3">
        <v>1</v>
      </c>
      <c r="G2486" s="3">
        <f t="shared" si="122"/>
        <v>10.199999999999999</v>
      </c>
      <c r="H2486" s="3" t="s">
        <v>293</v>
      </c>
      <c r="I2486" s="1" t="s">
        <v>296</v>
      </c>
      <c r="J2486" s="1" t="s">
        <v>297</v>
      </c>
      <c r="K2486" s="1" t="s">
        <v>298</v>
      </c>
      <c r="L2486" s="1" t="s">
        <v>257</v>
      </c>
      <c r="M2486" s="1"/>
      <c r="N2486" s="1">
        <f t="shared" si="121"/>
        <v>11</v>
      </c>
      <c r="O2486" s="87"/>
    </row>
    <row r="2487" spans="1:15" ht="15.75" hidden="1" x14ac:dyDescent="0.25">
      <c r="A2487" s="1" t="str">
        <f t="shared" si="120"/>
        <v>448934489510.2MASTER CCTRANSPORTCAREEM</v>
      </c>
      <c r="B2487" s="154">
        <v>44893</v>
      </c>
      <c r="C2487" s="154">
        <v>44895</v>
      </c>
      <c r="D2487" s="3" t="s">
        <v>3058</v>
      </c>
      <c r="E2487" s="3">
        <v>-10.199999999999999</v>
      </c>
      <c r="F2487" s="3">
        <v>1</v>
      </c>
      <c r="G2487" s="3">
        <f t="shared" si="122"/>
        <v>10.199999999999999</v>
      </c>
      <c r="H2487" s="3" t="s">
        <v>291</v>
      </c>
      <c r="I2487" s="1" t="s">
        <v>296</v>
      </c>
      <c r="J2487" s="1" t="s">
        <v>297</v>
      </c>
      <c r="K2487" s="1" t="s">
        <v>298</v>
      </c>
      <c r="L2487" s="1" t="s">
        <v>267</v>
      </c>
      <c r="M2487" s="1"/>
      <c r="N2487" s="1">
        <f t="shared" si="121"/>
        <v>11</v>
      </c>
      <c r="O2487" s="87"/>
    </row>
    <row r="2488" spans="1:15" ht="15.75" hidden="1" x14ac:dyDescent="0.25">
      <c r="A2488" s="1" t="str">
        <f t="shared" si="120"/>
        <v>44894448948280.02CURRENTCC BILL PAYMENTBANK</v>
      </c>
      <c r="B2488" s="2">
        <v>44894</v>
      </c>
      <c r="C2488" s="2">
        <v>44894</v>
      </c>
      <c r="D2488" s="3" t="s">
        <v>2915</v>
      </c>
      <c r="E2488" s="3">
        <v>8280.02</v>
      </c>
      <c r="F2488" s="3">
        <v>1</v>
      </c>
      <c r="G2488" s="3">
        <f t="shared" si="122"/>
        <v>8280.02</v>
      </c>
      <c r="H2488" s="3" t="s">
        <v>293</v>
      </c>
      <c r="I2488" s="1" t="s">
        <v>81</v>
      </c>
      <c r="J2488" s="1" t="s">
        <v>8</v>
      </c>
      <c r="K2488" s="1" t="s">
        <v>298</v>
      </c>
      <c r="L2488" s="1" t="s">
        <v>257</v>
      </c>
      <c r="M2488" s="1"/>
      <c r="N2488" s="1">
        <f t="shared" si="121"/>
        <v>11</v>
      </c>
      <c r="O2488" s="87"/>
    </row>
    <row r="2489" spans="1:15" ht="15.75" hidden="1" x14ac:dyDescent="0.25">
      <c r="A2489" s="1" t="str">
        <f t="shared" si="120"/>
        <v>4489444894189.34CURRENTGROCERYINDIAN SUPER</v>
      </c>
      <c r="B2489" s="2">
        <v>44894</v>
      </c>
      <c r="C2489" s="2">
        <v>44894</v>
      </c>
      <c r="D2489" s="3" t="s">
        <v>2916</v>
      </c>
      <c r="E2489" s="3">
        <v>189.34</v>
      </c>
      <c r="F2489" s="3">
        <v>1</v>
      </c>
      <c r="G2489" s="3">
        <f t="shared" si="122"/>
        <v>189.34</v>
      </c>
      <c r="H2489" s="3" t="s">
        <v>293</v>
      </c>
      <c r="I2489" s="1" t="s">
        <v>43</v>
      </c>
      <c r="J2489" s="1" t="s">
        <v>2273</v>
      </c>
      <c r="K2489" s="1" t="s">
        <v>298</v>
      </c>
      <c r="L2489" s="1" t="s">
        <v>257</v>
      </c>
      <c r="M2489" s="1"/>
      <c r="N2489" s="1">
        <f t="shared" si="121"/>
        <v>11</v>
      </c>
      <c r="O2489" s="87"/>
    </row>
    <row r="2490" spans="1:15" ht="15.75" hidden="1" x14ac:dyDescent="0.25">
      <c r="A2490" s="1" t="str">
        <f t="shared" si="120"/>
        <v>448944489424234CURRENTSALARYQATAR AIR</v>
      </c>
      <c r="B2490" s="2">
        <v>44894</v>
      </c>
      <c r="C2490" s="2">
        <v>44894</v>
      </c>
      <c r="D2490" s="3" t="s">
        <v>2917</v>
      </c>
      <c r="E2490" s="3">
        <v>24234</v>
      </c>
      <c r="F2490" s="3">
        <v>1</v>
      </c>
      <c r="G2490" s="3">
        <f t="shared" si="122"/>
        <v>24234</v>
      </c>
      <c r="H2490" s="3" t="s">
        <v>293</v>
      </c>
      <c r="I2490" s="1" t="s">
        <v>18</v>
      </c>
      <c r="J2490" s="1" t="s">
        <v>19</v>
      </c>
      <c r="K2490" s="1" t="s">
        <v>300</v>
      </c>
      <c r="L2490" s="1" t="s">
        <v>257</v>
      </c>
      <c r="M2490" s="1"/>
      <c r="N2490" s="1">
        <f t="shared" si="121"/>
        <v>11</v>
      </c>
      <c r="O2490" s="87"/>
    </row>
    <row r="2491" spans="1:15" ht="15.75" hidden="1" x14ac:dyDescent="0.25">
      <c r="A2491" s="1" t="str">
        <f t="shared" si="120"/>
        <v>44894448944976CURRENTLOANBANK</v>
      </c>
      <c r="B2491" s="2">
        <v>44894</v>
      </c>
      <c r="C2491" s="2">
        <v>44894</v>
      </c>
      <c r="D2491" s="3" t="s">
        <v>2627</v>
      </c>
      <c r="E2491" s="3">
        <v>4976</v>
      </c>
      <c r="F2491" s="3">
        <v>1</v>
      </c>
      <c r="G2491" s="3">
        <f t="shared" si="122"/>
        <v>4976</v>
      </c>
      <c r="H2491" s="3" t="s">
        <v>293</v>
      </c>
      <c r="I2491" s="1" t="s">
        <v>3</v>
      </c>
      <c r="J2491" s="1" t="s">
        <v>8</v>
      </c>
      <c r="K2491" s="1" t="s">
        <v>298</v>
      </c>
      <c r="L2491" s="1" t="s">
        <v>257</v>
      </c>
      <c r="M2491" s="1">
        <v>1</v>
      </c>
      <c r="N2491" s="1">
        <f t="shared" si="121"/>
        <v>11</v>
      </c>
      <c r="O2491" s="87"/>
    </row>
    <row r="2492" spans="1:15" ht="15.75" hidden="1" x14ac:dyDescent="0.25">
      <c r="A2492" s="1" t="str">
        <f t="shared" si="120"/>
        <v>448944489510.2MASTER CCTRANSPORTCAREEM</v>
      </c>
      <c r="B2492" s="154">
        <v>44894</v>
      </c>
      <c r="C2492" s="154">
        <v>44895</v>
      </c>
      <c r="D2492" s="3" t="s">
        <v>3057</v>
      </c>
      <c r="E2492" s="3">
        <v>-10.199999999999999</v>
      </c>
      <c r="F2492" s="3">
        <v>1</v>
      </c>
      <c r="G2492" s="3">
        <f t="shared" si="122"/>
        <v>10.199999999999999</v>
      </c>
      <c r="H2492" s="3" t="s">
        <v>291</v>
      </c>
      <c r="I2492" s="1" t="s">
        <v>296</v>
      </c>
      <c r="J2492" s="1" t="s">
        <v>297</v>
      </c>
      <c r="K2492" s="1" t="s">
        <v>298</v>
      </c>
      <c r="L2492" s="1" t="s">
        <v>267</v>
      </c>
      <c r="M2492" s="1"/>
      <c r="N2492" s="1">
        <f t="shared" si="121"/>
        <v>11</v>
      </c>
      <c r="O2492" s="87"/>
    </row>
    <row r="2493" spans="1:15" ht="15.75" hidden="1" x14ac:dyDescent="0.25">
      <c r="A2493" s="1" t="str">
        <f t="shared" si="120"/>
        <v>44894448948280.02DINERSCC BILL PAYMENTBANK</v>
      </c>
      <c r="B2493" s="154">
        <v>44894</v>
      </c>
      <c r="C2493" s="154">
        <v>44894</v>
      </c>
      <c r="D2493" s="3" t="s">
        <v>80</v>
      </c>
      <c r="E2493" s="3">
        <v>8280.02</v>
      </c>
      <c r="F2493" s="3">
        <v>1</v>
      </c>
      <c r="G2493" s="3">
        <f t="shared" si="122"/>
        <v>8280.02</v>
      </c>
      <c r="H2493" s="3" t="s">
        <v>266</v>
      </c>
      <c r="I2493" s="1" t="s">
        <v>81</v>
      </c>
      <c r="J2493" s="1" t="s">
        <v>8</v>
      </c>
      <c r="K2493" s="1" t="s">
        <v>300</v>
      </c>
      <c r="L2493" s="1" t="s">
        <v>267</v>
      </c>
      <c r="M2493" s="1"/>
      <c r="N2493" s="1">
        <f t="shared" si="121"/>
        <v>11</v>
      </c>
      <c r="O2493" s="87"/>
    </row>
    <row r="2494" spans="1:15" ht="15.75" hidden="1" x14ac:dyDescent="0.25">
      <c r="A2494" s="1" t="str">
        <f t="shared" si="120"/>
        <v>44895448954CURRENTFOODCAFÉ/REST.</v>
      </c>
      <c r="B2494" s="2">
        <v>44895</v>
      </c>
      <c r="C2494" s="2">
        <v>44895</v>
      </c>
      <c r="D2494" s="3" t="s">
        <v>2910</v>
      </c>
      <c r="E2494" s="3">
        <v>4</v>
      </c>
      <c r="F2494" s="3">
        <v>1</v>
      </c>
      <c r="G2494" s="3">
        <f t="shared" si="122"/>
        <v>4</v>
      </c>
      <c r="H2494" s="3" t="s">
        <v>293</v>
      </c>
      <c r="I2494" s="1" t="s">
        <v>10</v>
      </c>
      <c r="J2494" s="1" t="s">
        <v>11</v>
      </c>
      <c r="K2494" s="1" t="s">
        <v>298</v>
      </c>
      <c r="L2494" s="1" t="s">
        <v>257</v>
      </c>
      <c r="M2494" s="1"/>
      <c r="N2494" s="1">
        <f t="shared" si="121"/>
        <v>11</v>
      </c>
      <c r="O2494" s="87"/>
    </row>
    <row r="2495" spans="1:15" ht="15.75" hidden="1" x14ac:dyDescent="0.25">
      <c r="A2495" s="1" t="str">
        <f t="shared" si="120"/>
        <v>4489544895103CURRENTENTERTAINMENTFUNDAY</v>
      </c>
      <c r="B2495" s="2">
        <v>44895</v>
      </c>
      <c r="C2495" s="2">
        <v>44895</v>
      </c>
      <c r="D2495" s="3" t="s">
        <v>2911</v>
      </c>
      <c r="E2495" s="3">
        <v>103</v>
      </c>
      <c r="F2495" s="3">
        <v>1</v>
      </c>
      <c r="G2495" s="3">
        <f t="shared" si="122"/>
        <v>103</v>
      </c>
      <c r="H2495" s="3" t="s">
        <v>293</v>
      </c>
      <c r="I2495" s="1" t="s">
        <v>2476</v>
      </c>
      <c r="J2495" s="1" t="s">
        <v>2993</v>
      </c>
      <c r="K2495" s="1" t="s">
        <v>298</v>
      </c>
      <c r="L2495" s="1" t="s">
        <v>257</v>
      </c>
      <c r="M2495" s="1"/>
      <c r="N2495" s="1">
        <f t="shared" si="121"/>
        <v>11</v>
      </c>
      <c r="O2495" s="87"/>
    </row>
    <row r="2496" spans="1:15" ht="15.75" hidden="1" x14ac:dyDescent="0.25">
      <c r="A2496" s="1" t="str">
        <f t="shared" si="120"/>
        <v>4489544895102CURRENTTRANSPORTWOQOD</v>
      </c>
      <c r="B2496" s="2">
        <v>44895</v>
      </c>
      <c r="C2496" s="2">
        <v>44895</v>
      </c>
      <c r="D2496" s="3" t="s">
        <v>2912</v>
      </c>
      <c r="E2496" s="3">
        <v>102</v>
      </c>
      <c r="F2496" s="3">
        <v>1</v>
      </c>
      <c r="G2496" s="3">
        <f t="shared" si="122"/>
        <v>102</v>
      </c>
      <c r="H2496" s="3" t="s">
        <v>293</v>
      </c>
      <c r="I2496" s="1" t="s">
        <v>296</v>
      </c>
      <c r="J2496" s="1" t="s">
        <v>1942</v>
      </c>
      <c r="K2496" s="1" t="s">
        <v>298</v>
      </c>
      <c r="L2496" s="1" t="s">
        <v>257</v>
      </c>
      <c r="M2496" s="1"/>
      <c r="N2496" s="1">
        <f t="shared" si="121"/>
        <v>11</v>
      </c>
      <c r="O2496" s="87"/>
    </row>
    <row r="2497" spans="1:15" ht="15.75" hidden="1" x14ac:dyDescent="0.25">
      <c r="A2497" s="1" t="str">
        <f t="shared" si="120"/>
        <v>448954489552.5CURRENTGROCERYFFC</v>
      </c>
      <c r="B2497" s="2">
        <v>44895</v>
      </c>
      <c r="C2497" s="2">
        <v>44895</v>
      </c>
      <c r="D2497" s="3" t="s">
        <v>2913</v>
      </c>
      <c r="E2497" s="3">
        <v>52.5</v>
      </c>
      <c r="F2497" s="3">
        <v>1</v>
      </c>
      <c r="G2497" s="3">
        <f t="shared" si="122"/>
        <v>52.5</v>
      </c>
      <c r="H2497" s="3" t="s">
        <v>293</v>
      </c>
      <c r="I2497" s="1" t="s">
        <v>43</v>
      </c>
      <c r="J2497" s="1" t="s">
        <v>96</v>
      </c>
      <c r="K2497" s="1" t="s">
        <v>298</v>
      </c>
      <c r="L2497" s="1" t="s">
        <v>257</v>
      </c>
      <c r="M2497" s="1"/>
      <c r="N2497" s="1">
        <f t="shared" si="121"/>
        <v>11</v>
      </c>
      <c r="O2497" s="87"/>
    </row>
    <row r="2498" spans="1:15" ht="15.75" hidden="1" x14ac:dyDescent="0.25">
      <c r="A2498" s="1" t="str">
        <f t="shared" ref="A2498:A2561" si="123">B2498&amp;C2498&amp;G2498&amp;H2498&amp;I2498&amp;J2498</f>
        <v>44895448959971CURRENTTRANSFERINDIA</v>
      </c>
      <c r="B2498" s="2">
        <v>44895</v>
      </c>
      <c r="C2498" s="2">
        <v>44895</v>
      </c>
      <c r="D2498" s="3" t="s">
        <v>2914</v>
      </c>
      <c r="E2498" s="3">
        <v>9971</v>
      </c>
      <c r="F2498" s="3">
        <v>1</v>
      </c>
      <c r="G2498" s="3">
        <f t="shared" si="122"/>
        <v>9971</v>
      </c>
      <c r="H2498" s="3" t="s">
        <v>293</v>
      </c>
      <c r="I2498" s="1" t="s">
        <v>22</v>
      </c>
      <c r="J2498" s="1" t="s">
        <v>23</v>
      </c>
      <c r="K2498" s="1" t="s">
        <v>298</v>
      </c>
      <c r="L2498" s="1" t="s">
        <v>257</v>
      </c>
      <c r="M2498" s="1"/>
      <c r="N2498" s="1">
        <f t="shared" ref="N2498:N2561" si="124">MONTH(C2498)</f>
        <v>11</v>
      </c>
      <c r="O2498" s="87"/>
    </row>
    <row r="2499" spans="1:15" ht="15.75" hidden="1" x14ac:dyDescent="0.25">
      <c r="A2499" s="1" t="str">
        <f t="shared" si="123"/>
        <v>448954489860MASTER CCTELECOMOOREDOO</v>
      </c>
      <c r="B2499" s="154">
        <v>44895</v>
      </c>
      <c r="C2499" s="154">
        <v>44898</v>
      </c>
      <c r="D2499" s="3" t="s">
        <v>3055</v>
      </c>
      <c r="E2499" s="3">
        <v>-60</v>
      </c>
      <c r="F2499" s="3">
        <v>1</v>
      </c>
      <c r="G2499" s="3">
        <f t="shared" si="122"/>
        <v>60</v>
      </c>
      <c r="H2499" s="3" t="s">
        <v>291</v>
      </c>
      <c r="I2499" s="1" t="s">
        <v>58</v>
      </c>
      <c r="J2499" s="1" t="s">
        <v>59</v>
      </c>
      <c r="K2499" s="1" t="s">
        <v>298</v>
      </c>
      <c r="L2499" s="1" t="s">
        <v>267</v>
      </c>
      <c r="M2499" s="1"/>
      <c r="N2499" s="1">
        <f t="shared" si="124"/>
        <v>12</v>
      </c>
      <c r="O2499" s="87"/>
    </row>
    <row r="2500" spans="1:15" ht="15.75" hidden="1" x14ac:dyDescent="0.25">
      <c r="A2500" s="1" t="str">
        <f t="shared" si="123"/>
        <v>44895448978.8MASTER CCTRANSPORTCAREEM</v>
      </c>
      <c r="B2500" s="154">
        <v>44895</v>
      </c>
      <c r="C2500" s="154">
        <v>44897</v>
      </c>
      <c r="D2500" s="3" t="s">
        <v>3056</v>
      </c>
      <c r="E2500" s="3">
        <v>-8.8000000000000007</v>
      </c>
      <c r="F2500" s="3">
        <v>1</v>
      </c>
      <c r="G2500" s="3">
        <f t="shared" si="122"/>
        <v>8.8000000000000007</v>
      </c>
      <c r="H2500" s="3" t="s">
        <v>291</v>
      </c>
      <c r="I2500" s="1" t="s">
        <v>296</v>
      </c>
      <c r="J2500" s="1" t="s">
        <v>297</v>
      </c>
      <c r="K2500" s="1" t="s">
        <v>298</v>
      </c>
      <c r="L2500" s="1" t="s">
        <v>267</v>
      </c>
      <c r="M2500" s="1"/>
      <c r="N2500" s="1">
        <f t="shared" si="124"/>
        <v>12</v>
      </c>
      <c r="O2500" s="87"/>
    </row>
    <row r="2501" spans="1:15" ht="15.75" hidden="1" x14ac:dyDescent="0.25">
      <c r="A2501" s="1" t="str">
        <f t="shared" si="123"/>
        <v>44896448961950CURRENTEDUCATIONDAFFODILES</v>
      </c>
      <c r="B2501" s="2">
        <v>44896</v>
      </c>
      <c r="C2501" s="2">
        <v>44896</v>
      </c>
      <c r="D2501" s="3" t="s">
        <v>2906</v>
      </c>
      <c r="E2501" s="3">
        <v>1950</v>
      </c>
      <c r="F2501" s="3">
        <v>1</v>
      </c>
      <c r="G2501" s="3">
        <f t="shared" si="122"/>
        <v>1950</v>
      </c>
      <c r="H2501" s="3" t="s">
        <v>293</v>
      </c>
      <c r="I2501" s="1" t="s">
        <v>543</v>
      </c>
      <c r="J2501" s="1" t="s">
        <v>2271</v>
      </c>
      <c r="K2501" s="1" t="s">
        <v>298</v>
      </c>
      <c r="L2501" s="1" t="s">
        <v>257</v>
      </c>
      <c r="M2501" s="1"/>
      <c r="N2501" s="1">
        <f t="shared" si="124"/>
        <v>12</v>
      </c>
      <c r="O2501" s="87"/>
    </row>
    <row r="2502" spans="1:15" ht="15.75" hidden="1" x14ac:dyDescent="0.25">
      <c r="A2502" s="1" t="str">
        <f t="shared" si="123"/>
        <v>44896448969950CURRENTTRANSFERINDIA</v>
      </c>
      <c r="B2502" s="2">
        <v>44896</v>
      </c>
      <c r="C2502" s="2">
        <v>44896</v>
      </c>
      <c r="D2502" s="3" t="s">
        <v>2907</v>
      </c>
      <c r="E2502" s="3">
        <v>9950</v>
      </c>
      <c r="F2502" s="3">
        <v>1</v>
      </c>
      <c r="G2502" s="3">
        <f t="shared" si="122"/>
        <v>9950</v>
      </c>
      <c r="H2502" s="3" t="s">
        <v>293</v>
      </c>
      <c r="I2502" s="1" t="s">
        <v>22</v>
      </c>
      <c r="J2502" s="1" t="s">
        <v>23</v>
      </c>
      <c r="K2502" s="1" t="s">
        <v>298</v>
      </c>
      <c r="L2502" s="1" t="s">
        <v>257</v>
      </c>
      <c r="M2502" s="1"/>
      <c r="N2502" s="1">
        <f t="shared" si="124"/>
        <v>12</v>
      </c>
      <c r="O2502" s="87"/>
    </row>
    <row r="2503" spans="1:15" ht="15.75" hidden="1" x14ac:dyDescent="0.25">
      <c r="A2503" s="1" t="str">
        <f t="shared" si="123"/>
        <v>44896448966CURRENTFOODSIDEWALK</v>
      </c>
      <c r="B2503" s="2">
        <v>44896</v>
      </c>
      <c r="C2503" s="2">
        <v>44896</v>
      </c>
      <c r="D2503" s="3" t="s">
        <v>2908</v>
      </c>
      <c r="E2503" s="3">
        <v>6</v>
      </c>
      <c r="F2503" s="3">
        <v>1</v>
      </c>
      <c r="G2503" s="3">
        <f t="shared" si="122"/>
        <v>6</v>
      </c>
      <c r="H2503" s="3" t="s">
        <v>293</v>
      </c>
      <c r="I2503" s="1" t="s">
        <v>10</v>
      </c>
      <c r="J2503" s="1" t="s">
        <v>1423</v>
      </c>
      <c r="K2503" s="1" t="s">
        <v>298</v>
      </c>
      <c r="L2503" s="1" t="s">
        <v>257</v>
      </c>
      <c r="M2503" s="1"/>
      <c r="N2503" s="1">
        <f t="shared" si="124"/>
        <v>12</v>
      </c>
      <c r="O2503" s="87"/>
    </row>
    <row r="2504" spans="1:15" ht="15.75" hidden="1" x14ac:dyDescent="0.25">
      <c r="A2504" s="1" t="str">
        <f t="shared" si="123"/>
        <v>4489644896500CURRENTSAVINGARTI</v>
      </c>
      <c r="B2504" s="2">
        <v>44896</v>
      </c>
      <c r="C2504" s="2">
        <v>44896</v>
      </c>
      <c r="D2504" s="3" t="s">
        <v>2909</v>
      </c>
      <c r="E2504" s="3">
        <v>-500</v>
      </c>
      <c r="F2504" s="3">
        <v>1</v>
      </c>
      <c r="G2504" s="3">
        <f t="shared" si="122"/>
        <v>500</v>
      </c>
      <c r="H2504" s="3" t="s">
        <v>293</v>
      </c>
      <c r="I2504" s="1" t="s">
        <v>302</v>
      </c>
      <c r="J2504" s="1" t="s">
        <v>453</v>
      </c>
      <c r="K2504" s="1" t="s">
        <v>298</v>
      </c>
      <c r="L2504" s="1" t="s">
        <v>257</v>
      </c>
      <c r="M2504" s="1"/>
      <c r="N2504" s="1">
        <f t="shared" si="124"/>
        <v>12</v>
      </c>
      <c r="O2504" s="87"/>
    </row>
    <row r="2505" spans="1:15" ht="15.75" hidden="1" x14ac:dyDescent="0.25">
      <c r="A2505" s="1" t="str">
        <f t="shared" si="123"/>
        <v>4489644896362FIFA CCRENTKAHRAMAA</v>
      </c>
      <c r="B2505" s="2">
        <v>44896</v>
      </c>
      <c r="C2505" s="2">
        <v>44896</v>
      </c>
      <c r="D2505" s="3" t="s">
        <v>2955</v>
      </c>
      <c r="E2505" s="3">
        <v>-362</v>
      </c>
      <c r="F2505" s="3">
        <v>1</v>
      </c>
      <c r="G2505" s="3">
        <f t="shared" si="122"/>
        <v>362</v>
      </c>
      <c r="H2505" s="3" t="s">
        <v>3294</v>
      </c>
      <c r="I2505" s="1" t="s">
        <v>83</v>
      </c>
      <c r="J2505" s="1" t="s">
        <v>4113</v>
      </c>
      <c r="K2505" s="1" t="s">
        <v>298</v>
      </c>
      <c r="L2505" s="1" t="s">
        <v>267</v>
      </c>
      <c r="M2505" s="1"/>
      <c r="N2505" s="1">
        <f t="shared" si="124"/>
        <v>12</v>
      </c>
      <c r="O2505" s="87"/>
    </row>
    <row r="2506" spans="1:15" ht="15.75" hidden="1" x14ac:dyDescent="0.25">
      <c r="A2506" s="1" t="str">
        <f t="shared" si="123"/>
        <v>44896448988.8MASTER CCTRANSPORTCAREEM</v>
      </c>
      <c r="B2506" s="154">
        <v>44896</v>
      </c>
      <c r="C2506" s="154">
        <v>44898</v>
      </c>
      <c r="D2506" s="3" t="s">
        <v>3054</v>
      </c>
      <c r="E2506" s="3">
        <v>-8.8000000000000007</v>
      </c>
      <c r="F2506" s="3">
        <v>1</v>
      </c>
      <c r="G2506" s="3">
        <f t="shared" si="122"/>
        <v>8.8000000000000007</v>
      </c>
      <c r="H2506" s="3" t="s">
        <v>291</v>
      </c>
      <c r="I2506" s="1" t="s">
        <v>296</v>
      </c>
      <c r="J2506" s="1" t="s">
        <v>297</v>
      </c>
      <c r="K2506" s="1" t="s">
        <v>298</v>
      </c>
      <c r="L2506" s="1" t="s">
        <v>267</v>
      </c>
      <c r="M2506" s="1"/>
      <c r="N2506" s="1">
        <f t="shared" si="124"/>
        <v>12</v>
      </c>
      <c r="O2506" s="87"/>
    </row>
    <row r="2507" spans="1:15" ht="15.75" hidden="1" x14ac:dyDescent="0.25">
      <c r="A2507" s="1" t="str">
        <f t="shared" si="123"/>
        <v>448974489987FIFA CCFOODCAFÉ/REST.</v>
      </c>
      <c r="B2507" s="2">
        <v>44897</v>
      </c>
      <c r="C2507" s="2">
        <v>44899</v>
      </c>
      <c r="D2507" s="3" t="s">
        <v>2952</v>
      </c>
      <c r="E2507" s="3">
        <v>-87</v>
      </c>
      <c r="F2507" s="3">
        <v>1</v>
      </c>
      <c r="G2507" s="3">
        <f t="shared" ref="G2507:G2570" si="125">ABS(E2507)*F2507</f>
        <v>87</v>
      </c>
      <c r="H2507" s="3" t="s">
        <v>3294</v>
      </c>
      <c r="I2507" s="1" t="s">
        <v>10</v>
      </c>
      <c r="J2507" s="1" t="s">
        <v>11</v>
      </c>
      <c r="K2507" s="1" t="s">
        <v>298</v>
      </c>
      <c r="L2507" s="1" t="s">
        <v>267</v>
      </c>
      <c r="M2507" s="1"/>
      <c r="N2507" s="1">
        <f t="shared" si="124"/>
        <v>12</v>
      </c>
      <c r="O2507" s="87"/>
    </row>
    <row r="2508" spans="1:15" ht="15.75" hidden="1" x14ac:dyDescent="0.25">
      <c r="A2508" s="1" t="str">
        <f t="shared" si="123"/>
        <v>448974489928FIFA CCFOODCAFÉ/REST.</v>
      </c>
      <c r="B2508" s="2">
        <v>44897</v>
      </c>
      <c r="C2508" s="2">
        <v>44899</v>
      </c>
      <c r="D2508" s="3" t="s">
        <v>2953</v>
      </c>
      <c r="E2508" s="3">
        <v>-28</v>
      </c>
      <c r="F2508" s="3">
        <v>1</v>
      </c>
      <c r="G2508" s="3">
        <f t="shared" si="125"/>
        <v>28</v>
      </c>
      <c r="H2508" s="3" t="s">
        <v>3294</v>
      </c>
      <c r="I2508" s="1" t="s">
        <v>10</v>
      </c>
      <c r="J2508" s="1" t="s">
        <v>11</v>
      </c>
      <c r="K2508" s="1" t="s">
        <v>298</v>
      </c>
      <c r="L2508" s="1" t="s">
        <v>267</v>
      </c>
      <c r="M2508" s="1"/>
      <c r="N2508" s="1">
        <f t="shared" si="124"/>
        <v>12</v>
      </c>
      <c r="O2508" s="87"/>
    </row>
    <row r="2509" spans="1:15" ht="15.75" hidden="1" x14ac:dyDescent="0.25">
      <c r="A2509" s="1" t="str">
        <f t="shared" si="123"/>
        <v>448974489970FIFA CCFOODCAFÉ/REST.</v>
      </c>
      <c r="B2509" s="2">
        <v>44897</v>
      </c>
      <c r="C2509" s="2">
        <v>44899</v>
      </c>
      <c r="D2509" s="3" t="s">
        <v>2954</v>
      </c>
      <c r="E2509" s="3">
        <v>-70</v>
      </c>
      <c r="F2509" s="3">
        <v>1</v>
      </c>
      <c r="G2509" s="3">
        <f t="shared" si="125"/>
        <v>70</v>
      </c>
      <c r="H2509" s="3" t="s">
        <v>3294</v>
      </c>
      <c r="I2509" s="1" t="s">
        <v>10</v>
      </c>
      <c r="J2509" s="1" t="s">
        <v>11</v>
      </c>
      <c r="K2509" s="1" t="s">
        <v>298</v>
      </c>
      <c r="L2509" s="1" t="s">
        <v>267</v>
      </c>
      <c r="M2509" s="1"/>
      <c r="N2509" s="1">
        <f t="shared" si="124"/>
        <v>12</v>
      </c>
      <c r="O2509" s="87"/>
    </row>
    <row r="2510" spans="1:15" ht="15.75" hidden="1" x14ac:dyDescent="0.25">
      <c r="A2510" s="1" t="str">
        <f t="shared" si="123"/>
        <v>448984490093.75FIFA CCGROCERYLULU</v>
      </c>
      <c r="B2510" s="2">
        <v>44898</v>
      </c>
      <c r="C2510" s="2">
        <v>44900</v>
      </c>
      <c r="D2510" s="3" t="s">
        <v>2950</v>
      </c>
      <c r="E2510" s="3">
        <v>-93.75</v>
      </c>
      <c r="F2510" s="3">
        <v>1</v>
      </c>
      <c r="G2510" s="3">
        <f t="shared" si="125"/>
        <v>93.75</v>
      </c>
      <c r="H2510" s="3" t="s">
        <v>3294</v>
      </c>
      <c r="I2510" s="1" t="s">
        <v>43</v>
      </c>
      <c r="J2510" s="1" t="s">
        <v>44</v>
      </c>
      <c r="K2510" s="1" t="s">
        <v>298</v>
      </c>
      <c r="L2510" s="1" t="s">
        <v>267</v>
      </c>
      <c r="M2510" s="1"/>
      <c r="N2510" s="1">
        <f t="shared" si="124"/>
        <v>12</v>
      </c>
      <c r="O2510" s="87"/>
    </row>
    <row r="2511" spans="1:15" ht="15.75" hidden="1" x14ac:dyDescent="0.25">
      <c r="A2511" s="1" t="str">
        <f t="shared" si="123"/>
        <v>4489844900188FIFA CCGROCERYLULU</v>
      </c>
      <c r="B2511" s="2">
        <v>44898</v>
      </c>
      <c r="C2511" s="2">
        <v>44900</v>
      </c>
      <c r="D2511" s="3" t="s">
        <v>2951</v>
      </c>
      <c r="E2511" s="3">
        <v>-188</v>
      </c>
      <c r="F2511" s="3">
        <v>1</v>
      </c>
      <c r="G2511" s="3">
        <f t="shared" si="125"/>
        <v>188</v>
      </c>
      <c r="H2511" s="3" t="s">
        <v>3294</v>
      </c>
      <c r="I2511" s="1" t="s">
        <v>43</v>
      </c>
      <c r="J2511" s="1" t="s">
        <v>44</v>
      </c>
      <c r="K2511" s="1" t="s">
        <v>298</v>
      </c>
      <c r="L2511" s="1" t="s">
        <v>267</v>
      </c>
      <c r="M2511" s="1"/>
      <c r="N2511" s="1">
        <f t="shared" si="124"/>
        <v>12</v>
      </c>
      <c r="O2511" s="87"/>
    </row>
    <row r="2512" spans="1:15" ht="15.75" hidden="1" x14ac:dyDescent="0.25">
      <c r="A2512" s="1" t="str">
        <f t="shared" si="123"/>
        <v>4489944899500CURRENTWITHDRAWSELF</v>
      </c>
      <c r="B2512" s="2">
        <v>44899</v>
      </c>
      <c r="C2512" s="2">
        <v>44899</v>
      </c>
      <c r="D2512" s="3" t="s">
        <v>2905</v>
      </c>
      <c r="E2512" s="3">
        <v>500</v>
      </c>
      <c r="F2512" s="3">
        <v>1</v>
      </c>
      <c r="G2512" s="3">
        <f t="shared" si="125"/>
        <v>500</v>
      </c>
      <c r="H2512" s="3" t="s">
        <v>293</v>
      </c>
      <c r="I2512" s="1" t="s">
        <v>13</v>
      </c>
      <c r="J2512" s="1" t="s">
        <v>14</v>
      </c>
      <c r="K2512" s="1" t="s">
        <v>298</v>
      </c>
      <c r="L2512" s="1" t="s">
        <v>257</v>
      </c>
      <c r="M2512" s="1"/>
      <c r="N2512" s="1">
        <f t="shared" si="124"/>
        <v>12</v>
      </c>
      <c r="O2512" s="87"/>
    </row>
    <row r="2513" spans="1:15" ht="15.75" hidden="1" x14ac:dyDescent="0.25">
      <c r="A2513" s="1" t="str">
        <f t="shared" si="123"/>
        <v>44899449015.8MASTER CCTRANSPORTCAREEM</v>
      </c>
      <c r="B2513" s="154">
        <v>44899</v>
      </c>
      <c r="C2513" s="154">
        <v>44901</v>
      </c>
      <c r="D2513" s="3" t="s">
        <v>3053</v>
      </c>
      <c r="E2513" s="3">
        <v>-5.8</v>
      </c>
      <c r="F2513" s="3">
        <v>1</v>
      </c>
      <c r="G2513" s="3">
        <f t="shared" si="125"/>
        <v>5.8</v>
      </c>
      <c r="H2513" s="3" t="s">
        <v>291</v>
      </c>
      <c r="I2513" s="1" t="s">
        <v>296</v>
      </c>
      <c r="J2513" s="1" t="s">
        <v>297</v>
      </c>
      <c r="K2513" s="1" t="s">
        <v>298</v>
      </c>
      <c r="L2513" s="1" t="s">
        <v>267</v>
      </c>
      <c r="M2513" s="1"/>
      <c r="N2513" s="1">
        <f t="shared" si="124"/>
        <v>12</v>
      </c>
      <c r="O2513" s="87"/>
    </row>
    <row r="2514" spans="1:15" ht="15.75" hidden="1" x14ac:dyDescent="0.25">
      <c r="A2514" s="1" t="str">
        <f t="shared" si="123"/>
        <v>449004490224FIFA CCFOODCAFÉ/REST.</v>
      </c>
      <c r="B2514" s="2">
        <v>44900</v>
      </c>
      <c r="C2514" s="2">
        <v>44902</v>
      </c>
      <c r="D2514" s="3" t="s">
        <v>2949</v>
      </c>
      <c r="E2514" s="3">
        <v>-24</v>
      </c>
      <c r="F2514" s="3">
        <v>1</v>
      </c>
      <c r="G2514" s="3">
        <f t="shared" si="125"/>
        <v>24</v>
      </c>
      <c r="H2514" s="3" t="s">
        <v>3294</v>
      </c>
      <c r="I2514" s="1" t="s">
        <v>10</v>
      </c>
      <c r="J2514" s="1" t="s">
        <v>11</v>
      </c>
      <c r="K2514" s="1" t="s">
        <v>298</v>
      </c>
      <c r="L2514" s="1" t="s">
        <v>267</v>
      </c>
      <c r="M2514" s="1"/>
      <c r="N2514" s="1">
        <f t="shared" si="124"/>
        <v>12</v>
      </c>
      <c r="O2514" s="87"/>
    </row>
    <row r="2515" spans="1:15" ht="15.75" hidden="1" x14ac:dyDescent="0.25">
      <c r="A2515" s="1" t="str">
        <f t="shared" si="123"/>
        <v>44900449028.8MASTER CCTRANSPORTCAREEM</v>
      </c>
      <c r="B2515" s="154">
        <v>44900</v>
      </c>
      <c r="C2515" s="154">
        <v>44902</v>
      </c>
      <c r="D2515" s="3" t="s">
        <v>3052</v>
      </c>
      <c r="E2515" s="3">
        <v>-8.8000000000000007</v>
      </c>
      <c r="F2515" s="3">
        <v>1</v>
      </c>
      <c r="G2515" s="3">
        <f t="shared" si="125"/>
        <v>8.8000000000000007</v>
      </c>
      <c r="H2515" s="3" t="s">
        <v>291</v>
      </c>
      <c r="I2515" s="1" t="s">
        <v>296</v>
      </c>
      <c r="J2515" s="1" t="s">
        <v>297</v>
      </c>
      <c r="K2515" s="1" t="s">
        <v>298</v>
      </c>
      <c r="L2515" s="1" t="s">
        <v>267</v>
      </c>
      <c r="M2515" s="1"/>
      <c r="N2515" s="1">
        <f t="shared" si="124"/>
        <v>12</v>
      </c>
      <c r="O2515" s="87"/>
    </row>
    <row r="2516" spans="1:15" ht="15.75" hidden="1" x14ac:dyDescent="0.25">
      <c r="A2516" s="1" t="str">
        <f t="shared" si="123"/>
        <v>449014490310FIFA CCFOODCAFÉ/REST.</v>
      </c>
      <c r="B2516" s="2">
        <v>44901</v>
      </c>
      <c r="C2516" s="2">
        <v>44903</v>
      </c>
      <c r="D2516" s="3" t="s">
        <v>2948</v>
      </c>
      <c r="E2516" s="3">
        <v>-10</v>
      </c>
      <c r="F2516" s="3">
        <v>1</v>
      </c>
      <c r="G2516" s="3">
        <f t="shared" si="125"/>
        <v>10</v>
      </c>
      <c r="H2516" s="3" t="s">
        <v>3294</v>
      </c>
      <c r="I2516" s="1" t="s">
        <v>10</v>
      </c>
      <c r="J2516" s="1" t="s">
        <v>11</v>
      </c>
      <c r="K2516" s="1" t="s">
        <v>298</v>
      </c>
      <c r="L2516" s="1" t="s">
        <v>267</v>
      </c>
      <c r="M2516" s="1"/>
      <c r="N2516" s="1">
        <f t="shared" si="124"/>
        <v>12</v>
      </c>
      <c r="O2516" s="87"/>
    </row>
    <row r="2517" spans="1:15" ht="15.75" hidden="1" x14ac:dyDescent="0.25">
      <c r="A2517" s="1" t="str">
        <f t="shared" si="123"/>
        <v>449014490330MASTER CCTELECOMOOREDOO</v>
      </c>
      <c r="B2517" s="154">
        <v>44901</v>
      </c>
      <c r="C2517" s="154">
        <v>44903</v>
      </c>
      <c r="D2517" s="3" t="s">
        <v>3050</v>
      </c>
      <c r="E2517" s="3">
        <v>-30</v>
      </c>
      <c r="F2517" s="3">
        <v>1</v>
      </c>
      <c r="G2517" s="3">
        <f t="shared" si="125"/>
        <v>30</v>
      </c>
      <c r="H2517" s="3" t="s">
        <v>291</v>
      </c>
      <c r="I2517" s="1" t="s">
        <v>58</v>
      </c>
      <c r="J2517" s="1" t="s">
        <v>59</v>
      </c>
      <c r="K2517" s="1" t="s">
        <v>298</v>
      </c>
      <c r="L2517" s="1" t="s">
        <v>267</v>
      </c>
      <c r="M2517" s="1"/>
      <c r="N2517" s="1">
        <f t="shared" si="124"/>
        <v>12</v>
      </c>
      <c r="O2517" s="87"/>
    </row>
    <row r="2518" spans="1:15" ht="15.75" hidden="1" x14ac:dyDescent="0.25">
      <c r="A2518" s="1" t="str">
        <f t="shared" si="123"/>
        <v>44901449038.8MASTER CCTRANSPORTCAREEM</v>
      </c>
      <c r="B2518" s="154">
        <v>44901</v>
      </c>
      <c r="C2518" s="154">
        <v>44903</v>
      </c>
      <c r="D2518" s="3" t="s">
        <v>3051</v>
      </c>
      <c r="E2518" s="3">
        <v>-8.8000000000000007</v>
      </c>
      <c r="F2518" s="3">
        <v>1</v>
      </c>
      <c r="G2518" s="3">
        <f t="shared" si="125"/>
        <v>8.8000000000000007</v>
      </c>
      <c r="H2518" s="3" t="s">
        <v>291</v>
      </c>
      <c r="I2518" s="1" t="s">
        <v>296</v>
      </c>
      <c r="J2518" s="1" t="s">
        <v>297</v>
      </c>
      <c r="K2518" s="1" t="s">
        <v>298</v>
      </c>
      <c r="L2518" s="1" t="s">
        <v>267</v>
      </c>
      <c r="M2518" s="1"/>
      <c r="N2518" s="1">
        <f t="shared" si="124"/>
        <v>12</v>
      </c>
      <c r="O2518" s="87"/>
    </row>
    <row r="2519" spans="1:15" ht="15.75" hidden="1" x14ac:dyDescent="0.25">
      <c r="A2519" s="1" t="str">
        <f t="shared" si="123"/>
        <v>4490244904199.96FIFA CCGROCERYINDIAN SUPER</v>
      </c>
      <c r="B2519" s="2">
        <v>44902</v>
      </c>
      <c r="C2519" s="2">
        <v>44904</v>
      </c>
      <c r="D2519" s="3" t="s">
        <v>2947</v>
      </c>
      <c r="E2519" s="3">
        <v>-199.96</v>
      </c>
      <c r="F2519" s="3">
        <v>1</v>
      </c>
      <c r="G2519" s="3">
        <f t="shared" si="125"/>
        <v>199.96</v>
      </c>
      <c r="H2519" s="3" t="s">
        <v>3294</v>
      </c>
      <c r="I2519" s="1" t="s">
        <v>43</v>
      </c>
      <c r="J2519" s="1" t="s">
        <v>2273</v>
      </c>
      <c r="K2519" s="1" t="s">
        <v>298</v>
      </c>
      <c r="L2519" s="1" t="s">
        <v>267</v>
      </c>
      <c r="M2519" s="1"/>
      <c r="N2519" s="1">
        <f t="shared" si="124"/>
        <v>12</v>
      </c>
      <c r="O2519" s="87"/>
    </row>
    <row r="2520" spans="1:15" ht="15.75" hidden="1" x14ac:dyDescent="0.25">
      <c r="A2520" s="1" t="str">
        <f t="shared" si="123"/>
        <v>44902449048.8MASTER CCTRANSPORTCAREEM</v>
      </c>
      <c r="B2520" s="154">
        <v>44902</v>
      </c>
      <c r="C2520" s="154">
        <v>44904</v>
      </c>
      <c r="D2520" s="3" t="s">
        <v>3049</v>
      </c>
      <c r="E2520" s="3">
        <v>-8.8000000000000007</v>
      </c>
      <c r="F2520" s="3">
        <v>1</v>
      </c>
      <c r="G2520" s="3">
        <f t="shared" si="125"/>
        <v>8.8000000000000007</v>
      </c>
      <c r="H2520" s="3" t="s">
        <v>291</v>
      </c>
      <c r="I2520" s="1" t="s">
        <v>296</v>
      </c>
      <c r="J2520" s="1" t="s">
        <v>297</v>
      </c>
      <c r="K2520" s="1" t="s">
        <v>298</v>
      </c>
      <c r="L2520" s="1" t="s">
        <v>267</v>
      </c>
      <c r="M2520" s="1"/>
      <c r="N2520" s="1">
        <f t="shared" si="124"/>
        <v>12</v>
      </c>
      <c r="O2520" s="87"/>
    </row>
    <row r="2521" spans="1:15" ht="15.75" hidden="1" x14ac:dyDescent="0.25">
      <c r="A2521" s="1" t="str">
        <f t="shared" si="123"/>
        <v>44903449058.8MASTER CCTRANSPORTCAREEM</v>
      </c>
      <c r="B2521" s="154">
        <v>44903</v>
      </c>
      <c r="C2521" s="154">
        <v>44905</v>
      </c>
      <c r="D2521" s="3" t="s">
        <v>3048</v>
      </c>
      <c r="E2521" s="3">
        <v>-8.8000000000000007</v>
      </c>
      <c r="F2521" s="3">
        <v>1</v>
      </c>
      <c r="G2521" s="3">
        <f t="shared" si="125"/>
        <v>8.8000000000000007</v>
      </c>
      <c r="H2521" s="3" t="s">
        <v>291</v>
      </c>
      <c r="I2521" s="1" t="s">
        <v>296</v>
      </c>
      <c r="J2521" s="1" t="s">
        <v>297</v>
      </c>
      <c r="K2521" s="1" t="s">
        <v>298</v>
      </c>
      <c r="L2521" s="1" t="s">
        <v>267</v>
      </c>
      <c r="M2521" s="1"/>
      <c r="N2521" s="1">
        <f t="shared" si="124"/>
        <v>12</v>
      </c>
      <c r="O2521" s="87"/>
    </row>
    <row r="2522" spans="1:15" ht="15.75" hidden="1" x14ac:dyDescent="0.25">
      <c r="A2522" s="1" t="str">
        <f t="shared" si="123"/>
        <v>4490444904108FIFA CCFOODCAFÉ/REST.</v>
      </c>
      <c r="B2522" s="2">
        <v>44904</v>
      </c>
      <c r="C2522" s="118">
        <f t="shared" ref="C2522:C2527" si="126">B2522</f>
        <v>44904</v>
      </c>
      <c r="D2522" s="3" t="s">
        <v>2946</v>
      </c>
      <c r="E2522" s="3">
        <v>-108</v>
      </c>
      <c r="F2522" s="3">
        <v>1</v>
      </c>
      <c r="G2522" s="3">
        <f t="shared" si="125"/>
        <v>108</v>
      </c>
      <c r="H2522" s="3" t="s">
        <v>3294</v>
      </c>
      <c r="I2522" s="1" t="s">
        <v>10</v>
      </c>
      <c r="J2522" s="1" t="s">
        <v>11</v>
      </c>
      <c r="K2522" s="1" t="s">
        <v>298</v>
      </c>
      <c r="L2522" s="1" t="s">
        <v>267</v>
      </c>
      <c r="M2522" s="1"/>
      <c r="N2522" s="1">
        <f t="shared" si="124"/>
        <v>12</v>
      </c>
      <c r="O2522" s="87"/>
    </row>
    <row r="2523" spans="1:15" ht="15.75" hidden="1" x14ac:dyDescent="0.25">
      <c r="A2523" s="1" t="str">
        <f t="shared" si="123"/>
        <v>449054490534FIFA CCMEDICALNASEEM AL</v>
      </c>
      <c r="B2523" s="2">
        <v>44905</v>
      </c>
      <c r="C2523" s="118">
        <f t="shared" si="126"/>
        <v>44905</v>
      </c>
      <c r="D2523" s="3" t="s">
        <v>2941</v>
      </c>
      <c r="E2523" s="3">
        <v>-34</v>
      </c>
      <c r="F2523" s="3">
        <v>1</v>
      </c>
      <c r="G2523" s="3">
        <f t="shared" si="125"/>
        <v>34</v>
      </c>
      <c r="H2523" s="3" t="s">
        <v>3294</v>
      </c>
      <c r="I2523" s="1" t="s">
        <v>301</v>
      </c>
      <c r="J2523" s="1" t="s">
        <v>1000</v>
      </c>
      <c r="K2523" s="1" t="s">
        <v>298</v>
      </c>
      <c r="L2523" s="1" t="s">
        <v>267</v>
      </c>
      <c r="M2523" s="1"/>
      <c r="N2523" s="1">
        <f t="shared" si="124"/>
        <v>12</v>
      </c>
      <c r="O2523" s="87"/>
    </row>
    <row r="2524" spans="1:15" ht="15.75" hidden="1" x14ac:dyDescent="0.25">
      <c r="A2524" s="1" t="str">
        <f t="shared" si="123"/>
        <v>449054490518.75FIFA CCMEDICALNASEEM AL</v>
      </c>
      <c r="B2524" s="2">
        <v>44905</v>
      </c>
      <c r="C2524" s="118">
        <f t="shared" si="126"/>
        <v>44905</v>
      </c>
      <c r="D2524" s="3" t="s">
        <v>2942</v>
      </c>
      <c r="E2524" s="3">
        <v>-18.75</v>
      </c>
      <c r="F2524" s="3">
        <v>1</v>
      </c>
      <c r="G2524" s="3">
        <f t="shared" si="125"/>
        <v>18.75</v>
      </c>
      <c r="H2524" s="3" t="s">
        <v>3294</v>
      </c>
      <c r="I2524" s="1" t="s">
        <v>301</v>
      </c>
      <c r="J2524" s="1" t="s">
        <v>1000</v>
      </c>
      <c r="K2524" s="1" t="s">
        <v>298</v>
      </c>
      <c r="L2524" s="1" t="s">
        <v>267</v>
      </c>
      <c r="M2524" s="1"/>
      <c r="N2524" s="1">
        <f t="shared" si="124"/>
        <v>12</v>
      </c>
      <c r="O2524" s="87"/>
    </row>
    <row r="2525" spans="1:15" ht="15.75" hidden="1" x14ac:dyDescent="0.25">
      <c r="A2525" s="1" t="str">
        <f t="shared" si="123"/>
        <v>449054490515.2FIFA CCMEDICALNASEEM AL</v>
      </c>
      <c r="B2525" s="2">
        <v>44905</v>
      </c>
      <c r="C2525" s="118">
        <f t="shared" si="126"/>
        <v>44905</v>
      </c>
      <c r="D2525" s="3" t="s">
        <v>2943</v>
      </c>
      <c r="E2525" s="3">
        <v>-15.2</v>
      </c>
      <c r="F2525" s="3">
        <v>1</v>
      </c>
      <c r="G2525" s="3">
        <f t="shared" si="125"/>
        <v>15.2</v>
      </c>
      <c r="H2525" s="3" t="s">
        <v>3294</v>
      </c>
      <c r="I2525" s="1" t="s">
        <v>301</v>
      </c>
      <c r="J2525" s="1" t="s">
        <v>1000</v>
      </c>
      <c r="K2525" s="1" t="s">
        <v>298</v>
      </c>
      <c r="L2525" s="1" t="s">
        <v>267</v>
      </c>
      <c r="M2525" s="1"/>
      <c r="N2525" s="1">
        <f t="shared" si="124"/>
        <v>12</v>
      </c>
      <c r="O2525" s="87"/>
    </row>
    <row r="2526" spans="1:15" ht="15.75" hidden="1" x14ac:dyDescent="0.25">
      <c r="A2526" s="1" t="str">
        <f t="shared" si="123"/>
        <v>449054490571FIFA CCFOODWISHBOX</v>
      </c>
      <c r="B2526" s="2">
        <v>44905</v>
      </c>
      <c r="C2526" s="118">
        <f t="shared" si="126"/>
        <v>44905</v>
      </c>
      <c r="D2526" s="3" t="s">
        <v>2944</v>
      </c>
      <c r="E2526" s="3">
        <v>-71</v>
      </c>
      <c r="F2526" s="3">
        <v>1</v>
      </c>
      <c r="G2526" s="3">
        <f t="shared" si="125"/>
        <v>71</v>
      </c>
      <c r="H2526" s="3" t="s">
        <v>3294</v>
      </c>
      <c r="I2526" s="1" t="s">
        <v>10</v>
      </c>
      <c r="J2526" s="1" t="s">
        <v>1199</v>
      </c>
      <c r="K2526" s="1" t="s">
        <v>298</v>
      </c>
      <c r="L2526" s="1" t="s">
        <v>267</v>
      </c>
      <c r="M2526" s="1"/>
      <c r="N2526" s="1">
        <f t="shared" si="124"/>
        <v>12</v>
      </c>
      <c r="O2526" s="87"/>
    </row>
    <row r="2527" spans="1:15" ht="15.75" hidden="1" x14ac:dyDescent="0.25">
      <c r="A2527" s="1" t="str">
        <f t="shared" si="123"/>
        <v>449054490561FIFA CCMEDICALNASEEM AL</v>
      </c>
      <c r="B2527" s="2">
        <v>44905</v>
      </c>
      <c r="C2527" s="118">
        <f t="shared" si="126"/>
        <v>44905</v>
      </c>
      <c r="D2527" s="3" t="s">
        <v>2945</v>
      </c>
      <c r="E2527" s="3">
        <v>-61</v>
      </c>
      <c r="F2527" s="3">
        <v>1</v>
      </c>
      <c r="G2527" s="3">
        <f t="shared" si="125"/>
        <v>61</v>
      </c>
      <c r="H2527" s="3" t="s">
        <v>3294</v>
      </c>
      <c r="I2527" s="1" t="s">
        <v>301</v>
      </c>
      <c r="J2527" s="1" t="s">
        <v>1000</v>
      </c>
      <c r="K2527" s="1" t="s">
        <v>298</v>
      </c>
      <c r="L2527" s="1" t="s">
        <v>267</v>
      </c>
      <c r="M2527" s="1"/>
      <c r="N2527" s="1">
        <f t="shared" si="124"/>
        <v>12</v>
      </c>
      <c r="O2527" s="87"/>
    </row>
    <row r="2528" spans="1:15" ht="15.75" hidden="1" x14ac:dyDescent="0.25">
      <c r="A2528" s="1" t="str">
        <f t="shared" si="123"/>
        <v>44906449065000CURRENTRENTALBAKER</v>
      </c>
      <c r="B2528" s="2">
        <v>44906</v>
      </c>
      <c r="C2528" s="2">
        <v>44906</v>
      </c>
      <c r="D2528" s="3" t="s">
        <v>2904</v>
      </c>
      <c r="E2528" s="3">
        <v>5000</v>
      </c>
      <c r="F2528" s="3">
        <v>1</v>
      </c>
      <c r="G2528" s="3">
        <f t="shared" si="125"/>
        <v>5000</v>
      </c>
      <c r="H2528" s="3" t="s">
        <v>293</v>
      </c>
      <c r="I2528" s="1" t="s">
        <v>83</v>
      </c>
      <c r="J2528" s="1" t="s">
        <v>2701</v>
      </c>
      <c r="K2528" s="1" t="s">
        <v>298</v>
      </c>
      <c r="L2528" s="1" t="s">
        <v>257</v>
      </c>
      <c r="M2528" s="1"/>
      <c r="N2528" s="1">
        <f t="shared" si="124"/>
        <v>12</v>
      </c>
      <c r="O2528" s="87"/>
    </row>
    <row r="2529" spans="1:15" ht="15.75" hidden="1" x14ac:dyDescent="0.25">
      <c r="A2529" s="1" t="str">
        <f t="shared" si="123"/>
        <v>44907449098.8MASTER CCTRANSPORTCAREEM</v>
      </c>
      <c r="B2529" s="154">
        <v>44907</v>
      </c>
      <c r="C2529" s="154">
        <v>44909</v>
      </c>
      <c r="D2529" s="3" t="s">
        <v>3046</v>
      </c>
      <c r="E2529" s="3">
        <v>-8.8000000000000007</v>
      </c>
      <c r="F2529" s="3">
        <v>1</v>
      </c>
      <c r="G2529" s="3">
        <f t="shared" si="125"/>
        <v>8.8000000000000007</v>
      </c>
      <c r="H2529" s="3" t="s">
        <v>291</v>
      </c>
      <c r="I2529" s="1" t="s">
        <v>296</v>
      </c>
      <c r="J2529" s="1" t="s">
        <v>297</v>
      </c>
      <c r="K2529" s="1" t="s">
        <v>298</v>
      </c>
      <c r="L2529" s="1" t="s">
        <v>267</v>
      </c>
      <c r="M2529" s="1"/>
      <c r="N2529" s="1">
        <f t="shared" si="124"/>
        <v>12</v>
      </c>
      <c r="O2529" s="87"/>
    </row>
    <row r="2530" spans="1:15" ht="15.75" hidden="1" x14ac:dyDescent="0.25">
      <c r="A2530" s="1" t="str">
        <f t="shared" si="123"/>
        <v>44907449098.8MASTER CCTRANSPORTCAREEM</v>
      </c>
      <c r="B2530" s="154">
        <v>44907</v>
      </c>
      <c r="C2530" s="154">
        <v>44909</v>
      </c>
      <c r="D2530" s="3" t="s">
        <v>3047</v>
      </c>
      <c r="E2530" s="3">
        <v>-8.8000000000000007</v>
      </c>
      <c r="F2530" s="3">
        <v>1</v>
      </c>
      <c r="G2530" s="3">
        <f t="shared" si="125"/>
        <v>8.8000000000000007</v>
      </c>
      <c r="H2530" s="3" t="s">
        <v>291</v>
      </c>
      <c r="I2530" s="1" t="s">
        <v>296</v>
      </c>
      <c r="J2530" s="1" t="s">
        <v>297</v>
      </c>
      <c r="K2530" s="1" t="s">
        <v>298</v>
      </c>
      <c r="L2530" s="1" t="s">
        <v>267</v>
      </c>
      <c r="M2530" s="1"/>
      <c r="N2530" s="1">
        <f t="shared" si="124"/>
        <v>12</v>
      </c>
      <c r="O2530" s="87"/>
    </row>
    <row r="2531" spans="1:15" ht="15.75" hidden="1" x14ac:dyDescent="0.25">
      <c r="A2531" s="1" t="str">
        <f t="shared" si="123"/>
        <v>449074490910FIFA CCFOODQATAR AIR</v>
      </c>
      <c r="B2531" s="154">
        <v>44907</v>
      </c>
      <c r="C2531" s="154">
        <v>44909</v>
      </c>
      <c r="D2531" s="3" t="s">
        <v>3159</v>
      </c>
      <c r="E2531" s="3">
        <v>-10</v>
      </c>
      <c r="F2531" s="3">
        <v>1</v>
      </c>
      <c r="G2531" s="3">
        <f t="shared" si="125"/>
        <v>10</v>
      </c>
      <c r="H2531" s="3" t="s">
        <v>3294</v>
      </c>
      <c r="I2531" s="1" t="s">
        <v>10</v>
      </c>
      <c r="J2531" s="1" t="s">
        <v>19</v>
      </c>
      <c r="K2531" s="1" t="s">
        <v>298</v>
      </c>
      <c r="L2531" s="1" t="s">
        <v>267</v>
      </c>
      <c r="M2531" s="1"/>
      <c r="N2531" s="1">
        <f t="shared" si="124"/>
        <v>12</v>
      </c>
      <c r="O2531" s="87"/>
    </row>
    <row r="2532" spans="1:15" ht="15.75" hidden="1" x14ac:dyDescent="0.25">
      <c r="A2532" s="1" t="str">
        <f t="shared" si="123"/>
        <v>44908449081000CURRENTWITHDRAWSELF</v>
      </c>
      <c r="B2532" s="154">
        <v>44908</v>
      </c>
      <c r="C2532" s="154">
        <v>44908</v>
      </c>
      <c r="D2532" s="3" t="s">
        <v>3016</v>
      </c>
      <c r="E2532" s="3">
        <v>1000</v>
      </c>
      <c r="F2532" s="3">
        <v>1</v>
      </c>
      <c r="G2532" s="3">
        <f t="shared" si="125"/>
        <v>1000</v>
      </c>
      <c r="H2532" s="3" t="s">
        <v>293</v>
      </c>
      <c r="I2532" s="1" t="s">
        <v>13</v>
      </c>
      <c r="J2532" s="1" t="s">
        <v>14</v>
      </c>
      <c r="K2532" s="1" t="s">
        <v>298</v>
      </c>
      <c r="L2532" s="1" t="s">
        <v>257</v>
      </c>
      <c r="M2532" s="1"/>
      <c r="N2532" s="1">
        <f t="shared" si="124"/>
        <v>12</v>
      </c>
      <c r="O2532" s="87"/>
    </row>
    <row r="2533" spans="1:15" ht="15.75" hidden="1" x14ac:dyDescent="0.25">
      <c r="A2533" s="1" t="str">
        <f t="shared" si="123"/>
        <v>44908449108.8MASTER CCTRANSPORTCAREEM</v>
      </c>
      <c r="B2533" s="154">
        <v>44908</v>
      </c>
      <c r="C2533" s="154">
        <v>44910</v>
      </c>
      <c r="D2533" s="3" t="s">
        <v>3044</v>
      </c>
      <c r="E2533" s="3">
        <v>-8.8000000000000007</v>
      </c>
      <c r="F2533" s="3">
        <v>1</v>
      </c>
      <c r="G2533" s="3">
        <f t="shared" si="125"/>
        <v>8.8000000000000007</v>
      </c>
      <c r="H2533" s="3" t="s">
        <v>291</v>
      </c>
      <c r="I2533" s="1" t="s">
        <v>296</v>
      </c>
      <c r="J2533" s="1" t="s">
        <v>297</v>
      </c>
      <c r="K2533" s="1" t="s">
        <v>298</v>
      </c>
      <c r="L2533" s="1" t="s">
        <v>267</v>
      </c>
      <c r="M2533" s="1"/>
      <c r="N2533" s="1">
        <f t="shared" si="124"/>
        <v>12</v>
      </c>
      <c r="O2533" s="87"/>
    </row>
    <row r="2534" spans="1:15" ht="15.75" hidden="1" x14ac:dyDescent="0.25">
      <c r="A2534" s="1" t="str">
        <f t="shared" si="123"/>
        <v>44908449108.8MASTER CCTRANSPORTCAREEM</v>
      </c>
      <c r="B2534" s="154">
        <v>44908</v>
      </c>
      <c r="C2534" s="154">
        <v>44910</v>
      </c>
      <c r="D2534" s="3" t="s">
        <v>3045</v>
      </c>
      <c r="E2534" s="3">
        <v>-8.8000000000000007</v>
      </c>
      <c r="F2534" s="3">
        <v>1</v>
      </c>
      <c r="G2534" s="3">
        <f t="shared" si="125"/>
        <v>8.8000000000000007</v>
      </c>
      <c r="H2534" s="3" t="s">
        <v>291</v>
      </c>
      <c r="I2534" s="1" t="s">
        <v>296</v>
      </c>
      <c r="J2534" s="1" t="s">
        <v>297</v>
      </c>
      <c r="K2534" s="1" t="s">
        <v>298</v>
      </c>
      <c r="L2534" s="1" t="s">
        <v>267</v>
      </c>
      <c r="M2534" s="1"/>
      <c r="N2534" s="1">
        <f t="shared" si="124"/>
        <v>12</v>
      </c>
      <c r="O2534" s="87"/>
    </row>
    <row r="2535" spans="1:15" ht="15.75" hidden="1" x14ac:dyDescent="0.25">
      <c r="A2535" s="1" t="str">
        <f t="shared" si="123"/>
        <v>44909449118.8MASTER CCTRANSPORTCAREEM</v>
      </c>
      <c r="B2535" s="154">
        <v>44909</v>
      </c>
      <c r="C2535" s="154">
        <v>44911</v>
      </c>
      <c r="D2535" s="3" t="s">
        <v>3042</v>
      </c>
      <c r="E2535" s="3">
        <v>-8.8000000000000007</v>
      </c>
      <c r="F2535" s="3">
        <v>1</v>
      </c>
      <c r="G2535" s="3">
        <f t="shared" si="125"/>
        <v>8.8000000000000007</v>
      </c>
      <c r="H2535" s="3" t="s">
        <v>291</v>
      </c>
      <c r="I2535" s="1" t="s">
        <v>296</v>
      </c>
      <c r="J2535" s="1" t="s">
        <v>297</v>
      </c>
      <c r="K2535" s="1" t="s">
        <v>298</v>
      </c>
      <c r="L2535" s="1" t="s">
        <v>267</v>
      </c>
      <c r="M2535" s="1"/>
      <c r="N2535" s="1">
        <f t="shared" si="124"/>
        <v>12</v>
      </c>
      <c r="O2535" s="87"/>
    </row>
    <row r="2536" spans="1:15" ht="15.75" hidden="1" x14ac:dyDescent="0.25">
      <c r="A2536" s="1" t="str">
        <f t="shared" si="123"/>
        <v>44909449118.8MASTER CCTRANSPORTCAREEM</v>
      </c>
      <c r="B2536" s="154">
        <v>44909</v>
      </c>
      <c r="C2536" s="154">
        <v>44911</v>
      </c>
      <c r="D2536" s="3" t="s">
        <v>3043</v>
      </c>
      <c r="E2536" s="3">
        <v>-8.8000000000000007</v>
      </c>
      <c r="F2536" s="3">
        <v>1</v>
      </c>
      <c r="G2536" s="3">
        <f t="shared" si="125"/>
        <v>8.8000000000000007</v>
      </c>
      <c r="H2536" s="3" t="s">
        <v>291</v>
      </c>
      <c r="I2536" s="1" t="s">
        <v>296</v>
      </c>
      <c r="J2536" s="1" t="s">
        <v>297</v>
      </c>
      <c r="K2536" s="1" t="s">
        <v>298</v>
      </c>
      <c r="L2536" s="1" t="s">
        <v>267</v>
      </c>
      <c r="M2536" s="1"/>
      <c r="N2536" s="1">
        <f t="shared" si="124"/>
        <v>12</v>
      </c>
      <c r="O2536" s="87"/>
    </row>
    <row r="2537" spans="1:15" ht="15.75" hidden="1" x14ac:dyDescent="0.25">
      <c r="A2537" s="1" t="str">
        <f t="shared" si="123"/>
        <v>449094491135FIFA CCSHOPPINGMAXX</v>
      </c>
      <c r="B2537" s="154">
        <v>44909</v>
      </c>
      <c r="C2537" s="154">
        <v>44911</v>
      </c>
      <c r="D2537" s="3" t="s">
        <v>3154</v>
      </c>
      <c r="E2537" s="3">
        <v>-35</v>
      </c>
      <c r="F2537" s="3">
        <v>1</v>
      </c>
      <c r="G2537" s="3">
        <f t="shared" si="125"/>
        <v>35</v>
      </c>
      <c r="H2537" s="3" t="s">
        <v>3294</v>
      </c>
      <c r="I2537" s="1" t="s">
        <v>194</v>
      </c>
      <c r="J2537" s="1" t="s">
        <v>2903</v>
      </c>
      <c r="K2537" s="1" t="s">
        <v>298</v>
      </c>
      <c r="L2537" s="1" t="s">
        <v>267</v>
      </c>
      <c r="M2537" s="1"/>
      <c r="N2537" s="1">
        <f t="shared" si="124"/>
        <v>12</v>
      </c>
      <c r="O2537" s="87"/>
    </row>
    <row r="2538" spans="1:15" ht="15.75" hidden="1" x14ac:dyDescent="0.25">
      <c r="A2538" s="1" t="str">
        <f t="shared" si="123"/>
        <v>4490944911102FIFA CCTRANSPORTWOQOD</v>
      </c>
      <c r="B2538" s="154">
        <v>44909</v>
      </c>
      <c r="C2538" s="154">
        <v>44911</v>
      </c>
      <c r="D2538" s="3" t="s">
        <v>3155</v>
      </c>
      <c r="E2538" s="3">
        <v>-102</v>
      </c>
      <c r="F2538" s="3">
        <v>1</v>
      </c>
      <c r="G2538" s="3">
        <f t="shared" si="125"/>
        <v>102</v>
      </c>
      <c r="H2538" s="3" t="s">
        <v>3294</v>
      </c>
      <c r="I2538" s="1" t="s">
        <v>296</v>
      </c>
      <c r="J2538" s="1" t="s">
        <v>1942</v>
      </c>
      <c r="K2538" s="1" t="s">
        <v>298</v>
      </c>
      <c r="L2538" s="1" t="s">
        <v>267</v>
      </c>
      <c r="M2538" s="1"/>
      <c r="N2538" s="1">
        <f t="shared" si="124"/>
        <v>12</v>
      </c>
      <c r="O2538" s="87"/>
    </row>
    <row r="2539" spans="1:15" ht="15.75" hidden="1" x14ac:dyDescent="0.25">
      <c r="A2539" s="1" t="str">
        <f t="shared" si="123"/>
        <v>449094491120FIFA CCFOODCAFÉ/REST.</v>
      </c>
      <c r="B2539" s="154">
        <v>44909</v>
      </c>
      <c r="C2539" s="154">
        <v>44911</v>
      </c>
      <c r="D2539" s="3" t="s">
        <v>3156</v>
      </c>
      <c r="E2539" s="3">
        <v>-20</v>
      </c>
      <c r="F2539" s="3">
        <v>1</v>
      </c>
      <c r="G2539" s="3">
        <f t="shared" si="125"/>
        <v>20</v>
      </c>
      <c r="H2539" s="3" t="s">
        <v>3294</v>
      </c>
      <c r="I2539" s="1" t="s">
        <v>10</v>
      </c>
      <c r="J2539" s="1" t="s">
        <v>11</v>
      </c>
      <c r="K2539" s="1" t="s">
        <v>298</v>
      </c>
      <c r="L2539" s="1" t="s">
        <v>267</v>
      </c>
      <c r="M2539" s="1"/>
      <c r="N2539" s="1">
        <f t="shared" si="124"/>
        <v>12</v>
      </c>
      <c r="O2539" s="87"/>
    </row>
    <row r="2540" spans="1:15" ht="15.75" hidden="1" x14ac:dyDescent="0.25">
      <c r="A2540" s="1" t="str">
        <f t="shared" si="123"/>
        <v>449094491183FIFA CCSHOPPINGR&amp;B</v>
      </c>
      <c r="B2540" s="154">
        <v>44909</v>
      </c>
      <c r="C2540" s="154">
        <v>44911</v>
      </c>
      <c r="D2540" s="3" t="s">
        <v>3157</v>
      </c>
      <c r="E2540" s="3">
        <v>-83</v>
      </c>
      <c r="F2540" s="3">
        <v>1</v>
      </c>
      <c r="G2540" s="3">
        <f t="shared" si="125"/>
        <v>83</v>
      </c>
      <c r="H2540" s="3" t="s">
        <v>3294</v>
      </c>
      <c r="I2540" s="1" t="s">
        <v>194</v>
      </c>
      <c r="J2540" s="1" t="s">
        <v>195</v>
      </c>
      <c r="K2540" s="1" t="s">
        <v>298</v>
      </c>
      <c r="L2540" s="1" t="s">
        <v>267</v>
      </c>
      <c r="M2540" s="1"/>
      <c r="N2540" s="1">
        <f t="shared" si="124"/>
        <v>12</v>
      </c>
      <c r="O2540" s="87"/>
    </row>
    <row r="2541" spans="1:15" ht="15.75" hidden="1" x14ac:dyDescent="0.25">
      <c r="A2541" s="1" t="str">
        <f t="shared" si="123"/>
        <v>449094491147FIFA CCFOODCAFÉ/REST.</v>
      </c>
      <c r="B2541" s="154">
        <v>44909</v>
      </c>
      <c r="C2541" s="154">
        <v>44911</v>
      </c>
      <c r="D2541" s="3" t="s">
        <v>3158</v>
      </c>
      <c r="E2541" s="3">
        <v>-47</v>
      </c>
      <c r="F2541" s="3">
        <v>1</v>
      </c>
      <c r="G2541" s="3">
        <f t="shared" si="125"/>
        <v>47</v>
      </c>
      <c r="H2541" s="3" t="s">
        <v>3294</v>
      </c>
      <c r="I2541" s="1" t="s">
        <v>10</v>
      </c>
      <c r="J2541" s="1" t="s">
        <v>11</v>
      </c>
      <c r="K2541" s="1" t="s">
        <v>298</v>
      </c>
      <c r="L2541" s="1" t="s">
        <v>267</v>
      </c>
      <c r="M2541" s="1"/>
      <c r="N2541" s="1">
        <f t="shared" si="124"/>
        <v>12</v>
      </c>
      <c r="O2541" s="87"/>
    </row>
    <row r="2542" spans="1:15" ht="15.75" hidden="1" x14ac:dyDescent="0.25">
      <c r="A2542" s="1" t="str">
        <f t="shared" si="123"/>
        <v>44910449128.8MASTER CCTRANSPORTCAREEM</v>
      </c>
      <c r="B2542" s="154">
        <v>44910</v>
      </c>
      <c r="C2542" s="154">
        <v>44912</v>
      </c>
      <c r="D2542" s="3" t="s">
        <v>3041</v>
      </c>
      <c r="E2542" s="3">
        <v>-8.8000000000000007</v>
      </c>
      <c r="F2542" s="3">
        <v>1</v>
      </c>
      <c r="G2542" s="3">
        <f t="shared" si="125"/>
        <v>8.8000000000000007</v>
      </c>
      <c r="H2542" s="3" t="s">
        <v>291</v>
      </c>
      <c r="I2542" s="1" t="s">
        <v>296</v>
      </c>
      <c r="J2542" s="1" t="s">
        <v>297</v>
      </c>
      <c r="K2542" s="1" t="s">
        <v>298</v>
      </c>
      <c r="L2542" s="1" t="s">
        <v>267</v>
      </c>
      <c r="M2542" s="1"/>
      <c r="N2542" s="1">
        <f t="shared" si="124"/>
        <v>12</v>
      </c>
      <c r="O2542" s="87"/>
    </row>
    <row r="2543" spans="1:15" ht="15.75" hidden="1" x14ac:dyDescent="0.25">
      <c r="A2543" s="1" t="str">
        <f t="shared" si="123"/>
        <v>4491044912290.03FIFA CCGROCERYLULU</v>
      </c>
      <c r="B2543" s="154">
        <v>44910</v>
      </c>
      <c r="C2543" s="154">
        <v>44912</v>
      </c>
      <c r="D2543" s="3" t="s">
        <v>3153</v>
      </c>
      <c r="E2543" s="3">
        <v>-290.02999999999997</v>
      </c>
      <c r="F2543" s="3">
        <v>1</v>
      </c>
      <c r="G2543" s="3">
        <f t="shared" si="125"/>
        <v>290.02999999999997</v>
      </c>
      <c r="H2543" s="3" t="s">
        <v>3294</v>
      </c>
      <c r="I2543" s="1" t="s">
        <v>43</v>
      </c>
      <c r="J2543" s="1" t="s">
        <v>44</v>
      </c>
      <c r="K2543" s="1" t="s">
        <v>298</v>
      </c>
      <c r="L2543" s="1" t="s">
        <v>267</v>
      </c>
      <c r="M2543" s="1"/>
      <c r="N2543" s="1">
        <f t="shared" si="124"/>
        <v>12</v>
      </c>
      <c r="O2543" s="87"/>
    </row>
    <row r="2544" spans="1:15" ht="15.75" hidden="1" x14ac:dyDescent="0.25">
      <c r="A2544" s="1" t="str">
        <f t="shared" si="123"/>
        <v>449124491455FIFA CCENTERTAINMENTZOO</v>
      </c>
      <c r="B2544" s="154">
        <v>44912</v>
      </c>
      <c r="C2544" s="154">
        <v>44914</v>
      </c>
      <c r="D2544" s="3" t="s">
        <v>3150</v>
      </c>
      <c r="E2544" s="3">
        <v>-55</v>
      </c>
      <c r="F2544" s="3">
        <v>1</v>
      </c>
      <c r="G2544" s="3">
        <f t="shared" si="125"/>
        <v>55</v>
      </c>
      <c r="H2544" s="3" t="s">
        <v>3294</v>
      </c>
      <c r="I2544" s="1" t="s">
        <v>2476</v>
      </c>
      <c r="J2544" s="1" t="s">
        <v>3161</v>
      </c>
      <c r="K2544" s="1" t="s">
        <v>298</v>
      </c>
      <c r="L2544" s="1" t="s">
        <v>267</v>
      </c>
      <c r="M2544" s="1"/>
      <c r="N2544" s="1">
        <f t="shared" si="124"/>
        <v>12</v>
      </c>
      <c r="O2544" s="87"/>
    </row>
    <row r="2545" spans="1:15" ht="15.75" hidden="1" x14ac:dyDescent="0.25">
      <c r="A2545" s="1" t="str">
        <f t="shared" si="123"/>
        <v>449124491441FIFA CCFOODCAFÉ/REST.</v>
      </c>
      <c r="B2545" s="154">
        <v>44912</v>
      </c>
      <c r="C2545" s="154">
        <v>44914</v>
      </c>
      <c r="D2545" s="3" t="s">
        <v>3151</v>
      </c>
      <c r="E2545" s="3">
        <v>-41</v>
      </c>
      <c r="F2545" s="3">
        <v>1</v>
      </c>
      <c r="G2545" s="3">
        <f t="shared" si="125"/>
        <v>41</v>
      </c>
      <c r="H2545" s="3" t="s">
        <v>3294</v>
      </c>
      <c r="I2545" s="1" t="s">
        <v>10</v>
      </c>
      <c r="J2545" s="1" t="s">
        <v>11</v>
      </c>
      <c r="K2545" s="1" t="s">
        <v>298</v>
      </c>
      <c r="L2545" s="1" t="s">
        <v>267</v>
      </c>
      <c r="M2545" s="1"/>
      <c r="N2545" s="1">
        <f t="shared" si="124"/>
        <v>12</v>
      </c>
      <c r="O2545" s="87"/>
    </row>
    <row r="2546" spans="1:15" ht="15.75" hidden="1" x14ac:dyDescent="0.25">
      <c r="A2546" s="1" t="str">
        <f t="shared" si="123"/>
        <v>449124491389.04FIFA CCGROCERYFFC</v>
      </c>
      <c r="B2546" s="154">
        <v>44912</v>
      </c>
      <c r="C2546" s="154">
        <v>44913</v>
      </c>
      <c r="D2546" s="3" t="s">
        <v>3152</v>
      </c>
      <c r="E2546" s="3">
        <v>-89.04</v>
      </c>
      <c r="F2546" s="3">
        <v>1</v>
      </c>
      <c r="G2546" s="3">
        <f t="shared" si="125"/>
        <v>89.04</v>
      </c>
      <c r="H2546" s="3" t="s">
        <v>3294</v>
      </c>
      <c r="I2546" s="1" t="s">
        <v>43</v>
      </c>
      <c r="J2546" s="1" t="s">
        <v>96</v>
      </c>
      <c r="K2546" s="1" t="s">
        <v>298</v>
      </c>
      <c r="L2546" s="1" t="s">
        <v>267</v>
      </c>
      <c r="M2546" s="1"/>
      <c r="N2546" s="1">
        <f t="shared" si="124"/>
        <v>12</v>
      </c>
      <c r="O2546" s="87"/>
    </row>
    <row r="2547" spans="1:15" ht="15.75" hidden="1" x14ac:dyDescent="0.25">
      <c r="A2547" s="1" t="str">
        <f t="shared" si="123"/>
        <v>4491344915405MASTER CCTELECOMOOREDOO</v>
      </c>
      <c r="B2547" s="154">
        <v>44913</v>
      </c>
      <c r="C2547" s="154">
        <v>44915</v>
      </c>
      <c r="D2547" s="3" t="s">
        <v>3040</v>
      </c>
      <c r="E2547" s="3">
        <v>-405</v>
      </c>
      <c r="F2547" s="3">
        <v>1</v>
      </c>
      <c r="G2547" s="3">
        <f t="shared" si="125"/>
        <v>405</v>
      </c>
      <c r="H2547" s="3" t="s">
        <v>291</v>
      </c>
      <c r="I2547" s="1" t="s">
        <v>58</v>
      </c>
      <c r="J2547" s="1" t="s">
        <v>59</v>
      </c>
      <c r="K2547" s="1" t="s">
        <v>298</v>
      </c>
      <c r="L2547" s="1" t="s">
        <v>267</v>
      </c>
      <c r="M2547" s="1"/>
      <c r="N2547" s="1">
        <f t="shared" si="124"/>
        <v>12</v>
      </c>
      <c r="O2547" s="87"/>
    </row>
    <row r="2548" spans="1:15" ht="15.75" hidden="1" x14ac:dyDescent="0.25">
      <c r="A2548" s="1" t="str">
        <f t="shared" si="123"/>
        <v>449134491634FIFA CCFOODTALABAT</v>
      </c>
      <c r="B2548" s="154">
        <v>44913</v>
      </c>
      <c r="C2548" s="154">
        <v>44916</v>
      </c>
      <c r="D2548" s="3" t="s">
        <v>3147</v>
      </c>
      <c r="E2548" s="3">
        <v>-34</v>
      </c>
      <c r="F2548" s="3">
        <v>1</v>
      </c>
      <c r="G2548" s="3">
        <f t="shared" si="125"/>
        <v>34</v>
      </c>
      <c r="H2548" s="3" t="s">
        <v>3294</v>
      </c>
      <c r="I2548" s="1" t="s">
        <v>10</v>
      </c>
      <c r="J2548" s="1" t="s">
        <v>865</v>
      </c>
      <c r="K2548" s="1" t="s">
        <v>298</v>
      </c>
      <c r="L2548" s="1" t="s">
        <v>267</v>
      </c>
      <c r="M2548" s="1"/>
      <c r="N2548" s="1">
        <f t="shared" si="124"/>
        <v>12</v>
      </c>
      <c r="O2548" s="87"/>
    </row>
    <row r="2549" spans="1:15" ht="15.75" hidden="1" x14ac:dyDescent="0.25">
      <c r="A2549" s="1" t="str">
        <f t="shared" si="123"/>
        <v>449134491648FIFA CCFOODTALABAT</v>
      </c>
      <c r="B2549" s="154">
        <v>44913</v>
      </c>
      <c r="C2549" s="154">
        <v>44916</v>
      </c>
      <c r="D2549" s="3" t="s">
        <v>3148</v>
      </c>
      <c r="E2549" s="3">
        <v>-48</v>
      </c>
      <c r="F2549" s="3">
        <v>1</v>
      </c>
      <c r="G2549" s="3">
        <f t="shared" si="125"/>
        <v>48</v>
      </c>
      <c r="H2549" s="3" t="s">
        <v>3294</v>
      </c>
      <c r="I2549" s="1" t="s">
        <v>10</v>
      </c>
      <c r="J2549" s="1" t="s">
        <v>865</v>
      </c>
      <c r="K2549" s="1" t="s">
        <v>298</v>
      </c>
      <c r="L2549" s="1" t="s">
        <v>267</v>
      </c>
      <c r="M2549" s="1"/>
      <c r="N2549" s="1">
        <f t="shared" si="124"/>
        <v>12</v>
      </c>
      <c r="O2549" s="87"/>
    </row>
    <row r="2550" spans="1:15" ht="15.75" hidden="1" x14ac:dyDescent="0.25">
      <c r="A2550" s="1" t="str">
        <f t="shared" si="123"/>
        <v>44913449158FIFA CCMEDICALHEALTH CENTER</v>
      </c>
      <c r="B2550" s="154">
        <v>44913</v>
      </c>
      <c r="C2550" s="154">
        <v>44915</v>
      </c>
      <c r="D2550" s="3" t="s">
        <v>3149</v>
      </c>
      <c r="E2550" s="3">
        <v>-8</v>
      </c>
      <c r="F2550" s="3">
        <v>1</v>
      </c>
      <c r="G2550" s="3">
        <f t="shared" si="125"/>
        <v>8</v>
      </c>
      <c r="H2550" s="3" t="s">
        <v>3294</v>
      </c>
      <c r="I2550" s="1" t="s">
        <v>301</v>
      </c>
      <c r="J2550" s="1" t="s">
        <v>159</v>
      </c>
      <c r="K2550" s="1" t="s">
        <v>298</v>
      </c>
      <c r="L2550" s="1" t="s">
        <v>267</v>
      </c>
      <c r="M2550" s="1"/>
      <c r="N2550" s="1">
        <f t="shared" si="124"/>
        <v>12</v>
      </c>
      <c r="O2550" s="87"/>
    </row>
    <row r="2551" spans="1:15" ht="15.75" hidden="1" x14ac:dyDescent="0.25">
      <c r="A2551" s="1" t="str">
        <f t="shared" si="123"/>
        <v>4491444914500CURRENTWITHDRAWSELF</v>
      </c>
      <c r="B2551" s="154">
        <v>44914</v>
      </c>
      <c r="C2551" s="154">
        <v>44914</v>
      </c>
      <c r="D2551" s="3" t="s">
        <v>3015</v>
      </c>
      <c r="E2551" s="3">
        <v>500</v>
      </c>
      <c r="F2551" s="3">
        <v>1</v>
      </c>
      <c r="G2551" s="3">
        <f t="shared" si="125"/>
        <v>500</v>
      </c>
      <c r="H2551" s="3" t="s">
        <v>293</v>
      </c>
      <c r="I2551" s="1" t="s">
        <v>13</v>
      </c>
      <c r="J2551" s="1" t="s">
        <v>14</v>
      </c>
      <c r="K2551" s="1" t="s">
        <v>298</v>
      </c>
      <c r="L2551" s="1" t="s">
        <v>257</v>
      </c>
      <c r="M2551" s="1"/>
      <c r="N2551" s="1">
        <f t="shared" si="124"/>
        <v>12</v>
      </c>
      <c r="O2551" s="87"/>
    </row>
    <row r="2552" spans="1:15" ht="15.75" hidden="1" x14ac:dyDescent="0.25">
      <c r="A2552" s="1" t="str">
        <f t="shared" si="123"/>
        <v>449144491610FIFA CCFOODCAFÉ/REST.</v>
      </c>
      <c r="B2552" s="154">
        <v>44914</v>
      </c>
      <c r="C2552" s="154">
        <v>44916</v>
      </c>
      <c r="D2552" s="3" t="s">
        <v>3146</v>
      </c>
      <c r="E2552" s="3">
        <v>-10</v>
      </c>
      <c r="F2552" s="3">
        <v>1</v>
      </c>
      <c r="G2552" s="3">
        <f t="shared" si="125"/>
        <v>10</v>
      </c>
      <c r="H2552" s="3" t="s">
        <v>3294</v>
      </c>
      <c r="I2552" s="1" t="s">
        <v>10</v>
      </c>
      <c r="J2552" s="1" t="s">
        <v>11</v>
      </c>
      <c r="K2552" s="1" t="s">
        <v>298</v>
      </c>
      <c r="L2552" s="1" t="s">
        <v>267</v>
      </c>
      <c r="M2552" s="1"/>
      <c r="N2552" s="1">
        <f t="shared" si="124"/>
        <v>12</v>
      </c>
      <c r="O2552" s="87"/>
    </row>
    <row r="2553" spans="1:15" ht="15.75" hidden="1" x14ac:dyDescent="0.25">
      <c r="A2553" s="1" t="str">
        <f t="shared" si="123"/>
        <v>4491544917299.48MASTER CCRENTOOREDOO</v>
      </c>
      <c r="B2553" s="154">
        <v>44915</v>
      </c>
      <c r="C2553" s="154">
        <v>44917</v>
      </c>
      <c r="D2553" s="3" t="s">
        <v>3038</v>
      </c>
      <c r="E2553" s="3">
        <v>-299.48</v>
      </c>
      <c r="F2553" s="3">
        <v>1</v>
      </c>
      <c r="G2553" s="3">
        <f t="shared" si="125"/>
        <v>299.48</v>
      </c>
      <c r="H2553" s="3" t="s">
        <v>291</v>
      </c>
      <c r="I2553" s="1" t="s">
        <v>83</v>
      </c>
      <c r="J2553" s="1" t="s">
        <v>59</v>
      </c>
      <c r="K2553" s="1" t="s">
        <v>298</v>
      </c>
      <c r="L2553" s="1" t="s">
        <v>267</v>
      </c>
      <c r="M2553" s="1"/>
      <c r="N2553" s="1">
        <f t="shared" si="124"/>
        <v>12</v>
      </c>
      <c r="O2553" s="87"/>
    </row>
    <row r="2554" spans="1:15" ht="15.75" hidden="1" x14ac:dyDescent="0.25">
      <c r="A2554" s="1" t="str">
        <f t="shared" si="123"/>
        <v>44915449177.5MASTER CCTRANSPORTCAREEM</v>
      </c>
      <c r="B2554" s="154">
        <v>44915</v>
      </c>
      <c r="C2554" s="154">
        <v>44917</v>
      </c>
      <c r="D2554" s="3" t="s">
        <v>3039</v>
      </c>
      <c r="E2554" s="3">
        <v>-7.5</v>
      </c>
      <c r="F2554" s="3">
        <v>1</v>
      </c>
      <c r="G2554" s="3">
        <f t="shared" si="125"/>
        <v>7.5</v>
      </c>
      <c r="H2554" s="3" t="s">
        <v>291</v>
      </c>
      <c r="I2554" s="1" t="s">
        <v>296</v>
      </c>
      <c r="J2554" s="1" t="s">
        <v>297</v>
      </c>
      <c r="K2554" s="1" t="s">
        <v>298</v>
      </c>
      <c r="L2554" s="1" t="s">
        <v>267</v>
      </c>
      <c r="M2554" s="1"/>
      <c r="N2554" s="1">
        <f t="shared" si="124"/>
        <v>12</v>
      </c>
      <c r="O2554" s="87"/>
    </row>
    <row r="2555" spans="1:15" ht="15.75" hidden="1" x14ac:dyDescent="0.25">
      <c r="A2555" s="1" t="str">
        <f t="shared" si="123"/>
        <v>4491544917115.49FIFA CCGROCERYINDIAN SUPER</v>
      </c>
      <c r="B2555" s="154">
        <v>44915</v>
      </c>
      <c r="C2555" s="154">
        <v>44917</v>
      </c>
      <c r="D2555" s="3" t="s">
        <v>3143</v>
      </c>
      <c r="E2555" s="3">
        <v>-115.49</v>
      </c>
      <c r="F2555" s="3">
        <v>1</v>
      </c>
      <c r="G2555" s="3">
        <f t="shared" si="125"/>
        <v>115.49</v>
      </c>
      <c r="H2555" s="3" t="s">
        <v>3294</v>
      </c>
      <c r="I2555" s="1" t="s">
        <v>43</v>
      </c>
      <c r="J2555" s="1" t="s">
        <v>2273</v>
      </c>
      <c r="K2555" s="1" t="s">
        <v>298</v>
      </c>
      <c r="L2555" s="1" t="s">
        <v>267</v>
      </c>
      <c r="M2555" s="1"/>
      <c r="N2555" s="1">
        <f t="shared" si="124"/>
        <v>12</v>
      </c>
      <c r="O2555" s="87"/>
    </row>
    <row r="2556" spans="1:15" ht="15.75" hidden="1" x14ac:dyDescent="0.25">
      <c r="A2556" s="1" t="str">
        <f t="shared" si="123"/>
        <v>44915449176FIFA CCFOODCAFÉ/REST.</v>
      </c>
      <c r="B2556" s="154">
        <v>44915</v>
      </c>
      <c r="C2556" s="154">
        <v>44917</v>
      </c>
      <c r="D2556" s="3" t="s">
        <v>3144</v>
      </c>
      <c r="E2556" s="3">
        <v>-6</v>
      </c>
      <c r="F2556" s="3">
        <v>1</v>
      </c>
      <c r="G2556" s="3">
        <f t="shared" si="125"/>
        <v>6</v>
      </c>
      <c r="H2556" s="3" t="s">
        <v>3294</v>
      </c>
      <c r="I2556" s="1" t="s">
        <v>10</v>
      </c>
      <c r="J2556" s="1" t="s">
        <v>11</v>
      </c>
      <c r="K2556" s="1" t="s">
        <v>298</v>
      </c>
      <c r="L2556" s="1" t="s">
        <v>267</v>
      </c>
      <c r="M2556" s="1"/>
      <c r="N2556" s="1">
        <f t="shared" si="124"/>
        <v>12</v>
      </c>
      <c r="O2556" s="87"/>
    </row>
    <row r="2557" spans="1:15" ht="15.75" hidden="1" x14ac:dyDescent="0.25">
      <c r="A2557" s="1" t="str">
        <f t="shared" si="123"/>
        <v>449154491758FIFA CCFOODCAFÉ/REST.</v>
      </c>
      <c r="B2557" s="154">
        <v>44915</v>
      </c>
      <c r="C2557" s="154">
        <v>44917</v>
      </c>
      <c r="D2557" s="3" t="s">
        <v>3145</v>
      </c>
      <c r="E2557" s="3">
        <v>-58</v>
      </c>
      <c r="F2557" s="3">
        <v>1</v>
      </c>
      <c r="G2557" s="3">
        <f t="shared" si="125"/>
        <v>58</v>
      </c>
      <c r="H2557" s="3" t="s">
        <v>3294</v>
      </c>
      <c r="I2557" s="1" t="s">
        <v>10</v>
      </c>
      <c r="J2557" s="1" t="s">
        <v>11</v>
      </c>
      <c r="K2557" s="1" t="s">
        <v>298</v>
      </c>
      <c r="L2557" s="1" t="s">
        <v>267</v>
      </c>
      <c r="M2557" s="1"/>
      <c r="N2557" s="1">
        <f t="shared" si="124"/>
        <v>12</v>
      </c>
      <c r="O2557" s="87"/>
    </row>
    <row r="2558" spans="1:15" ht="15.75" hidden="1" x14ac:dyDescent="0.25">
      <c r="A2558" s="1" t="str">
        <f t="shared" si="123"/>
        <v>44916449187.5MASTER CCTRANSPORTCAREEM</v>
      </c>
      <c r="B2558" s="154">
        <v>44916</v>
      </c>
      <c r="C2558" s="154">
        <v>44918</v>
      </c>
      <c r="D2558" s="3" t="s">
        <v>3037</v>
      </c>
      <c r="E2558" s="3">
        <v>-7.5</v>
      </c>
      <c r="F2558" s="3">
        <v>1</v>
      </c>
      <c r="G2558" s="3">
        <f t="shared" si="125"/>
        <v>7.5</v>
      </c>
      <c r="H2558" s="3" t="s">
        <v>291</v>
      </c>
      <c r="I2558" s="1" t="s">
        <v>296</v>
      </c>
      <c r="J2558" s="1" t="s">
        <v>297</v>
      </c>
      <c r="K2558" s="1" t="s">
        <v>298</v>
      </c>
      <c r="L2558" s="1" t="s">
        <v>267</v>
      </c>
      <c r="M2558" s="1"/>
      <c r="N2558" s="1">
        <f t="shared" si="124"/>
        <v>12</v>
      </c>
      <c r="O2558" s="87"/>
    </row>
    <row r="2559" spans="1:15" ht="15.75" hidden="1" x14ac:dyDescent="0.25">
      <c r="A2559" s="1" t="str">
        <f t="shared" si="123"/>
        <v>44916449186FIFA CCFOODQATAR AIR</v>
      </c>
      <c r="B2559" s="154">
        <v>44916</v>
      </c>
      <c r="C2559" s="154">
        <v>44918</v>
      </c>
      <c r="D2559" s="3" t="s">
        <v>3140</v>
      </c>
      <c r="E2559" s="3">
        <v>-6</v>
      </c>
      <c r="F2559" s="3">
        <v>1</v>
      </c>
      <c r="G2559" s="3">
        <f t="shared" si="125"/>
        <v>6</v>
      </c>
      <c r="H2559" s="3" t="s">
        <v>3294</v>
      </c>
      <c r="I2559" s="1" t="s">
        <v>10</v>
      </c>
      <c r="J2559" s="1" t="s">
        <v>19</v>
      </c>
      <c r="K2559" s="1" t="s">
        <v>298</v>
      </c>
      <c r="L2559" s="1" t="s">
        <v>267</v>
      </c>
      <c r="M2559" s="1"/>
      <c r="N2559" s="1">
        <f t="shared" si="124"/>
        <v>12</v>
      </c>
      <c r="O2559" s="87"/>
    </row>
    <row r="2560" spans="1:15" ht="15.75" hidden="1" x14ac:dyDescent="0.25">
      <c r="A2560" s="1" t="str">
        <f t="shared" si="123"/>
        <v>449164491818FIFA CCFOODQATAR AIR</v>
      </c>
      <c r="B2560" s="154">
        <v>44916</v>
      </c>
      <c r="C2560" s="154">
        <v>44918</v>
      </c>
      <c r="D2560" s="3" t="s">
        <v>3141</v>
      </c>
      <c r="E2560" s="3">
        <v>-18</v>
      </c>
      <c r="F2560" s="3">
        <v>1</v>
      </c>
      <c r="G2560" s="3">
        <f t="shared" si="125"/>
        <v>18</v>
      </c>
      <c r="H2560" s="3" t="s">
        <v>3294</v>
      </c>
      <c r="I2560" s="1" t="s">
        <v>10</v>
      </c>
      <c r="J2560" s="1" t="s">
        <v>19</v>
      </c>
      <c r="K2560" s="1" t="s">
        <v>298</v>
      </c>
      <c r="L2560" s="1" t="s">
        <v>267</v>
      </c>
      <c r="M2560" s="1"/>
      <c r="N2560" s="1">
        <f t="shared" si="124"/>
        <v>12</v>
      </c>
      <c r="O2560" s="87"/>
    </row>
    <row r="2561" spans="1:15" ht="15.75" hidden="1" x14ac:dyDescent="0.25">
      <c r="A2561" s="1" t="str">
        <f t="shared" si="123"/>
        <v>44916449189FIFA CCFOODQATAR AIR</v>
      </c>
      <c r="B2561" s="154">
        <v>44916</v>
      </c>
      <c r="C2561" s="154">
        <v>44918</v>
      </c>
      <c r="D2561" s="3" t="s">
        <v>3142</v>
      </c>
      <c r="E2561" s="3">
        <v>-9</v>
      </c>
      <c r="F2561" s="3">
        <v>1</v>
      </c>
      <c r="G2561" s="3">
        <f t="shared" si="125"/>
        <v>9</v>
      </c>
      <c r="H2561" s="3" t="s">
        <v>3294</v>
      </c>
      <c r="I2561" s="1" t="s">
        <v>10</v>
      </c>
      <c r="J2561" s="1" t="s">
        <v>19</v>
      </c>
      <c r="K2561" s="1" t="s">
        <v>298</v>
      </c>
      <c r="L2561" s="1" t="s">
        <v>267</v>
      </c>
      <c r="M2561" s="1"/>
      <c r="N2561" s="1">
        <f t="shared" si="124"/>
        <v>12</v>
      </c>
      <c r="O2561" s="87"/>
    </row>
    <row r="2562" spans="1:15" ht="15.75" hidden="1" x14ac:dyDescent="0.25">
      <c r="A2562" s="1" t="str">
        <f t="shared" ref="A2562:A2625" si="127">B2562&amp;C2562&amp;G2562&amp;H2562&amp;I2562&amp;J2562</f>
        <v>44917449197.5MASTER CCTRANSPORTCAREEM</v>
      </c>
      <c r="B2562" s="154">
        <v>44917</v>
      </c>
      <c r="C2562" s="154">
        <v>44919</v>
      </c>
      <c r="D2562" s="3" t="s">
        <v>3036</v>
      </c>
      <c r="E2562" s="3">
        <v>-7.5</v>
      </c>
      <c r="F2562" s="3">
        <v>1</v>
      </c>
      <c r="G2562" s="3">
        <f t="shared" si="125"/>
        <v>7.5</v>
      </c>
      <c r="H2562" s="3" t="s">
        <v>291</v>
      </c>
      <c r="I2562" s="1" t="s">
        <v>296</v>
      </c>
      <c r="J2562" s="1" t="s">
        <v>297</v>
      </c>
      <c r="K2562" s="1" t="s">
        <v>298</v>
      </c>
      <c r="L2562" s="1" t="s">
        <v>267</v>
      </c>
      <c r="M2562" s="1"/>
      <c r="N2562" s="1">
        <f t="shared" ref="N2562:N2625" si="128">MONTH(C2562)</f>
        <v>12</v>
      </c>
      <c r="O2562" s="87"/>
    </row>
    <row r="2563" spans="1:15" ht="15.75" hidden="1" x14ac:dyDescent="0.25">
      <c r="A2563" s="1" t="str">
        <f t="shared" si="127"/>
        <v>449174491950FIFA CCMEDICALHEALTH CENTER</v>
      </c>
      <c r="B2563" s="154">
        <v>44917</v>
      </c>
      <c r="C2563" s="154">
        <v>44919</v>
      </c>
      <c r="D2563" s="3" t="s">
        <v>3138</v>
      </c>
      <c r="E2563" s="3">
        <v>-50</v>
      </c>
      <c r="F2563" s="3">
        <v>1</v>
      </c>
      <c r="G2563" s="3">
        <f t="shared" si="125"/>
        <v>50</v>
      </c>
      <c r="H2563" s="3" t="s">
        <v>3294</v>
      </c>
      <c r="I2563" s="1" t="s">
        <v>301</v>
      </c>
      <c r="J2563" s="1" t="s">
        <v>159</v>
      </c>
      <c r="K2563" s="1" t="s">
        <v>298</v>
      </c>
      <c r="L2563" s="1" t="s">
        <v>267</v>
      </c>
      <c r="M2563" s="1"/>
      <c r="N2563" s="1">
        <f t="shared" si="128"/>
        <v>12</v>
      </c>
      <c r="O2563" s="87"/>
    </row>
    <row r="2564" spans="1:15" ht="15.75" hidden="1" x14ac:dyDescent="0.25">
      <c r="A2564" s="1" t="str">
        <f t="shared" si="127"/>
        <v>449174491972.6FIFA CCSHOPPINGQDF</v>
      </c>
      <c r="B2564" s="154">
        <v>44917</v>
      </c>
      <c r="C2564" s="154">
        <v>44919</v>
      </c>
      <c r="D2564" s="3" t="s">
        <v>3139</v>
      </c>
      <c r="E2564" s="3">
        <v>-72.599999999999994</v>
      </c>
      <c r="F2564" s="3">
        <v>1</v>
      </c>
      <c r="G2564" s="3">
        <f t="shared" si="125"/>
        <v>72.599999999999994</v>
      </c>
      <c r="H2564" s="3" t="s">
        <v>3294</v>
      </c>
      <c r="I2564" s="1" t="s">
        <v>194</v>
      </c>
      <c r="J2564" s="1" t="s">
        <v>2900</v>
      </c>
      <c r="K2564" s="1" t="s">
        <v>298</v>
      </c>
      <c r="L2564" s="1" t="s">
        <v>267</v>
      </c>
      <c r="M2564" s="1"/>
      <c r="N2564" s="1">
        <f t="shared" si="128"/>
        <v>12</v>
      </c>
      <c r="O2564" s="87"/>
    </row>
    <row r="2565" spans="1:15" ht="15.75" hidden="1" x14ac:dyDescent="0.25">
      <c r="A2565" s="1" t="str">
        <f t="shared" si="127"/>
        <v>449184492199FIFA CCENTERTAINMENTNATIONAL MUS</v>
      </c>
      <c r="B2565" s="154">
        <v>44918</v>
      </c>
      <c r="C2565" s="154">
        <v>44921</v>
      </c>
      <c r="D2565" s="3" t="s">
        <v>3136</v>
      </c>
      <c r="E2565" s="3">
        <v>-99</v>
      </c>
      <c r="F2565" s="3">
        <v>1</v>
      </c>
      <c r="G2565" s="3">
        <f t="shared" si="125"/>
        <v>99</v>
      </c>
      <c r="H2565" s="3" t="s">
        <v>3294</v>
      </c>
      <c r="I2565" s="1" t="s">
        <v>2476</v>
      </c>
      <c r="J2565" s="1" t="s">
        <v>3162</v>
      </c>
      <c r="K2565" s="1" t="s">
        <v>298</v>
      </c>
      <c r="L2565" s="1" t="s">
        <v>267</v>
      </c>
      <c r="M2565" s="1"/>
      <c r="N2565" s="1">
        <f t="shared" si="128"/>
        <v>12</v>
      </c>
      <c r="O2565" s="87"/>
    </row>
    <row r="2566" spans="1:15" ht="15.75" hidden="1" x14ac:dyDescent="0.25">
      <c r="A2566" s="1" t="str">
        <f t="shared" si="127"/>
        <v>449184491930FIFA CCMEDICALPHARMACY</v>
      </c>
      <c r="B2566" s="154">
        <v>44918</v>
      </c>
      <c r="C2566" s="154">
        <v>44919</v>
      </c>
      <c r="D2566" s="3" t="s">
        <v>3137</v>
      </c>
      <c r="E2566" s="3">
        <v>-30</v>
      </c>
      <c r="F2566" s="3">
        <v>1</v>
      </c>
      <c r="G2566" s="3">
        <f t="shared" si="125"/>
        <v>30</v>
      </c>
      <c r="H2566" s="3" t="s">
        <v>3294</v>
      </c>
      <c r="I2566" s="1" t="s">
        <v>301</v>
      </c>
      <c r="J2566" s="1" t="s">
        <v>304</v>
      </c>
      <c r="K2566" s="1" t="s">
        <v>298</v>
      </c>
      <c r="L2566" s="1" t="s">
        <v>267</v>
      </c>
      <c r="M2566" s="1"/>
      <c r="N2566" s="1">
        <f t="shared" si="128"/>
        <v>12</v>
      </c>
      <c r="O2566" s="87"/>
    </row>
    <row r="2567" spans="1:15" ht="15.75" hidden="1" x14ac:dyDescent="0.25">
      <c r="A2567" s="1" t="str">
        <f t="shared" si="127"/>
        <v>449194492168FIFA CCFOODCAFÉ/REST.</v>
      </c>
      <c r="B2567" s="154">
        <v>44919</v>
      </c>
      <c r="C2567" s="154">
        <v>44921</v>
      </c>
      <c r="D2567" s="3" t="s">
        <v>3135</v>
      </c>
      <c r="E2567" s="3">
        <v>-68</v>
      </c>
      <c r="F2567" s="3">
        <v>1</v>
      </c>
      <c r="G2567" s="3">
        <f t="shared" si="125"/>
        <v>68</v>
      </c>
      <c r="H2567" s="3" t="s">
        <v>3294</v>
      </c>
      <c r="I2567" s="1" t="s">
        <v>10</v>
      </c>
      <c r="J2567" s="1" t="s">
        <v>11</v>
      </c>
      <c r="K2567" s="1" t="s">
        <v>298</v>
      </c>
      <c r="L2567" s="1" t="s">
        <v>267</v>
      </c>
      <c r="M2567" s="1"/>
      <c r="N2567" s="1">
        <f t="shared" si="128"/>
        <v>12</v>
      </c>
      <c r="O2567" s="87"/>
    </row>
    <row r="2568" spans="1:15" ht="15.75" hidden="1" x14ac:dyDescent="0.25">
      <c r="A2568" s="1" t="str">
        <f t="shared" si="127"/>
        <v>4492044922266.3FIFA CCGROCERYINDIAN SUPER</v>
      </c>
      <c r="B2568" s="154">
        <v>44920</v>
      </c>
      <c r="C2568" s="154">
        <v>44922</v>
      </c>
      <c r="D2568" s="3" t="s">
        <v>3133</v>
      </c>
      <c r="E2568" s="3">
        <v>-266.3</v>
      </c>
      <c r="F2568" s="3">
        <v>1</v>
      </c>
      <c r="G2568" s="3">
        <f t="shared" si="125"/>
        <v>266.3</v>
      </c>
      <c r="H2568" s="3" t="s">
        <v>3294</v>
      </c>
      <c r="I2568" s="1" t="s">
        <v>43</v>
      </c>
      <c r="J2568" s="1" t="s">
        <v>2273</v>
      </c>
      <c r="K2568" s="1" t="s">
        <v>298</v>
      </c>
      <c r="L2568" s="1" t="s">
        <v>267</v>
      </c>
      <c r="M2568" s="1"/>
      <c r="N2568" s="1">
        <f t="shared" si="128"/>
        <v>12</v>
      </c>
      <c r="O2568" s="87"/>
    </row>
    <row r="2569" spans="1:15" ht="15.75" hidden="1" x14ac:dyDescent="0.25">
      <c r="A2569" s="1" t="str">
        <f t="shared" si="127"/>
        <v>449204492224FIFA CCFOODQATAR AIR</v>
      </c>
      <c r="B2569" s="154">
        <v>44920</v>
      </c>
      <c r="C2569" s="154">
        <v>44922</v>
      </c>
      <c r="D2569" s="3" t="s">
        <v>3134</v>
      </c>
      <c r="E2569" s="3">
        <v>-24</v>
      </c>
      <c r="F2569" s="3">
        <v>1</v>
      </c>
      <c r="G2569" s="3">
        <f t="shared" si="125"/>
        <v>24</v>
      </c>
      <c r="H2569" s="3" t="s">
        <v>3294</v>
      </c>
      <c r="I2569" s="1" t="s">
        <v>10</v>
      </c>
      <c r="J2569" s="1" t="s">
        <v>19</v>
      </c>
      <c r="K2569" s="1" t="s">
        <v>298</v>
      </c>
      <c r="L2569" s="1" t="s">
        <v>267</v>
      </c>
      <c r="M2569" s="1"/>
      <c r="N2569" s="1">
        <f t="shared" si="128"/>
        <v>12</v>
      </c>
      <c r="O2569" s="87"/>
    </row>
    <row r="2570" spans="1:15" ht="15.75" hidden="1" x14ac:dyDescent="0.25">
      <c r="A2570" s="1" t="str">
        <f t="shared" si="127"/>
        <v>449214492322FIFA CCFOODQATAR AIR</v>
      </c>
      <c r="B2570" s="154">
        <v>44921</v>
      </c>
      <c r="C2570" s="154">
        <v>44923</v>
      </c>
      <c r="D2570" s="3" t="s">
        <v>3132</v>
      </c>
      <c r="E2570" s="3">
        <v>-22</v>
      </c>
      <c r="F2570" s="3">
        <v>1</v>
      </c>
      <c r="G2570" s="3">
        <f t="shared" si="125"/>
        <v>22</v>
      </c>
      <c r="H2570" s="3" t="s">
        <v>3294</v>
      </c>
      <c r="I2570" s="1" t="s">
        <v>10</v>
      </c>
      <c r="J2570" s="1" t="s">
        <v>19</v>
      </c>
      <c r="K2570" s="1" t="s">
        <v>298</v>
      </c>
      <c r="L2570" s="1" t="s">
        <v>267</v>
      </c>
      <c r="M2570" s="1"/>
      <c r="N2570" s="1">
        <f t="shared" si="128"/>
        <v>12</v>
      </c>
      <c r="O2570" s="87"/>
    </row>
    <row r="2571" spans="1:15" ht="15.75" hidden="1" x14ac:dyDescent="0.25">
      <c r="A2571" s="1" t="str">
        <f t="shared" si="127"/>
        <v>44922449247.5MASTER CCTRANSPORTCAREEM</v>
      </c>
      <c r="B2571" s="154">
        <v>44922</v>
      </c>
      <c r="C2571" s="154">
        <v>44924</v>
      </c>
      <c r="D2571" s="3" t="s">
        <v>3034</v>
      </c>
      <c r="E2571" s="3">
        <v>-7.5</v>
      </c>
      <c r="F2571" s="3">
        <v>1</v>
      </c>
      <c r="G2571" s="3">
        <f t="shared" ref="G2571:G2634" si="129">ABS(E2571)*F2571</f>
        <v>7.5</v>
      </c>
      <c r="H2571" s="3" t="s">
        <v>291</v>
      </c>
      <c r="I2571" s="1" t="s">
        <v>296</v>
      </c>
      <c r="J2571" s="1" t="s">
        <v>297</v>
      </c>
      <c r="K2571" s="1" t="s">
        <v>298</v>
      </c>
      <c r="L2571" s="1" t="s">
        <v>267</v>
      </c>
      <c r="M2571" s="1"/>
      <c r="N2571" s="1">
        <f t="shared" si="128"/>
        <v>12</v>
      </c>
      <c r="O2571" s="87"/>
    </row>
    <row r="2572" spans="1:15" ht="15.75" hidden="1" x14ac:dyDescent="0.25">
      <c r="A2572" s="1" t="str">
        <f t="shared" si="127"/>
        <v>44922449247.5MASTER CCTRANSPORTCAREEM</v>
      </c>
      <c r="B2572" s="154">
        <v>44922</v>
      </c>
      <c r="C2572" s="154">
        <v>44924</v>
      </c>
      <c r="D2572" s="3" t="s">
        <v>3035</v>
      </c>
      <c r="E2572" s="3">
        <v>-7.5</v>
      </c>
      <c r="F2572" s="3">
        <v>1</v>
      </c>
      <c r="G2572" s="3">
        <f t="shared" si="129"/>
        <v>7.5</v>
      </c>
      <c r="H2572" s="3" t="s">
        <v>291</v>
      </c>
      <c r="I2572" s="1" t="s">
        <v>296</v>
      </c>
      <c r="J2572" s="1" t="s">
        <v>297</v>
      </c>
      <c r="K2572" s="1" t="s">
        <v>298</v>
      </c>
      <c r="L2572" s="1" t="s">
        <v>267</v>
      </c>
      <c r="M2572" s="1"/>
      <c r="N2572" s="1">
        <f t="shared" si="128"/>
        <v>12</v>
      </c>
      <c r="O2572" s="87"/>
    </row>
    <row r="2573" spans="1:15" ht="15.75" hidden="1" x14ac:dyDescent="0.25">
      <c r="A2573" s="1" t="str">
        <f t="shared" si="127"/>
        <v>44922449242FIFA CCMEDICALHEALTH CENTER</v>
      </c>
      <c r="B2573" s="154">
        <v>44922</v>
      </c>
      <c r="C2573" s="154">
        <v>44924</v>
      </c>
      <c r="D2573" s="3" t="s">
        <v>3130</v>
      </c>
      <c r="E2573" s="3">
        <v>-2</v>
      </c>
      <c r="F2573" s="3">
        <v>1</v>
      </c>
      <c r="G2573" s="3">
        <f t="shared" si="129"/>
        <v>2</v>
      </c>
      <c r="H2573" s="3" t="s">
        <v>3294</v>
      </c>
      <c r="I2573" s="1" t="s">
        <v>301</v>
      </c>
      <c r="J2573" s="1" t="s">
        <v>159</v>
      </c>
      <c r="K2573" s="1" t="s">
        <v>298</v>
      </c>
      <c r="L2573" s="1" t="s">
        <v>267</v>
      </c>
      <c r="M2573" s="1"/>
      <c r="N2573" s="1">
        <f t="shared" si="128"/>
        <v>12</v>
      </c>
      <c r="O2573" s="87"/>
    </row>
    <row r="2574" spans="1:15" ht="15.75" hidden="1" x14ac:dyDescent="0.25">
      <c r="A2574" s="1" t="str">
        <f t="shared" si="127"/>
        <v>449224492415FIFA CCFOODQATAR AIR</v>
      </c>
      <c r="B2574" s="154">
        <v>44922</v>
      </c>
      <c r="C2574" s="154">
        <v>44924</v>
      </c>
      <c r="D2574" s="3" t="s">
        <v>3131</v>
      </c>
      <c r="E2574" s="3">
        <v>-15</v>
      </c>
      <c r="F2574" s="3">
        <v>1</v>
      </c>
      <c r="G2574" s="3">
        <f t="shared" si="129"/>
        <v>15</v>
      </c>
      <c r="H2574" s="3" t="s">
        <v>3294</v>
      </c>
      <c r="I2574" s="1" t="s">
        <v>10</v>
      </c>
      <c r="J2574" s="1" t="s">
        <v>19</v>
      </c>
      <c r="K2574" s="1" t="s">
        <v>298</v>
      </c>
      <c r="L2574" s="1" t="s">
        <v>267</v>
      </c>
      <c r="M2574" s="1"/>
      <c r="N2574" s="1">
        <f t="shared" si="128"/>
        <v>12</v>
      </c>
      <c r="O2574" s="87"/>
    </row>
    <row r="2575" spans="1:15" ht="15.75" hidden="1" x14ac:dyDescent="0.25">
      <c r="A2575" s="1" t="str">
        <f t="shared" si="127"/>
        <v>44923449233925.61CURRENTCC BILL PAYMENTBANK</v>
      </c>
      <c r="B2575" s="154">
        <v>44923</v>
      </c>
      <c r="C2575" s="154">
        <v>44923</v>
      </c>
      <c r="D2575" s="3" t="s">
        <v>3013</v>
      </c>
      <c r="E2575" s="3">
        <v>3925.61</v>
      </c>
      <c r="F2575" s="3">
        <v>1</v>
      </c>
      <c r="G2575" s="3">
        <f t="shared" si="129"/>
        <v>3925.61</v>
      </c>
      <c r="H2575" s="3" t="s">
        <v>293</v>
      </c>
      <c r="I2575" s="1" t="s">
        <v>81</v>
      </c>
      <c r="J2575" s="1" t="s">
        <v>8</v>
      </c>
      <c r="K2575" s="1" t="s">
        <v>298</v>
      </c>
      <c r="L2575" s="1" t="s">
        <v>257</v>
      </c>
      <c r="M2575" s="1"/>
      <c r="N2575" s="1">
        <f t="shared" si="128"/>
        <v>12</v>
      </c>
      <c r="O2575" s="87"/>
    </row>
    <row r="2576" spans="1:15" ht="15.75" hidden="1" x14ac:dyDescent="0.25">
      <c r="A2576" s="1" t="str">
        <f t="shared" si="127"/>
        <v>44923449234976CURRENTLOANBANK</v>
      </c>
      <c r="B2576" s="154">
        <v>44923</v>
      </c>
      <c r="C2576" s="154">
        <v>44923</v>
      </c>
      <c r="D2576" s="3" t="s">
        <v>2627</v>
      </c>
      <c r="E2576" s="3">
        <v>4976</v>
      </c>
      <c r="F2576" s="3">
        <v>1</v>
      </c>
      <c r="G2576" s="3">
        <f t="shared" si="129"/>
        <v>4976</v>
      </c>
      <c r="H2576" s="3" t="s">
        <v>293</v>
      </c>
      <c r="I2576" s="1" t="s">
        <v>3</v>
      </c>
      <c r="J2576" s="1" t="s">
        <v>8</v>
      </c>
      <c r="K2576" s="1" t="s">
        <v>298</v>
      </c>
      <c r="L2576" s="1" t="s">
        <v>257</v>
      </c>
      <c r="M2576" s="1">
        <v>1</v>
      </c>
      <c r="N2576" s="1">
        <f t="shared" si="128"/>
        <v>12</v>
      </c>
      <c r="O2576" s="87"/>
    </row>
    <row r="2577" spans="1:15" ht="15.75" hidden="1" x14ac:dyDescent="0.25">
      <c r="A2577" s="1" t="str">
        <f t="shared" si="127"/>
        <v>449234492320194CURRENTSALARYQATAR AIR</v>
      </c>
      <c r="B2577" s="154">
        <v>44923</v>
      </c>
      <c r="C2577" s="154">
        <v>44923</v>
      </c>
      <c r="D2577" s="3" t="s">
        <v>3014</v>
      </c>
      <c r="E2577" s="3">
        <v>20194</v>
      </c>
      <c r="F2577" s="3">
        <v>1</v>
      </c>
      <c r="G2577" s="3">
        <f t="shared" si="129"/>
        <v>20194</v>
      </c>
      <c r="H2577" s="3" t="s">
        <v>293</v>
      </c>
      <c r="I2577" s="1" t="s">
        <v>18</v>
      </c>
      <c r="J2577" s="1" t="s">
        <v>19</v>
      </c>
      <c r="K2577" s="1" t="s">
        <v>300</v>
      </c>
      <c r="L2577" s="1" t="s">
        <v>257</v>
      </c>
      <c r="M2577" s="1"/>
      <c r="N2577" s="1">
        <f t="shared" si="128"/>
        <v>12</v>
      </c>
      <c r="O2577" s="87"/>
    </row>
    <row r="2578" spans="1:15" ht="15.75" hidden="1" x14ac:dyDescent="0.25">
      <c r="A2578" s="1" t="str">
        <f t="shared" si="127"/>
        <v>44923449257.5MASTER CCTRANSPORTCAREEM</v>
      </c>
      <c r="B2578" s="154">
        <v>44923</v>
      </c>
      <c r="C2578" s="154">
        <v>44925</v>
      </c>
      <c r="D2578" s="3" t="s">
        <v>3033</v>
      </c>
      <c r="E2578" s="3">
        <v>-7.5</v>
      </c>
      <c r="F2578" s="3">
        <v>1</v>
      </c>
      <c r="G2578" s="3">
        <f t="shared" si="129"/>
        <v>7.5</v>
      </c>
      <c r="H2578" s="3" t="s">
        <v>291</v>
      </c>
      <c r="I2578" s="1" t="s">
        <v>296</v>
      </c>
      <c r="J2578" s="1" t="s">
        <v>297</v>
      </c>
      <c r="K2578" s="1" t="s">
        <v>298</v>
      </c>
      <c r="L2578" s="1" t="s">
        <v>267</v>
      </c>
      <c r="M2578" s="1"/>
      <c r="N2578" s="1">
        <f t="shared" si="128"/>
        <v>12</v>
      </c>
      <c r="O2578" s="87"/>
    </row>
    <row r="2579" spans="1:15" ht="15.75" hidden="1" x14ac:dyDescent="0.25">
      <c r="A2579" s="1" t="str">
        <f t="shared" si="127"/>
        <v>4492344925102FIFA CCTRANSPORTWOQOD</v>
      </c>
      <c r="B2579" s="154">
        <v>44923</v>
      </c>
      <c r="C2579" s="154">
        <v>44925</v>
      </c>
      <c r="D2579" s="3" t="s">
        <v>3128</v>
      </c>
      <c r="E2579" s="3">
        <v>-102</v>
      </c>
      <c r="F2579" s="3">
        <v>1</v>
      </c>
      <c r="G2579" s="3">
        <f t="shared" si="129"/>
        <v>102</v>
      </c>
      <c r="H2579" s="3" t="s">
        <v>3294</v>
      </c>
      <c r="I2579" s="1" t="s">
        <v>296</v>
      </c>
      <c r="J2579" s="1" t="s">
        <v>1942</v>
      </c>
      <c r="K2579" s="1" t="s">
        <v>298</v>
      </c>
      <c r="L2579" s="1" t="s">
        <v>267</v>
      </c>
      <c r="M2579" s="1"/>
      <c r="N2579" s="1">
        <f t="shared" si="128"/>
        <v>12</v>
      </c>
      <c r="O2579" s="87"/>
    </row>
    <row r="2580" spans="1:15" ht="15.75" hidden="1" x14ac:dyDescent="0.25">
      <c r="A2580" s="1" t="str">
        <f t="shared" si="127"/>
        <v>449234492522FIFA CCFOODQATAR AIR</v>
      </c>
      <c r="B2580" s="154">
        <v>44923</v>
      </c>
      <c r="C2580" s="154">
        <v>44925</v>
      </c>
      <c r="D2580" s="3" t="s">
        <v>3129</v>
      </c>
      <c r="E2580" s="3">
        <v>-22</v>
      </c>
      <c r="F2580" s="3">
        <v>1</v>
      </c>
      <c r="G2580" s="3">
        <f t="shared" si="129"/>
        <v>22</v>
      </c>
      <c r="H2580" s="3" t="s">
        <v>3294</v>
      </c>
      <c r="I2580" s="1" t="s">
        <v>10</v>
      </c>
      <c r="J2580" s="1" t="s">
        <v>19</v>
      </c>
      <c r="K2580" s="1" t="s">
        <v>298</v>
      </c>
      <c r="L2580" s="1" t="s">
        <v>267</v>
      </c>
      <c r="M2580" s="1"/>
      <c r="N2580" s="1">
        <f t="shared" si="128"/>
        <v>12</v>
      </c>
      <c r="O2580" s="87"/>
    </row>
    <row r="2581" spans="1:15" ht="15.75" hidden="1" x14ac:dyDescent="0.25">
      <c r="A2581" s="1" t="str">
        <f t="shared" si="127"/>
        <v>44923449233925.61DINERSCC BILL PAYMENTBANK</v>
      </c>
      <c r="B2581" s="154">
        <v>44923</v>
      </c>
      <c r="C2581" s="154">
        <v>44923</v>
      </c>
      <c r="D2581" s="3" t="s">
        <v>80</v>
      </c>
      <c r="E2581" s="3">
        <v>3925.61</v>
      </c>
      <c r="F2581" s="3">
        <v>1</v>
      </c>
      <c r="G2581" s="3">
        <f t="shared" si="129"/>
        <v>3925.61</v>
      </c>
      <c r="H2581" s="3" t="s">
        <v>266</v>
      </c>
      <c r="I2581" s="1" t="s">
        <v>81</v>
      </c>
      <c r="J2581" s="1" t="s">
        <v>8</v>
      </c>
      <c r="K2581" s="1" t="s">
        <v>300</v>
      </c>
      <c r="L2581" s="1" t="s">
        <v>267</v>
      </c>
      <c r="M2581" s="1"/>
      <c r="N2581" s="1">
        <f t="shared" si="128"/>
        <v>12</v>
      </c>
      <c r="O2581" s="87"/>
    </row>
    <row r="2582" spans="1:15" ht="15.75" hidden="1" x14ac:dyDescent="0.25">
      <c r="A2582" s="1" t="str">
        <f t="shared" si="127"/>
        <v>449244492650MASTER CCFOODTALABAT</v>
      </c>
      <c r="B2582" s="154">
        <v>44924</v>
      </c>
      <c r="C2582" s="154">
        <v>44926</v>
      </c>
      <c r="D2582" s="3" t="s">
        <v>3032</v>
      </c>
      <c r="E2582" s="3">
        <v>-50</v>
      </c>
      <c r="F2582" s="3">
        <v>1</v>
      </c>
      <c r="G2582" s="3">
        <f t="shared" si="129"/>
        <v>50</v>
      </c>
      <c r="H2582" s="3" t="s">
        <v>291</v>
      </c>
      <c r="I2582" s="1" t="s">
        <v>10</v>
      </c>
      <c r="J2582" s="1" t="s">
        <v>865</v>
      </c>
      <c r="K2582" s="1" t="s">
        <v>298</v>
      </c>
      <c r="L2582" s="1" t="s">
        <v>267</v>
      </c>
      <c r="M2582" s="1"/>
      <c r="N2582" s="1">
        <f t="shared" si="128"/>
        <v>12</v>
      </c>
      <c r="O2582" s="87"/>
    </row>
    <row r="2583" spans="1:15" ht="15.75" hidden="1" x14ac:dyDescent="0.25">
      <c r="A2583" s="1" t="str">
        <f t="shared" si="127"/>
        <v>4492544925152DINERSCC BILL PAYMENTBANK</v>
      </c>
      <c r="B2583" s="154">
        <v>44925</v>
      </c>
      <c r="C2583" s="154">
        <v>44925</v>
      </c>
      <c r="D2583" s="3" t="s">
        <v>80</v>
      </c>
      <c r="E2583" s="3">
        <v>152</v>
      </c>
      <c r="F2583" s="3">
        <v>1</v>
      </c>
      <c r="G2583" s="3">
        <f t="shared" si="129"/>
        <v>152</v>
      </c>
      <c r="H2583" s="3" t="s">
        <v>266</v>
      </c>
      <c r="I2583" s="1" t="s">
        <v>81</v>
      </c>
      <c r="J2583" s="1" t="s">
        <v>8</v>
      </c>
      <c r="K2583" s="1" t="s">
        <v>300</v>
      </c>
      <c r="L2583" s="1" t="s">
        <v>267</v>
      </c>
      <c r="M2583" s="1"/>
      <c r="N2583" s="1">
        <f t="shared" si="128"/>
        <v>12</v>
      </c>
      <c r="O2583" s="87"/>
    </row>
    <row r="2584" spans="1:15" ht="15.75" hidden="1" x14ac:dyDescent="0.25">
      <c r="A2584" s="1" t="str">
        <f t="shared" si="127"/>
        <v>449264492668CURRENTFOODCAFÉ/REST.</v>
      </c>
      <c r="B2584" s="154">
        <v>44926</v>
      </c>
      <c r="C2584" s="154">
        <v>44926</v>
      </c>
      <c r="D2584" s="3" t="s">
        <v>3006</v>
      </c>
      <c r="E2584" s="3">
        <v>68</v>
      </c>
      <c r="F2584" s="3">
        <v>1</v>
      </c>
      <c r="G2584" s="3">
        <f t="shared" si="129"/>
        <v>68</v>
      </c>
      <c r="H2584" s="3" t="s">
        <v>293</v>
      </c>
      <c r="I2584" s="1" t="s">
        <v>10</v>
      </c>
      <c r="J2584" s="1" t="s">
        <v>11</v>
      </c>
      <c r="K2584" s="1" t="s">
        <v>298</v>
      </c>
      <c r="L2584" s="1" t="s">
        <v>257</v>
      </c>
      <c r="M2584" s="1"/>
      <c r="N2584" s="1">
        <f t="shared" si="128"/>
        <v>12</v>
      </c>
      <c r="O2584" s="87"/>
    </row>
    <row r="2585" spans="1:15" ht="15.75" hidden="1" x14ac:dyDescent="0.25">
      <c r="A2585" s="1" t="str">
        <f t="shared" si="127"/>
        <v>4492644926152CURRENTCC BILL PAYMENTBANK</v>
      </c>
      <c r="B2585" s="154">
        <v>44926</v>
      </c>
      <c r="C2585" s="154">
        <v>44926</v>
      </c>
      <c r="D2585" s="3" t="s">
        <v>3007</v>
      </c>
      <c r="E2585" s="3">
        <v>152</v>
      </c>
      <c r="F2585" s="3">
        <v>1</v>
      </c>
      <c r="G2585" s="3">
        <f t="shared" si="129"/>
        <v>152</v>
      </c>
      <c r="H2585" s="3" t="s">
        <v>293</v>
      </c>
      <c r="I2585" s="1" t="s">
        <v>81</v>
      </c>
      <c r="J2585" s="1" t="s">
        <v>8</v>
      </c>
      <c r="K2585" s="1" t="s">
        <v>298</v>
      </c>
      <c r="L2585" s="1" t="s">
        <v>257</v>
      </c>
      <c r="M2585" s="1"/>
      <c r="N2585" s="1">
        <f t="shared" si="128"/>
        <v>12</v>
      </c>
      <c r="O2585" s="87"/>
    </row>
    <row r="2586" spans="1:15" ht="15.75" hidden="1" x14ac:dyDescent="0.25">
      <c r="A2586" s="1" t="str">
        <f t="shared" si="127"/>
        <v>44926449264.5CURRENTGROCERYINDIAN SUPER</v>
      </c>
      <c r="B2586" s="154">
        <v>44926</v>
      </c>
      <c r="C2586" s="154">
        <v>44926</v>
      </c>
      <c r="D2586" s="3" t="s">
        <v>3008</v>
      </c>
      <c r="E2586" s="3">
        <v>4.5</v>
      </c>
      <c r="F2586" s="3">
        <v>1</v>
      </c>
      <c r="G2586" s="3">
        <f t="shared" si="129"/>
        <v>4.5</v>
      </c>
      <c r="H2586" s="3" t="s">
        <v>293</v>
      </c>
      <c r="I2586" s="1" t="s">
        <v>43</v>
      </c>
      <c r="J2586" s="1" t="s">
        <v>2273</v>
      </c>
      <c r="K2586" s="1" t="s">
        <v>298</v>
      </c>
      <c r="L2586" s="1" t="s">
        <v>257</v>
      </c>
      <c r="M2586" s="1"/>
      <c r="N2586" s="1">
        <f t="shared" si="128"/>
        <v>12</v>
      </c>
      <c r="O2586" s="87"/>
    </row>
    <row r="2587" spans="1:15" ht="15.75" hidden="1" x14ac:dyDescent="0.25">
      <c r="A2587" s="1" t="str">
        <f t="shared" si="127"/>
        <v>449264492622.8CURRENTGROCERYINDIAN SUPER</v>
      </c>
      <c r="B2587" s="154">
        <v>44926</v>
      </c>
      <c r="C2587" s="154">
        <v>44926</v>
      </c>
      <c r="D2587" s="3" t="s">
        <v>3009</v>
      </c>
      <c r="E2587" s="3">
        <v>22.8</v>
      </c>
      <c r="F2587" s="3">
        <v>1</v>
      </c>
      <c r="G2587" s="3">
        <f t="shared" si="129"/>
        <v>22.8</v>
      </c>
      <c r="H2587" s="3" t="s">
        <v>293</v>
      </c>
      <c r="I2587" s="1" t="s">
        <v>43</v>
      </c>
      <c r="J2587" s="1" t="s">
        <v>2273</v>
      </c>
      <c r="K2587" s="1" t="s">
        <v>298</v>
      </c>
      <c r="L2587" s="1" t="s">
        <v>257</v>
      </c>
      <c r="M2587" s="1"/>
      <c r="N2587" s="1">
        <f t="shared" si="128"/>
        <v>12</v>
      </c>
      <c r="O2587" s="87"/>
    </row>
    <row r="2588" spans="1:15" ht="15.75" hidden="1" x14ac:dyDescent="0.25">
      <c r="A2588" s="1" t="str">
        <f t="shared" si="127"/>
        <v>4492644926126.18CURRENTGROCERYINDIAN SUPER</v>
      </c>
      <c r="B2588" s="154">
        <v>44926</v>
      </c>
      <c r="C2588" s="154">
        <v>44926</v>
      </c>
      <c r="D2588" s="3" t="s">
        <v>3010</v>
      </c>
      <c r="E2588" s="3">
        <v>126.18</v>
      </c>
      <c r="F2588" s="3">
        <v>1</v>
      </c>
      <c r="G2588" s="3">
        <f t="shared" si="129"/>
        <v>126.18</v>
      </c>
      <c r="H2588" s="3" t="s">
        <v>293</v>
      </c>
      <c r="I2588" s="1" t="s">
        <v>43</v>
      </c>
      <c r="J2588" s="1" t="s">
        <v>2273</v>
      </c>
      <c r="K2588" s="1" t="s">
        <v>298</v>
      </c>
      <c r="L2588" s="1" t="s">
        <v>257</v>
      </c>
      <c r="M2588" s="1"/>
      <c r="N2588" s="1">
        <f t="shared" si="128"/>
        <v>12</v>
      </c>
      <c r="O2588" s="87"/>
    </row>
    <row r="2589" spans="1:15" ht="15.75" hidden="1" x14ac:dyDescent="0.25">
      <c r="A2589" s="1" t="str">
        <f t="shared" si="127"/>
        <v>449264492633CURRENTFOODCAFÉ/REST.</v>
      </c>
      <c r="B2589" s="154">
        <v>44926</v>
      </c>
      <c r="C2589" s="154">
        <v>44926</v>
      </c>
      <c r="D2589" s="3" t="s">
        <v>3011</v>
      </c>
      <c r="E2589" s="3">
        <v>33</v>
      </c>
      <c r="F2589" s="3">
        <v>1</v>
      </c>
      <c r="G2589" s="3">
        <f t="shared" si="129"/>
        <v>33</v>
      </c>
      <c r="H2589" s="3" t="s">
        <v>293</v>
      </c>
      <c r="I2589" s="1" t="s">
        <v>10</v>
      </c>
      <c r="J2589" s="1" t="s">
        <v>11</v>
      </c>
      <c r="K2589" s="1" t="s">
        <v>298</v>
      </c>
      <c r="L2589" s="1" t="s">
        <v>257</v>
      </c>
      <c r="M2589" s="1"/>
      <c r="N2589" s="1">
        <f t="shared" si="128"/>
        <v>12</v>
      </c>
      <c r="O2589" s="87"/>
    </row>
    <row r="2590" spans="1:15" ht="15.75" hidden="1" x14ac:dyDescent="0.25">
      <c r="A2590" s="1" t="str">
        <f t="shared" si="127"/>
        <v>4492644926354CURRENTSHOPPINGIKEA</v>
      </c>
      <c r="B2590" s="154">
        <v>44926</v>
      </c>
      <c r="C2590" s="154">
        <v>44926</v>
      </c>
      <c r="D2590" s="3" t="s">
        <v>3012</v>
      </c>
      <c r="E2590" s="3">
        <v>354</v>
      </c>
      <c r="F2590" s="3">
        <v>1</v>
      </c>
      <c r="G2590" s="3">
        <f t="shared" si="129"/>
        <v>354</v>
      </c>
      <c r="H2590" s="3" t="s">
        <v>293</v>
      </c>
      <c r="I2590" s="1" t="s">
        <v>194</v>
      </c>
      <c r="J2590" s="1" t="s">
        <v>192</v>
      </c>
      <c r="K2590" s="1" t="s">
        <v>298</v>
      </c>
      <c r="L2590" s="1" t="s">
        <v>257</v>
      </c>
      <c r="M2590" s="1"/>
      <c r="N2590" s="1">
        <f t="shared" si="128"/>
        <v>12</v>
      </c>
      <c r="O2590" s="87"/>
    </row>
    <row r="2591" spans="1:15" ht="15.75" hidden="1" x14ac:dyDescent="0.25">
      <c r="A2591" s="1" t="str">
        <f t="shared" si="127"/>
        <v>449274492760CURRENTCC BILL PAYMENTBANK</v>
      </c>
      <c r="B2591" s="154">
        <v>44927</v>
      </c>
      <c r="C2591" s="154">
        <v>44927</v>
      </c>
      <c r="D2591" s="3" t="s">
        <v>3005</v>
      </c>
      <c r="E2591" s="3">
        <v>60</v>
      </c>
      <c r="F2591" s="3">
        <v>1</v>
      </c>
      <c r="G2591" s="3">
        <f t="shared" si="129"/>
        <v>60</v>
      </c>
      <c r="H2591" s="3" t="s">
        <v>293</v>
      </c>
      <c r="I2591" s="1" t="s">
        <v>81</v>
      </c>
      <c r="J2591" s="1" t="s">
        <v>8</v>
      </c>
      <c r="K2591" s="1" t="s">
        <v>298</v>
      </c>
      <c r="L2591" s="1" t="s">
        <v>257</v>
      </c>
      <c r="M2591" s="1"/>
      <c r="N2591" s="1">
        <f t="shared" si="128"/>
        <v>1</v>
      </c>
      <c r="O2591" s="87"/>
    </row>
    <row r="2592" spans="1:15" ht="15.75" hidden="1" x14ac:dyDescent="0.25">
      <c r="A2592" s="1" t="str">
        <f t="shared" si="127"/>
        <v>4492744927500CURRENTSAVINGARTI</v>
      </c>
      <c r="B2592" s="154">
        <v>44927</v>
      </c>
      <c r="C2592" s="154">
        <v>44927</v>
      </c>
      <c r="D2592" s="3" t="s">
        <v>2909</v>
      </c>
      <c r="E2592" s="3">
        <v>-500</v>
      </c>
      <c r="F2592" s="3">
        <v>1</v>
      </c>
      <c r="G2592" s="3">
        <f t="shared" si="129"/>
        <v>500</v>
      </c>
      <c r="H2592" s="3" t="s">
        <v>293</v>
      </c>
      <c r="I2592" s="1" t="s">
        <v>302</v>
      </c>
      <c r="J2592" s="1" t="s">
        <v>453</v>
      </c>
      <c r="K2592" s="1" t="s">
        <v>298</v>
      </c>
      <c r="L2592" s="1" t="s">
        <v>257</v>
      </c>
      <c r="M2592" s="1"/>
      <c r="N2592" s="1">
        <f t="shared" si="128"/>
        <v>1</v>
      </c>
      <c r="O2592" s="87"/>
    </row>
    <row r="2593" spans="1:15" ht="15.75" hidden="1" x14ac:dyDescent="0.25">
      <c r="A2593" s="1" t="str">
        <f t="shared" si="127"/>
        <v>449274492960MASTER CCTELECOMOOREDOO</v>
      </c>
      <c r="B2593" s="154">
        <v>44927</v>
      </c>
      <c r="C2593" s="154">
        <v>44929</v>
      </c>
      <c r="D2593" s="3" t="s">
        <v>3031</v>
      </c>
      <c r="E2593" s="3">
        <v>-60</v>
      </c>
      <c r="F2593" s="3">
        <v>1</v>
      </c>
      <c r="G2593" s="3">
        <f t="shared" si="129"/>
        <v>60</v>
      </c>
      <c r="H2593" s="3" t="s">
        <v>291</v>
      </c>
      <c r="I2593" s="1" t="s">
        <v>58</v>
      </c>
      <c r="J2593" s="1" t="s">
        <v>59</v>
      </c>
      <c r="K2593" s="1" t="s">
        <v>298</v>
      </c>
      <c r="L2593" s="1" t="s">
        <v>267</v>
      </c>
      <c r="M2593" s="1"/>
      <c r="N2593" s="1">
        <f t="shared" si="128"/>
        <v>1</v>
      </c>
      <c r="O2593" s="87"/>
    </row>
    <row r="2594" spans="1:15" ht="15.75" hidden="1" x14ac:dyDescent="0.25">
      <c r="A2594" s="1" t="str">
        <f t="shared" si="127"/>
        <v>449274492760MASTER CCCC BILL PAYMENTBANK</v>
      </c>
      <c r="B2594" s="154">
        <v>44927</v>
      </c>
      <c r="C2594" s="154">
        <v>44927</v>
      </c>
      <c r="D2594" s="3" t="s">
        <v>80</v>
      </c>
      <c r="E2594" s="3">
        <v>60</v>
      </c>
      <c r="F2594" s="3">
        <v>1</v>
      </c>
      <c r="G2594" s="3">
        <f t="shared" si="129"/>
        <v>60</v>
      </c>
      <c r="H2594" s="3" t="s">
        <v>291</v>
      </c>
      <c r="I2594" s="1" t="s">
        <v>81</v>
      </c>
      <c r="J2594" s="1" t="s">
        <v>8</v>
      </c>
      <c r="K2594" s="1" t="s">
        <v>300</v>
      </c>
      <c r="L2594" s="1" t="s">
        <v>267</v>
      </c>
      <c r="M2594" s="1"/>
      <c r="N2594" s="1">
        <f t="shared" si="128"/>
        <v>1</v>
      </c>
      <c r="O2594" s="87"/>
    </row>
    <row r="2595" spans="1:15" ht="15.75" hidden="1" x14ac:dyDescent="0.25">
      <c r="A2595" s="1" t="str">
        <f t="shared" si="127"/>
        <v>449274492927FIFA CCFOODQATAR AIR</v>
      </c>
      <c r="B2595" s="154">
        <v>44927</v>
      </c>
      <c r="C2595" s="154">
        <v>44929</v>
      </c>
      <c r="D2595" s="3" t="s">
        <v>3126</v>
      </c>
      <c r="E2595" s="3">
        <v>-27</v>
      </c>
      <c r="F2595" s="3">
        <v>1</v>
      </c>
      <c r="G2595" s="3">
        <f t="shared" si="129"/>
        <v>27</v>
      </c>
      <c r="H2595" s="3" t="s">
        <v>3294</v>
      </c>
      <c r="I2595" s="1" t="s">
        <v>10</v>
      </c>
      <c r="J2595" s="1" t="s">
        <v>19</v>
      </c>
      <c r="K2595" s="1" t="s">
        <v>298</v>
      </c>
      <c r="L2595" s="1" t="s">
        <v>267</v>
      </c>
      <c r="M2595" s="1"/>
      <c r="N2595" s="1">
        <f t="shared" si="128"/>
        <v>1</v>
      </c>
      <c r="O2595" s="87"/>
    </row>
    <row r="2596" spans="1:15" ht="15.75" hidden="1" x14ac:dyDescent="0.25">
      <c r="A2596" s="1" t="str">
        <f t="shared" si="127"/>
        <v>4492744927133FIFA CCRENTKAHRAMAA</v>
      </c>
      <c r="B2596" s="154">
        <v>44927</v>
      </c>
      <c r="C2596" s="154">
        <v>44927</v>
      </c>
      <c r="D2596" s="3" t="s">
        <v>3127</v>
      </c>
      <c r="E2596" s="3">
        <v>-133</v>
      </c>
      <c r="F2596" s="3">
        <v>1</v>
      </c>
      <c r="G2596" s="3">
        <f t="shared" si="129"/>
        <v>133</v>
      </c>
      <c r="H2596" s="3" t="s">
        <v>3294</v>
      </c>
      <c r="I2596" s="1" t="s">
        <v>83</v>
      </c>
      <c r="J2596" s="1" t="s">
        <v>4113</v>
      </c>
      <c r="K2596" s="1" t="s">
        <v>298</v>
      </c>
      <c r="L2596" s="1" t="s">
        <v>267</v>
      </c>
      <c r="M2596" s="1"/>
      <c r="N2596" s="1">
        <f t="shared" si="128"/>
        <v>1</v>
      </c>
      <c r="O2596" s="87"/>
    </row>
    <row r="2597" spans="1:15" ht="15.75" hidden="1" x14ac:dyDescent="0.25">
      <c r="A2597" s="1" t="str">
        <f t="shared" si="127"/>
        <v>44928449280CURRENTSAVINGSELF</v>
      </c>
      <c r="B2597" s="154">
        <v>44928</v>
      </c>
      <c r="C2597" s="154">
        <v>44928</v>
      </c>
      <c r="D2597" s="3" t="s">
        <v>3003</v>
      </c>
      <c r="E2597" s="3">
        <v>4000</v>
      </c>
      <c r="F2597" s="3">
        <v>0</v>
      </c>
      <c r="G2597" s="3">
        <f t="shared" si="129"/>
        <v>0</v>
      </c>
      <c r="H2597" s="3" t="s">
        <v>293</v>
      </c>
      <c r="I2597" s="1" t="s">
        <v>302</v>
      </c>
      <c r="J2597" s="1" t="s">
        <v>14</v>
      </c>
      <c r="K2597" s="1" t="s">
        <v>298</v>
      </c>
      <c r="L2597" s="1" t="s">
        <v>257</v>
      </c>
      <c r="M2597" s="1"/>
      <c r="N2597" s="1">
        <f t="shared" si="128"/>
        <v>1</v>
      </c>
      <c r="O2597" s="87"/>
    </row>
    <row r="2598" spans="1:15" ht="15.75" hidden="1" x14ac:dyDescent="0.25">
      <c r="A2598" s="1" t="str">
        <f t="shared" si="127"/>
        <v>44928449281950CURRENTEDUCATIONDAFFODILES</v>
      </c>
      <c r="B2598" s="154">
        <v>44928</v>
      </c>
      <c r="C2598" s="154">
        <v>44928</v>
      </c>
      <c r="D2598" s="3" t="s">
        <v>3004</v>
      </c>
      <c r="E2598" s="3">
        <v>1950</v>
      </c>
      <c r="F2598" s="3">
        <v>1</v>
      </c>
      <c r="G2598" s="3">
        <f t="shared" si="129"/>
        <v>1950</v>
      </c>
      <c r="H2598" s="3" t="s">
        <v>293</v>
      </c>
      <c r="I2598" s="1" t="s">
        <v>543</v>
      </c>
      <c r="J2598" s="1" t="s">
        <v>2271</v>
      </c>
      <c r="K2598" s="1" t="s">
        <v>298</v>
      </c>
      <c r="L2598" s="1" t="s">
        <v>257</v>
      </c>
      <c r="M2598" s="1"/>
      <c r="N2598" s="1">
        <f t="shared" si="128"/>
        <v>1</v>
      </c>
      <c r="O2598" s="87"/>
    </row>
    <row r="2599" spans="1:15" ht="15.75" hidden="1" x14ac:dyDescent="0.25">
      <c r="A2599" s="1" t="str">
        <f t="shared" si="127"/>
        <v>44928449307.5MASTER CCTRANSPORTCAREEM</v>
      </c>
      <c r="B2599" s="154">
        <v>44928</v>
      </c>
      <c r="C2599" s="154">
        <v>44930</v>
      </c>
      <c r="D2599" s="3" t="s">
        <v>3030</v>
      </c>
      <c r="E2599" s="3">
        <v>-7.5</v>
      </c>
      <c r="F2599" s="3">
        <v>1</v>
      </c>
      <c r="G2599" s="3">
        <f t="shared" si="129"/>
        <v>7.5</v>
      </c>
      <c r="H2599" s="3" t="s">
        <v>291</v>
      </c>
      <c r="I2599" s="1" t="s">
        <v>296</v>
      </c>
      <c r="J2599" s="1" t="s">
        <v>297</v>
      </c>
      <c r="K2599" s="1" t="s">
        <v>298</v>
      </c>
      <c r="L2599" s="1" t="s">
        <v>267</v>
      </c>
      <c r="M2599" s="1"/>
      <c r="N2599" s="1">
        <f t="shared" si="128"/>
        <v>1</v>
      </c>
      <c r="O2599" s="87"/>
    </row>
    <row r="2600" spans="1:15" ht="15.75" hidden="1" x14ac:dyDescent="0.25">
      <c r="A2600" s="1" t="str">
        <f t="shared" si="127"/>
        <v>449284493085.61FIFA CCGROCERYLULU</v>
      </c>
      <c r="B2600" s="154">
        <v>44928</v>
      </c>
      <c r="C2600" s="154">
        <v>44930</v>
      </c>
      <c r="D2600" s="3" t="s">
        <v>3124</v>
      </c>
      <c r="E2600" s="3">
        <v>-85.61</v>
      </c>
      <c r="F2600" s="3">
        <v>1</v>
      </c>
      <c r="G2600" s="3">
        <f t="shared" si="129"/>
        <v>85.61</v>
      </c>
      <c r="H2600" s="3" t="s">
        <v>3294</v>
      </c>
      <c r="I2600" s="1" t="s">
        <v>43</v>
      </c>
      <c r="J2600" s="1" t="s">
        <v>44</v>
      </c>
      <c r="K2600" s="1" t="s">
        <v>298</v>
      </c>
      <c r="L2600" s="1" t="s">
        <v>267</v>
      </c>
      <c r="M2600" s="1"/>
      <c r="N2600" s="1">
        <f t="shared" si="128"/>
        <v>1</v>
      </c>
      <c r="O2600" s="87"/>
    </row>
    <row r="2601" spans="1:15" ht="15.75" hidden="1" x14ac:dyDescent="0.25">
      <c r="A2601" s="1" t="str">
        <f t="shared" si="127"/>
        <v>449284493039FIFA CCMEDICALPHARMACY</v>
      </c>
      <c r="B2601" s="154">
        <v>44928</v>
      </c>
      <c r="C2601" s="154">
        <v>44930</v>
      </c>
      <c r="D2601" s="3" t="s">
        <v>3125</v>
      </c>
      <c r="E2601" s="3">
        <v>-39</v>
      </c>
      <c r="F2601" s="3">
        <v>1</v>
      </c>
      <c r="G2601" s="3">
        <f t="shared" si="129"/>
        <v>39</v>
      </c>
      <c r="H2601" s="3" t="s">
        <v>3294</v>
      </c>
      <c r="I2601" s="1" t="s">
        <v>301</v>
      </c>
      <c r="J2601" s="1" t="s">
        <v>304</v>
      </c>
      <c r="K2601" s="1" t="s">
        <v>298</v>
      </c>
      <c r="L2601" s="1" t="s">
        <v>267</v>
      </c>
      <c r="M2601" s="1"/>
      <c r="N2601" s="1">
        <f t="shared" si="128"/>
        <v>1</v>
      </c>
      <c r="O2601" s="87"/>
    </row>
    <row r="2602" spans="1:15" ht="15.75" hidden="1" x14ac:dyDescent="0.25">
      <c r="A2602" s="1" t="str">
        <f t="shared" si="127"/>
        <v>44929449317.5MASTER CCTRANSPORTCAREEM</v>
      </c>
      <c r="B2602" s="154">
        <v>44929</v>
      </c>
      <c r="C2602" s="154">
        <v>44931</v>
      </c>
      <c r="D2602" s="3" t="s">
        <v>3029</v>
      </c>
      <c r="E2602" s="3">
        <v>-7.5</v>
      </c>
      <c r="F2602" s="3">
        <v>1</v>
      </c>
      <c r="G2602" s="3">
        <f t="shared" si="129"/>
        <v>7.5</v>
      </c>
      <c r="H2602" s="3" t="s">
        <v>291</v>
      </c>
      <c r="I2602" s="1" t="s">
        <v>296</v>
      </c>
      <c r="J2602" s="1" t="s">
        <v>297</v>
      </c>
      <c r="K2602" s="1" t="s">
        <v>298</v>
      </c>
      <c r="L2602" s="1" t="s">
        <v>267</v>
      </c>
      <c r="M2602" s="1"/>
      <c r="N2602" s="1">
        <f t="shared" si="128"/>
        <v>1</v>
      </c>
      <c r="O2602" s="87"/>
    </row>
    <row r="2603" spans="1:15" ht="15.75" hidden="1" x14ac:dyDescent="0.25">
      <c r="A2603" s="1" t="str">
        <f t="shared" si="127"/>
        <v>449304493318FIFA CCFOODQATAR AIR</v>
      </c>
      <c r="B2603" s="154">
        <v>44930</v>
      </c>
      <c r="C2603" s="154">
        <v>44933</v>
      </c>
      <c r="D2603" s="3" t="s">
        <v>3123</v>
      </c>
      <c r="E2603" s="3">
        <v>-18</v>
      </c>
      <c r="F2603" s="3">
        <v>1</v>
      </c>
      <c r="G2603" s="3">
        <f t="shared" si="129"/>
        <v>18</v>
      </c>
      <c r="H2603" s="3" t="s">
        <v>3294</v>
      </c>
      <c r="I2603" s="1" t="s">
        <v>10</v>
      </c>
      <c r="J2603" s="1" t="s">
        <v>19</v>
      </c>
      <c r="K2603" s="1" t="s">
        <v>298</v>
      </c>
      <c r="L2603" s="1" t="s">
        <v>267</v>
      </c>
      <c r="M2603" s="1"/>
      <c r="N2603" s="1">
        <f t="shared" si="128"/>
        <v>1</v>
      </c>
      <c r="O2603" s="87"/>
    </row>
    <row r="2604" spans="1:15" ht="15.75" hidden="1" x14ac:dyDescent="0.25">
      <c r="A2604" s="1" t="str">
        <f t="shared" si="127"/>
        <v>44931449337.5MASTER CCTRANSPORTCAREEM</v>
      </c>
      <c r="B2604" s="154">
        <v>44931</v>
      </c>
      <c r="C2604" s="154">
        <v>44933</v>
      </c>
      <c r="D2604" s="3" t="s">
        <v>3028</v>
      </c>
      <c r="E2604" s="3">
        <v>-7.5</v>
      </c>
      <c r="F2604" s="3">
        <v>1</v>
      </c>
      <c r="G2604" s="3">
        <f t="shared" si="129"/>
        <v>7.5</v>
      </c>
      <c r="H2604" s="3" t="s">
        <v>291</v>
      </c>
      <c r="I2604" s="1" t="s">
        <v>296</v>
      </c>
      <c r="J2604" s="1" t="s">
        <v>297</v>
      </c>
      <c r="K2604" s="1" t="s">
        <v>298</v>
      </c>
      <c r="L2604" s="1" t="s">
        <v>267</v>
      </c>
      <c r="M2604" s="1"/>
      <c r="N2604" s="1">
        <f t="shared" si="128"/>
        <v>1</v>
      </c>
      <c r="O2604" s="87"/>
    </row>
    <row r="2605" spans="1:15" ht="15.75" hidden="1" x14ac:dyDescent="0.25">
      <c r="A2605" s="1" t="str">
        <f t="shared" si="127"/>
        <v>449314493642FIFA CCFOODQATAR AIR</v>
      </c>
      <c r="B2605" s="154">
        <v>44931</v>
      </c>
      <c r="C2605" s="154">
        <v>44936</v>
      </c>
      <c r="D2605" s="3" t="s">
        <v>3122</v>
      </c>
      <c r="E2605" s="3">
        <v>-42</v>
      </c>
      <c r="F2605" s="3">
        <v>1</v>
      </c>
      <c r="G2605" s="3">
        <f t="shared" si="129"/>
        <v>42</v>
      </c>
      <c r="H2605" s="3" t="s">
        <v>3294</v>
      </c>
      <c r="I2605" s="1" t="s">
        <v>10</v>
      </c>
      <c r="J2605" s="1" t="s">
        <v>19</v>
      </c>
      <c r="K2605" s="1" t="s">
        <v>298</v>
      </c>
      <c r="L2605" s="1" t="s">
        <v>267</v>
      </c>
      <c r="M2605" s="1"/>
      <c r="N2605" s="1">
        <f t="shared" si="128"/>
        <v>1</v>
      </c>
      <c r="O2605" s="87"/>
    </row>
    <row r="2606" spans="1:15" ht="15.75" hidden="1" x14ac:dyDescent="0.25">
      <c r="A2606" s="1" t="str">
        <f t="shared" si="127"/>
        <v>449324493645FIFA CCFOODCAFÉ/REST.</v>
      </c>
      <c r="B2606" s="154">
        <v>44932</v>
      </c>
      <c r="C2606" s="154">
        <v>44936</v>
      </c>
      <c r="D2606" s="3" t="s">
        <v>3119</v>
      </c>
      <c r="E2606" s="3">
        <v>-45</v>
      </c>
      <c r="F2606" s="3">
        <v>1</v>
      </c>
      <c r="G2606" s="3">
        <f t="shared" si="129"/>
        <v>45</v>
      </c>
      <c r="H2606" s="3" t="s">
        <v>3294</v>
      </c>
      <c r="I2606" s="1" t="s">
        <v>10</v>
      </c>
      <c r="J2606" s="1" t="s">
        <v>11</v>
      </c>
      <c r="K2606" s="1" t="s">
        <v>298</v>
      </c>
      <c r="L2606" s="1" t="s">
        <v>267</v>
      </c>
      <c r="M2606" s="1"/>
      <c r="N2606" s="1">
        <f t="shared" si="128"/>
        <v>1</v>
      </c>
      <c r="O2606" s="87"/>
    </row>
    <row r="2607" spans="1:15" ht="15.75" hidden="1" x14ac:dyDescent="0.25">
      <c r="A2607" s="1" t="str">
        <f t="shared" si="127"/>
        <v>449324493483FIFA CCFOODWISHBOX</v>
      </c>
      <c r="B2607" s="154">
        <v>44932</v>
      </c>
      <c r="C2607" s="154">
        <v>44934</v>
      </c>
      <c r="D2607" s="3" t="s">
        <v>3120</v>
      </c>
      <c r="E2607" s="3">
        <v>-83</v>
      </c>
      <c r="F2607" s="3">
        <v>1</v>
      </c>
      <c r="G2607" s="3">
        <f t="shared" si="129"/>
        <v>83</v>
      </c>
      <c r="H2607" s="3" t="s">
        <v>3294</v>
      </c>
      <c r="I2607" s="1" t="s">
        <v>10</v>
      </c>
      <c r="J2607" s="1" t="s">
        <v>1199</v>
      </c>
      <c r="K2607" s="1" t="s">
        <v>298</v>
      </c>
      <c r="L2607" s="1" t="s">
        <v>267</v>
      </c>
      <c r="M2607" s="1"/>
      <c r="N2607" s="1">
        <f t="shared" si="128"/>
        <v>1</v>
      </c>
      <c r="O2607" s="87"/>
    </row>
    <row r="2608" spans="1:15" ht="15.75" hidden="1" x14ac:dyDescent="0.25">
      <c r="A2608" s="1" t="str">
        <f t="shared" si="127"/>
        <v>449324493430FIFA CCENTERTAINMENTVILLAGIO</v>
      </c>
      <c r="B2608" s="154">
        <v>44932</v>
      </c>
      <c r="C2608" s="154">
        <v>44934</v>
      </c>
      <c r="D2608" s="3" t="s">
        <v>3121</v>
      </c>
      <c r="E2608" s="3">
        <v>-30</v>
      </c>
      <c r="F2608" s="3">
        <v>1</v>
      </c>
      <c r="G2608" s="3">
        <f t="shared" si="129"/>
        <v>30</v>
      </c>
      <c r="H2608" s="3" t="s">
        <v>3294</v>
      </c>
      <c r="I2608" s="1" t="s">
        <v>2476</v>
      </c>
      <c r="J2608" s="1" t="s">
        <v>3163</v>
      </c>
      <c r="K2608" s="1" t="s">
        <v>298</v>
      </c>
      <c r="L2608" s="1" t="s">
        <v>267</v>
      </c>
      <c r="M2608" s="1"/>
      <c r="N2608" s="1">
        <f t="shared" si="128"/>
        <v>1</v>
      </c>
      <c r="O2608" s="87"/>
    </row>
    <row r="2609" spans="1:15" ht="15.75" hidden="1" x14ac:dyDescent="0.25">
      <c r="A2609" s="1" t="str">
        <f t="shared" si="127"/>
        <v>449334493640MASTER CCFOODTALABAT</v>
      </c>
      <c r="B2609" s="154">
        <v>44933</v>
      </c>
      <c r="C2609" s="154">
        <v>44936</v>
      </c>
      <c r="D2609" s="3" t="s">
        <v>3027</v>
      </c>
      <c r="E2609" s="3">
        <v>-40</v>
      </c>
      <c r="F2609" s="3">
        <v>1</v>
      </c>
      <c r="G2609" s="3">
        <f t="shared" si="129"/>
        <v>40</v>
      </c>
      <c r="H2609" s="3" t="s">
        <v>291</v>
      </c>
      <c r="I2609" s="1" t="s">
        <v>10</v>
      </c>
      <c r="J2609" s="1" t="s">
        <v>865</v>
      </c>
      <c r="K2609" s="1" t="s">
        <v>298</v>
      </c>
      <c r="L2609" s="1" t="s">
        <v>267</v>
      </c>
      <c r="M2609" s="1"/>
      <c r="N2609" s="1">
        <f t="shared" si="128"/>
        <v>1</v>
      </c>
      <c r="O2609" s="87"/>
    </row>
    <row r="2610" spans="1:15" ht="15.75" hidden="1" x14ac:dyDescent="0.25">
      <c r="A2610" s="1" t="str">
        <f t="shared" si="127"/>
        <v>4493344935230.1FIFA CCGROCERYLULU</v>
      </c>
      <c r="B2610" s="154">
        <v>44933</v>
      </c>
      <c r="C2610" s="154">
        <v>44935</v>
      </c>
      <c r="D2610" s="3" t="s">
        <v>3118</v>
      </c>
      <c r="E2610" s="3">
        <v>-230.1</v>
      </c>
      <c r="F2610" s="3">
        <v>1</v>
      </c>
      <c r="G2610" s="3">
        <f t="shared" si="129"/>
        <v>230.1</v>
      </c>
      <c r="H2610" s="3" t="s">
        <v>3294</v>
      </c>
      <c r="I2610" s="1" t="s">
        <v>43</v>
      </c>
      <c r="J2610" s="1" t="s">
        <v>44</v>
      </c>
      <c r="K2610" s="1" t="s">
        <v>298</v>
      </c>
      <c r="L2610" s="1" t="s">
        <v>267</v>
      </c>
      <c r="M2610" s="1"/>
      <c r="N2610" s="1">
        <f t="shared" si="128"/>
        <v>1</v>
      </c>
      <c r="O2610" s="87"/>
    </row>
    <row r="2611" spans="1:15" ht="15.75" hidden="1" x14ac:dyDescent="0.25">
      <c r="A2611" s="1" t="str">
        <f t="shared" si="127"/>
        <v>44934449340.9CURRENTSERVICEBANK</v>
      </c>
      <c r="B2611" s="154">
        <v>44934</v>
      </c>
      <c r="C2611" s="154">
        <v>44934</v>
      </c>
      <c r="D2611" s="3" t="s">
        <v>3000</v>
      </c>
      <c r="E2611" s="3">
        <v>0.9</v>
      </c>
      <c r="F2611" s="3">
        <v>1</v>
      </c>
      <c r="G2611" s="3">
        <f t="shared" si="129"/>
        <v>0.9</v>
      </c>
      <c r="H2611" s="3" t="s">
        <v>293</v>
      </c>
      <c r="I2611" s="1" t="s">
        <v>7</v>
      </c>
      <c r="J2611" s="1" t="s">
        <v>8</v>
      </c>
      <c r="K2611" s="1" t="s">
        <v>298</v>
      </c>
      <c r="L2611" s="1" t="s">
        <v>257</v>
      </c>
      <c r="M2611" s="1"/>
      <c r="N2611" s="1">
        <f t="shared" si="128"/>
        <v>1</v>
      </c>
      <c r="O2611" s="87"/>
    </row>
    <row r="2612" spans="1:15" ht="15.75" hidden="1" x14ac:dyDescent="0.25">
      <c r="A2612" s="1" t="str">
        <f t="shared" si="127"/>
        <v>449344493415CURRENTSERVICEBANK</v>
      </c>
      <c r="B2612" s="154">
        <v>44934</v>
      </c>
      <c r="C2612" s="154">
        <v>44934</v>
      </c>
      <c r="D2612" s="3" t="s">
        <v>3001</v>
      </c>
      <c r="E2612" s="3">
        <v>15</v>
      </c>
      <c r="F2612" s="3">
        <v>1</v>
      </c>
      <c r="G2612" s="3">
        <f t="shared" si="129"/>
        <v>15</v>
      </c>
      <c r="H2612" s="3" t="s">
        <v>293</v>
      </c>
      <c r="I2612" s="1" t="s">
        <v>7</v>
      </c>
      <c r="J2612" s="1" t="s">
        <v>8</v>
      </c>
      <c r="K2612" s="1" t="s">
        <v>298</v>
      </c>
      <c r="L2612" s="1" t="s">
        <v>257</v>
      </c>
      <c r="M2612" s="1"/>
      <c r="N2612" s="1">
        <f t="shared" si="128"/>
        <v>1</v>
      </c>
      <c r="O2612" s="87"/>
    </row>
    <row r="2613" spans="1:15" ht="15.75" hidden="1" x14ac:dyDescent="0.25">
      <c r="A2613" s="1" t="str">
        <f t="shared" si="127"/>
        <v>4493444934895.2CURRENTTRANSFERINDIA</v>
      </c>
      <c r="B2613" s="154">
        <v>44934</v>
      </c>
      <c r="C2613" s="154">
        <v>44934</v>
      </c>
      <c r="D2613" s="3" t="s">
        <v>3002</v>
      </c>
      <c r="E2613" s="3">
        <v>895.2</v>
      </c>
      <c r="F2613" s="3">
        <v>1</v>
      </c>
      <c r="G2613" s="3">
        <f t="shared" si="129"/>
        <v>895.2</v>
      </c>
      <c r="H2613" s="3" t="s">
        <v>293</v>
      </c>
      <c r="I2613" s="1" t="s">
        <v>22</v>
      </c>
      <c r="J2613" s="1" t="s">
        <v>23</v>
      </c>
      <c r="K2613" s="1" t="s">
        <v>298</v>
      </c>
      <c r="L2613" s="1" t="s">
        <v>257</v>
      </c>
      <c r="M2613" s="1"/>
      <c r="N2613" s="1">
        <f t="shared" si="128"/>
        <v>1</v>
      </c>
      <c r="O2613" s="87"/>
    </row>
    <row r="2614" spans="1:15" ht="15.75" hidden="1" x14ac:dyDescent="0.25">
      <c r="A2614" s="1" t="str">
        <f t="shared" si="127"/>
        <v>44934449367.5MASTER CCTRANSPORTCAREEM</v>
      </c>
      <c r="B2614" s="154">
        <v>44934</v>
      </c>
      <c r="C2614" s="154">
        <v>44936</v>
      </c>
      <c r="D2614" s="3" t="s">
        <v>3026</v>
      </c>
      <c r="E2614" s="3">
        <v>-7.5</v>
      </c>
      <c r="F2614" s="3">
        <v>1</v>
      </c>
      <c r="G2614" s="3">
        <f t="shared" si="129"/>
        <v>7.5</v>
      </c>
      <c r="H2614" s="3" t="s">
        <v>291</v>
      </c>
      <c r="I2614" s="1" t="s">
        <v>296</v>
      </c>
      <c r="J2614" s="1" t="s">
        <v>297</v>
      </c>
      <c r="K2614" s="1" t="s">
        <v>298</v>
      </c>
      <c r="L2614" s="1" t="s">
        <v>267</v>
      </c>
      <c r="M2614" s="1"/>
      <c r="N2614" s="1">
        <f t="shared" si="128"/>
        <v>1</v>
      </c>
      <c r="O2614" s="87"/>
    </row>
    <row r="2615" spans="1:15" ht="15.75" hidden="1" x14ac:dyDescent="0.25">
      <c r="A2615" s="1" t="str">
        <f t="shared" si="127"/>
        <v>449344493691.4FIFA CCGROCERYINDIAN SUPER</v>
      </c>
      <c r="B2615" s="154">
        <v>44934</v>
      </c>
      <c r="C2615" s="154">
        <v>44936</v>
      </c>
      <c r="D2615" s="3" t="s">
        <v>3117</v>
      </c>
      <c r="E2615" s="3">
        <v>-91.4</v>
      </c>
      <c r="F2615" s="3">
        <v>1</v>
      </c>
      <c r="G2615" s="3">
        <f t="shared" si="129"/>
        <v>91.4</v>
      </c>
      <c r="H2615" s="3" t="s">
        <v>3294</v>
      </c>
      <c r="I2615" s="1" t="s">
        <v>43</v>
      </c>
      <c r="J2615" s="1" t="s">
        <v>2273</v>
      </c>
      <c r="K2615" s="1" t="s">
        <v>298</v>
      </c>
      <c r="L2615" s="1" t="s">
        <v>267</v>
      </c>
      <c r="M2615" s="1"/>
      <c r="N2615" s="1">
        <f t="shared" si="128"/>
        <v>1</v>
      </c>
      <c r="O2615" s="87"/>
    </row>
    <row r="2616" spans="1:15" ht="15.75" hidden="1" x14ac:dyDescent="0.25">
      <c r="A2616" s="1" t="str">
        <f t="shared" si="127"/>
        <v>44935449377.5MASTER CCTRANSPORTCAREEM</v>
      </c>
      <c r="B2616" s="154">
        <v>44935</v>
      </c>
      <c r="C2616" s="154">
        <v>44937</v>
      </c>
      <c r="D2616" s="3" t="s">
        <v>3025</v>
      </c>
      <c r="E2616" s="3">
        <v>-7.5</v>
      </c>
      <c r="F2616" s="3">
        <v>1</v>
      </c>
      <c r="G2616" s="3">
        <f t="shared" si="129"/>
        <v>7.5</v>
      </c>
      <c r="H2616" s="3" t="s">
        <v>291</v>
      </c>
      <c r="I2616" s="1" t="s">
        <v>296</v>
      </c>
      <c r="J2616" s="1" t="s">
        <v>297</v>
      </c>
      <c r="K2616" s="1" t="s">
        <v>298</v>
      </c>
      <c r="L2616" s="1" t="s">
        <v>267</v>
      </c>
      <c r="M2616" s="1"/>
      <c r="N2616" s="1">
        <f t="shared" si="128"/>
        <v>1</v>
      </c>
      <c r="O2616" s="87"/>
    </row>
    <row r="2617" spans="1:15" ht="15.75" hidden="1" x14ac:dyDescent="0.25">
      <c r="A2617" s="1" t="str">
        <f t="shared" si="127"/>
        <v>449354493632FIFA CCFOODCAFÉ/REST.</v>
      </c>
      <c r="B2617" s="154">
        <v>44935</v>
      </c>
      <c r="C2617" s="154">
        <v>44936</v>
      </c>
      <c r="D2617" s="3" t="s">
        <v>3116</v>
      </c>
      <c r="E2617" s="3">
        <v>-32</v>
      </c>
      <c r="F2617" s="3">
        <v>1</v>
      </c>
      <c r="G2617" s="3">
        <f t="shared" si="129"/>
        <v>32</v>
      </c>
      <c r="H2617" s="3" t="s">
        <v>3294</v>
      </c>
      <c r="I2617" s="1" t="s">
        <v>10</v>
      </c>
      <c r="J2617" s="1" t="s">
        <v>11</v>
      </c>
      <c r="K2617" s="1" t="s">
        <v>298</v>
      </c>
      <c r="L2617" s="1" t="s">
        <v>267</v>
      </c>
      <c r="M2617" s="1"/>
      <c r="N2617" s="1">
        <f t="shared" si="128"/>
        <v>1</v>
      </c>
      <c r="O2617" s="87"/>
    </row>
    <row r="2618" spans="1:15" ht="15.75" hidden="1" x14ac:dyDescent="0.25">
      <c r="A2618" s="1" t="str">
        <f t="shared" si="127"/>
        <v>44936449365000CURRENTRENTALBAKER</v>
      </c>
      <c r="B2618" s="154">
        <v>44936</v>
      </c>
      <c r="C2618" s="154">
        <v>44936</v>
      </c>
      <c r="D2618" s="3" t="s">
        <v>2999</v>
      </c>
      <c r="E2618" s="3">
        <v>5000</v>
      </c>
      <c r="F2618" s="3">
        <v>1</v>
      </c>
      <c r="G2618" s="3">
        <f t="shared" si="129"/>
        <v>5000</v>
      </c>
      <c r="H2618" s="3" t="s">
        <v>293</v>
      </c>
      <c r="I2618" s="1" t="s">
        <v>83</v>
      </c>
      <c r="J2618" s="1" t="s">
        <v>2701</v>
      </c>
      <c r="K2618" s="1" t="s">
        <v>298</v>
      </c>
      <c r="L2618" s="1" t="s">
        <v>257</v>
      </c>
      <c r="M2618" s="1"/>
      <c r="N2618" s="1">
        <f t="shared" si="128"/>
        <v>1</v>
      </c>
      <c r="O2618" s="87"/>
    </row>
    <row r="2619" spans="1:15" ht="15.75" hidden="1" x14ac:dyDescent="0.25">
      <c r="A2619" s="1" t="str">
        <f t="shared" si="127"/>
        <v>449364493862FIFA CCFOODCAFÉ/REST.</v>
      </c>
      <c r="B2619" s="154">
        <v>44936</v>
      </c>
      <c r="C2619" s="154">
        <v>44938</v>
      </c>
      <c r="D2619" s="3" t="s">
        <v>3111</v>
      </c>
      <c r="E2619" s="3">
        <v>-62</v>
      </c>
      <c r="F2619" s="3">
        <v>1</v>
      </c>
      <c r="G2619" s="3">
        <f t="shared" si="129"/>
        <v>62</v>
      </c>
      <c r="H2619" s="3" t="s">
        <v>3294</v>
      </c>
      <c r="I2619" s="1" t="s">
        <v>10</v>
      </c>
      <c r="J2619" s="1" t="s">
        <v>11</v>
      </c>
      <c r="K2619" s="1" t="s">
        <v>298</v>
      </c>
      <c r="L2619" s="1" t="s">
        <v>267</v>
      </c>
      <c r="M2619" s="1"/>
      <c r="N2619" s="1">
        <f t="shared" si="128"/>
        <v>1</v>
      </c>
      <c r="O2619" s="87"/>
    </row>
    <row r="2620" spans="1:15" ht="15.75" hidden="1" x14ac:dyDescent="0.25">
      <c r="A2620" s="1" t="str">
        <f t="shared" si="127"/>
        <v>449364493834FIFA CCLAUNDRYAL RAYES</v>
      </c>
      <c r="B2620" s="154">
        <v>44936</v>
      </c>
      <c r="C2620" s="154">
        <v>44938</v>
      </c>
      <c r="D2620" s="3" t="s">
        <v>3112</v>
      </c>
      <c r="E2620" s="3">
        <v>-34</v>
      </c>
      <c r="F2620" s="3">
        <v>1</v>
      </c>
      <c r="G2620" s="3">
        <f t="shared" si="129"/>
        <v>34</v>
      </c>
      <c r="H2620" s="3" t="s">
        <v>3294</v>
      </c>
      <c r="I2620" s="1" t="s">
        <v>3164</v>
      </c>
      <c r="J2620" s="1" t="s">
        <v>3165</v>
      </c>
      <c r="K2620" s="1" t="s">
        <v>298</v>
      </c>
      <c r="L2620" s="1" t="s">
        <v>267</v>
      </c>
      <c r="M2620" s="1"/>
      <c r="N2620" s="1">
        <f t="shared" si="128"/>
        <v>1</v>
      </c>
      <c r="O2620" s="87"/>
    </row>
    <row r="2621" spans="1:15" ht="15.75" hidden="1" x14ac:dyDescent="0.25">
      <c r="A2621" s="1" t="str">
        <f t="shared" si="127"/>
        <v>449364493810FIFA CCMEDICALNASEEM AL</v>
      </c>
      <c r="B2621" s="154">
        <v>44936</v>
      </c>
      <c r="C2621" s="154">
        <v>44938</v>
      </c>
      <c r="D2621" s="3" t="s">
        <v>3113</v>
      </c>
      <c r="E2621" s="3">
        <v>-10</v>
      </c>
      <c r="F2621" s="3">
        <v>1</v>
      </c>
      <c r="G2621" s="3">
        <f t="shared" si="129"/>
        <v>10</v>
      </c>
      <c r="H2621" s="3" t="s">
        <v>3294</v>
      </c>
      <c r="I2621" s="1" t="s">
        <v>301</v>
      </c>
      <c r="J2621" s="1" t="s">
        <v>1000</v>
      </c>
      <c r="K2621" s="1" t="s">
        <v>298</v>
      </c>
      <c r="L2621" s="1" t="s">
        <v>267</v>
      </c>
      <c r="M2621" s="1"/>
      <c r="N2621" s="1">
        <f t="shared" si="128"/>
        <v>1</v>
      </c>
      <c r="O2621" s="87"/>
    </row>
    <row r="2622" spans="1:15" ht="15.75" hidden="1" x14ac:dyDescent="0.25">
      <c r="A2622" s="1" t="str">
        <f t="shared" si="127"/>
        <v>449364493813.4FIFA CCTRANSPORTCAREEM</v>
      </c>
      <c r="B2622" s="154">
        <v>44936</v>
      </c>
      <c r="C2622" s="154">
        <v>44938</v>
      </c>
      <c r="D2622" s="3" t="s">
        <v>3114</v>
      </c>
      <c r="E2622" s="3">
        <v>-13.4</v>
      </c>
      <c r="F2622" s="3">
        <v>1</v>
      </c>
      <c r="G2622" s="3">
        <f t="shared" si="129"/>
        <v>13.4</v>
      </c>
      <c r="H2622" s="3" t="s">
        <v>3294</v>
      </c>
      <c r="I2622" s="1" t="s">
        <v>296</v>
      </c>
      <c r="J2622" s="1" t="s">
        <v>297</v>
      </c>
      <c r="K2622" s="1" t="s">
        <v>298</v>
      </c>
      <c r="L2622" s="1" t="s">
        <v>267</v>
      </c>
      <c r="M2622" s="1"/>
      <c r="N2622" s="1">
        <f t="shared" si="128"/>
        <v>1</v>
      </c>
      <c r="O2622" s="87"/>
    </row>
    <row r="2623" spans="1:15" ht="15.75" hidden="1" x14ac:dyDescent="0.25">
      <c r="A2623" s="1" t="str">
        <f t="shared" si="127"/>
        <v>449364493750FIFA CCMEDICALNASEEM AL</v>
      </c>
      <c r="B2623" s="154">
        <v>44936</v>
      </c>
      <c r="C2623" s="154">
        <v>44937</v>
      </c>
      <c r="D2623" s="3" t="s">
        <v>3115</v>
      </c>
      <c r="E2623" s="3">
        <v>-50</v>
      </c>
      <c r="F2623" s="3">
        <v>1</v>
      </c>
      <c r="G2623" s="3">
        <f t="shared" si="129"/>
        <v>50</v>
      </c>
      <c r="H2623" s="3" t="s">
        <v>3294</v>
      </c>
      <c r="I2623" s="1" t="s">
        <v>301</v>
      </c>
      <c r="J2623" s="1" t="s">
        <v>1000</v>
      </c>
      <c r="K2623" s="1" t="s">
        <v>298</v>
      </c>
      <c r="L2623" s="1" t="s">
        <v>267</v>
      </c>
      <c r="M2623" s="1"/>
      <c r="N2623" s="1">
        <f t="shared" si="128"/>
        <v>1</v>
      </c>
      <c r="O2623" s="87"/>
    </row>
    <row r="2624" spans="1:15" ht="15.75" hidden="1" x14ac:dyDescent="0.25">
      <c r="A2624" s="1" t="str">
        <f t="shared" si="127"/>
        <v>44937449397.5MASTER CCTRANSPORTCAREEM</v>
      </c>
      <c r="B2624" s="154">
        <v>44937</v>
      </c>
      <c r="C2624" s="154">
        <v>44939</v>
      </c>
      <c r="D2624" s="3" t="s">
        <v>3024</v>
      </c>
      <c r="E2624" s="3">
        <v>-7.5</v>
      </c>
      <c r="F2624" s="3">
        <v>1</v>
      </c>
      <c r="G2624" s="3">
        <f t="shared" si="129"/>
        <v>7.5</v>
      </c>
      <c r="H2624" s="3" t="s">
        <v>291</v>
      </c>
      <c r="I2624" s="1" t="s">
        <v>296</v>
      </c>
      <c r="J2624" s="1" t="s">
        <v>297</v>
      </c>
      <c r="K2624" s="1" t="s">
        <v>298</v>
      </c>
      <c r="L2624" s="1" t="s">
        <v>267</v>
      </c>
      <c r="M2624" s="1"/>
      <c r="N2624" s="1">
        <f t="shared" si="128"/>
        <v>1</v>
      </c>
      <c r="O2624" s="87"/>
    </row>
    <row r="2625" spans="1:15" ht="15.75" hidden="1" x14ac:dyDescent="0.25">
      <c r="A2625" s="1" t="str">
        <f t="shared" si="127"/>
        <v>449374493975.52FIFA CCGROCERYINDIAN SUPER</v>
      </c>
      <c r="B2625" s="154">
        <v>44937</v>
      </c>
      <c r="C2625" s="154">
        <v>44939</v>
      </c>
      <c r="D2625" s="3" t="s">
        <v>3110</v>
      </c>
      <c r="E2625" s="3">
        <v>-75.52</v>
      </c>
      <c r="F2625" s="3">
        <v>1</v>
      </c>
      <c r="G2625" s="3">
        <f t="shared" si="129"/>
        <v>75.52</v>
      </c>
      <c r="H2625" s="3" t="s">
        <v>3294</v>
      </c>
      <c r="I2625" s="1" t="s">
        <v>43</v>
      </c>
      <c r="J2625" s="1" t="s">
        <v>2273</v>
      </c>
      <c r="K2625" s="1" t="s">
        <v>298</v>
      </c>
      <c r="L2625" s="1" t="s">
        <v>267</v>
      </c>
      <c r="M2625" s="1"/>
      <c r="N2625" s="1">
        <f t="shared" si="128"/>
        <v>1</v>
      </c>
      <c r="O2625" s="87"/>
    </row>
    <row r="2626" spans="1:15" ht="15.75" hidden="1" x14ac:dyDescent="0.25">
      <c r="A2626" s="1" t="str">
        <f t="shared" ref="A2626:A2689" si="130">B2626&amp;C2626&amp;G2626&amp;H2626&amp;I2626&amp;J2626</f>
        <v>44938449407.5MASTER CCTRANSPORTCAREEM</v>
      </c>
      <c r="B2626" s="154">
        <v>44938</v>
      </c>
      <c r="C2626" s="154">
        <v>44940</v>
      </c>
      <c r="D2626" s="3" t="s">
        <v>3023</v>
      </c>
      <c r="E2626" s="3">
        <v>-7.5</v>
      </c>
      <c r="F2626" s="3">
        <v>1</v>
      </c>
      <c r="G2626" s="3">
        <f t="shared" si="129"/>
        <v>7.5</v>
      </c>
      <c r="H2626" s="3" t="s">
        <v>291</v>
      </c>
      <c r="I2626" s="1" t="s">
        <v>296</v>
      </c>
      <c r="J2626" s="1" t="s">
        <v>297</v>
      </c>
      <c r="K2626" s="1" t="s">
        <v>298</v>
      </c>
      <c r="L2626" s="1" t="s">
        <v>267</v>
      </c>
      <c r="M2626" s="1"/>
      <c r="N2626" s="1">
        <f t="shared" ref="N2626:N2689" si="131">MONTH(C2626)</f>
        <v>1</v>
      </c>
      <c r="O2626" s="87"/>
    </row>
    <row r="2627" spans="1:15" ht="15.75" hidden="1" x14ac:dyDescent="0.25">
      <c r="A2627" s="1" t="str">
        <f t="shared" si="130"/>
        <v>449394494156FIFA CCFOODCAFÉ/REST.</v>
      </c>
      <c r="B2627" s="154">
        <v>44939</v>
      </c>
      <c r="C2627" s="154">
        <v>44941</v>
      </c>
      <c r="D2627" s="3" t="s">
        <v>3104</v>
      </c>
      <c r="E2627" s="3">
        <v>-56</v>
      </c>
      <c r="F2627" s="3">
        <v>1</v>
      </c>
      <c r="G2627" s="3">
        <f t="shared" si="129"/>
        <v>56</v>
      </c>
      <c r="H2627" s="3" t="s">
        <v>3294</v>
      </c>
      <c r="I2627" s="1" t="s">
        <v>10</v>
      </c>
      <c r="J2627" s="1" t="s">
        <v>11</v>
      </c>
      <c r="K2627" s="1" t="s">
        <v>298</v>
      </c>
      <c r="L2627" s="1" t="s">
        <v>267</v>
      </c>
      <c r="M2627" s="1"/>
      <c r="N2627" s="1">
        <f t="shared" si="131"/>
        <v>1</v>
      </c>
      <c r="O2627" s="87"/>
    </row>
    <row r="2628" spans="1:15" ht="15.75" hidden="1" x14ac:dyDescent="0.25">
      <c r="A2628" s="1" t="str">
        <f t="shared" si="130"/>
        <v>449394494194.4FIFA CCSHOPPINGREDTAG</v>
      </c>
      <c r="B2628" s="154">
        <v>44939</v>
      </c>
      <c r="C2628" s="154">
        <v>44941</v>
      </c>
      <c r="D2628" s="3" t="s">
        <v>3105</v>
      </c>
      <c r="E2628" s="3">
        <v>-94.4</v>
      </c>
      <c r="F2628" s="3">
        <v>1</v>
      </c>
      <c r="G2628" s="3">
        <f t="shared" si="129"/>
        <v>94.4</v>
      </c>
      <c r="H2628" s="3" t="s">
        <v>3294</v>
      </c>
      <c r="I2628" s="1" t="s">
        <v>194</v>
      </c>
      <c r="J2628" s="1" t="s">
        <v>2704</v>
      </c>
      <c r="K2628" s="1" t="s">
        <v>298</v>
      </c>
      <c r="L2628" s="1" t="s">
        <v>267</v>
      </c>
      <c r="M2628" s="1"/>
      <c r="N2628" s="1">
        <f t="shared" si="131"/>
        <v>1</v>
      </c>
      <c r="O2628" s="87"/>
    </row>
    <row r="2629" spans="1:15" ht="15.75" hidden="1" x14ac:dyDescent="0.25">
      <c r="A2629" s="1" t="str">
        <f t="shared" si="130"/>
        <v>449394494156FIFA CCFOODWISHBOX</v>
      </c>
      <c r="B2629" s="154">
        <v>44939</v>
      </c>
      <c r="C2629" s="154">
        <v>44941</v>
      </c>
      <c r="D2629" s="3" t="s">
        <v>3106</v>
      </c>
      <c r="E2629" s="3">
        <v>-56</v>
      </c>
      <c r="F2629" s="3">
        <v>1</v>
      </c>
      <c r="G2629" s="3">
        <f t="shared" si="129"/>
        <v>56</v>
      </c>
      <c r="H2629" s="3" t="s">
        <v>3294</v>
      </c>
      <c r="I2629" s="1" t="s">
        <v>10</v>
      </c>
      <c r="J2629" s="1" t="s">
        <v>1199</v>
      </c>
      <c r="K2629" s="1" t="s">
        <v>298</v>
      </c>
      <c r="L2629" s="1" t="s">
        <v>267</v>
      </c>
      <c r="M2629" s="1"/>
      <c r="N2629" s="1">
        <f t="shared" si="131"/>
        <v>1</v>
      </c>
      <c r="O2629" s="87"/>
    </row>
    <row r="2630" spans="1:15" ht="15.75" hidden="1" x14ac:dyDescent="0.25">
      <c r="A2630" s="1" t="str">
        <f t="shared" si="130"/>
        <v>4493944941145FIFA CCGROCERYLULU</v>
      </c>
      <c r="B2630" s="154">
        <v>44939</v>
      </c>
      <c r="C2630" s="154">
        <v>44941</v>
      </c>
      <c r="D2630" s="3" t="s">
        <v>3107</v>
      </c>
      <c r="E2630" s="3">
        <v>-145</v>
      </c>
      <c r="F2630" s="3">
        <v>1</v>
      </c>
      <c r="G2630" s="3">
        <f t="shared" si="129"/>
        <v>145</v>
      </c>
      <c r="H2630" s="3" t="s">
        <v>3294</v>
      </c>
      <c r="I2630" s="1" t="s">
        <v>43</v>
      </c>
      <c r="J2630" s="1" t="s">
        <v>44</v>
      </c>
      <c r="K2630" s="1" t="s">
        <v>298</v>
      </c>
      <c r="L2630" s="1" t="s">
        <v>267</v>
      </c>
      <c r="M2630" s="1"/>
      <c r="N2630" s="1">
        <f t="shared" si="131"/>
        <v>1</v>
      </c>
      <c r="O2630" s="87"/>
    </row>
    <row r="2631" spans="1:15" ht="15.75" hidden="1" x14ac:dyDescent="0.25">
      <c r="A2631" s="1" t="str">
        <f t="shared" si="130"/>
        <v>4493944941413FIFA CCMEDICALPHARMACY</v>
      </c>
      <c r="B2631" s="154">
        <v>44939</v>
      </c>
      <c r="C2631" s="154">
        <v>44941</v>
      </c>
      <c r="D2631" s="3" t="s">
        <v>3108</v>
      </c>
      <c r="E2631" s="3">
        <v>-413</v>
      </c>
      <c r="F2631" s="3">
        <v>1</v>
      </c>
      <c r="G2631" s="3">
        <f t="shared" si="129"/>
        <v>413</v>
      </c>
      <c r="H2631" s="3" t="s">
        <v>3294</v>
      </c>
      <c r="I2631" s="1" t="s">
        <v>301</v>
      </c>
      <c r="J2631" s="1" t="s">
        <v>304</v>
      </c>
      <c r="K2631" s="1" t="s">
        <v>298</v>
      </c>
      <c r="L2631" s="1" t="s">
        <v>267</v>
      </c>
      <c r="M2631" s="1"/>
      <c r="N2631" s="1">
        <f t="shared" si="131"/>
        <v>1</v>
      </c>
      <c r="O2631" s="87"/>
    </row>
    <row r="2632" spans="1:15" ht="15.75" hidden="1" x14ac:dyDescent="0.25">
      <c r="A2632" s="1" t="str">
        <f t="shared" si="130"/>
        <v>4493944941182.93FIFA CCGROCERYLULU</v>
      </c>
      <c r="B2632" s="154">
        <v>44939</v>
      </c>
      <c r="C2632" s="154">
        <v>44941</v>
      </c>
      <c r="D2632" s="3" t="s">
        <v>3109</v>
      </c>
      <c r="E2632" s="3">
        <v>-182.93</v>
      </c>
      <c r="F2632" s="3">
        <v>1</v>
      </c>
      <c r="G2632" s="3">
        <f t="shared" si="129"/>
        <v>182.93</v>
      </c>
      <c r="H2632" s="3" t="s">
        <v>3294</v>
      </c>
      <c r="I2632" s="1" t="s">
        <v>43</v>
      </c>
      <c r="J2632" s="1" t="s">
        <v>44</v>
      </c>
      <c r="K2632" s="1" t="s">
        <v>298</v>
      </c>
      <c r="L2632" s="1" t="s">
        <v>267</v>
      </c>
      <c r="M2632" s="1"/>
      <c r="N2632" s="1">
        <f t="shared" si="131"/>
        <v>1</v>
      </c>
      <c r="O2632" s="87"/>
    </row>
    <row r="2633" spans="1:15" ht="15.75" hidden="1" x14ac:dyDescent="0.25">
      <c r="A2633" s="1" t="str">
        <f t="shared" si="130"/>
        <v>449404494232FIFA CCGROCERYLULU</v>
      </c>
      <c r="B2633" s="154">
        <v>44940</v>
      </c>
      <c r="C2633" s="154">
        <v>44942</v>
      </c>
      <c r="D2633" s="3" t="s">
        <v>3101</v>
      </c>
      <c r="E2633" s="3">
        <v>-32</v>
      </c>
      <c r="F2633" s="3">
        <v>1</v>
      </c>
      <c r="G2633" s="3">
        <f t="shared" si="129"/>
        <v>32</v>
      </c>
      <c r="H2633" s="3" t="s">
        <v>3294</v>
      </c>
      <c r="I2633" s="1" t="s">
        <v>43</v>
      </c>
      <c r="J2633" s="1" t="s">
        <v>44</v>
      </c>
      <c r="K2633" s="1" t="s">
        <v>298</v>
      </c>
      <c r="L2633" s="1" t="s">
        <v>267</v>
      </c>
      <c r="M2633" s="1"/>
      <c r="N2633" s="1">
        <f t="shared" si="131"/>
        <v>1</v>
      </c>
      <c r="O2633" s="87"/>
    </row>
    <row r="2634" spans="1:15" ht="15.75" hidden="1" x14ac:dyDescent="0.25">
      <c r="A2634" s="1" t="str">
        <f t="shared" si="130"/>
        <v>449404494260.5FIFA CCGROCERYLULU</v>
      </c>
      <c r="B2634" s="154">
        <v>44940</v>
      </c>
      <c r="C2634" s="154">
        <v>44942</v>
      </c>
      <c r="D2634" s="3" t="s">
        <v>3102</v>
      </c>
      <c r="E2634" s="3">
        <v>-60.5</v>
      </c>
      <c r="F2634" s="3">
        <v>1</v>
      </c>
      <c r="G2634" s="3">
        <f t="shared" si="129"/>
        <v>60.5</v>
      </c>
      <c r="H2634" s="3" t="s">
        <v>3294</v>
      </c>
      <c r="I2634" s="1" t="s">
        <v>43</v>
      </c>
      <c r="J2634" s="1" t="s">
        <v>44</v>
      </c>
      <c r="K2634" s="1" t="s">
        <v>298</v>
      </c>
      <c r="L2634" s="1" t="s">
        <v>267</v>
      </c>
      <c r="M2634" s="1"/>
      <c r="N2634" s="1">
        <f t="shared" si="131"/>
        <v>1</v>
      </c>
      <c r="O2634" s="87"/>
    </row>
    <row r="2635" spans="1:15" ht="15.75" hidden="1" x14ac:dyDescent="0.25">
      <c r="A2635" s="1" t="str">
        <f t="shared" si="130"/>
        <v>4494044942376.82FIFA CCEDUCATIONPMI</v>
      </c>
      <c r="B2635" s="154">
        <v>44940</v>
      </c>
      <c r="C2635" s="154">
        <v>44942</v>
      </c>
      <c r="D2635" s="3" t="s">
        <v>3103</v>
      </c>
      <c r="E2635" s="3">
        <v>-376.82</v>
      </c>
      <c r="F2635" s="3">
        <v>1</v>
      </c>
      <c r="G2635" s="3">
        <f t="shared" ref="G2635:G2698" si="132">ABS(E2635)*F2635</f>
        <v>376.82</v>
      </c>
      <c r="H2635" s="3" t="s">
        <v>3294</v>
      </c>
      <c r="I2635" s="1" t="s">
        <v>543</v>
      </c>
      <c r="J2635" s="1" t="s">
        <v>547</v>
      </c>
      <c r="K2635" s="1" t="s">
        <v>298</v>
      </c>
      <c r="L2635" s="1" t="s">
        <v>267</v>
      </c>
      <c r="M2635" s="1"/>
      <c r="N2635" s="1">
        <f t="shared" si="131"/>
        <v>1</v>
      </c>
      <c r="O2635" s="87"/>
    </row>
    <row r="2636" spans="1:15" ht="15.75" hidden="1" x14ac:dyDescent="0.25">
      <c r="A2636" s="1" t="str">
        <f t="shared" si="130"/>
        <v>44941449437.5MASTER CCTRANSPORTCAREEM</v>
      </c>
      <c r="B2636" s="154">
        <v>44941</v>
      </c>
      <c r="C2636" s="154">
        <v>44943</v>
      </c>
      <c r="D2636" s="3" t="s">
        <v>3022</v>
      </c>
      <c r="E2636" s="3">
        <v>-7.5</v>
      </c>
      <c r="F2636" s="3">
        <v>1</v>
      </c>
      <c r="G2636" s="3">
        <f t="shared" si="132"/>
        <v>7.5</v>
      </c>
      <c r="H2636" s="3" t="s">
        <v>291</v>
      </c>
      <c r="I2636" s="1" t="s">
        <v>296</v>
      </c>
      <c r="J2636" s="1" t="s">
        <v>297</v>
      </c>
      <c r="K2636" s="1" t="s">
        <v>298</v>
      </c>
      <c r="L2636" s="1" t="s">
        <v>267</v>
      </c>
      <c r="M2636" s="1"/>
      <c r="N2636" s="1">
        <f t="shared" si="131"/>
        <v>1</v>
      </c>
      <c r="O2636" s="87"/>
    </row>
    <row r="2637" spans="1:15" ht="15.75" hidden="1" x14ac:dyDescent="0.25">
      <c r="A2637" s="1" t="str">
        <f t="shared" si="130"/>
        <v>449414494315FIFA CCTRANSPORTMR VALET</v>
      </c>
      <c r="B2637" s="154">
        <v>44941</v>
      </c>
      <c r="C2637" s="154">
        <v>44943</v>
      </c>
      <c r="D2637" s="3" t="s">
        <v>3100</v>
      </c>
      <c r="E2637" s="3">
        <v>-15</v>
      </c>
      <c r="F2637" s="3">
        <v>1</v>
      </c>
      <c r="G2637" s="3">
        <f t="shared" si="132"/>
        <v>15</v>
      </c>
      <c r="H2637" s="3" t="s">
        <v>3294</v>
      </c>
      <c r="I2637" s="1" t="s">
        <v>296</v>
      </c>
      <c r="J2637" s="1" t="s">
        <v>2703</v>
      </c>
      <c r="K2637" s="1" t="s">
        <v>298</v>
      </c>
      <c r="L2637" s="1" t="s">
        <v>267</v>
      </c>
      <c r="M2637" s="1"/>
      <c r="N2637" s="1">
        <f t="shared" si="131"/>
        <v>1</v>
      </c>
      <c r="O2637" s="87"/>
    </row>
    <row r="2638" spans="1:15" ht="15.75" hidden="1" x14ac:dyDescent="0.25">
      <c r="A2638" s="1" t="str">
        <f t="shared" si="130"/>
        <v>44942449447.5MASTER CCTRANSPORTCAREEM</v>
      </c>
      <c r="B2638" s="154">
        <v>44942</v>
      </c>
      <c r="C2638" s="154">
        <v>44944</v>
      </c>
      <c r="D2638" s="3" t="s">
        <v>3021</v>
      </c>
      <c r="E2638" s="3">
        <v>-7.5</v>
      </c>
      <c r="F2638" s="3">
        <v>1</v>
      </c>
      <c r="G2638" s="3">
        <f t="shared" si="132"/>
        <v>7.5</v>
      </c>
      <c r="H2638" s="3" t="s">
        <v>291</v>
      </c>
      <c r="I2638" s="1" t="s">
        <v>296</v>
      </c>
      <c r="J2638" s="1" t="s">
        <v>297</v>
      </c>
      <c r="K2638" s="1" t="s">
        <v>298</v>
      </c>
      <c r="L2638" s="1" t="s">
        <v>267</v>
      </c>
      <c r="M2638" s="1"/>
      <c r="N2638" s="1">
        <f t="shared" si="131"/>
        <v>1</v>
      </c>
      <c r="O2638" s="87"/>
    </row>
    <row r="2639" spans="1:15" ht="15.75" hidden="1" x14ac:dyDescent="0.25">
      <c r="A2639" s="1" t="str">
        <f t="shared" si="130"/>
        <v>449424494479.8FIFA CCSHOPPINGQDF</v>
      </c>
      <c r="B2639" s="154">
        <v>44942</v>
      </c>
      <c r="C2639" s="154">
        <v>44944</v>
      </c>
      <c r="D2639" s="3" t="s">
        <v>3097</v>
      </c>
      <c r="E2639" s="3">
        <v>-79.8</v>
      </c>
      <c r="F2639" s="3">
        <v>1</v>
      </c>
      <c r="G2639" s="3">
        <f t="shared" si="132"/>
        <v>79.8</v>
      </c>
      <c r="H2639" s="3" t="s">
        <v>3294</v>
      </c>
      <c r="I2639" s="1" t="s">
        <v>194</v>
      </c>
      <c r="J2639" s="1" t="s">
        <v>2900</v>
      </c>
      <c r="K2639" s="1" t="s">
        <v>298</v>
      </c>
      <c r="L2639" s="1" t="s">
        <v>267</v>
      </c>
      <c r="M2639" s="1"/>
      <c r="N2639" s="1">
        <f t="shared" si="131"/>
        <v>1</v>
      </c>
      <c r="O2639" s="87"/>
    </row>
    <row r="2640" spans="1:15" ht="15.75" hidden="1" x14ac:dyDescent="0.25">
      <c r="A2640" s="1" t="str">
        <f t="shared" si="130"/>
        <v>44942449444FIFA CCMEDICALHEALTH CENTER</v>
      </c>
      <c r="B2640" s="154">
        <v>44942</v>
      </c>
      <c r="C2640" s="154">
        <v>44944</v>
      </c>
      <c r="D2640" s="3" t="s">
        <v>3098</v>
      </c>
      <c r="E2640" s="3">
        <v>-4</v>
      </c>
      <c r="F2640" s="3">
        <v>1</v>
      </c>
      <c r="G2640" s="3">
        <f t="shared" si="132"/>
        <v>4</v>
      </c>
      <c r="H2640" s="3" t="s">
        <v>3294</v>
      </c>
      <c r="I2640" s="1" t="s">
        <v>301</v>
      </c>
      <c r="J2640" s="1" t="s">
        <v>159</v>
      </c>
      <c r="K2640" s="1" t="s">
        <v>298</v>
      </c>
      <c r="L2640" s="1" t="s">
        <v>267</v>
      </c>
      <c r="M2640" s="1"/>
      <c r="N2640" s="1">
        <f t="shared" si="131"/>
        <v>1</v>
      </c>
      <c r="O2640" s="87"/>
    </row>
    <row r="2641" spans="1:15" ht="15.75" hidden="1" x14ac:dyDescent="0.25">
      <c r="A2641" s="1" t="str">
        <f t="shared" si="130"/>
        <v>44942449447.5FIFA CCTRANSPORTCAREEM</v>
      </c>
      <c r="B2641" s="154">
        <v>44942</v>
      </c>
      <c r="C2641" s="154">
        <v>44944</v>
      </c>
      <c r="D2641" s="3" t="s">
        <v>3099</v>
      </c>
      <c r="E2641" s="3">
        <v>-7.5</v>
      </c>
      <c r="F2641" s="3">
        <v>1</v>
      </c>
      <c r="G2641" s="3">
        <f t="shared" si="132"/>
        <v>7.5</v>
      </c>
      <c r="H2641" s="3" t="s">
        <v>3294</v>
      </c>
      <c r="I2641" s="1" t="s">
        <v>296</v>
      </c>
      <c r="J2641" s="1" t="s">
        <v>297</v>
      </c>
      <c r="K2641" s="1" t="s">
        <v>298</v>
      </c>
      <c r="L2641" s="1" t="s">
        <v>267</v>
      </c>
      <c r="M2641" s="1"/>
      <c r="N2641" s="1">
        <f t="shared" si="131"/>
        <v>1</v>
      </c>
      <c r="O2641" s="87"/>
    </row>
    <row r="2642" spans="1:15" ht="15.75" hidden="1" x14ac:dyDescent="0.25">
      <c r="A2642" s="1" t="str">
        <f t="shared" si="130"/>
        <v>44943449457.5MASTER CCTRANSPORTCAREEM</v>
      </c>
      <c r="B2642" s="154">
        <v>44943</v>
      </c>
      <c r="C2642" s="154">
        <v>44945</v>
      </c>
      <c r="D2642" s="3" t="s">
        <v>3020</v>
      </c>
      <c r="E2642" s="3">
        <v>-7.5</v>
      </c>
      <c r="F2642" s="3">
        <v>1</v>
      </c>
      <c r="G2642" s="3">
        <f t="shared" si="132"/>
        <v>7.5</v>
      </c>
      <c r="H2642" s="3" t="s">
        <v>291</v>
      </c>
      <c r="I2642" s="1" t="s">
        <v>296</v>
      </c>
      <c r="J2642" s="1" t="s">
        <v>297</v>
      </c>
      <c r="K2642" s="1" t="s">
        <v>298</v>
      </c>
      <c r="L2642" s="1" t="s">
        <v>267</v>
      </c>
      <c r="M2642" s="1"/>
      <c r="N2642" s="1">
        <f t="shared" si="131"/>
        <v>1</v>
      </c>
      <c r="O2642" s="87"/>
    </row>
    <row r="2643" spans="1:15" ht="15.75" hidden="1" x14ac:dyDescent="0.25">
      <c r="A2643" s="1" t="str">
        <f t="shared" si="130"/>
        <v>449434494528.7FIFA CCSHOPPINGQDF</v>
      </c>
      <c r="B2643" s="154">
        <v>44943</v>
      </c>
      <c r="C2643" s="154">
        <v>44945</v>
      </c>
      <c r="D2643" s="3" t="s">
        <v>3095</v>
      </c>
      <c r="E2643" s="3">
        <v>-28.7</v>
      </c>
      <c r="F2643" s="3">
        <v>1</v>
      </c>
      <c r="G2643" s="3">
        <f t="shared" si="132"/>
        <v>28.7</v>
      </c>
      <c r="H2643" s="3" t="s">
        <v>3294</v>
      </c>
      <c r="I2643" s="1" t="s">
        <v>194</v>
      </c>
      <c r="J2643" s="1" t="s">
        <v>2900</v>
      </c>
      <c r="K2643" s="1" t="s">
        <v>298</v>
      </c>
      <c r="L2643" s="1" t="s">
        <v>267</v>
      </c>
      <c r="M2643" s="1"/>
      <c r="N2643" s="1">
        <f t="shared" si="131"/>
        <v>1</v>
      </c>
      <c r="O2643" s="87"/>
    </row>
    <row r="2644" spans="1:15" ht="15.75" hidden="1" x14ac:dyDescent="0.25">
      <c r="A2644" s="1" t="str">
        <f t="shared" si="130"/>
        <v>449434494523.5FIFA CCTRANSPORTCAREEM</v>
      </c>
      <c r="B2644" s="154">
        <v>44943</v>
      </c>
      <c r="C2644" s="154">
        <v>44945</v>
      </c>
      <c r="D2644" s="3" t="s">
        <v>3096</v>
      </c>
      <c r="E2644" s="3">
        <v>-23.5</v>
      </c>
      <c r="F2644" s="3">
        <v>1</v>
      </c>
      <c r="G2644" s="3">
        <f t="shared" si="132"/>
        <v>23.5</v>
      </c>
      <c r="H2644" s="3" t="s">
        <v>3294</v>
      </c>
      <c r="I2644" s="1" t="s">
        <v>296</v>
      </c>
      <c r="J2644" s="1" t="s">
        <v>297</v>
      </c>
      <c r="K2644" s="1" t="s">
        <v>298</v>
      </c>
      <c r="L2644" s="1" t="s">
        <v>267</v>
      </c>
      <c r="M2644" s="1"/>
      <c r="N2644" s="1">
        <f t="shared" si="131"/>
        <v>1</v>
      </c>
      <c r="O2644" s="87"/>
    </row>
    <row r="2645" spans="1:15" ht="15.75" hidden="1" x14ac:dyDescent="0.25">
      <c r="A2645" s="1" t="str">
        <f t="shared" si="130"/>
        <v>44944449440.91CURRENTSERVICEBANK</v>
      </c>
      <c r="B2645" s="154">
        <v>44944</v>
      </c>
      <c r="C2645" s="154">
        <v>44944</v>
      </c>
      <c r="D2645" s="3" t="s">
        <v>2997</v>
      </c>
      <c r="E2645" s="3">
        <v>0.91</v>
      </c>
      <c r="F2645" s="3">
        <v>1</v>
      </c>
      <c r="G2645" s="3">
        <f t="shared" si="132"/>
        <v>0.91</v>
      </c>
      <c r="H2645" s="3" t="s">
        <v>293</v>
      </c>
      <c r="I2645" s="1" t="s">
        <v>7</v>
      </c>
      <c r="J2645" s="1" t="s">
        <v>8</v>
      </c>
      <c r="K2645" s="1" t="s">
        <v>298</v>
      </c>
      <c r="L2645" s="1" t="s">
        <v>257</v>
      </c>
      <c r="M2645" s="1"/>
      <c r="N2645" s="1">
        <f t="shared" si="131"/>
        <v>1</v>
      </c>
      <c r="O2645" s="87"/>
    </row>
    <row r="2646" spans="1:15" ht="15.75" hidden="1" x14ac:dyDescent="0.25">
      <c r="A2646" s="1" t="str">
        <f t="shared" si="130"/>
        <v>4494444944908.8CURRENTTRANSFERINDIA</v>
      </c>
      <c r="B2646" s="154">
        <v>44944</v>
      </c>
      <c r="C2646" s="154">
        <v>44944</v>
      </c>
      <c r="D2646" s="3" t="s">
        <v>2998</v>
      </c>
      <c r="E2646" s="3">
        <v>908.8</v>
      </c>
      <c r="F2646" s="3">
        <v>1</v>
      </c>
      <c r="G2646" s="3">
        <f t="shared" si="132"/>
        <v>908.8</v>
      </c>
      <c r="H2646" s="3" t="s">
        <v>293</v>
      </c>
      <c r="I2646" s="1" t="s">
        <v>22</v>
      </c>
      <c r="J2646" s="1" t="s">
        <v>23</v>
      </c>
      <c r="K2646" s="1" t="s">
        <v>298</v>
      </c>
      <c r="L2646" s="1" t="s">
        <v>257</v>
      </c>
      <c r="M2646" s="1"/>
      <c r="N2646" s="1">
        <f t="shared" si="131"/>
        <v>1</v>
      </c>
      <c r="O2646" s="87"/>
    </row>
    <row r="2647" spans="1:15" ht="15.75" hidden="1" x14ac:dyDescent="0.25">
      <c r="A2647" s="1" t="str">
        <f t="shared" si="130"/>
        <v>44945449477.5MASTER CCTRANSPORTCAREEM</v>
      </c>
      <c r="B2647" s="154">
        <v>44945</v>
      </c>
      <c r="C2647" s="154">
        <v>44947</v>
      </c>
      <c r="D2647" s="3" t="s">
        <v>3019</v>
      </c>
      <c r="E2647" s="3">
        <v>-7.5</v>
      </c>
      <c r="F2647" s="3">
        <v>1</v>
      </c>
      <c r="G2647" s="3">
        <f t="shared" si="132"/>
        <v>7.5</v>
      </c>
      <c r="H2647" s="3" t="s">
        <v>291</v>
      </c>
      <c r="I2647" s="1" t="s">
        <v>296</v>
      </c>
      <c r="J2647" s="1" t="s">
        <v>297</v>
      </c>
      <c r="K2647" s="1" t="s">
        <v>298</v>
      </c>
      <c r="L2647" s="1" t="s">
        <v>267</v>
      </c>
      <c r="M2647" s="1"/>
      <c r="N2647" s="1">
        <f t="shared" si="131"/>
        <v>1</v>
      </c>
      <c r="O2647" s="87"/>
    </row>
    <row r="2648" spans="1:15" ht="15.75" hidden="1" x14ac:dyDescent="0.25">
      <c r="A2648" s="1" t="str">
        <f t="shared" si="130"/>
        <v>449454494847FIFA CCFOODWISHBOX</v>
      </c>
      <c r="B2648" s="154">
        <v>44945</v>
      </c>
      <c r="C2648" s="154">
        <v>44948</v>
      </c>
      <c r="D2648" s="3" t="s">
        <v>3090</v>
      </c>
      <c r="E2648" s="3">
        <v>-47</v>
      </c>
      <c r="F2648" s="3">
        <v>1</v>
      </c>
      <c r="G2648" s="3">
        <f t="shared" si="132"/>
        <v>47</v>
      </c>
      <c r="H2648" s="3" t="s">
        <v>3294</v>
      </c>
      <c r="I2648" s="1" t="s">
        <v>10</v>
      </c>
      <c r="J2648" s="1" t="s">
        <v>1199</v>
      </c>
      <c r="K2648" s="1" t="s">
        <v>298</v>
      </c>
      <c r="L2648" s="1" t="s">
        <v>267</v>
      </c>
      <c r="M2648" s="1"/>
      <c r="N2648" s="1">
        <f t="shared" si="131"/>
        <v>1</v>
      </c>
      <c r="O2648" s="87"/>
    </row>
    <row r="2649" spans="1:15" ht="15.75" hidden="1" x14ac:dyDescent="0.25">
      <c r="A2649" s="1" t="str">
        <f t="shared" si="130"/>
        <v>449454494723.5FIFA CCTRANSPORTCAREEM</v>
      </c>
      <c r="B2649" s="154">
        <v>44945</v>
      </c>
      <c r="C2649" s="154">
        <v>44947</v>
      </c>
      <c r="D2649" s="3" t="s">
        <v>3091</v>
      </c>
      <c r="E2649" s="3">
        <v>-23.5</v>
      </c>
      <c r="F2649" s="3">
        <v>1</v>
      </c>
      <c r="G2649" s="3">
        <f t="shared" si="132"/>
        <v>23.5</v>
      </c>
      <c r="H2649" s="3" t="s">
        <v>3294</v>
      </c>
      <c r="I2649" s="1" t="s">
        <v>296</v>
      </c>
      <c r="J2649" s="1" t="s">
        <v>297</v>
      </c>
      <c r="K2649" s="1" t="s">
        <v>298</v>
      </c>
      <c r="L2649" s="1" t="s">
        <v>267</v>
      </c>
      <c r="M2649" s="1"/>
      <c r="N2649" s="1">
        <f t="shared" si="131"/>
        <v>1</v>
      </c>
      <c r="O2649" s="87"/>
    </row>
    <row r="2650" spans="1:15" ht="15.75" hidden="1" x14ac:dyDescent="0.25">
      <c r="A2650" s="1" t="str">
        <f t="shared" si="130"/>
        <v>4494544946127.91FIFA CCTELECOMOOREDOO</v>
      </c>
      <c r="B2650" s="154">
        <v>44945</v>
      </c>
      <c r="C2650" s="154">
        <v>44946</v>
      </c>
      <c r="D2650" s="3" t="s">
        <v>3092</v>
      </c>
      <c r="E2650" s="3">
        <v>-127.91</v>
      </c>
      <c r="F2650" s="3">
        <v>1</v>
      </c>
      <c r="G2650" s="3">
        <f t="shared" si="132"/>
        <v>127.91</v>
      </c>
      <c r="H2650" s="3" t="s">
        <v>3294</v>
      </c>
      <c r="I2650" s="1" t="s">
        <v>58</v>
      </c>
      <c r="J2650" s="1" t="s">
        <v>59</v>
      </c>
      <c r="K2650" s="1" t="s">
        <v>298</v>
      </c>
      <c r="L2650" s="1" t="s">
        <v>267</v>
      </c>
      <c r="M2650" s="1"/>
      <c r="N2650" s="1">
        <f t="shared" si="131"/>
        <v>1</v>
      </c>
      <c r="O2650" s="87"/>
    </row>
    <row r="2651" spans="1:15" ht="15.75" hidden="1" x14ac:dyDescent="0.25">
      <c r="A2651" s="1" t="str">
        <f t="shared" si="130"/>
        <v>4494544946291.99FIFA CCRENTOOREDOO</v>
      </c>
      <c r="B2651" s="154">
        <v>44945</v>
      </c>
      <c r="C2651" s="154">
        <v>44946</v>
      </c>
      <c r="D2651" s="3" t="s">
        <v>3093</v>
      </c>
      <c r="E2651" s="3">
        <v>-291.99</v>
      </c>
      <c r="F2651" s="3">
        <v>1</v>
      </c>
      <c r="G2651" s="3">
        <f t="shared" si="132"/>
        <v>291.99</v>
      </c>
      <c r="H2651" s="3" t="s">
        <v>3294</v>
      </c>
      <c r="I2651" s="1" t="s">
        <v>83</v>
      </c>
      <c r="J2651" s="1" t="s">
        <v>59</v>
      </c>
      <c r="K2651" s="1" t="s">
        <v>298</v>
      </c>
      <c r="L2651" s="1" t="s">
        <v>267</v>
      </c>
      <c r="M2651" s="1"/>
      <c r="N2651" s="1">
        <f t="shared" si="131"/>
        <v>1</v>
      </c>
      <c r="O2651" s="87"/>
    </row>
    <row r="2652" spans="1:15" ht="15.75" hidden="1" x14ac:dyDescent="0.25">
      <c r="A2652" s="1" t="str">
        <f t="shared" si="130"/>
        <v>449454494651FIFA CCFOODWISHBOX</v>
      </c>
      <c r="B2652" s="154">
        <v>44945</v>
      </c>
      <c r="C2652" s="154">
        <v>44946</v>
      </c>
      <c r="D2652" s="3" t="s">
        <v>3094</v>
      </c>
      <c r="E2652" s="3">
        <v>-51</v>
      </c>
      <c r="F2652" s="3">
        <v>1</v>
      </c>
      <c r="G2652" s="3">
        <f t="shared" si="132"/>
        <v>51</v>
      </c>
      <c r="H2652" s="3" t="s">
        <v>3294</v>
      </c>
      <c r="I2652" s="1" t="s">
        <v>10</v>
      </c>
      <c r="J2652" s="1" t="s">
        <v>1199</v>
      </c>
      <c r="K2652" s="1" t="s">
        <v>298</v>
      </c>
      <c r="L2652" s="1" t="s">
        <v>267</v>
      </c>
      <c r="M2652" s="1"/>
      <c r="N2652" s="1">
        <f t="shared" si="131"/>
        <v>1</v>
      </c>
      <c r="O2652" s="87"/>
    </row>
    <row r="2653" spans="1:15" ht="15.75" hidden="1" x14ac:dyDescent="0.25">
      <c r="A2653" s="1" t="str">
        <f t="shared" si="130"/>
        <v>449464494812FIFA CCFOODCAFÉ/REST.</v>
      </c>
      <c r="B2653" s="154">
        <v>44946</v>
      </c>
      <c r="C2653" s="154">
        <v>44948</v>
      </c>
      <c r="D2653" s="3" t="s">
        <v>3088</v>
      </c>
      <c r="E2653" s="3">
        <v>-12</v>
      </c>
      <c r="F2653" s="3">
        <v>1</v>
      </c>
      <c r="G2653" s="3">
        <f t="shared" si="132"/>
        <v>12</v>
      </c>
      <c r="H2653" s="3" t="s">
        <v>3294</v>
      </c>
      <c r="I2653" s="1" t="s">
        <v>10</v>
      </c>
      <c r="J2653" s="1" t="s">
        <v>11</v>
      </c>
      <c r="K2653" s="1" t="s">
        <v>298</v>
      </c>
      <c r="L2653" s="1" t="s">
        <v>267</v>
      </c>
      <c r="M2653" s="1"/>
      <c r="N2653" s="1">
        <f t="shared" si="131"/>
        <v>1</v>
      </c>
      <c r="O2653" s="87"/>
    </row>
    <row r="2654" spans="1:15" ht="15.75" hidden="1" x14ac:dyDescent="0.25">
      <c r="A2654" s="1" t="str">
        <f t="shared" si="130"/>
        <v>449464494888FIFA CCFOODCAFÉ/REST.</v>
      </c>
      <c r="B2654" s="154">
        <v>44946</v>
      </c>
      <c r="C2654" s="154">
        <v>44948</v>
      </c>
      <c r="D2654" s="3" t="s">
        <v>3089</v>
      </c>
      <c r="E2654" s="3">
        <v>-88</v>
      </c>
      <c r="F2654" s="3">
        <v>1</v>
      </c>
      <c r="G2654" s="3">
        <f t="shared" si="132"/>
        <v>88</v>
      </c>
      <c r="H2654" s="3" t="s">
        <v>3294</v>
      </c>
      <c r="I2654" s="1" t="s">
        <v>10</v>
      </c>
      <c r="J2654" s="1" t="s">
        <v>11</v>
      </c>
      <c r="K2654" s="1" t="s">
        <v>298</v>
      </c>
      <c r="L2654" s="1" t="s">
        <v>267</v>
      </c>
      <c r="M2654" s="1"/>
      <c r="N2654" s="1">
        <f t="shared" si="131"/>
        <v>1</v>
      </c>
      <c r="O2654" s="87"/>
    </row>
    <row r="2655" spans="1:15" ht="15.75" hidden="1" x14ac:dyDescent="0.25">
      <c r="A2655" s="1" t="str">
        <f t="shared" si="130"/>
        <v>449474494940FIFA CCFOODWISHBOX</v>
      </c>
      <c r="B2655" s="154">
        <v>44947</v>
      </c>
      <c r="C2655" s="154">
        <v>44949</v>
      </c>
      <c r="D2655" s="3" t="s">
        <v>3086</v>
      </c>
      <c r="E2655" s="3">
        <v>-40</v>
      </c>
      <c r="F2655" s="3">
        <v>1</v>
      </c>
      <c r="G2655" s="3">
        <f t="shared" si="132"/>
        <v>40</v>
      </c>
      <c r="H2655" s="3" t="s">
        <v>3294</v>
      </c>
      <c r="I2655" s="1" t="s">
        <v>10</v>
      </c>
      <c r="J2655" s="1" t="s">
        <v>1199</v>
      </c>
      <c r="K2655" s="1" t="s">
        <v>298</v>
      </c>
      <c r="L2655" s="1" t="s">
        <v>267</v>
      </c>
      <c r="M2655" s="1"/>
      <c r="N2655" s="1">
        <f t="shared" si="131"/>
        <v>1</v>
      </c>
      <c r="O2655" s="87"/>
    </row>
    <row r="2656" spans="1:15" ht="15.75" hidden="1" x14ac:dyDescent="0.25">
      <c r="A2656" s="1" t="str">
        <f t="shared" si="130"/>
        <v>449474494866.49FIFA CCGROCERYINDIAN SUPER</v>
      </c>
      <c r="B2656" s="154">
        <v>44947</v>
      </c>
      <c r="C2656" s="154">
        <v>44948</v>
      </c>
      <c r="D2656" s="3" t="s">
        <v>3087</v>
      </c>
      <c r="E2656" s="3">
        <v>-66.489999999999995</v>
      </c>
      <c r="F2656" s="3">
        <v>1</v>
      </c>
      <c r="G2656" s="3">
        <f t="shared" si="132"/>
        <v>66.489999999999995</v>
      </c>
      <c r="H2656" s="3" t="s">
        <v>3294</v>
      </c>
      <c r="I2656" s="1" t="s">
        <v>43</v>
      </c>
      <c r="J2656" s="1" t="s">
        <v>2273</v>
      </c>
      <c r="K2656" s="1" t="s">
        <v>298</v>
      </c>
      <c r="L2656" s="1" t="s">
        <v>267</v>
      </c>
      <c r="M2656" s="1"/>
      <c r="N2656" s="1">
        <f t="shared" si="131"/>
        <v>1</v>
      </c>
      <c r="O2656" s="87"/>
    </row>
    <row r="2657" spans="1:15" ht="15.75" hidden="1" x14ac:dyDescent="0.25">
      <c r="A2657" s="1" t="str">
        <f t="shared" si="130"/>
        <v>4494844948700CURRENTWITHDRAWSELF</v>
      </c>
      <c r="B2657" s="154">
        <v>44948</v>
      </c>
      <c r="C2657" s="154">
        <v>44948</v>
      </c>
      <c r="D2657" s="3" t="s">
        <v>2996</v>
      </c>
      <c r="E2657" s="3">
        <v>700</v>
      </c>
      <c r="F2657" s="3">
        <v>1</v>
      </c>
      <c r="G2657" s="3">
        <f t="shared" si="132"/>
        <v>700</v>
      </c>
      <c r="H2657" s="3" t="s">
        <v>293</v>
      </c>
      <c r="I2657" s="1" t="s">
        <v>13</v>
      </c>
      <c r="J2657" s="1" t="s">
        <v>14</v>
      </c>
      <c r="K2657" s="1" t="s">
        <v>298</v>
      </c>
      <c r="L2657" s="1" t="s">
        <v>257</v>
      </c>
      <c r="M2657" s="1"/>
      <c r="N2657" s="1">
        <f t="shared" si="131"/>
        <v>1</v>
      </c>
      <c r="O2657" s="87"/>
    </row>
    <row r="2658" spans="1:15" ht="15.75" hidden="1" x14ac:dyDescent="0.25">
      <c r="A2658" s="1" t="str">
        <f t="shared" si="130"/>
        <v>449484495018FIFA CCLAUNDRYAL RAYES</v>
      </c>
      <c r="B2658" s="154">
        <v>44948</v>
      </c>
      <c r="C2658" s="154">
        <v>44950</v>
      </c>
      <c r="D2658" s="3" t="s">
        <v>3082</v>
      </c>
      <c r="E2658" s="3">
        <v>-18</v>
      </c>
      <c r="F2658" s="3">
        <v>1</v>
      </c>
      <c r="G2658" s="3">
        <f t="shared" si="132"/>
        <v>18</v>
      </c>
      <c r="H2658" s="3" t="s">
        <v>3294</v>
      </c>
      <c r="I2658" s="1" t="s">
        <v>3164</v>
      </c>
      <c r="J2658" s="1" t="s">
        <v>3165</v>
      </c>
      <c r="K2658" s="1" t="s">
        <v>298</v>
      </c>
      <c r="L2658" s="1" t="s">
        <v>267</v>
      </c>
      <c r="M2658" s="1"/>
      <c r="N2658" s="1">
        <f t="shared" si="131"/>
        <v>1</v>
      </c>
      <c r="O2658" s="87"/>
    </row>
    <row r="2659" spans="1:15" ht="15.75" hidden="1" x14ac:dyDescent="0.25">
      <c r="A2659" s="1" t="str">
        <f t="shared" si="130"/>
        <v>449484495047.85FIFA CCMEDICALNASEEM AL</v>
      </c>
      <c r="B2659" s="154">
        <v>44948</v>
      </c>
      <c r="C2659" s="154">
        <v>44950</v>
      </c>
      <c r="D2659" s="3" t="s">
        <v>3083</v>
      </c>
      <c r="E2659" s="3">
        <v>-47.85</v>
      </c>
      <c r="F2659" s="3">
        <v>1</v>
      </c>
      <c r="G2659" s="3">
        <f t="shared" si="132"/>
        <v>47.85</v>
      </c>
      <c r="H2659" s="3" t="s">
        <v>3294</v>
      </c>
      <c r="I2659" s="1" t="s">
        <v>301</v>
      </c>
      <c r="J2659" s="1" t="s">
        <v>1000</v>
      </c>
      <c r="K2659" s="1" t="s">
        <v>298</v>
      </c>
      <c r="L2659" s="1" t="s">
        <v>267</v>
      </c>
      <c r="M2659" s="1"/>
      <c r="N2659" s="1">
        <f t="shared" si="131"/>
        <v>1</v>
      </c>
      <c r="O2659" s="87"/>
    </row>
    <row r="2660" spans="1:15" ht="15.75" hidden="1" x14ac:dyDescent="0.25">
      <c r="A2660" s="1" t="str">
        <f t="shared" si="130"/>
        <v>44948449507.7FIFA CCTRANSPORTCAREEM</v>
      </c>
      <c r="B2660" s="154">
        <v>44948</v>
      </c>
      <c r="C2660" s="154">
        <v>44950</v>
      </c>
      <c r="D2660" s="3" t="s">
        <v>3084</v>
      </c>
      <c r="E2660" s="3">
        <v>-7.7</v>
      </c>
      <c r="F2660" s="3">
        <v>1</v>
      </c>
      <c r="G2660" s="3">
        <f t="shared" si="132"/>
        <v>7.7</v>
      </c>
      <c r="H2660" s="3" t="s">
        <v>3294</v>
      </c>
      <c r="I2660" s="1" t="s">
        <v>296</v>
      </c>
      <c r="J2660" s="1" t="s">
        <v>297</v>
      </c>
      <c r="K2660" s="1" t="s">
        <v>298</v>
      </c>
      <c r="L2660" s="1" t="s">
        <v>267</v>
      </c>
      <c r="M2660" s="1"/>
      <c r="N2660" s="1">
        <f t="shared" si="131"/>
        <v>1</v>
      </c>
      <c r="O2660" s="87"/>
    </row>
    <row r="2661" spans="1:15" ht="15.75" hidden="1" x14ac:dyDescent="0.25">
      <c r="A2661" s="1" t="str">
        <f t="shared" si="130"/>
        <v>449484494945FIFA CCMEDICALNASEEM AL</v>
      </c>
      <c r="B2661" s="154">
        <v>44948</v>
      </c>
      <c r="C2661" s="154">
        <v>44949</v>
      </c>
      <c r="D2661" s="3" t="s">
        <v>3085</v>
      </c>
      <c r="E2661" s="3">
        <v>-45</v>
      </c>
      <c r="F2661" s="3">
        <v>1</v>
      </c>
      <c r="G2661" s="3">
        <f t="shared" si="132"/>
        <v>45</v>
      </c>
      <c r="H2661" s="3" t="s">
        <v>3294</v>
      </c>
      <c r="I2661" s="1" t="s">
        <v>301</v>
      </c>
      <c r="J2661" s="1" t="s">
        <v>1000</v>
      </c>
      <c r="K2661" s="1" t="s">
        <v>298</v>
      </c>
      <c r="L2661" s="1" t="s">
        <v>267</v>
      </c>
      <c r="M2661" s="1"/>
      <c r="N2661" s="1">
        <f t="shared" si="131"/>
        <v>1</v>
      </c>
      <c r="O2661" s="87"/>
    </row>
    <row r="2662" spans="1:15" ht="15.75" hidden="1" x14ac:dyDescent="0.25">
      <c r="A2662" s="1" t="str">
        <f t="shared" si="130"/>
        <v>449494495117FIFA CCMEDICALNASEEM AL</v>
      </c>
      <c r="B2662" s="154">
        <v>44949</v>
      </c>
      <c r="C2662" s="154">
        <v>44951</v>
      </c>
      <c r="D2662" s="3" t="s">
        <v>3075</v>
      </c>
      <c r="E2662" s="3">
        <v>-17</v>
      </c>
      <c r="F2662" s="3">
        <v>1</v>
      </c>
      <c r="G2662" s="3">
        <f t="shared" si="132"/>
        <v>17</v>
      </c>
      <c r="H2662" s="3" t="s">
        <v>3294</v>
      </c>
      <c r="I2662" s="1" t="s">
        <v>301</v>
      </c>
      <c r="J2662" s="1" t="s">
        <v>1000</v>
      </c>
      <c r="K2662" s="1" t="s">
        <v>298</v>
      </c>
      <c r="L2662" s="1" t="s">
        <v>267</v>
      </c>
      <c r="M2662" s="1"/>
      <c r="N2662" s="1">
        <f t="shared" si="131"/>
        <v>1</v>
      </c>
      <c r="O2662" s="87"/>
    </row>
    <row r="2663" spans="1:15" ht="15.75" hidden="1" x14ac:dyDescent="0.25">
      <c r="A2663" s="1" t="str">
        <f t="shared" si="130"/>
        <v>449494495161.68FIFA CCGROCERYFFC</v>
      </c>
      <c r="B2663" s="154">
        <v>44949</v>
      </c>
      <c r="C2663" s="154">
        <v>44951</v>
      </c>
      <c r="D2663" s="3" t="s">
        <v>3076</v>
      </c>
      <c r="E2663" s="3">
        <v>-61.68</v>
      </c>
      <c r="F2663" s="3">
        <v>1</v>
      </c>
      <c r="G2663" s="3">
        <f t="shared" si="132"/>
        <v>61.68</v>
      </c>
      <c r="H2663" s="3" t="s">
        <v>3294</v>
      </c>
      <c r="I2663" s="1" t="s">
        <v>43</v>
      </c>
      <c r="J2663" s="1" t="s">
        <v>96</v>
      </c>
      <c r="K2663" s="1" t="s">
        <v>298</v>
      </c>
      <c r="L2663" s="1" t="s">
        <v>267</v>
      </c>
      <c r="M2663" s="1"/>
      <c r="N2663" s="1">
        <f t="shared" si="131"/>
        <v>1</v>
      </c>
      <c r="O2663" s="87"/>
    </row>
    <row r="2664" spans="1:15" ht="15.75" hidden="1" x14ac:dyDescent="0.25">
      <c r="A2664" s="1" t="str">
        <f t="shared" si="130"/>
        <v>449494495130FIFA CCFOODCAFÉ/REST.</v>
      </c>
      <c r="B2664" s="154">
        <v>44949</v>
      </c>
      <c r="C2664" s="154">
        <v>44951</v>
      </c>
      <c r="D2664" s="3" t="s">
        <v>3077</v>
      </c>
      <c r="E2664" s="3">
        <v>-30</v>
      </c>
      <c r="F2664" s="3">
        <v>1</v>
      </c>
      <c r="G2664" s="3">
        <f t="shared" si="132"/>
        <v>30</v>
      </c>
      <c r="H2664" s="3" t="s">
        <v>3294</v>
      </c>
      <c r="I2664" s="1" t="s">
        <v>10</v>
      </c>
      <c r="J2664" s="1" t="s">
        <v>11</v>
      </c>
      <c r="K2664" s="1" t="s">
        <v>298</v>
      </c>
      <c r="L2664" s="1" t="s">
        <v>267</v>
      </c>
      <c r="M2664" s="1"/>
      <c r="N2664" s="1">
        <f t="shared" si="131"/>
        <v>1</v>
      </c>
      <c r="O2664" s="87"/>
    </row>
    <row r="2665" spans="1:15" ht="15.75" hidden="1" x14ac:dyDescent="0.25">
      <c r="A2665" s="1" t="str">
        <f t="shared" si="130"/>
        <v>449494495114.9FIFA CCMEDICALNASEEM AL</v>
      </c>
      <c r="B2665" s="154">
        <v>44949</v>
      </c>
      <c r="C2665" s="154">
        <v>44951</v>
      </c>
      <c r="D2665" s="3" t="s">
        <v>3078</v>
      </c>
      <c r="E2665" s="3">
        <v>-14.9</v>
      </c>
      <c r="F2665" s="3">
        <v>1</v>
      </c>
      <c r="G2665" s="3">
        <f t="shared" si="132"/>
        <v>14.9</v>
      </c>
      <c r="H2665" s="3" t="s">
        <v>3294</v>
      </c>
      <c r="I2665" s="1" t="s">
        <v>301</v>
      </c>
      <c r="J2665" s="1" t="s">
        <v>1000</v>
      </c>
      <c r="K2665" s="1" t="s">
        <v>298</v>
      </c>
      <c r="L2665" s="1" t="s">
        <v>267</v>
      </c>
      <c r="M2665" s="1"/>
      <c r="N2665" s="1">
        <f t="shared" si="131"/>
        <v>1</v>
      </c>
      <c r="O2665" s="87"/>
    </row>
    <row r="2666" spans="1:15" ht="15.75" hidden="1" x14ac:dyDescent="0.25">
      <c r="A2666" s="1" t="str">
        <f t="shared" si="130"/>
        <v>449494495040FIFA CCMEDICALNASEEM AL</v>
      </c>
      <c r="B2666" s="154">
        <v>44949</v>
      </c>
      <c r="C2666" s="154">
        <v>44950</v>
      </c>
      <c r="D2666" s="3" t="s">
        <v>3079</v>
      </c>
      <c r="E2666" s="3">
        <v>-40</v>
      </c>
      <c r="F2666" s="3">
        <v>1</v>
      </c>
      <c r="G2666" s="3">
        <f t="shared" si="132"/>
        <v>40</v>
      </c>
      <c r="H2666" s="3" t="s">
        <v>3294</v>
      </c>
      <c r="I2666" s="1" t="s">
        <v>301</v>
      </c>
      <c r="J2666" s="1" t="s">
        <v>1000</v>
      </c>
      <c r="K2666" s="1" t="s">
        <v>298</v>
      </c>
      <c r="L2666" s="1" t="s">
        <v>267</v>
      </c>
      <c r="M2666" s="1"/>
      <c r="N2666" s="1">
        <f t="shared" si="131"/>
        <v>1</v>
      </c>
      <c r="O2666" s="87"/>
    </row>
    <row r="2667" spans="1:15" ht="15.75" hidden="1" x14ac:dyDescent="0.25">
      <c r="A2667" s="1" t="str">
        <f t="shared" si="130"/>
        <v>449494495053.5FIFA CCMEDICALNASEEM AL</v>
      </c>
      <c r="B2667" s="154">
        <v>44949</v>
      </c>
      <c r="C2667" s="154">
        <v>44950</v>
      </c>
      <c r="D2667" s="3" t="s">
        <v>3080</v>
      </c>
      <c r="E2667" s="3">
        <v>-53.5</v>
      </c>
      <c r="F2667" s="3">
        <v>1</v>
      </c>
      <c r="G2667" s="3">
        <f t="shared" si="132"/>
        <v>53.5</v>
      </c>
      <c r="H2667" s="3" t="s">
        <v>3294</v>
      </c>
      <c r="I2667" s="1" t="s">
        <v>301</v>
      </c>
      <c r="J2667" s="1" t="s">
        <v>1000</v>
      </c>
      <c r="K2667" s="1" t="s">
        <v>298</v>
      </c>
      <c r="L2667" s="1" t="s">
        <v>267</v>
      </c>
      <c r="M2667" s="1"/>
      <c r="N2667" s="1">
        <f t="shared" si="131"/>
        <v>1</v>
      </c>
      <c r="O2667" s="87"/>
    </row>
    <row r="2668" spans="1:15" ht="15.75" hidden="1" x14ac:dyDescent="0.25">
      <c r="A2668" s="1" t="str">
        <f t="shared" si="130"/>
        <v>449494495073FIFA CCFOODWISHBOX</v>
      </c>
      <c r="B2668" s="154">
        <v>44949</v>
      </c>
      <c r="C2668" s="154">
        <v>44950</v>
      </c>
      <c r="D2668" s="3" t="s">
        <v>3081</v>
      </c>
      <c r="E2668" s="3">
        <v>-73</v>
      </c>
      <c r="F2668" s="3">
        <v>1</v>
      </c>
      <c r="G2668" s="3">
        <f t="shared" si="132"/>
        <v>73</v>
      </c>
      <c r="H2668" s="3" t="s">
        <v>3294</v>
      </c>
      <c r="I2668" s="1" t="s">
        <v>10</v>
      </c>
      <c r="J2668" s="1" t="s">
        <v>1199</v>
      </c>
      <c r="K2668" s="1" t="s">
        <v>298</v>
      </c>
      <c r="L2668" s="1" t="s">
        <v>267</v>
      </c>
      <c r="M2668" s="1"/>
      <c r="N2668" s="1">
        <f t="shared" si="131"/>
        <v>1</v>
      </c>
      <c r="O2668" s="87"/>
    </row>
    <row r="2669" spans="1:15" ht="15.75" hidden="1" x14ac:dyDescent="0.25">
      <c r="A2669" s="1" t="str">
        <f t="shared" si="130"/>
        <v>449504495260MASTER CCTELECOMOOREDOO</v>
      </c>
      <c r="B2669" s="154">
        <v>44950</v>
      </c>
      <c r="C2669" s="154">
        <v>44952</v>
      </c>
      <c r="D2669" s="3" t="s">
        <v>3017</v>
      </c>
      <c r="E2669" s="3">
        <v>-60</v>
      </c>
      <c r="F2669" s="3">
        <v>1</v>
      </c>
      <c r="G2669" s="3">
        <f t="shared" si="132"/>
        <v>60</v>
      </c>
      <c r="H2669" s="3" t="s">
        <v>291</v>
      </c>
      <c r="I2669" s="1" t="s">
        <v>58</v>
      </c>
      <c r="J2669" s="1" t="s">
        <v>59</v>
      </c>
      <c r="K2669" s="1" t="s">
        <v>298</v>
      </c>
      <c r="L2669" s="1" t="s">
        <v>267</v>
      </c>
      <c r="M2669" s="1"/>
      <c r="N2669" s="1">
        <f t="shared" si="131"/>
        <v>1</v>
      </c>
      <c r="O2669" s="87"/>
    </row>
    <row r="2670" spans="1:15" ht="15.75" hidden="1" x14ac:dyDescent="0.25">
      <c r="A2670" s="1" t="str">
        <f t="shared" si="130"/>
        <v>449504495210MASTER CCTELECOMOOREDOO</v>
      </c>
      <c r="B2670" s="154">
        <v>44950</v>
      </c>
      <c r="C2670" s="154">
        <v>44952</v>
      </c>
      <c r="D2670" s="3" t="s">
        <v>3018</v>
      </c>
      <c r="E2670" s="3">
        <v>-10</v>
      </c>
      <c r="F2670" s="3">
        <v>1</v>
      </c>
      <c r="G2670" s="3">
        <f t="shared" si="132"/>
        <v>10</v>
      </c>
      <c r="H2670" s="3" t="s">
        <v>291</v>
      </c>
      <c r="I2670" s="1" t="s">
        <v>58</v>
      </c>
      <c r="J2670" s="1" t="s">
        <v>59</v>
      </c>
      <c r="K2670" s="1" t="s">
        <v>298</v>
      </c>
      <c r="L2670" s="1" t="s">
        <v>267</v>
      </c>
      <c r="M2670" s="1"/>
      <c r="N2670" s="1">
        <f t="shared" si="131"/>
        <v>1</v>
      </c>
      <c r="O2670" s="87"/>
    </row>
    <row r="2671" spans="1:15" ht="15.75" hidden="1" x14ac:dyDescent="0.25">
      <c r="A2671" s="1" t="str">
        <f t="shared" si="130"/>
        <v>449504495250FIFA CCMEDICALHEALTH CENTER</v>
      </c>
      <c r="B2671" s="154">
        <v>44950</v>
      </c>
      <c r="C2671" s="154">
        <v>44952</v>
      </c>
      <c r="D2671" s="3" t="s">
        <v>3070</v>
      </c>
      <c r="E2671" s="3">
        <v>-50</v>
      </c>
      <c r="F2671" s="3">
        <v>1</v>
      </c>
      <c r="G2671" s="3">
        <f t="shared" si="132"/>
        <v>50</v>
      </c>
      <c r="H2671" s="3" t="s">
        <v>3294</v>
      </c>
      <c r="I2671" s="1" t="s">
        <v>301</v>
      </c>
      <c r="J2671" s="1" t="s">
        <v>159</v>
      </c>
      <c r="K2671" s="1" t="s">
        <v>298</v>
      </c>
      <c r="L2671" s="1" t="s">
        <v>267</v>
      </c>
      <c r="M2671" s="1"/>
      <c r="N2671" s="1">
        <f t="shared" si="131"/>
        <v>1</v>
      </c>
      <c r="O2671" s="87"/>
    </row>
    <row r="2672" spans="1:15" ht="15.75" hidden="1" x14ac:dyDescent="0.25">
      <c r="A2672" s="1" t="str">
        <f t="shared" si="130"/>
        <v>4495044952104FIFA CCTRANSPORTWOQOD</v>
      </c>
      <c r="B2672" s="154">
        <v>44950</v>
      </c>
      <c r="C2672" s="154">
        <v>44952</v>
      </c>
      <c r="D2672" s="3" t="s">
        <v>3071</v>
      </c>
      <c r="E2672" s="3">
        <v>-104</v>
      </c>
      <c r="F2672" s="3">
        <v>1</v>
      </c>
      <c r="G2672" s="3">
        <f t="shared" si="132"/>
        <v>104</v>
      </c>
      <c r="H2672" s="3" t="s">
        <v>3294</v>
      </c>
      <c r="I2672" s="1" t="s">
        <v>296</v>
      </c>
      <c r="J2672" s="1" t="s">
        <v>1942</v>
      </c>
      <c r="K2672" s="1" t="s">
        <v>298</v>
      </c>
      <c r="L2672" s="1" t="s">
        <v>267</v>
      </c>
      <c r="M2672" s="1"/>
      <c r="N2672" s="1">
        <f t="shared" si="131"/>
        <v>1</v>
      </c>
      <c r="O2672" s="87"/>
    </row>
    <row r="2673" spans="1:15" ht="15.75" hidden="1" x14ac:dyDescent="0.25">
      <c r="A2673" s="1" t="str">
        <f t="shared" si="130"/>
        <v>4495044952235FIFA CCSHOPPINGTHE BATH &amp; BODY</v>
      </c>
      <c r="B2673" s="154">
        <v>44950</v>
      </c>
      <c r="C2673" s="154">
        <v>44952</v>
      </c>
      <c r="D2673" s="3" t="s">
        <v>3072</v>
      </c>
      <c r="E2673" s="3">
        <v>-235</v>
      </c>
      <c r="F2673" s="3">
        <v>1</v>
      </c>
      <c r="G2673" s="3">
        <f t="shared" si="132"/>
        <v>235</v>
      </c>
      <c r="H2673" s="3" t="s">
        <v>3294</v>
      </c>
      <c r="I2673" s="1" t="s">
        <v>194</v>
      </c>
      <c r="J2673" s="1" t="s">
        <v>3160</v>
      </c>
      <c r="K2673" s="1" t="s">
        <v>298</v>
      </c>
      <c r="L2673" s="1" t="s">
        <v>267</v>
      </c>
      <c r="M2673" s="1"/>
      <c r="N2673" s="1">
        <f t="shared" si="131"/>
        <v>1</v>
      </c>
      <c r="O2673" s="87"/>
    </row>
    <row r="2674" spans="1:15" ht="15.75" hidden="1" x14ac:dyDescent="0.25">
      <c r="A2674" s="1" t="str">
        <f t="shared" si="130"/>
        <v>44950449524FIFA CCMEDICALHEALTH CENTER</v>
      </c>
      <c r="B2674" s="154">
        <v>44950</v>
      </c>
      <c r="C2674" s="154">
        <v>44952</v>
      </c>
      <c r="D2674" s="3" t="s">
        <v>3073</v>
      </c>
      <c r="E2674" s="3">
        <v>-4</v>
      </c>
      <c r="F2674" s="3">
        <v>1</v>
      </c>
      <c r="G2674" s="3">
        <f t="shared" si="132"/>
        <v>4</v>
      </c>
      <c r="H2674" s="3" t="s">
        <v>3294</v>
      </c>
      <c r="I2674" s="1" t="s">
        <v>301</v>
      </c>
      <c r="J2674" s="1" t="s">
        <v>159</v>
      </c>
      <c r="K2674" s="1" t="s">
        <v>298</v>
      </c>
      <c r="L2674" s="1" t="s">
        <v>267</v>
      </c>
      <c r="M2674" s="1"/>
      <c r="N2674" s="1">
        <f t="shared" si="131"/>
        <v>1</v>
      </c>
      <c r="O2674" s="87"/>
    </row>
    <row r="2675" spans="1:15" ht="15.75" hidden="1" x14ac:dyDescent="0.25">
      <c r="A2675" s="1" t="str">
        <f t="shared" si="130"/>
        <v>449504495143FIFA CCFOODWISHBOX</v>
      </c>
      <c r="B2675" s="154">
        <v>44950</v>
      </c>
      <c r="C2675" s="154">
        <v>44951</v>
      </c>
      <c r="D2675" s="3" t="s">
        <v>3074</v>
      </c>
      <c r="E2675" s="3">
        <v>-43</v>
      </c>
      <c r="F2675" s="3">
        <v>1</v>
      </c>
      <c r="G2675" s="3">
        <f t="shared" si="132"/>
        <v>43</v>
      </c>
      <c r="H2675" s="3" t="s">
        <v>3294</v>
      </c>
      <c r="I2675" s="1" t="s">
        <v>10</v>
      </c>
      <c r="J2675" s="1" t="s">
        <v>1199</v>
      </c>
      <c r="K2675" s="1" t="s">
        <v>298</v>
      </c>
      <c r="L2675" s="1" t="s">
        <v>267</v>
      </c>
      <c r="M2675" s="1"/>
      <c r="N2675" s="1">
        <f t="shared" si="131"/>
        <v>1</v>
      </c>
      <c r="O2675" s="87"/>
    </row>
    <row r="2676" spans="1:15" ht="15.75" hidden="1" x14ac:dyDescent="0.25">
      <c r="A2676" s="1" t="str">
        <f t="shared" si="130"/>
        <v>4495144951140FIFA CCSHOPPINGTHE BATH &amp; BODY</v>
      </c>
      <c r="B2676" s="154">
        <v>44951</v>
      </c>
      <c r="C2676" s="154">
        <f t="shared" ref="C2676:C2681" si="133">B2676</f>
        <v>44951</v>
      </c>
      <c r="D2676" s="3" t="s">
        <v>3069</v>
      </c>
      <c r="E2676" s="3">
        <v>-140</v>
      </c>
      <c r="F2676" s="3">
        <v>1</v>
      </c>
      <c r="G2676" s="3">
        <f t="shared" si="132"/>
        <v>140</v>
      </c>
      <c r="H2676" s="3" t="s">
        <v>3294</v>
      </c>
      <c r="I2676" s="1" t="s">
        <v>194</v>
      </c>
      <c r="J2676" s="1" t="s">
        <v>3160</v>
      </c>
      <c r="K2676" s="1" t="s">
        <v>298</v>
      </c>
      <c r="L2676" s="1" t="s">
        <v>267</v>
      </c>
      <c r="M2676" s="1"/>
      <c r="N2676" s="1">
        <f t="shared" si="131"/>
        <v>1</v>
      </c>
      <c r="O2676" s="87"/>
    </row>
    <row r="2677" spans="1:15" ht="15.75" hidden="1" x14ac:dyDescent="0.25">
      <c r="A2677" s="1" t="str">
        <f t="shared" si="130"/>
        <v>4495244952135FIFA CCMEDICALNASEEM AL</v>
      </c>
      <c r="B2677" s="154">
        <v>44952</v>
      </c>
      <c r="C2677" s="154">
        <f t="shared" si="133"/>
        <v>44952</v>
      </c>
      <c r="D2677" s="3" t="s">
        <v>3064</v>
      </c>
      <c r="E2677" s="3">
        <v>-135</v>
      </c>
      <c r="F2677" s="3">
        <v>1</v>
      </c>
      <c r="G2677" s="3">
        <f t="shared" si="132"/>
        <v>135</v>
      </c>
      <c r="H2677" s="3" t="s">
        <v>3294</v>
      </c>
      <c r="I2677" s="1" t="s">
        <v>301</v>
      </c>
      <c r="J2677" s="1" t="s">
        <v>1000</v>
      </c>
      <c r="K2677" s="1" t="s">
        <v>298</v>
      </c>
      <c r="L2677" s="1" t="s">
        <v>267</v>
      </c>
      <c r="M2677" s="1"/>
      <c r="N2677" s="1">
        <f t="shared" si="131"/>
        <v>1</v>
      </c>
      <c r="O2677" s="87"/>
    </row>
    <row r="2678" spans="1:15" ht="15.75" hidden="1" x14ac:dyDescent="0.25">
      <c r="A2678" s="1" t="str">
        <f t="shared" si="130"/>
        <v>449524495220FIFA CCFOODWISHBOX</v>
      </c>
      <c r="B2678" s="154">
        <v>44952</v>
      </c>
      <c r="C2678" s="154">
        <f t="shared" si="133"/>
        <v>44952</v>
      </c>
      <c r="D2678" s="3" t="s">
        <v>3065</v>
      </c>
      <c r="E2678" s="3">
        <v>-20</v>
      </c>
      <c r="F2678" s="3">
        <v>1</v>
      </c>
      <c r="G2678" s="3">
        <f t="shared" si="132"/>
        <v>20</v>
      </c>
      <c r="H2678" s="3" t="s">
        <v>3294</v>
      </c>
      <c r="I2678" s="1" t="s">
        <v>10</v>
      </c>
      <c r="J2678" s="1" t="s">
        <v>1199</v>
      </c>
      <c r="K2678" s="1" t="s">
        <v>298</v>
      </c>
      <c r="L2678" s="1" t="s">
        <v>267</v>
      </c>
      <c r="M2678" s="1"/>
      <c r="N2678" s="1">
        <f t="shared" si="131"/>
        <v>1</v>
      </c>
      <c r="O2678" s="87"/>
    </row>
    <row r="2679" spans="1:15" ht="15.75" hidden="1" x14ac:dyDescent="0.25">
      <c r="A2679" s="1" t="str">
        <f t="shared" si="130"/>
        <v>449524495215FIFA CCTRANSPORTMR VALET</v>
      </c>
      <c r="B2679" s="154">
        <v>44952</v>
      </c>
      <c r="C2679" s="154">
        <f t="shared" si="133"/>
        <v>44952</v>
      </c>
      <c r="D2679" s="3" t="s">
        <v>3066</v>
      </c>
      <c r="E2679" s="3">
        <v>-15</v>
      </c>
      <c r="F2679" s="3">
        <v>1</v>
      </c>
      <c r="G2679" s="3">
        <f t="shared" si="132"/>
        <v>15</v>
      </c>
      <c r="H2679" s="3" t="s">
        <v>3294</v>
      </c>
      <c r="I2679" s="1" t="s">
        <v>296</v>
      </c>
      <c r="J2679" s="1" t="s">
        <v>2703</v>
      </c>
      <c r="K2679" s="1" t="s">
        <v>298</v>
      </c>
      <c r="L2679" s="1" t="s">
        <v>267</v>
      </c>
      <c r="M2679" s="1"/>
      <c r="N2679" s="1">
        <f t="shared" si="131"/>
        <v>1</v>
      </c>
      <c r="O2679" s="87"/>
    </row>
    <row r="2680" spans="1:15" ht="15.75" hidden="1" x14ac:dyDescent="0.25">
      <c r="A2680" s="1" t="str">
        <f t="shared" si="130"/>
        <v>449524495242FIFA CCMEDICALNASEEM AL</v>
      </c>
      <c r="B2680" s="154">
        <v>44952</v>
      </c>
      <c r="C2680" s="154">
        <f t="shared" si="133"/>
        <v>44952</v>
      </c>
      <c r="D2680" s="3" t="s">
        <v>3067</v>
      </c>
      <c r="E2680" s="3">
        <v>-42</v>
      </c>
      <c r="F2680" s="3">
        <v>1</v>
      </c>
      <c r="G2680" s="3">
        <f t="shared" si="132"/>
        <v>42</v>
      </c>
      <c r="H2680" s="3" t="s">
        <v>3294</v>
      </c>
      <c r="I2680" s="1" t="s">
        <v>301</v>
      </c>
      <c r="J2680" s="1" t="s">
        <v>1000</v>
      </c>
      <c r="K2680" s="1" t="s">
        <v>298</v>
      </c>
      <c r="L2680" s="1" t="s">
        <v>267</v>
      </c>
      <c r="M2680" s="1"/>
      <c r="N2680" s="1">
        <f t="shared" si="131"/>
        <v>1</v>
      </c>
      <c r="O2680" s="87"/>
    </row>
    <row r="2681" spans="1:15" ht="15.75" hidden="1" x14ac:dyDescent="0.25">
      <c r="A2681" s="1" t="str">
        <f t="shared" si="130"/>
        <v>449524495239FIFA CCMEDICALNASEEM AL</v>
      </c>
      <c r="B2681" s="154">
        <v>44952</v>
      </c>
      <c r="C2681" s="154">
        <f t="shared" si="133"/>
        <v>44952</v>
      </c>
      <c r="D2681" s="3" t="s">
        <v>3068</v>
      </c>
      <c r="E2681" s="3">
        <v>-39</v>
      </c>
      <c r="F2681" s="3">
        <v>1</v>
      </c>
      <c r="G2681" s="3">
        <f t="shared" si="132"/>
        <v>39</v>
      </c>
      <c r="H2681" s="3" t="s">
        <v>3294</v>
      </c>
      <c r="I2681" s="1" t="s">
        <v>301</v>
      </c>
      <c r="J2681" s="1" t="s">
        <v>1000</v>
      </c>
      <c r="K2681" s="1" t="s">
        <v>298</v>
      </c>
      <c r="L2681" s="1" t="s">
        <v>267</v>
      </c>
      <c r="M2681" s="1"/>
      <c r="N2681" s="1">
        <f t="shared" si="131"/>
        <v>1</v>
      </c>
      <c r="O2681" s="87"/>
    </row>
    <row r="2682" spans="1:15" ht="15.75" hidden="1" x14ac:dyDescent="0.25">
      <c r="A2682" s="1" t="str">
        <f t="shared" si="130"/>
        <v>44955449556.39CURRENTMEDICALHEALTH CENTER</v>
      </c>
      <c r="B2682" s="154">
        <v>44955</v>
      </c>
      <c r="C2682" s="154">
        <v>44955</v>
      </c>
      <c r="D2682" s="3" t="s">
        <v>3184</v>
      </c>
      <c r="E2682" s="3">
        <v>6.39</v>
      </c>
      <c r="F2682" s="3">
        <v>1</v>
      </c>
      <c r="G2682" s="3">
        <f t="shared" si="132"/>
        <v>6.39</v>
      </c>
      <c r="H2682" s="3" t="s">
        <v>293</v>
      </c>
      <c r="I2682" s="1" t="s">
        <v>301</v>
      </c>
      <c r="J2682" s="1" t="s">
        <v>159</v>
      </c>
      <c r="K2682" s="1" t="s">
        <v>298</v>
      </c>
      <c r="L2682" s="1" t="s">
        <v>257</v>
      </c>
      <c r="M2682" s="1"/>
      <c r="N2682" s="1">
        <f t="shared" si="131"/>
        <v>1</v>
      </c>
      <c r="O2682" s="87"/>
    </row>
    <row r="2683" spans="1:15" ht="15.75" hidden="1" x14ac:dyDescent="0.25">
      <c r="A2683" s="1" t="str">
        <f t="shared" si="130"/>
        <v>44956449565101.89CURRENTCC BILL PAYMENTBANK</v>
      </c>
      <c r="B2683" s="154">
        <v>44956</v>
      </c>
      <c r="C2683" s="154">
        <v>44956</v>
      </c>
      <c r="D2683" s="3" t="s">
        <v>3182</v>
      </c>
      <c r="E2683" s="3">
        <v>5101.8900000000003</v>
      </c>
      <c r="F2683" s="3">
        <v>1</v>
      </c>
      <c r="G2683" s="3">
        <f t="shared" si="132"/>
        <v>5101.8900000000003</v>
      </c>
      <c r="H2683" s="3" t="s">
        <v>293</v>
      </c>
      <c r="I2683" s="1" t="s">
        <v>81</v>
      </c>
      <c r="J2683" s="1" t="s">
        <v>8</v>
      </c>
      <c r="K2683" s="1" t="s">
        <v>298</v>
      </c>
      <c r="L2683" s="1" t="s">
        <v>257</v>
      </c>
      <c r="M2683" s="1"/>
      <c r="N2683" s="1">
        <f t="shared" si="131"/>
        <v>1</v>
      </c>
      <c r="O2683" s="87"/>
    </row>
    <row r="2684" spans="1:15" ht="15.75" hidden="1" x14ac:dyDescent="0.25">
      <c r="A2684" s="1" t="str">
        <f t="shared" si="130"/>
        <v>449564495622424CURRENTSALARYQATAR AIR</v>
      </c>
      <c r="B2684" s="154">
        <v>44956</v>
      </c>
      <c r="C2684" s="154">
        <v>44956</v>
      </c>
      <c r="D2684" s="3" t="s">
        <v>3183</v>
      </c>
      <c r="E2684" s="3">
        <v>22424</v>
      </c>
      <c r="F2684" s="3">
        <v>1</v>
      </c>
      <c r="G2684" s="3">
        <f t="shared" si="132"/>
        <v>22424</v>
      </c>
      <c r="H2684" s="3" t="s">
        <v>293</v>
      </c>
      <c r="I2684" s="1" t="s">
        <v>18</v>
      </c>
      <c r="J2684" s="1" t="s">
        <v>19</v>
      </c>
      <c r="K2684" s="1" t="s">
        <v>300</v>
      </c>
      <c r="L2684" s="1" t="s">
        <v>257</v>
      </c>
      <c r="M2684" s="1"/>
      <c r="N2684" s="1">
        <f t="shared" si="131"/>
        <v>1</v>
      </c>
      <c r="O2684" s="87"/>
    </row>
    <row r="2685" spans="1:15" ht="15.75" hidden="1" x14ac:dyDescent="0.25">
      <c r="A2685" s="1" t="str">
        <f t="shared" si="130"/>
        <v>44956449564976CURRENTLOANBANK</v>
      </c>
      <c r="B2685" s="154">
        <v>44956</v>
      </c>
      <c r="C2685" s="154">
        <v>44956</v>
      </c>
      <c r="D2685" s="3" t="s">
        <v>2627</v>
      </c>
      <c r="E2685" s="3">
        <v>4976</v>
      </c>
      <c r="F2685" s="3">
        <v>1</v>
      </c>
      <c r="G2685" s="3">
        <f t="shared" si="132"/>
        <v>4976</v>
      </c>
      <c r="H2685" s="3" t="s">
        <v>293</v>
      </c>
      <c r="I2685" s="1" t="s">
        <v>3</v>
      </c>
      <c r="J2685" s="1" t="s">
        <v>8</v>
      </c>
      <c r="K2685" s="1" t="s">
        <v>298</v>
      </c>
      <c r="L2685" s="1" t="s">
        <v>257</v>
      </c>
      <c r="M2685" s="1">
        <v>1</v>
      </c>
      <c r="N2685" s="1">
        <f t="shared" si="131"/>
        <v>1</v>
      </c>
      <c r="O2685" s="87"/>
    </row>
    <row r="2686" spans="1:15" ht="15.75" hidden="1" x14ac:dyDescent="0.25">
      <c r="A2686" s="1" t="str">
        <f t="shared" si="130"/>
        <v>44956449564760SAVINGTRANSFERSELF</v>
      </c>
      <c r="B2686" s="154">
        <v>44956</v>
      </c>
      <c r="C2686" s="154">
        <v>44956</v>
      </c>
      <c r="D2686" s="3" t="s">
        <v>2407</v>
      </c>
      <c r="E2686" s="3">
        <v>4760</v>
      </c>
      <c r="F2686" s="3">
        <v>1</v>
      </c>
      <c r="G2686" s="3">
        <f t="shared" si="132"/>
        <v>4760</v>
      </c>
      <c r="H2686" s="3" t="s">
        <v>302</v>
      </c>
      <c r="I2686" s="1" t="s">
        <v>22</v>
      </c>
      <c r="J2686" s="1" t="s">
        <v>14</v>
      </c>
      <c r="K2686" s="1" t="s">
        <v>22</v>
      </c>
      <c r="L2686" s="1" t="s">
        <v>257</v>
      </c>
      <c r="M2686" s="1"/>
      <c r="N2686" s="1">
        <f t="shared" si="131"/>
        <v>1</v>
      </c>
      <c r="O2686" s="87" t="s">
        <v>3195</v>
      </c>
    </row>
    <row r="2687" spans="1:15" ht="15.75" hidden="1" x14ac:dyDescent="0.25">
      <c r="A2687" s="1" t="str">
        <f t="shared" si="130"/>
        <v>44957449570CURRENTSAVINGSELF</v>
      </c>
      <c r="B2687" s="154">
        <v>44957</v>
      </c>
      <c r="C2687" s="154">
        <v>44957</v>
      </c>
      <c r="D2687" s="3" t="s">
        <v>3176</v>
      </c>
      <c r="E2687" s="3">
        <v>80462.31</v>
      </c>
      <c r="F2687" s="3">
        <v>0</v>
      </c>
      <c r="G2687" s="3">
        <f t="shared" si="132"/>
        <v>0</v>
      </c>
      <c r="H2687" s="3" t="s">
        <v>293</v>
      </c>
      <c r="I2687" s="1" t="s">
        <v>302</v>
      </c>
      <c r="J2687" s="1" t="s">
        <v>14</v>
      </c>
      <c r="K2687" s="1" t="s">
        <v>300</v>
      </c>
      <c r="L2687" s="1" t="s">
        <v>257</v>
      </c>
      <c r="M2687" s="1"/>
      <c r="N2687" s="1">
        <f t="shared" si="131"/>
        <v>1</v>
      </c>
      <c r="O2687" s="87"/>
    </row>
    <row r="2688" spans="1:15" ht="15.75" hidden="1" x14ac:dyDescent="0.25">
      <c r="A2688" s="1" t="str">
        <f t="shared" si="130"/>
        <v>44957449570CURRENTLOANAKSHIT</v>
      </c>
      <c r="B2688" s="154">
        <v>44957</v>
      </c>
      <c r="C2688" s="154">
        <v>44957</v>
      </c>
      <c r="D2688" s="3" t="s">
        <v>3177</v>
      </c>
      <c r="E2688" s="3">
        <v>7000</v>
      </c>
      <c r="F2688" s="3">
        <v>0</v>
      </c>
      <c r="G2688" s="3">
        <f t="shared" si="132"/>
        <v>0</v>
      </c>
      <c r="H2688" s="3" t="s">
        <v>293</v>
      </c>
      <c r="I2688" s="1" t="s">
        <v>3</v>
      </c>
      <c r="J2688" s="1" t="s">
        <v>879</v>
      </c>
      <c r="K2688" s="1" t="s">
        <v>300</v>
      </c>
      <c r="L2688" s="1" t="s">
        <v>257</v>
      </c>
      <c r="M2688" s="1"/>
      <c r="N2688" s="1">
        <f t="shared" si="131"/>
        <v>1</v>
      </c>
      <c r="O2688" s="87" t="s">
        <v>3185</v>
      </c>
    </row>
    <row r="2689" spans="1:15" ht="15.75" hidden="1" x14ac:dyDescent="0.25">
      <c r="A2689" s="1" t="str">
        <f t="shared" si="130"/>
        <v>449574495711CURRENTFOODCAFÉ/REST.</v>
      </c>
      <c r="B2689" s="154">
        <v>44957</v>
      </c>
      <c r="C2689" s="154">
        <v>44957</v>
      </c>
      <c r="D2689" s="3" t="s">
        <v>3178</v>
      </c>
      <c r="E2689" s="3">
        <v>11</v>
      </c>
      <c r="F2689" s="3">
        <v>1</v>
      </c>
      <c r="G2689" s="3">
        <f t="shared" si="132"/>
        <v>11</v>
      </c>
      <c r="H2689" s="3" t="s">
        <v>293</v>
      </c>
      <c r="I2689" s="1" t="s">
        <v>10</v>
      </c>
      <c r="J2689" s="1" t="s">
        <v>11</v>
      </c>
      <c r="K2689" s="1" t="s">
        <v>298</v>
      </c>
      <c r="L2689" s="1" t="s">
        <v>257</v>
      </c>
      <c r="M2689" s="1"/>
      <c r="N2689" s="1">
        <f t="shared" si="131"/>
        <v>1</v>
      </c>
      <c r="O2689" s="87"/>
    </row>
    <row r="2690" spans="1:15" ht="15.75" hidden="1" x14ac:dyDescent="0.25">
      <c r="A2690" s="1" t="str">
        <f t="shared" ref="A2690:A2753" si="134">B2690&amp;C2690&amp;G2690&amp;H2690&amp;I2690&amp;J2690</f>
        <v>4495744957103.37CURRENTGROCERYINDIAN SUPER</v>
      </c>
      <c r="B2690" s="154">
        <v>44957</v>
      </c>
      <c r="C2690" s="154">
        <v>44957</v>
      </c>
      <c r="D2690" s="3" t="s">
        <v>3179</v>
      </c>
      <c r="E2690" s="3">
        <v>103.37</v>
      </c>
      <c r="F2690" s="3">
        <v>1</v>
      </c>
      <c r="G2690" s="3">
        <f t="shared" si="132"/>
        <v>103.37</v>
      </c>
      <c r="H2690" s="3" t="s">
        <v>293</v>
      </c>
      <c r="I2690" s="1" t="s">
        <v>43</v>
      </c>
      <c r="J2690" s="1" t="s">
        <v>2273</v>
      </c>
      <c r="K2690" s="1" t="s">
        <v>298</v>
      </c>
      <c r="L2690" s="1" t="s">
        <v>257</v>
      </c>
      <c r="M2690" s="1"/>
      <c r="N2690" s="1">
        <f t="shared" ref="N2690:N2753" si="135">MONTH(C2690)</f>
        <v>1</v>
      </c>
      <c r="O2690" s="87"/>
    </row>
    <row r="2691" spans="1:15" ht="15.75" hidden="1" x14ac:dyDescent="0.25">
      <c r="A2691" s="1" t="str">
        <f t="shared" si="134"/>
        <v>449574495744CURRENTCC BILL PAYMENTBANK</v>
      </c>
      <c r="B2691" s="154">
        <v>44957</v>
      </c>
      <c r="C2691" s="154">
        <v>44957</v>
      </c>
      <c r="D2691" s="3" t="s">
        <v>3180</v>
      </c>
      <c r="E2691" s="3">
        <v>44</v>
      </c>
      <c r="F2691" s="3">
        <v>1</v>
      </c>
      <c r="G2691" s="3">
        <f t="shared" si="132"/>
        <v>44</v>
      </c>
      <c r="H2691" s="3" t="s">
        <v>293</v>
      </c>
      <c r="I2691" s="1" t="s">
        <v>81</v>
      </c>
      <c r="J2691" s="1" t="s">
        <v>8</v>
      </c>
      <c r="K2691" s="1" t="s">
        <v>298</v>
      </c>
      <c r="L2691" s="1" t="s">
        <v>257</v>
      </c>
      <c r="M2691" s="1"/>
      <c r="N2691" s="1">
        <f t="shared" si="135"/>
        <v>1</v>
      </c>
      <c r="O2691" s="87"/>
    </row>
    <row r="2692" spans="1:15" ht="15.75" hidden="1" x14ac:dyDescent="0.25">
      <c r="A2692" s="1" t="str">
        <f t="shared" si="134"/>
        <v>4495744957500CURRENTWITHDRAWSELF</v>
      </c>
      <c r="B2692" s="154">
        <v>44957</v>
      </c>
      <c r="C2692" s="154">
        <v>44957</v>
      </c>
      <c r="D2692" s="3" t="s">
        <v>3181</v>
      </c>
      <c r="E2692" s="3">
        <v>500</v>
      </c>
      <c r="F2692" s="3">
        <v>1</v>
      </c>
      <c r="G2692" s="3">
        <f t="shared" si="132"/>
        <v>500</v>
      </c>
      <c r="H2692" s="3" t="s">
        <v>293</v>
      </c>
      <c r="I2692" s="1" t="s">
        <v>13</v>
      </c>
      <c r="J2692" s="1" t="s">
        <v>14</v>
      </c>
      <c r="K2692" s="1" t="s">
        <v>298</v>
      </c>
      <c r="L2692" s="1" t="s">
        <v>257</v>
      </c>
      <c r="M2692" s="1"/>
      <c r="N2692" s="1">
        <f t="shared" si="135"/>
        <v>1</v>
      </c>
      <c r="O2692" s="87"/>
    </row>
    <row r="2693" spans="1:15" ht="15.75" hidden="1" x14ac:dyDescent="0.25">
      <c r="A2693" s="1" t="str">
        <f t="shared" si="134"/>
        <v>449574495780067SAVINGTRANSFERSELF</v>
      </c>
      <c r="B2693" s="154">
        <v>44957</v>
      </c>
      <c r="C2693" s="154">
        <v>44957</v>
      </c>
      <c r="D2693" s="3" t="s">
        <v>2407</v>
      </c>
      <c r="E2693" s="3">
        <v>80067</v>
      </c>
      <c r="F2693" s="3">
        <v>1</v>
      </c>
      <c r="G2693" s="3">
        <f t="shared" si="132"/>
        <v>80067</v>
      </c>
      <c r="H2693" s="3" t="s">
        <v>302</v>
      </c>
      <c r="I2693" s="1" t="s">
        <v>22</v>
      </c>
      <c r="J2693" s="1" t="s">
        <v>14</v>
      </c>
      <c r="K2693" s="1" t="s">
        <v>22</v>
      </c>
      <c r="L2693" s="1" t="s">
        <v>257</v>
      </c>
      <c r="M2693" s="1"/>
      <c r="N2693" s="1">
        <f t="shared" si="135"/>
        <v>1</v>
      </c>
      <c r="O2693" s="87"/>
    </row>
    <row r="2694" spans="1:15" ht="15.75" hidden="1" x14ac:dyDescent="0.25">
      <c r="A2694" s="1" t="str">
        <f t="shared" si="134"/>
        <v>4495844958500CURRENTSAVINGARTI</v>
      </c>
      <c r="B2694" s="154">
        <v>44958</v>
      </c>
      <c r="C2694" s="154">
        <v>44958</v>
      </c>
      <c r="D2694" s="3" t="s">
        <v>2909</v>
      </c>
      <c r="E2694" s="3">
        <v>-500</v>
      </c>
      <c r="F2694" s="3">
        <v>1</v>
      </c>
      <c r="G2694" s="3">
        <f t="shared" si="132"/>
        <v>500</v>
      </c>
      <c r="H2694" s="3" t="s">
        <v>293</v>
      </c>
      <c r="I2694" s="1" t="s">
        <v>302</v>
      </c>
      <c r="J2694" s="1" t="s">
        <v>453</v>
      </c>
      <c r="K2694" s="1" t="s">
        <v>298</v>
      </c>
      <c r="L2694" s="1" t="s">
        <v>257</v>
      </c>
      <c r="M2694" s="1"/>
      <c r="N2694" s="1">
        <f t="shared" si="135"/>
        <v>2</v>
      </c>
      <c r="O2694" s="87"/>
    </row>
    <row r="2695" spans="1:15" ht="15.75" hidden="1" x14ac:dyDescent="0.25">
      <c r="A2695" s="1" t="str">
        <f t="shared" si="134"/>
        <v>449584495896179.45CURRENTLOANBANK</v>
      </c>
      <c r="B2695" s="154">
        <v>44958</v>
      </c>
      <c r="C2695" s="154">
        <v>44958</v>
      </c>
      <c r="D2695" s="3" t="s">
        <v>2627</v>
      </c>
      <c r="E2695" s="3">
        <v>96179.45</v>
      </c>
      <c r="F2695" s="3">
        <v>1</v>
      </c>
      <c r="G2695" s="3">
        <f t="shared" si="132"/>
        <v>96179.45</v>
      </c>
      <c r="H2695" s="3" t="s">
        <v>293</v>
      </c>
      <c r="I2695" s="1" t="s">
        <v>3</v>
      </c>
      <c r="J2695" s="1" t="s">
        <v>8</v>
      </c>
      <c r="K2695" s="1" t="s">
        <v>298</v>
      </c>
      <c r="L2695" s="1" t="s">
        <v>257</v>
      </c>
      <c r="M2695" s="1">
        <v>1</v>
      </c>
      <c r="N2695" s="1">
        <f t="shared" si="135"/>
        <v>2</v>
      </c>
      <c r="O2695" s="87"/>
    </row>
    <row r="2696" spans="1:15" ht="15.75" hidden="1" x14ac:dyDescent="0.25">
      <c r="A2696" s="1" t="str">
        <f t="shared" si="134"/>
        <v>449584495818.7CURRENTLOANBANK</v>
      </c>
      <c r="B2696" s="154">
        <v>44958</v>
      </c>
      <c r="C2696" s="154">
        <v>44958</v>
      </c>
      <c r="D2696" s="3" t="s">
        <v>3175</v>
      </c>
      <c r="E2696" s="3">
        <v>18.7</v>
      </c>
      <c r="F2696" s="3">
        <v>1</v>
      </c>
      <c r="G2696" s="3">
        <f t="shared" si="132"/>
        <v>18.7</v>
      </c>
      <c r="H2696" s="3" t="s">
        <v>293</v>
      </c>
      <c r="I2696" s="1" t="s">
        <v>3</v>
      </c>
      <c r="J2696" s="1" t="s">
        <v>8</v>
      </c>
      <c r="K2696" s="1" t="s">
        <v>298</v>
      </c>
      <c r="L2696" s="1" t="s">
        <v>257</v>
      </c>
      <c r="M2696" s="1">
        <v>1</v>
      </c>
      <c r="N2696" s="1">
        <f t="shared" si="135"/>
        <v>2</v>
      </c>
      <c r="O2696" s="87"/>
    </row>
    <row r="2697" spans="1:15" ht="15.75" hidden="1" x14ac:dyDescent="0.25">
      <c r="A2697" s="1" t="str">
        <f t="shared" si="134"/>
        <v>44962449621018CURRENTTRANSFERINDIA</v>
      </c>
      <c r="B2697" s="154">
        <v>44962</v>
      </c>
      <c r="C2697" s="154">
        <v>44962</v>
      </c>
      <c r="D2697" s="3" t="s">
        <v>3196</v>
      </c>
      <c r="E2697" s="3">
        <v>-1018</v>
      </c>
      <c r="F2697" s="3">
        <v>1</v>
      </c>
      <c r="G2697" s="3">
        <f t="shared" si="132"/>
        <v>1018</v>
      </c>
      <c r="H2697" s="3" t="s">
        <v>293</v>
      </c>
      <c r="I2697" s="1" t="s">
        <v>22</v>
      </c>
      <c r="J2697" s="1" t="s">
        <v>23</v>
      </c>
      <c r="K2697" s="1" t="s">
        <v>298</v>
      </c>
      <c r="L2697" s="1" t="s">
        <v>257</v>
      </c>
      <c r="M2697" s="1"/>
      <c r="N2697" s="1">
        <f t="shared" si="135"/>
        <v>2</v>
      </c>
      <c r="O2697" s="87"/>
    </row>
    <row r="2698" spans="1:15" ht="15.75" hidden="1" x14ac:dyDescent="0.25">
      <c r="A2698" s="1" t="str">
        <f t="shared" si="134"/>
        <v>44962449621000CURRENTTRANSFERSELF</v>
      </c>
      <c r="B2698" s="154">
        <v>44962</v>
      </c>
      <c r="C2698" s="154">
        <v>44962</v>
      </c>
      <c r="D2698" s="3" t="s">
        <v>3197</v>
      </c>
      <c r="E2698" s="3">
        <v>1000</v>
      </c>
      <c r="F2698" s="3">
        <v>1</v>
      </c>
      <c r="G2698" s="3">
        <f t="shared" si="132"/>
        <v>1000</v>
      </c>
      <c r="H2698" s="3" t="s">
        <v>293</v>
      </c>
      <c r="I2698" s="1" t="s">
        <v>22</v>
      </c>
      <c r="J2698" s="1" t="s">
        <v>14</v>
      </c>
      <c r="K2698" s="1" t="s">
        <v>300</v>
      </c>
      <c r="L2698" s="1" t="s">
        <v>257</v>
      </c>
      <c r="M2698" s="1"/>
      <c r="N2698" s="1">
        <f t="shared" si="135"/>
        <v>2</v>
      </c>
      <c r="O2698" s="87"/>
    </row>
    <row r="2699" spans="1:15" ht="15.75" hidden="1" x14ac:dyDescent="0.25">
      <c r="A2699" s="1" t="str">
        <f t="shared" si="134"/>
        <v>449624496266.91CURRENTTRANSFERSELF</v>
      </c>
      <c r="B2699" s="154">
        <v>44962</v>
      </c>
      <c r="C2699" s="154">
        <v>44962</v>
      </c>
      <c r="D2699" s="3" t="s">
        <v>3198</v>
      </c>
      <c r="E2699" s="3">
        <v>66.91</v>
      </c>
      <c r="F2699" s="3">
        <v>1</v>
      </c>
      <c r="G2699" s="3">
        <f t="shared" ref="G2699:G2762" si="136">ABS(E2699)*F2699</f>
        <v>66.91</v>
      </c>
      <c r="H2699" s="3" t="s">
        <v>293</v>
      </c>
      <c r="I2699" s="1" t="s">
        <v>22</v>
      </c>
      <c r="J2699" s="1" t="s">
        <v>14</v>
      </c>
      <c r="K2699" s="1" t="s">
        <v>300</v>
      </c>
      <c r="L2699" s="1" t="s">
        <v>257</v>
      </c>
      <c r="M2699" s="1"/>
      <c r="N2699" s="1">
        <f t="shared" si="135"/>
        <v>2</v>
      </c>
      <c r="O2699" s="87"/>
    </row>
    <row r="2700" spans="1:15" ht="15.75" hidden="1" x14ac:dyDescent="0.25">
      <c r="A2700" s="1" t="str">
        <f t="shared" si="134"/>
        <v>44962449621950CURRENTEDUCATIONDAFFODILES</v>
      </c>
      <c r="B2700" s="154">
        <v>44962</v>
      </c>
      <c r="C2700" s="154">
        <v>44962</v>
      </c>
      <c r="D2700" s="3" t="s">
        <v>3199</v>
      </c>
      <c r="E2700" s="3">
        <v>-1950</v>
      </c>
      <c r="F2700" s="3">
        <v>1</v>
      </c>
      <c r="G2700" s="3">
        <f t="shared" si="136"/>
        <v>1950</v>
      </c>
      <c r="H2700" s="3" t="s">
        <v>293</v>
      </c>
      <c r="I2700" s="1" t="s">
        <v>543</v>
      </c>
      <c r="J2700" s="1" t="s">
        <v>2271</v>
      </c>
      <c r="K2700" s="1" t="s">
        <v>298</v>
      </c>
      <c r="L2700" s="1" t="s">
        <v>257</v>
      </c>
      <c r="M2700" s="1"/>
      <c r="N2700" s="1">
        <f t="shared" si="135"/>
        <v>2</v>
      </c>
      <c r="O2700" s="87"/>
    </row>
    <row r="2701" spans="1:15" ht="15.75" hidden="1" x14ac:dyDescent="0.25">
      <c r="A2701" s="1" t="str">
        <f t="shared" si="134"/>
        <v>44964449640CURRENTLOANARSAL</v>
      </c>
      <c r="B2701" s="154">
        <v>44964</v>
      </c>
      <c r="C2701" s="154">
        <v>44964</v>
      </c>
      <c r="D2701" s="3" t="s">
        <v>3200</v>
      </c>
      <c r="E2701" s="3">
        <v>5000</v>
      </c>
      <c r="F2701" s="3">
        <v>0</v>
      </c>
      <c r="G2701" s="3">
        <f t="shared" si="136"/>
        <v>0</v>
      </c>
      <c r="H2701" s="3" t="s">
        <v>293</v>
      </c>
      <c r="I2701" s="1" t="s">
        <v>3</v>
      </c>
      <c r="J2701" s="1" t="s">
        <v>3302</v>
      </c>
      <c r="K2701" s="1" t="s">
        <v>300</v>
      </c>
      <c r="L2701" s="1" t="s">
        <v>257</v>
      </c>
      <c r="M2701" s="1"/>
      <c r="N2701" s="1">
        <f t="shared" si="135"/>
        <v>2</v>
      </c>
      <c r="O2701" s="87" t="s">
        <v>3300</v>
      </c>
    </row>
    <row r="2702" spans="1:15" ht="15.75" hidden="1" x14ac:dyDescent="0.25">
      <c r="A2702" s="1" t="str">
        <f t="shared" si="134"/>
        <v>44969449695000CURRENTRENTALBAKER</v>
      </c>
      <c r="B2702" s="154">
        <v>44969</v>
      </c>
      <c r="C2702" s="154">
        <v>44969</v>
      </c>
      <c r="D2702" s="3" t="s">
        <v>3201</v>
      </c>
      <c r="E2702" s="3">
        <v>-5000</v>
      </c>
      <c r="F2702" s="3">
        <v>1</v>
      </c>
      <c r="G2702" s="3">
        <f t="shared" si="136"/>
        <v>5000</v>
      </c>
      <c r="H2702" s="3" t="s">
        <v>293</v>
      </c>
      <c r="I2702" s="1" t="s">
        <v>83</v>
      </c>
      <c r="J2702" s="1" t="s">
        <v>2701</v>
      </c>
      <c r="K2702" s="1" t="s">
        <v>298</v>
      </c>
      <c r="L2702" s="1" t="s">
        <v>257</v>
      </c>
      <c r="M2702" s="1"/>
      <c r="N2702" s="1">
        <f t="shared" si="135"/>
        <v>2</v>
      </c>
      <c r="O2702" s="87"/>
    </row>
    <row r="2703" spans="1:15" ht="15.75" hidden="1" x14ac:dyDescent="0.25">
      <c r="A2703" s="1" t="str">
        <f t="shared" si="134"/>
        <v>4497744977500CURRENTWITHDRAWSELF</v>
      </c>
      <c r="B2703" s="154">
        <v>44977</v>
      </c>
      <c r="C2703" s="154">
        <v>44977</v>
      </c>
      <c r="D2703" s="3" t="s">
        <v>3202</v>
      </c>
      <c r="E2703" s="3">
        <v>-500</v>
      </c>
      <c r="F2703" s="3">
        <v>1</v>
      </c>
      <c r="G2703" s="3">
        <f t="shared" si="136"/>
        <v>500</v>
      </c>
      <c r="H2703" s="3" t="s">
        <v>293</v>
      </c>
      <c r="I2703" s="1" t="s">
        <v>13</v>
      </c>
      <c r="J2703" s="1" t="s">
        <v>14</v>
      </c>
      <c r="K2703" s="1" t="s">
        <v>298</v>
      </c>
      <c r="L2703" s="1" t="s">
        <v>257</v>
      </c>
      <c r="M2703" s="1"/>
      <c r="N2703" s="1">
        <f t="shared" si="135"/>
        <v>2</v>
      </c>
      <c r="O2703" s="87"/>
    </row>
    <row r="2704" spans="1:15" ht="15.75" hidden="1" x14ac:dyDescent="0.25">
      <c r="A2704" s="1" t="str">
        <f t="shared" si="134"/>
        <v>44984449846300CURRENTCC BILL PAYMENTBANK</v>
      </c>
      <c r="B2704" s="154">
        <v>44984</v>
      </c>
      <c r="C2704" s="154">
        <v>44984</v>
      </c>
      <c r="D2704" s="3" t="s">
        <v>3203</v>
      </c>
      <c r="E2704" s="3">
        <v>-6300</v>
      </c>
      <c r="F2704" s="3">
        <v>1</v>
      </c>
      <c r="G2704" s="3">
        <f t="shared" si="136"/>
        <v>6300</v>
      </c>
      <c r="H2704" s="3" t="s">
        <v>293</v>
      </c>
      <c r="I2704" s="1" t="s">
        <v>81</v>
      </c>
      <c r="J2704" s="1" t="s">
        <v>8</v>
      </c>
      <c r="K2704" s="1" t="s">
        <v>298</v>
      </c>
      <c r="L2704" s="1" t="s">
        <v>257</v>
      </c>
      <c r="M2704" s="1"/>
      <c r="N2704" s="1">
        <f t="shared" si="135"/>
        <v>2</v>
      </c>
      <c r="O2704" s="87"/>
    </row>
    <row r="2705" spans="1:15" ht="15.75" hidden="1" x14ac:dyDescent="0.25">
      <c r="A2705" s="1" t="str">
        <f t="shared" si="134"/>
        <v>449844498421974CURRENTSALARYQATAR AIR</v>
      </c>
      <c r="B2705" s="154">
        <v>44984</v>
      </c>
      <c r="C2705" s="154">
        <v>44984</v>
      </c>
      <c r="D2705" s="3" t="s">
        <v>3204</v>
      </c>
      <c r="E2705" s="3">
        <v>21974</v>
      </c>
      <c r="F2705" s="3">
        <v>1</v>
      </c>
      <c r="G2705" s="3">
        <f t="shared" si="136"/>
        <v>21974</v>
      </c>
      <c r="H2705" s="3" t="s">
        <v>293</v>
      </c>
      <c r="I2705" s="1" t="s">
        <v>18</v>
      </c>
      <c r="J2705" s="1" t="s">
        <v>19</v>
      </c>
      <c r="K2705" s="1" t="s">
        <v>300</v>
      </c>
      <c r="L2705" s="1" t="s">
        <v>257</v>
      </c>
      <c r="M2705" s="1"/>
      <c r="N2705" s="1">
        <f t="shared" si="135"/>
        <v>2</v>
      </c>
      <c r="O2705" s="87"/>
    </row>
    <row r="2706" spans="1:15" ht="15.75" hidden="1" x14ac:dyDescent="0.25">
      <c r="A2706" s="1" t="str">
        <f t="shared" si="134"/>
        <v>449854498522CURRENTFOODCAFÉ/REST.</v>
      </c>
      <c r="B2706" s="154">
        <v>44985</v>
      </c>
      <c r="C2706" s="154">
        <v>44985</v>
      </c>
      <c r="D2706" s="3" t="s">
        <v>3205</v>
      </c>
      <c r="E2706" s="3">
        <v>-22</v>
      </c>
      <c r="F2706" s="3">
        <v>1</v>
      </c>
      <c r="G2706" s="3">
        <f t="shared" si="136"/>
        <v>22</v>
      </c>
      <c r="H2706" s="3" t="s">
        <v>293</v>
      </c>
      <c r="I2706" s="1" t="s">
        <v>10</v>
      </c>
      <c r="J2706" s="1" t="s">
        <v>11</v>
      </c>
      <c r="K2706" s="1" t="s">
        <v>298</v>
      </c>
      <c r="L2706" s="1" t="s">
        <v>257</v>
      </c>
      <c r="M2706" s="1"/>
      <c r="N2706" s="1">
        <f t="shared" si="135"/>
        <v>2</v>
      </c>
      <c r="O2706" s="87"/>
    </row>
    <row r="2707" spans="1:15" ht="15.75" hidden="1" x14ac:dyDescent="0.25">
      <c r="A2707" s="1" t="str">
        <f t="shared" si="134"/>
        <v>4498644986500CURRENTSAVINGARTI</v>
      </c>
      <c r="B2707" s="154">
        <v>44986</v>
      </c>
      <c r="C2707" s="154">
        <v>44986</v>
      </c>
      <c r="D2707" s="3" t="s">
        <v>2909</v>
      </c>
      <c r="E2707" s="3">
        <v>-500</v>
      </c>
      <c r="F2707" s="3">
        <v>1</v>
      </c>
      <c r="G2707" s="3">
        <f t="shared" si="136"/>
        <v>500</v>
      </c>
      <c r="H2707" s="3" t="s">
        <v>293</v>
      </c>
      <c r="I2707" s="1" t="s">
        <v>302</v>
      </c>
      <c r="J2707" s="1" t="s">
        <v>453</v>
      </c>
      <c r="K2707" s="1" t="s">
        <v>298</v>
      </c>
      <c r="L2707" s="1" t="s">
        <v>257</v>
      </c>
      <c r="M2707" s="1"/>
      <c r="N2707" s="1">
        <f t="shared" si="135"/>
        <v>3</v>
      </c>
      <c r="O2707" s="87"/>
    </row>
    <row r="2708" spans="1:15" ht="15.75" hidden="1" x14ac:dyDescent="0.25">
      <c r="A2708" s="1" t="str">
        <f t="shared" si="134"/>
        <v>44987449871950CURRENTEDUCATIONDAFFODILES</v>
      </c>
      <c r="B2708" s="154">
        <v>44987</v>
      </c>
      <c r="C2708" s="154">
        <v>44987</v>
      </c>
      <c r="D2708" s="3" t="s">
        <v>3206</v>
      </c>
      <c r="E2708" s="3">
        <v>-1950</v>
      </c>
      <c r="F2708" s="3">
        <v>1</v>
      </c>
      <c r="G2708" s="3">
        <f t="shared" si="136"/>
        <v>1950</v>
      </c>
      <c r="H2708" s="3" t="s">
        <v>293</v>
      </c>
      <c r="I2708" s="1" t="s">
        <v>543</v>
      </c>
      <c r="J2708" s="1" t="s">
        <v>2271</v>
      </c>
      <c r="K2708" s="1" t="s">
        <v>298</v>
      </c>
      <c r="L2708" s="1" t="s">
        <v>257</v>
      </c>
      <c r="M2708" s="1"/>
      <c r="N2708" s="1">
        <f t="shared" si="135"/>
        <v>3</v>
      </c>
      <c r="O2708" s="87"/>
    </row>
    <row r="2709" spans="1:15" ht="15.75" hidden="1" x14ac:dyDescent="0.25">
      <c r="A2709" s="1" t="str">
        <f t="shared" si="134"/>
        <v>449874498334FIFA CCFOODTALABAT</v>
      </c>
      <c r="B2709" s="154">
        <v>44987</v>
      </c>
      <c r="C2709" s="154">
        <v>44983</v>
      </c>
      <c r="D2709" s="3" t="s">
        <v>3245</v>
      </c>
      <c r="E2709" s="3">
        <v>34</v>
      </c>
      <c r="F2709" s="3">
        <v>1</v>
      </c>
      <c r="G2709" s="3">
        <f t="shared" si="136"/>
        <v>34</v>
      </c>
      <c r="H2709" s="3" t="s">
        <v>3294</v>
      </c>
      <c r="I2709" s="1" t="s">
        <v>10</v>
      </c>
      <c r="J2709" s="1" t="s">
        <v>865</v>
      </c>
      <c r="K2709" s="1" t="s">
        <v>298</v>
      </c>
      <c r="L2709" s="1" t="s">
        <v>267</v>
      </c>
      <c r="M2709" s="1"/>
      <c r="N2709" s="1">
        <f t="shared" si="135"/>
        <v>2</v>
      </c>
      <c r="O2709" s="87"/>
    </row>
    <row r="2710" spans="1:15" ht="15.75" hidden="1" x14ac:dyDescent="0.25">
      <c r="A2710" s="1" t="str">
        <f t="shared" si="134"/>
        <v>449894498898.83FIFA CCGROCERYINDIAN SUPER</v>
      </c>
      <c r="B2710" s="154">
        <v>44989</v>
      </c>
      <c r="C2710" s="154">
        <v>44988</v>
      </c>
      <c r="D2710" s="3" t="s">
        <v>3246</v>
      </c>
      <c r="E2710" s="3">
        <v>98.83</v>
      </c>
      <c r="F2710" s="3">
        <v>1</v>
      </c>
      <c r="G2710" s="3">
        <f t="shared" si="136"/>
        <v>98.83</v>
      </c>
      <c r="H2710" s="3" t="s">
        <v>3294</v>
      </c>
      <c r="I2710" s="1" t="s">
        <v>43</v>
      </c>
      <c r="J2710" s="1" t="s">
        <v>2273</v>
      </c>
      <c r="K2710" s="1" t="s">
        <v>298</v>
      </c>
      <c r="L2710" s="1" t="s">
        <v>267</v>
      </c>
      <c r="M2710" s="1"/>
      <c r="N2710" s="1">
        <f t="shared" si="135"/>
        <v>3</v>
      </c>
      <c r="O2710" s="87"/>
    </row>
    <row r="2711" spans="1:15" ht="15.75" hidden="1" x14ac:dyDescent="0.25">
      <c r="A2711" s="1" t="str">
        <f t="shared" si="134"/>
        <v>449894498833FIFA CCGROCERYINDIAN SUPER</v>
      </c>
      <c r="B2711" s="154">
        <v>44989</v>
      </c>
      <c r="C2711" s="154">
        <v>44988</v>
      </c>
      <c r="D2711" s="3" t="s">
        <v>3247</v>
      </c>
      <c r="E2711" s="3">
        <v>33</v>
      </c>
      <c r="F2711" s="3">
        <v>1</v>
      </c>
      <c r="G2711" s="3">
        <f t="shared" si="136"/>
        <v>33</v>
      </c>
      <c r="H2711" s="3" t="s">
        <v>3294</v>
      </c>
      <c r="I2711" s="1" t="s">
        <v>43</v>
      </c>
      <c r="J2711" s="1" t="s">
        <v>2273</v>
      </c>
      <c r="K2711" s="1" t="s">
        <v>298</v>
      </c>
      <c r="L2711" s="1" t="s">
        <v>267</v>
      </c>
      <c r="M2711" s="1"/>
      <c r="N2711" s="1">
        <f t="shared" si="135"/>
        <v>3</v>
      </c>
      <c r="O2711" s="87"/>
    </row>
    <row r="2712" spans="1:15" ht="15.75" hidden="1" x14ac:dyDescent="0.25">
      <c r="A2712" s="1" t="str">
        <f t="shared" si="134"/>
        <v>4498944988249FIFA CCSHOPPINGAL ANEES</v>
      </c>
      <c r="B2712" s="154">
        <v>44989</v>
      </c>
      <c r="C2712" s="154">
        <v>44988</v>
      </c>
      <c r="D2712" s="3" t="s">
        <v>3248</v>
      </c>
      <c r="E2712" s="3">
        <v>249</v>
      </c>
      <c r="F2712" s="3">
        <v>1</v>
      </c>
      <c r="G2712" s="3">
        <f t="shared" si="136"/>
        <v>249</v>
      </c>
      <c r="H2712" s="3" t="s">
        <v>3294</v>
      </c>
      <c r="I2712" s="1" t="s">
        <v>194</v>
      </c>
      <c r="J2712" s="1" t="s">
        <v>3297</v>
      </c>
      <c r="K2712" s="1" t="s">
        <v>298</v>
      </c>
      <c r="L2712" s="1" t="s">
        <v>267</v>
      </c>
      <c r="M2712" s="1"/>
      <c r="N2712" s="1">
        <f t="shared" si="135"/>
        <v>3</v>
      </c>
      <c r="O2712" s="87"/>
    </row>
    <row r="2713" spans="1:15" ht="15.75" hidden="1" x14ac:dyDescent="0.25">
      <c r="A2713" s="1" t="str">
        <f t="shared" si="134"/>
        <v>4499044990138FIFA CCRENTKAHRAMAA</v>
      </c>
      <c r="B2713" s="154">
        <v>44990</v>
      </c>
      <c r="C2713" s="154">
        <v>44990</v>
      </c>
      <c r="D2713" s="3" t="s">
        <v>3249</v>
      </c>
      <c r="E2713" s="3">
        <v>138</v>
      </c>
      <c r="F2713" s="3">
        <v>1</v>
      </c>
      <c r="G2713" s="3">
        <f t="shared" si="136"/>
        <v>138</v>
      </c>
      <c r="H2713" s="3" t="s">
        <v>3294</v>
      </c>
      <c r="I2713" s="1" t="s">
        <v>83</v>
      </c>
      <c r="J2713" s="1" t="s">
        <v>4113</v>
      </c>
      <c r="K2713" s="1" t="s">
        <v>298</v>
      </c>
      <c r="L2713" s="1" t="s">
        <v>267</v>
      </c>
      <c r="M2713" s="1"/>
      <c r="N2713" s="1">
        <f t="shared" si="135"/>
        <v>3</v>
      </c>
      <c r="O2713" s="87"/>
    </row>
    <row r="2714" spans="1:15" ht="15.75" hidden="1" x14ac:dyDescent="0.25">
      <c r="A2714" s="1" t="str">
        <f t="shared" si="134"/>
        <v>449904498841FIFA CCFOODCAFÉ/REST.</v>
      </c>
      <c r="B2714" s="154">
        <v>44990</v>
      </c>
      <c r="C2714" s="154">
        <v>44988</v>
      </c>
      <c r="D2714" s="3" t="s">
        <v>3250</v>
      </c>
      <c r="E2714" s="3">
        <v>41</v>
      </c>
      <c r="F2714" s="3">
        <v>1</v>
      </c>
      <c r="G2714" s="3">
        <f t="shared" si="136"/>
        <v>41</v>
      </c>
      <c r="H2714" s="3" t="s">
        <v>3294</v>
      </c>
      <c r="I2714" s="1" t="s">
        <v>10</v>
      </c>
      <c r="J2714" s="1" t="s">
        <v>11</v>
      </c>
      <c r="K2714" s="1" t="s">
        <v>298</v>
      </c>
      <c r="L2714" s="1" t="s">
        <v>267</v>
      </c>
      <c r="M2714" s="1"/>
      <c r="N2714" s="1">
        <f t="shared" si="135"/>
        <v>3</v>
      </c>
      <c r="O2714" s="87"/>
    </row>
    <row r="2715" spans="1:15" ht="15.75" hidden="1" x14ac:dyDescent="0.25">
      <c r="A2715" s="1" t="str">
        <f t="shared" si="134"/>
        <v>449914499112CURRENTFOODQATAR AIR</v>
      </c>
      <c r="B2715" s="154">
        <v>44991</v>
      </c>
      <c r="C2715" s="154">
        <v>44991</v>
      </c>
      <c r="D2715" s="3" t="s">
        <v>3207</v>
      </c>
      <c r="E2715" s="3">
        <v>-12</v>
      </c>
      <c r="F2715" s="3">
        <v>1</v>
      </c>
      <c r="G2715" s="3">
        <f t="shared" si="136"/>
        <v>12</v>
      </c>
      <c r="H2715" s="3" t="s">
        <v>293</v>
      </c>
      <c r="I2715" s="1" t="s">
        <v>10</v>
      </c>
      <c r="J2715" s="1" t="s">
        <v>19</v>
      </c>
      <c r="K2715" s="1" t="s">
        <v>298</v>
      </c>
      <c r="L2715" s="1" t="s">
        <v>257</v>
      </c>
      <c r="M2715" s="1"/>
      <c r="N2715" s="1">
        <f t="shared" si="135"/>
        <v>3</v>
      </c>
      <c r="O2715" s="87"/>
    </row>
    <row r="2716" spans="1:15" ht="15.75" hidden="1" x14ac:dyDescent="0.25">
      <c r="A2716" s="1" t="str">
        <f t="shared" si="134"/>
        <v>449914499118CURRENTFOODQATAR AIR</v>
      </c>
      <c r="B2716" s="154">
        <v>44991</v>
      </c>
      <c r="C2716" s="154">
        <v>44991</v>
      </c>
      <c r="D2716" s="3" t="s">
        <v>3208</v>
      </c>
      <c r="E2716" s="3">
        <v>-18</v>
      </c>
      <c r="F2716" s="3">
        <v>1</v>
      </c>
      <c r="G2716" s="3">
        <f t="shared" si="136"/>
        <v>18</v>
      </c>
      <c r="H2716" s="3" t="s">
        <v>293</v>
      </c>
      <c r="I2716" s="1" t="s">
        <v>10</v>
      </c>
      <c r="J2716" s="1" t="s">
        <v>19</v>
      </c>
      <c r="K2716" s="1" t="s">
        <v>298</v>
      </c>
      <c r="L2716" s="1" t="s">
        <v>257</v>
      </c>
      <c r="M2716" s="1"/>
      <c r="N2716" s="1">
        <f t="shared" si="135"/>
        <v>3</v>
      </c>
      <c r="O2716" s="87"/>
    </row>
    <row r="2717" spans="1:15" ht="15.75" hidden="1" x14ac:dyDescent="0.25">
      <c r="A2717" s="1" t="str">
        <f t="shared" si="134"/>
        <v>44991449910CURRENTTRANSFERSELF</v>
      </c>
      <c r="B2717" s="154">
        <v>44991</v>
      </c>
      <c r="C2717" s="154">
        <v>44991</v>
      </c>
      <c r="D2717" s="3" t="s">
        <v>3209</v>
      </c>
      <c r="E2717" s="3">
        <v>-7000</v>
      </c>
      <c r="F2717" s="3">
        <v>0</v>
      </c>
      <c r="G2717" s="3">
        <f t="shared" si="136"/>
        <v>0</v>
      </c>
      <c r="H2717" s="3" t="s">
        <v>293</v>
      </c>
      <c r="I2717" s="1" t="s">
        <v>22</v>
      </c>
      <c r="J2717" s="1" t="s">
        <v>14</v>
      </c>
      <c r="K2717" s="1" t="s">
        <v>298</v>
      </c>
      <c r="L2717" s="1" t="s">
        <v>257</v>
      </c>
      <c r="M2717" s="1"/>
      <c r="N2717" s="1">
        <f t="shared" si="135"/>
        <v>3</v>
      </c>
      <c r="O2717" s="87" t="s">
        <v>3299</v>
      </c>
    </row>
    <row r="2718" spans="1:15" ht="15.75" hidden="1" x14ac:dyDescent="0.25">
      <c r="A2718" s="1" t="str">
        <f t="shared" si="134"/>
        <v>44991449878.8DINERSTRANSPORTUBER</v>
      </c>
      <c r="B2718" s="154">
        <v>44991</v>
      </c>
      <c r="C2718" s="154">
        <v>44987</v>
      </c>
      <c r="D2718" s="3" t="s">
        <v>3221</v>
      </c>
      <c r="E2718" s="3">
        <v>8.8000000000000007</v>
      </c>
      <c r="F2718" s="3">
        <v>1</v>
      </c>
      <c r="G2718" s="3">
        <f t="shared" si="136"/>
        <v>8.8000000000000007</v>
      </c>
      <c r="H2718" s="3" t="s">
        <v>266</v>
      </c>
      <c r="I2718" s="1" t="s">
        <v>296</v>
      </c>
      <c r="J2718" s="1" t="s">
        <v>299</v>
      </c>
      <c r="K2718" s="1" t="s">
        <v>298</v>
      </c>
      <c r="L2718" s="1" t="s">
        <v>267</v>
      </c>
      <c r="M2718" s="1"/>
      <c r="N2718" s="1">
        <f t="shared" si="135"/>
        <v>3</v>
      </c>
      <c r="O2718" s="87"/>
    </row>
    <row r="2719" spans="1:15" ht="15.75" hidden="1" x14ac:dyDescent="0.25">
      <c r="A2719" s="1" t="str">
        <f t="shared" si="134"/>
        <v>449914498932FIFA CCFOODWISHBOX</v>
      </c>
      <c r="B2719" s="154">
        <v>44991</v>
      </c>
      <c r="C2719" s="154">
        <v>44989</v>
      </c>
      <c r="D2719" s="3" t="s">
        <v>3251</v>
      </c>
      <c r="E2719" s="3">
        <v>32</v>
      </c>
      <c r="F2719" s="3">
        <v>1</v>
      </c>
      <c r="G2719" s="3">
        <f t="shared" si="136"/>
        <v>32</v>
      </c>
      <c r="H2719" s="3" t="s">
        <v>3294</v>
      </c>
      <c r="I2719" s="1" t="s">
        <v>10</v>
      </c>
      <c r="J2719" s="1" t="s">
        <v>1199</v>
      </c>
      <c r="K2719" s="1" t="s">
        <v>298</v>
      </c>
      <c r="L2719" s="1" t="s">
        <v>267</v>
      </c>
      <c r="M2719" s="1"/>
      <c r="N2719" s="1">
        <f t="shared" si="135"/>
        <v>3</v>
      </c>
      <c r="O2719" s="87"/>
    </row>
    <row r="2720" spans="1:15" ht="15.75" hidden="1" x14ac:dyDescent="0.25">
      <c r="A2720" s="1" t="str">
        <f t="shared" si="134"/>
        <v>44992449908.8DINERSTRANSPORTUBER</v>
      </c>
      <c r="B2720" s="154">
        <v>44992</v>
      </c>
      <c r="C2720" s="154">
        <v>44990</v>
      </c>
      <c r="D2720" s="3" t="s">
        <v>3222</v>
      </c>
      <c r="E2720" s="3">
        <v>8.8000000000000007</v>
      </c>
      <c r="F2720" s="3">
        <v>1</v>
      </c>
      <c r="G2720" s="3">
        <f t="shared" si="136"/>
        <v>8.8000000000000007</v>
      </c>
      <c r="H2720" s="3" t="s">
        <v>266</v>
      </c>
      <c r="I2720" s="1" t="s">
        <v>296</v>
      </c>
      <c r="J2720" s="1" t="s">
        <v>299</v>
      </c>
      <c r="K2720" s="1" t="s">
        <v>298</v>
      </c>
      <c r="L2720" s="1" t="s">
        <v>267</v>
      </c>
      <c r="M2720" s="1"/>
      <c r="N2720" s="1">
        <f t="shared" si="135"/>
        <v>3</v>
      </c>
      <c r="O2720" s="87"/>
    </row>
    <row r="2721" spans="1:15" ht="15.75" hidden="1" x14ac:dyDescent="0.25">
      <c r="A2721" s="1" t="str">
        <f t="shared" si="134"/>
        <v>4499244990150FIFA CCENTERTAINMENTQTICKETS</v>
      </c>
      <c r="B2721" s="154">
        <v>44992</v>
      </c>
      <c r="C2721" s="154">
        <v>44990</v>
      </c>
      <c r="D2721" s="3" t="s">
        <v>3252</v>
      </c>
      <c r="E2721" s="3">
        <v>150</v>
      </c>
      <c r="F2721" s="3">
        <v>1</v>
      </c>
      <c r="G2721" s="3">
        <f t="shared" si="136"/>
        <v>150</v>
      </c>
      <c r="H2721" s="3" t="s">
        <v>3294</v>
      </c>
      <c r="I2721" s="1" t="s">
        <v>2476</v>
      </c>
      <c r="J2721" s="1" t="s">
        <v>3296</v>
      </c>
      <c r="K2721" s="1" t="s">
        <v>298</v>
      </c>
      <c r="L2721" s="1" t="s">
        <v>267</v>
      </c>
      <c r="M2721" s="1"/>
      <c r="N2721" s="1">
        <f t="shared" si="135"/>
        <v>3</v>
      </c>
      <c r="O2721" s="87"/>
    </row>
    <row r="2722" spans="1:15" ht="15.75" hidden="1" x14ac:dyDescent="0.25">
      <c r="A2722" s="1" t="str">
        <f t="shared" si="134"/>
        <v>449924498797FIFA CCTRANSPORTWOQOD</v>
      </c>
      <c r="B2722" s="154">
        <v>44992</v>
      </c>
      <c r="C2722" s="154">
        <v>44987</v>
      </c>
      <c r="D2722" s="3" t="s">
        <v>3253</v>
      </c>
      <c r="E2722" s="3">
        <v>97</v>
      </c>
      <c r="F2722" s="3">
        <v>1</v>
      </c>
      <c r="G2722" s="3">
        <f t="shared" si="136"/>
        <v>97</v>
      </c>
      <c r="H2722" s="3" t="s">
        <v>3294</v>
      </c>
      <c r="I2722" s="1" t="s">
        <v>296</v>
      </c>
      <c r="J2722" s="1" t="s">
        <v>1942</v>
      </c>
      <c r="K2722" s="1" t="s">
        <v>298</v>
      </c>
      <c r="L2722" s="1" t="s">
        <v>267</v>
      </c>
      <c r="M2722" s="1"/>
      <c r="N2722" s="1">
        <f t="shared" si="135"/>
        <v>3</v>
      </c>
      <c r="O2722" s="87"/>
    </row>
    <row r="2723" spans="1:15" ht="15.75" hidden="1" x14ac:dyDescent="0.25">
      <c r="A2723" s="1" t="str">
        <f t="shared" si="134"/>
        <v>44993449918.8DINERSTRANSPORTUBER</v>
      </c>
      <c r="B2723" s="154">
        <v>44993</v>
      </c>
      <c r="C2723" s="154">
        <v>44991</v>
      </c>
      <c r="D2723" s="3" t="s">
        <v>3223</v>
      </c>
      <c r="E2723" s="3">
        <v>8.8000000000000007</v>
      </c>
      <c r="F2723" s="3">
        <v>1</v>
      </c>
      <c r="G2723" s="3">
        <f t="shared" si="136"/>
        <v>8.8000000000000007</v>
      </c>
      <c r="H2723" s="3" t="s">
        <v>266</v>
      </c>
      <c r="I2723" s="1" t="s">
        <v>296</v>
      </c>
      <c r="J2723" s="1" t="s">
        <v>299</v>
      </c>
      <c r="K2723" s="1" t="s">
        <v>298</v>
      </c>
      <c r="L2723" s="1" t="s">
        <v>267</v>
      </c>
      <c r="M2723" s="1"/>
      <c r="N2723" s="1">
        <f t="shared" si="135"/>
        <v>3</v>
      </c>
      <c r="O2723" s="87"/>
    </row>
    <row r="2724" spans="1:15" ht="15.75" hidden="1" x14ac:dyDescent="0.25">
      <c r="A2724" s="1" t="str">
        <f t="shared" si="134"/>
        <v>4499344991113.29FIFA CCGROCERYINDIAN SUPER</v>
      </c>
      <c r="B2724" s="154">
        <v>44993</v>
      </c>
      <c r="C2724" s="154">
        <v>44991</v>
      </c>
      <c r="D2724" s="3" t="s">
        <v>3254</v>
      </c>
      <c r="E2724" s="3">
        <v>113.29</v>
      </c>
      <c r="F2724" s="3">
        <v>1</v>
      </c>
      <c r="G2724" s="3">
        <f t="shared" si="136"/>
        <v>113.29</v>
      </c>
      <c r="H2724" s="3" t="s">
        <v>3294</v>
      </c>
      <c r="I2724" s="1" t="s">
        <v>43</v>
      </c>
      <c r="J2724" s="1" t="s">
        <v>2273</v>
      </c>
      <c r="K2724" s="1" t="s">
        <v>298</v>
      </c>
      <c r="L2724" s="1" t="s">
        <v>267</v>
      </c>
      <c r="M2724" s="1"/>
      <c r="N2724" s="1">
        <f t="shared" si="135"/>
        <v>3</v>
      </c>
      <c r="O2724" s="87"/>
    </row>
    <row r="2725" spans="1:15" ht="15.75" hidden="1" x14ac:dyDescent="0.25">
      <c r="A2725" s="1" t="str">
        <f t="shared" si="134"/>
        <v>449934499127FIFA CCLAUNDRYAL RAYES</v>
      </c>
      <c r="B2725" s="154">
        <v>44993</v>
      </c>
      <c r="C2725" s="154">
        <v>44991</v>
      </c>
      <c r="D2725" s="3" t="s">
        <v>3255</v>
      </c>
      <c r="E2725" s="3">
        <v>27</v>
      </c>
      <c r="F2725" s="3">
        <v>1</v>
      </c>
      <c r="G2725" s="3">
        <f t="shared" si="136"/>
        <v>27</v>
      </c>
      <c r="H2725" s="3" t="s">
        <v>3294</v>
      </c>
      <c r="I2725" s="1" t="s">
        <v>3164</v>
      </c>
      <c r="J2725" s="1" t="s">
        <v>3165</v>
      </c>
      <c r="K2725" s="1" t="s">
        <v>298</v>
      </c>
      <c r="L2725" s="1" t="s">
        <v>267</v>
      </c>
      <c r="M2725" s="1"/>
      <c r="N2725" s="1">
        <f t="shared" si="135"/>
        <v>3</v>
      </c>
      <c r="O2725" s="87"/>
    </row>
    <row r="2726" spans="1:15" ht="15.75" hidden="1" x14ac:dyDescent="0.25">
      <c r="A2726" s="1" t="str">
        <f t="shared" si="134"/>
        <v>44994449928.8DINERSTRANSPORTUBER</v>
      </c>
      <c r="B2726" s="154">
        <v>44994</v>
      </c>
      <c r="C2726" s="154">
        <v>44992</v>
      </c>
      <c r="D2726" s="3" t="s">
        <v>3224</v>
      </c>
      <c r="E2726" s="3">
        <v>8.8000000000000007</v>
      </c>
      <c r="F2726" s="3">
        <v>1</v>
      </c>
      <c r="G2726" s="3">
        <f t="shared" si="136"/>
        <v>8.8000000000000007</v>
      </c>
      <c r="H2726" s="3" t="s">
        <v>266</v>
      </c>
      <c r="I2726" s="1" t="s">
        <v>296</v>
      </c>
      <c r="J2726" s="1" t="s">
        <v>299</v>
      </c>
      <c r="K2726" s="1" t="s">
        <v>298</v>
      </c>
      <c r="L2726" s="1" t="s">
        <v>267</v>
      </c>
      <c r="M2726" s="1"/>
      <c r="N2726" s="1">
        <f t="shared" si="135"/>
        <v>3</v>
      </c>
      <c r="O2726" s="87"/>
    </row>
    <row r="2727" spans="1:15" ht="15.75" hidden="1" x14ac:dyDescent="0.25">
      <c r="A2727" s="1" t="str">
        <f t="shared" si="134"/>
        <v>449944499745.2MASTER CCFOODTALABAT</v>
      </c>
      <c r="B2727" s="154">
        <v>44994</v>
      </c>
      <c r="C2727" s="154">
        <v>44997</v>
      </c>
      <c r="D2727" s="3" t="s">
        <v>3240</v>
      </c>
      <c r="E2727" s="3">
        <v>45.2</v>
      </c>
      <c r="F2727" s="3">
        <v>1</v>
      </c>
      <c r="G2727" s="3">
        <f t="shared" si="136"/>
        <v>45.2</v>
      </c>
      <c r="H2727" s="3" t="s">
        <v>291</v>
      </c>
      <c r="I2727" s="1" t="s">
        <v>10</v>
      </c>
      <c r="J2727" s="1" t="s">
        <v>865</v>
      </c>
      <c r="K2727" s="1" t="s">
        <v>298</v>
      </c>
      <c r="L2727" s="1" t="s">
        <v>267</v>
      </c>
      <c r="M2727" s="1"/>
      <c r="N2727" s="1">
        <f t="shared" si="135"/>
        <v>3</v>
      </c>
      <c r="O2727" s="87"/>
    </row>
    <row r="2728" spans="1:15" ht="15.75" hidden="1" x14ac:dyDescent="0.25">
      <c r="A2728" s="1" t="str">
        <f t="shared" si="134"/>
        <v>44995449933FIFA CCFOODCAFÉ/REST.</v>
      </c>
      <c r="B2728" s="154">
        <v>44995</v>
      </c>
      <c r="C2728" s="154">
        <v>44993</v>
      </c>
      <c r="D2728" s="3" t="s">
        <v>3256</v>
      </c>
      <c r="E2728" s="3">
        <v>3</v>
      </c>
      <c r="F2728" s="3">
        <v>1</v>
      </c>
      <c r="G2728" s="3">
        <f t="shared" si="136"/>
        <v>3</v>
      </c>
      <c r="H2728" s="3" t="s">
        <v>3294</v>
      </c>
      <c r="I2728" s="1" t="s">
        <v>10</v>
      </c>
      <c r="J2728" s="1" t="s">
        <v>11</v>
      </c>
      <c r="K2728" s="1" t="s">
        <v>298</v>
      </c>
      <c r="L2728" s="1" t="s">
        <v>267</v>
      </c>
      <c r="M2728" s="1"/>
      <c r="N2728" s="1">
        <f t="shared" si="135"/>
        <v>3</v>
      </c>
      <c r="O2728" s="87"/>
    </row>
    <row r="2729" spans="1:15" ht="15.75" hidden="1" x14ac:dyDescent="0.25">
      <c r="A2729" s="1" t="str">
        <f t="shared" si="134"/>
        <v>449974499777CURRENTTRANSPORTCAREEM</v>
      </c>
      <c r="B2729" s="154">
        <v>44997</v>
      </c>
      <c r="C2729" s="154">
        <v>44997</v>
      </c>
      <c r="D2729" s="3" t="s">
        <v>3210</v>
      </c>
      <c r="E2729" s="3">
        <v>77</v>
      </c>
      <c r="F2729" s="3">
        <v>1</v>
      </c>
      <c r="G2729" s="3">
        <f t="shared" si="136"/>
        <v>77</v>
      </c>
      <c r="H2729" s="3" t="s">
        <v>293</v>
      </c>
      <c r="I2729" s="1" t="s">
        <v>296</v>
      </c>
      <c r="J2729" s="1" t="s">
        <v>297</v>
      </c>
      <c r="K2729" s="1" t="s">
        <v>300</v>
      </c>
      <c r="L2729" s="1" t="s">
        <v>257</v>
      </c>
      <c r="M2729" s="1"/>
      <c r="N2729" s="1">
        <f t="shared" si="135"/>
        <v>3</v>
      </c>
      <c r="O2729" s="87"/>
    </row>
    <row r="2730" spans="1:15" ht="15.75" hidden="1" x14ac:dyDescent="0.25">
      <c r="A2730" s="1" t="str">
        <f t="shared" si="134"/>
        <v>44997449975000CURRENTRENTALBAKER</v>
      </c>
      <c r="B2730" s="154">
        <v>44997</v>
      </c>
      <c r="C2730" s="154">
        <v>44997</v>
      </c>
      <c r="D2730" s="3" t="s">
        <v>3211</v>
      </c>
      <c r="E2730" s="3">
        <v>-5000</v>
      </c>
      <c r="F2730" s="3">
        <v>1</v>
      </c>
      <c r="G2730" s="3">
        <f t="shared" si="136"/>
        <v>5000</v>
      </c>
      <c r="H2730" s="3" t="s">
        <v>293</v>
      </c>
      <c r="I2730" s="1" t="s">
        <v>83</v>
      </c>
      <c r="J2730" s="1" t="s">
        <v>2701</v>
      </c>
      <c r="K2730" s="1" t="s">
        <v>298</v>
      </c>
      <c r="L2730" s="1" t="s">
        <v>257</v>
      </c>
      <c r="M2730" s="1"/>
      <c r="N2730" s="1">
        <f t="shared" si="135"/>
        <v>3</v>
      </c>
      <c r="O2730" s="87"/>
    </row>
    <row r="2731" spans="1:15" ht="15.75" hidden="1" x14ac:dyDescent="0.25">
      <c r="A2731" s="1" t="str">
        <f t="shared" si="134"/>
        <v>44997449971000CURRENTWITHDRAWSELF</v>
      </c>
      <c r="B2731" s="154">
        <v>44997</v>
      </c>
      <c r="C2731" s="154">
        <v>44997</v>
      </c>
      <c r="D2731" s="3" t="s">
        <v>3212</v>
      </c>
      <c r="E2731" s="3">
        <v>-1000</v>
      </c>
      <c r="F2731" s="3">
        <v>1</v>
      </c>
      <c r="G2731" s="3">
        <f t="shared" si="136"/>
        <v>1000</v>
      </c>
      <c r="H2731" s="3" t="s">
        <v>293</v>
      </c>
      <c r="I2731" s="1" t="s">
        <v>13</v>
      </c>
      <c r="J2731" s="1" t="s">
        <v>14</v>
      </c>
      <c r="K2731" s="1" t="s">
        <v>298</v>
      </c>
      <c r="L2731" s="1" t="s">
        <v>257</v>
      </c>
      <c r="M2731" s="1"/>
      <c r="N2731" s="1">
        <f t="shared" si="135"/>
        <v>3</v>
      </c>
      <c r="O2731" s="87"/>
    </row>
    <row r="2732" spans="1:15" ht="15.75" hidden="1" x14ac:dyDescent="0.25">
      <c r="A2732" s="1" t="str">
        <f t="shared" si="134"/>
        <v>44997449948.83DINERSTRANSPORTUBER</v>
      </c>
      <c r="B2732" s="154">
        <v>44997</v>
      </c>
      <c r="C2732" s="154">
        <v>44994</v>
      </c>
      <c r="D2732" s="3" t="s">
        <v>3225</v>
      </c>
      <c r="E2732" s="3">
        <v>8.83</v>
      </c>
      <c r="F2732" s="3">
        <v>1</v>
      </c>
      <c r="G2732" s="3">
        <f t="shared" si="136"/>
        <v>8.83</v>
      </c>
      <c r="H2732" s="3" t="s">
        <v>266</v>
      </c>
      <c r="I2732" s="1" t="s">
        <v>296</v>
      </c>
      <c r="J2732" s="1" t="s">
        <v>299</v>
      </c>
      <c r="K2732" s="1" t="s">
        <v>298</v>
      </c>
      <c r="L2732" s="1" t="s">
        <v>267</v>
      </c>
      <c r="M2732" s="1"/>
      <c r="N2732" s="1">
        <f t="shared" si="135"/>
        <v>3</v>
      </c>
      <c r="O2732" s="87"/>
    </row>
    <row r="2733" spans="1:15" ht="15.75" hidden="1" x14ac:dyDescent="0.25">
      <c r="A2733" s="1" t="str">
        <f t="shared" si="134"/>
        <v>449974499554FIFA CCGROCERYINDIAN SUPER</v>
      </c>
      <c r="B2733" s="154">
        <v>44997</v>
      </c>
      <c r="C2733" s="154">
        <v>44995</v>
      </c>
      <c r="D2733" s="3" t="s">
        <v>3257</v>
      </c>
      <c r="E2733" s="3">
        <v>54</v>
      </c>
      <c r="F2733" s="3">
        <v>1</v>
      </c>
      <c r="G2733" s="3">
        <f t="shared" si="136"/>
        <v>54</v>
      </c>
      <c r="H2733" s="3" t="s">
        <v>3294</v>
      </c>
      <c r="I2733" s="1" t="s">
        <v>43</v>
      </c>
      <c r="J2733" s="1" t="s">
        <v>2273</v>
      </c>
      <c r="K2733" s="1" t="s">
        <v>298</v>
      </c>
      <c r="L2733" s="1" t="s">
        <v>267</v>
      </c>
      <c r="M2733" s="1"/>
      <c r="N2733" s="1">
        <f t="shared" si="135"/>
        <v>3</v>
      </c>
      <c r="O2733" s="87"/>
    </row>
    <row r="2734" spans="1:15" ht="15.75" hidden="1" x14ac:dyDescent="0.25">
      <c r="A2734" s="1" t="str">
        <f t="shared" si="134"/>
        <v>449974499560.41FIFA CCGROCERYINDIAN SUPER</v>
      </c>
      <c r="B2734" s="154">
        <v>44997</v>
      </c>
      <c r="C2734" s="154">
        <v>44995</v>
      </c>
      <c r="D2734" s="3" t="s">
        <v>3258</v>
      </c>
      <c r="E2734" s="3">
        <v>60.41</v>
      </c>
      <c r="F2734" s="3">
        <v>1</v>
      </c>
      <c r="G2734" s="3">
        <f t="shared" si="136"/>
        <v>60.41</v>
      </c>
      <c r="H2734" s="3" t="s">
        <v>3294</v>
      </c>
      <c r="I2734" s="1" t="s">
        <v>43</v>
      </c>
      <c r="J2734" s="1" t="s">
        <v>2273</v>
      </c>
      <c r="K2734" s="1" t="s">
        <v>298</v>
      </c>
      <c r="L2734" s="1" t="s">
        <v>267</v>
      </c>
      <c r="M2734" s="1"/>
      <c r="N2734" s="1">
        <f t="shared" si="135"/>
        <v>3</v>
      </c>
      <c r="O2734" s="87"/>
    </row>
    <row r="2735" spans="1:15" ht="15.75" hidden="1" x14ac:dyDescent="0.25">
      <c r="A2735" s="1" t="str">
        <f t="shared" si="134"/>
        <v>449984499685FIFA CCFOODCAFÉ/REST.</v>
      </c>
      <c r="B2735" s="154">
        <v>44998</v>
      </c>
      <c r="C2735" s="154">
        <v>44996</v>
      </c>
      <c r="D2735" s="3" t="s">
        <v>3259</v>
      </c>
      <c r="E2735" s="3">
        <v>85</v>
      </c>
      <c r="F2735" s="3">
        <v>1</v>
      </c>
      <c r="G2735" s="3">
        <f t="shared" si="136"/>
        <v>85</v>
      </c>
      <c r="H2735" s="3" t="s">
        <v>3294</v>
      </c>
      <c r="I2735" s="1" t="s">
        <v>10</v>
      </c>
      <c r="J2735" s="1" t="s">
        <v>11</v>
      </c>
      <c r="K2735" s="1" t="s">
        <v>298</v>
      </c>
      <c r="L2735" s="1" t="s">
        <v>267</v>
      </c>
      <c r="M2735" s="1"/>
      <c r="N2735" s="1">
        <f t="shared" si="135"/>
        <v>3</v>
      </c>
      <c r="O2735" s="87"/>
    </row>
    <row r="2736" spans="1:15" ht="15.75" hidden="1" x14ac:dyDescent="0.25">
      <c r="A2736" s="1" t="str">
        <f t="shared" si="134"/>
        <v>449984500143.6MASTER CCFOODTALABAT</v>
      </c>
      <c r="B2736" s="154">
        <v>44998</v>
      </c>
      <c r="C2736" s="154">
        <v>45001</v>
      </c>
      <c r="D2736" s="3" t="s">
        <v>3241</v>
      </c>
      <c r="E2736" s="3">
        <v>43.6</v>
      </c>
      <c r="F2736" s="3">
        <v>1</v>
      </c>
      <c r="G2736" s="3">
        <f t="shared" si="136"/>
        <v>43.6</v>
      </c>
      <c r="H2736" s="3" t="s">
        <v>291</v>
      </c>
      <c r="I2736" s="1" t="s">
        <v>10</v>
      </c>
      <c r="J2736" s="1" t="s">
        <v>865</v>
      </c>
      <c r="K2736" s="1" t="s">
        <v>298</v>
      </c>
      <c r="L2736" s="1" t="s">
        <v>267</v>
      </c>
      <c r="M2736" s="1"/>
      <c r="N2736" s="1">
        <f t="shared" si="135"/>
        <v>3</v>
      </c>
      <c r="O2736" s="87"/>
    </row>
    <row r="2737" spans="1:15" ht="15.75" hidden="1" x14ac:dyDescent="0.25">
      <c r="A2737" s="1" t="str">
        <f t="shared" si="134"/>
        <v>44999449978.8DINERSTRANSPORTUBER</v>
      </c>
      <c r="B2737" s="154">
        <v>44999</v>
      </c>
      <c r="C2737" s="154">
        <v>44997</v>
      </c>
      <c r="D2737" s="3" t="s">
        <v>3226</v>
      </c>
      <c r="E2737" s="3">
        <v>8.8000000000000007</v>
      </c>
      <c r="F2737" s="3">
        <v>1</v>
      </c>
      <c r="G2737" s="3">
        <f t="shared" si="136"/>
        <v>8.8000000000000007</v>
      </c>
      <c r="H2737" s="3" t="s">
        <v>266</v>
      </c>
      <c r="I2737" s="1" t="s">
        <v>296</v>
      </c>
      <c r="J2737" s="1" t="s">
        <v>299</v>
      </c>
      <c r="K2737" s="1" t="s">
        <v>298</v>
      </c>
      <c r="L2737" s="1" t="s">
        <v>267</v>
      </c>
      <c r="M2737" s="1"/>
      <c r="N2737" s="1">
        <f t="shared" si="135"/>
        <v>3</v>
      </c>
      <c r="O2737" s="87"/>
    </row>
    <row r="2738" spans="1:15" ht="15.75" hidden="1" x14ac:dyDescent="0.25">
      <c r="A2738" s="1" t="str">
        <f t="shared" si="134"/>
        <v>45000449988.83DINERSTRANSPORTUBER</v>
      </c>
      <c r="B2738" s="154">
        <v>45000</v>
      </c>
      <c r="C2738" s="154">
        <v>44998</v>
      </c>
      <c r="D2738" s="3" t="s">
        <v>3227</v>
      </c>
      <c r="E2738" s="3">
        <v>8.83</v>
      </c>
      <c r="F2738" s="3">
        <v>1</v>
      </c>
      <c r="G2738" s="3">
        <f t="shared" si="136"/>
        <v>8.83</v>
      </c>
      <c r="H2738" s="3" t="s">
        <v>266</v>
      </c>
      <c r="I2738" s="1" t="s">
        <v>296</v>
      </c>
      <c r="J2738" s="1" t="s">
        <v>299</v>
      </c>
      <c r="K2738" s="1" t="s">
        <v>298</v>
      </c>
      <c r="L2738" s="1" t="s">
        <v>267</v>
      </c>
      <c r="M2738" s="1"/>
      <c r="N2738" s="1">
        <f t="shared" si="135"/>
        <v>3</v>
      </c>
      <c r="O2738" s="87"/>
    </row>
    <row r="2739" spans="1:15" ht="15.75" hidden="1" x14ac:dyDescent="0.25">
      <c r="A2739" s="1" t="str">
        <f t="shared" si="134"/>
        <v>45001449998.8DINERSTRANSPORTUBER</v>
      </c>
      <c r="B2739" s="154">
        <v>45001</v>
      </c>
      <c r="C2739" s="154">
        <v>44999</v>
      </c>
      <c r="D2739" s="3" t="s">
        <v>3228</v>
      </c>
      <c r="E2739" s="3">
        <v>8.8000000000000007</v>
      </c>
      <c r="F2739" s="3">
        <v>1</v>
      </c>
      <c r="G2739" s="3">
        <f t="shared" si="136"/>
        <v>8.8000000000000007</v>
      </c>
      <c r="H2739" s="3" t="s">
        <v>266</v>
      </c>
      <c r="I2739" s="1" t="s">
        <v>296</v>
      </c>
      <c r="J2739" s="1" t="s">
        <v>299</v>
      </c>
      <c r="K2739" s="1" t="s">
        <v>298</v>
      </c>
      <c r="L2739" s="1" t="s">
        <v>267</v>
      </c>
      <c r="M2739" s="1"/>
      <c r="N2739" s="1">
        <f t="shared" si="135"/>
        <v>3</v>
      </c>
      <c r="O2739" s="87"/>
    </row>
    <row r="2740" spans="1:15" ht="15.75" hidden="1" x14ac:dyDescent="0.25">
      <c r="A2740" s="1" t="str">
        <f t="shared" si="134"/>
        <v>4500144999177.12FIFA CCGROCERYINDIAN SUPER</v>
      </c>
      <c r="B2740" s="154">
        <v>45001</v>
      </c>
      <c r="C2740" s="154">
        <v>44999</v>
      </c>
      <c r="D2740" s="3" t="s">
        <v>3260</v>
      </c>
      <c r="E2740" s="3">
        <v>177.12</v>
      </c>
      <c r="F2740" s="3">
        <v>1</v>
      </c>
      <c r="G2740" s="3">
        <f t="shared" si="136"/>
        <v>177.12</v>
      </c>
      <c r="H2740" s="3" t="s">
        <v>3294</v>
      </c>
      <c r="I2740" s="1" t="s">
        <v>43</v>
      </c>
      <c r="J2740" s="1" t="s">
        <v>2273</v>
      </c>
      <c r="K2740" s="1" t="s">
        <v>298</v>
      </c>
      <c r="L2740" s="1" t="s">
        <v>267</v>
      </c>
      <c r="M2740" s="1"/>
      <c r="N2740" s="1">
        <f t="shared" si="135"/>
        <v>3</v>
      </c>
      <c r="O2740" s="87"/>
    </row>
    <row r="2741" spans="1:15" ht="15.75" hidden="1" x14ac:dyDescent="0.25">
      <c r="A2741" s="1" t="str">
        <f t="shared" si="134"/>
        <v>450024500010FIFA CCVISAMOI</v>
      </c>
      <c r="B2741" s="154">
        <v>45002</v>
      </c>
      <c r="C2741" s="154">
        <v>45000</v>
      </c>
      <c r="D2741" s="3" t="s">
        <v>3261</v>
      </c>
      <c r="E2741" s="3">
        <v>10</v>
      </c>
      <c r="F2741" s="3">
        <v>1</v>
      </c>
      <c r="G2741" s="3">
        <f t="shared" si="136"/>
        <v>10</v>
      </c>
      <c r="H2741" s="3" t="s">
        <v>3294</v>
      </c>
      <c r="I2741" s="1" t="s">
        <v>29</v>
      </c>
      <c r="J2741" s="1" t="s">
        <v>1564</v>
      </c>
      <c r="K2741" s="1" t="s">
        <v>298</v>
      </c>
      <c r="L2741" s="1" t="s">
        <v>267</v>
      </c>
      <c r="M2741" s="1"/>
      <c r="N2741" s="1">
        <f t="shared" si="135"/>
        <v>3</v>
      </c>
      <c r="O2741" s="87"/>
    </row>
    <row r="2742" spans="1:15" ht="15.75" hidden="1" x14ac:dyDescent="0.25">
      <c r="A2742" s="1" t="str">
        <f t="shared" si="134"/>
        <v>450024500658MASTER CCSHOPPINGR&amp;B</v>
      </c>
      <c r="B2742" s="154">
        <v>45002</v>
      </c>
      <c r="C2742" s="154">
        <v>45006</v>
      </c>
      <c r="D2742" s="3" t="s">
        <v>3243</v>
      </c>
      <c r="E2742" s="3">
        <v>58</v>
      </c>
      <c r="F2742" s="3">
        <v>1</v>
      </c>
      <c r="G2742" s="3">
        <f t="shared" si="136"/>
        <v>58</v>
      </c>
      <c r="H2742" s="3" t="s">
        <v>291</v>
      </c>
      <c r="I2742" s="1" t="s">
        <v>194</v>
      </c>
      <c r="J2742" s="1" t="s">
        <v>195</v>
      </c>
      <c r="K2742" s="1" t="s">
        <v>298</v>
      </c>
      <c r="L2742" s="1" t="s">
        <v>267</v>
      </c>
      <c r="M2742" s="1"/>
      <c r="N2742" s="1">
        <f t="shared" si="135"/>
        <v>3</v>
      </c>
      <c r="O2742" s="87"/>
    </row>
    <row r="2743" spans="1:15" ht="15.75" hidden="1" x14ac:dyDescent="0.25">
      <c r="A2743" s="1" t="str">
        <f t="shared" si="134"/>
        <v>450034500250FIFA CCENTERTAINMENTFUNCITY</v>
      </c>
      <c r="B2743" s="154">
        <v>45003</v>
      </c>
      <c r="C2743" s="154">
        <v>45002</v>
      </c>
      <c r="D2743" s="3" t="s">
        <v>3262</v>
      </c>
      <c r="E2743" s="3">
        <v>50</v>
      </c>
      <c r="F2743" s="3">
        <v>1</v>
      </c>
      <c r="G2743" s="3">
        <f t="shared" si="136"/>
        <v>50</v>
      </c>
      <c r="H2743" s="3" t="s">
        <v>3294</v>
      </c>
      <c r="I2743" s="1" t="s">
        <v>2476</v>
      </c>
      <c r="J2743" s="1" t="s">
        <v>3295</v>
      </c>
      <c r="K2743" s="1" t="s">
        <v>298</v>
      </c>
      <c r="L2743" s="1" t="s">
        <v>267</v>
      </c>
      <c r="M2743" s="1"/>
      <c r="N2743" s="1">
        <f t="shared" si="135"/>
        <v>3</v>
      </c>
      <c r="O2743" s="87"/>
    </row>
    <row r="2744" spans="1:15" ht="15.75" hidden="1" x14ac:dyDescent="0.25">
      <c r="A2744" s="1" t="str">
        <f t="shared" si="134"/>
        <v>450034500227FIFA CCENTERTAINMENTFUNCITY</v>
      </c>
      <c r="B2744" s="154">
        <v>45003</v>
      </c>
      <c r="C2744" s="154">
        <v>45002</v>
      </c>
      <c r="D2744" s="3" t="s">
        <v>3263</v>
      </c>
      <c r="E2744" s="3">
        <v>27</v>
      </c>
      <c r="F2744" s="3">
        <v>1</v>
      </c>
      <c r="G2744" s="3">
        <f t="shared" si="136"/>
        <v>27</v>
      </c>
      <c r="H2744" s="3" t="s">
        <v>3294</v>
      </c>
      <c r="I2744" s="1" t="s">
        <v>2476</v>
      </c>
      <c r="J2744" s="1" t="s">
        <v>3295</v>
      </c>
      <c r="K2744" s="1" t="s">
        <v>298</v>
      </c>
      <c r="L2744" s="1" t="s">
        <v>267</v>
      </c>
      <c r="M2744" s="1"/>
      <c r="N2744" s="1">
        <f t="shared" si="135"/>
        <v>3</v>
      </c>
      <c r="O2744" s="87"/>
    </row>
    <row r="2745" spans="1:15" ht="15.75" hidden="1" x14ac:dyDescent="0.25">
      <c r="A2745" s="1" t="str">
        <f t="shared" si="134"/>
        <v>450034500260FIFA CCSHOPPINGMAXX</v>
      </c>
      <c r="B2745" s="154">
        <v>45003</v>
      </c>
      <c r="C2745" s="154">
        <v>45002</v>
      </c>
      <c r="D2745" s="3" t="s">
        <v>3264</v>
      </c>
      <c r="E2745" s="3">
        <v>60</v>
      </c>
      <c r="F2745" s="3">
        <v>1</v>
      </c>
      <c r="G2745" s="3">
        <f t="shared" si="136"/>
        <v>60</v>
      </c>
      <c r="H2745" s="3" t="s">
        <v>3294</v>
      </c>
      <c r="I2745" s="1" t="s">
        <v>194</v>
      </c>
      <c r="J2745" s="1" t="s">
        <v>2903</v>
      </c>
      <c r="K2745" s="1" t="s">
        <v>298</v>
      </c>
      <c r="L2745" s="1" t="s">
        <v>267</v>
      </c>
      <c r="M2745" s="1"/>
      <c r="N2745" s="1">
        <f t="shared" si="135"/>
        <v>3</v>
      </c>
      <c r="O2745" s="87"/>
    </row>
    <row r="2746" spans="1:15" ht="15.75" hidden="1" x14ac:dyDescent="0.25">
      <c r="A2746" s="1" t="str">
        <f t="shared" si="134"/>
        <v>450034500220FIFA CCFOODCAFÉ/REST.</v>
      </c>
      <c r="B2746" s="154">
        <v>45003</v>
      </c>
      <c r="C2746" s="154">
        <v>45002</v>
      </c>
      <c r="D2746" s="3" t="s">
        <v>3265</v>
      </c>
      <c r="E2746" s="3">
        <v>20</v>
      </c>
      <c r="F2746" s="3">
        <v>1</v>
      </c>
      <c r="G2746" s="3">
        <f t="shared" si="136"/>
        <v>20</v>
      </c>
      <c r="H2746" s="3" t="s">
        <v>3294</v>
      </c>
      <c r="I2746" s="1" t="s">
        <v>10</v>
      </c>
      <c r="J2746" s="1" t="s">
        <v>11</v>
      </c>
      <c r="K2746" s="1" t="s">
        <v>298</v>
      </c>
      <c r="L2746" s="1" t="s">
        <v>267</v>
      </c>
      <c r="M2746" s="1"/>
      <c r="N2746" s="1">
        <f t="shared" si="135"/>
        <v>3</v>
      </c>
      <c r="O2746" s="87"/>
    </row>
    <row r="2747" spans="1:15" ht="15.75" hidden="1" x14ac:dyDescent="0.25">
      <c r="A2747" s="1" t="str">
        <f t="shared" si="134"/>
        <v>450034500241FIFA CCFOODWISHBOX</v>
      </c>
      <c r="B2747" s="154">
        <v>45003</v>
      </c>
      <c r="C2747" s="154">
        <v>45002</v>
      </c>
      <c r="D2747" s="3" t="s">
        <v>3266</v>
      </c>
      <c r="E2747" s="3">
        <v>41</v>
      </c>
      <c r="F2747" s="3">
        <v>1</v>
      </c>
      <c r="G2747" s="3">
        <f t="shared" si="136"/>
        <v>41</v>
      </c>
      <c r="H2747" s="3" t="s">
        <v>3294</v>
      </c>
      <c r="I2747" s="1" t="s">
        <v>10</v>
      </c>
      <c r="J2747" s="1" t="s">
        <v>1199</v>
      </c>
      <c r="K2747" s="1" t="s">
        <v>298</v>
      </c>
      <c r="L2747" s="1" t="s">
        <v>267</v>
      </c>
      <c r="M2747" s="1"/>
      <c r="N2747" s="1">
        <f t="shared" si="135"/>
        <v>3</v>
      </c>
      <c r="O2747" s="87"/>
    </row>
    <row r="2748" spans="1:15" ht="15.75" hidden="1" x14ac:dyDescent="0.25">
      <c r="A2748" s="1" t="str">
        <f t="shared" si="134"/>
        <v>450034500660MASTER CCTELECOMOOREDOO</v>
      </c>
      <c r="B2748" s="154">
        <v>45003</v>
      </c>
      <c r="C2748" s="154">
        <v>45006</v>
      </c>
      <c r="D2748" s="3" t="s">
        <v>3242</v>
      </c>
      <c r="E2748" s="3">
        <v>60</v>
      </c>
      <c r="F2748" s="3">
        <v>1</v>
      </c>
      <c r="G2748" s="3">
        <f t="shared" si="136"/>
        <v>60</v>
      </c>
      <c r="H2748" s="3" t="s">
        <v>291</v>
      </c>
      <c r="I2748" s="1" t="s">
        <v>58</v>
      </c>
      <c r="J2748" s="1" t="s">
        <v>59</v>
      </c>
      <c r="K2748" s="1" t="s">
        <v>298</v>
      </c>
      <c r="L2748" s="1" t="s">
        <v>267</v>
      </c>
      <c r="M2748" s="1"/>
      <c r="N2748" s="1">
        <f t="shared" si="135"/>
        <v>3</v>
      </c>
      <c r="O2748" s="87"/>
    </row>
    <row r="2749" spans="1:15" ht="15.75" hidden="1" x14ac:dyDescent="0.25">
      <c r="A2749" s="1" t="str">
        <f t="shared" si="134"/>
        <v>4500345006442.89MASTER CCRENTOOREDOO</v>
      </c>
      <c r="B2749" s="154">
        <v>45003</v>
      </c>
      <c r="C2749" s="154">
        <v>45006</v>
      </c>
      <c r="D2749" s="3" t="s">
        <v>3244</v>
      </c>
      <c r="E2749" s="3">
        <v>442.89</v>
      </c>
      <c r="F2749" s="3">
        <v>1</v>
      </c>
      <c r="G2749" s="3">
        <f t="shared" si="136"/>
        <v>442.89</v>
      </c>
      <c r="H2749" s="3" t="s">
        <v>291</v>
      </c>
      <c r="I2749" s="1" t="s">
        <v>83</v>
      </c>
      <c r="J2749" s="1" t="s">
        <v>59</v>
      </c>
      <c r="K2749" s="1" t="s">
        <v>298</v>
      </c>
      <c r="L2749" s="1" t="s">
        <v>267</v>
      </c>
      <c r="M2749" s="1"/>
      <c r="N2749" s="1">
        <f t="shared" si="135"/>
        <v>3</v>
      </c>
      <c r="O2749" s="87"/>
    </row>
    <row r="2750" spans="1:15" ht="15.75" hidden="1" x14ac:dyDescent="0.25">
      <c r="A2750" s="1" t="str">
        <f t="shared" si="134"/>
        <v>450044500440CURRENTSERVICEBANK</v>
      </c>
      <c r="B2750" s="154">
        <v>45004</v>
      </c>
      <c r="C2750" s="154">
        <v>45004</v>
      </c>
      <c r="D2750" s="3" t="s">
        <v>3213</v>
      </c>
      <c r="E2750" s="3">
        <v>-40</v>
      </c>
      <c r="F2750" s="3">
        <v>1</v>
      </c>
      <c r="G2750" s="3">
        <f t="shared" si="136"/>
        <v>40</v>
      </c>
      <c r="H2750" s="3" t="s">
        <v>293</v>
      </c>
      <c r="I2750" s="1" t="s">
        <v>7</v>
      </c>
      <c r="J2750" s="1" t="s">
        <v>8</v>
      </c>
      <c r="K2750" s="1" t="s">
        <v>298</v>
      </c>
      <c r="L2750" s="1" t="s">
        <v>257</v>
      </c>
      <c r="M2750" s="1"/>
      <c r="N2750" s="1">
        <f t="shared" si="135"/>
        <v>3</v>
      </c>
      <c r="O2750" s="87"/>
    </row>
    <row r="2751" spans="1:15" ht="15.75" hidden="1" x14ac:dyDescent="0.25">
      <c r="A2751" s="1" t="str">
        <f t="shared" si="134"/>
        <v>45004450040CURRENTTRANSFERSELF</v>
      </c>
      <c r="B2751" s="154">
        <v>45004</v>
      </c>
      <c r="C2751" s="154">
        <v>45004</v>
      </c>
      <c r="D2751" s="3" t="s">
        <v>3214</v>
      </c>
      <c r="E2751" s="3">
        <v>7000</v>
      </c>
      <c r="F2751" s="3">
        <v>0</v>
      </c>
      <c r="G2751" s="3">
        <f t="shared" si="136"/>
        <v>0</v>
      </c>
      <c r="H2751" s="3" t="s">
        <v>293</v>
      </c>
      <c r="I2751" s="1" t="s">
        <v>22</v>
      </c>
      <c r="J2751" s="1" t="s">
        <v>14</v>
      </c>
      <c r="K2751" s="1" t="s">
        <v>300</v>
      </c>
      <c r="L2751" s="1" t="s">
        <v>257</v>
      </c>
      <c r="M2751" s="1"/>
      <c r="N2751" s="1">
        <f t="shared" si="135"/>
        <v>3</v>
      </c>
      <c r="O2751" s="87" t="s">
        <v>3299</v>
      </c>
    </row>
    <row r="2752" spans="1:15" ht="15.75" hidden="1" x14ac:dyDescent="0.25">
      <c r="A2752" s="1" t="str">
        <f t="shared" si="134"/>
        <v>45004450018.8DINERSTRANSPORTUBER</v>
      </c>
      <c r="B2752" s="154">
        <v>45004</v>
      </c>
      <c r="C2752" s="154">
        <v>45001</v>
      </c>
      <c r="D2752" s="3" t="s">
        <v>3229</v>
      </c>
      <c r="E2752" s="3">
        <v>8.8000000000000007</v>
      </c>
      <c r="F2752" s="3">
        <v>1</v>
      </c>
      <c r="G2752" s="3">
        <f t="shared" si="136"/>
        <v>8.8000000000000007</v>
      </c>
      <c r="H2752" s="3" t="s">
        <v>266</v>
      </c>
      <c r="I2752" s="1" t="s">
        <v>296</v>
      </c>
      <c r="J2752" s="1" t="s">
        <v>299</v>
      </c>
      <c r="K2752" s="1" t="s">
        <v>298</v>
      </c>
      <c r="L2752" s="1" t="s">
        <v>267</v>
      </c>
      <c r="M2752" s="1"/>
      <c r="N2752" s="1">
        <f t="shared" si="135"/>
        <v>3</v>
      </c>
      <c r="O2752" s="87"/>
    </row>
    <row r="2753" spans="1:15" ht="15.75" hidden="1" x14ac:dyDescent="0.25">
      <c r="A2753" s="1" t="str">
        <f t="shared" si="134"/>
        <v>45004450018.8DINERSTRANSPORTUBER</v>
      </c>
      <c r="B2753" s="154">
        <v>45004</v>
      </c>
      <c r="C2753" s="154">
        <v>45001</v>
      </c>
      <c r="D2753" s="3" t="s">
        <v>3230</v>
      </c>
      <c r="E2753" s="3">
        <v>8.8000000000000007</v>
      </c>
      <c r="F2753" s="3">
        <v>1</v>
      </c>
      <c r="G2753" s="3">
        <f t="shared" si="136"/>
        <v>8.8000000000000007</v>
      </c>
      <c r="H2753" s="3" t="s">
        <v>266</v>
      </c>
      <c r="I2753" s="1" t="s">
        <v>296</v>
      </c>
      <c r="J2753" s="1" t="s">
        <v>299</v>
      </c>
      <c r="K2753" s="1" t="s">
        <v>298</v>
      </c>
      <c r="L2753" s="1" t="s">
        <v>267</v>
      </c>
      <c r="M2753" s="1"/>
      <c r="N2753" s="1">
        <f t="shared" si="135"/>
        <v>3</v>
      </c>
      <c r="O2753" s="87"/>
    </row>
    <row r="2754" spans="1:15" ht="15.75" hidden="1" x14ac:dyDescent="0.25">
      <c r="A2754" s="1" t="str">
        <f t="shared" ref="A2754:A2817" si="137">B2754&amp;C2754&amp;G2754&amp;H2754&amp;I2754&amp;J2754</f>
        <v>45004450018.8DINERSTRANSPORTUBER</v>
      </c>
      <c r="B2754" s="154">
        <v>45004</v>
      </c>
      <c r="C2754" s="154">
        <v>45001</v>
      </c>
      <c r="D2754" s="3" t="s">
        <v>3231</v>
      </c>
      <c r="E2754" s="3">
        <v>8.8000000000000007</v>
      </c>
      <c r="F2754" s="3">
        <v>1</v>
      </c>
      <c r="G2754" s="3">
        <f t="shared" si="136"/>
        <v>8.8000000000000007</v>
      </c>
      <c r="H2754" s="3" t="s">
        <v>266</v>
      </c>
      <c r="I2754" s="1" t="s">
        <v>296</v>
      </c>
      <c r="J2754" s="1" t="s">
        <v>299</v>
      </c>
      <c r="K2754" s="1" t="s">
        <v>298</v>
      </c>
      <c r="L2754" s="1" t="s">
        <v>267</v>
      </c>
      <c r="M2754" s="1"/>
      <c r="N2754" s="1">
        <f t="shared" ref="N2754:N2817" si="138">MONTH(C2754)</f>
        <v>3</v>
      </c>
      <c r="O2754" s="87"/>
    </row>
    <row r="2755" spans="1:15" ht="15.75" hidden="1" x14ac:dyDescent="0.25">
      <c r="A2755" s="1" t="str">
        <f t="shared" si="137"/>
        <v>45004450008.8DINERSTRANSPORTUBER</v>
      </c>
      <c r="B2755" s="154">
        <v>45004</v>
      </c>
      <c r="C2755" s="154">
        <v>45000</v>
      </c>
      <c r="D2755" s="3" t="s">
        <v>3232</v>
      </c>
      <c r="E2755" s="3">
        <v>8.8000000000000007</v>
      </c>
      <c r="F2755" s="3">
        <v>1</v>
      </c>
      <c r="G2755" s="3">
        <f t="shared" si="136"/>
        <v>8.8000000000000007</v>
      </c>
      <c r="H2755" s="3" t="s">
        <v>266</v>
      </c>
      <c r="I2755" s="1" t="s">
        <v>296</v>
      </c>
      <c r="J2755" s="1" t="s">
        <v>299</v>
      </c>
      <c r="K2755" s="1" t="s">
        <v>298</v>
      </c>
      <c r="L2755" s="1" t="s">
        <v>267</v>
      </c>
      <c r="M2755" s="1"/>
      <c r="N2755" s="1">
        <f t="shared" si="138"/>
        <v>3</v>
      </c>
      <c r="O2755" s="87"/>
    </row>
    <row r="2756" spans="1:15" ht="15.75" hidden="1" x14ac:dyDescent="0.25">
      <c r="A2756" s="1" t="str">
        <f t="shared" si="137"/>
        <v>4500445004745.38FIFA CCSHOPPINGLULU</v>
      </c>
      <c r="B2756" s="154">
        <v>45004</v>
      </c>
      <c r="C2756" s="154">
        <v>45004</v>
      </c>
      <c r="D2756" s="3" t="s">
        <v>3267</v>
      </c>
      <c r="E2756" s="3">
        <v>745.38</v>
      </c>
      <c r="F2756" s="3">
        <v>1</v>
      </c>
      <c r="G2756" s="3">
        <f t="shared" si="136"/>
        <v>745.38</v>
      </c>
      <c r="H2756" s="3" t="s">
        <v>3294</v>
      </c>
      <c r="I2756" s="1" t="s">
        <v>194</v>
      </c>
      <c r="J2756" s="1" t="s">
        <v>44</v>
      </c>
      <c r="K2756" s="1" t="s">
        <v>298</v>
      </c>
      <c r="L2756" s="1" t="s">
        <v>267</v>
      </c>
      <c r="M2756" s="1">
        <v>1</v>
      </c>
      <c r="N2756" s="1">
        <f t="shared" si="138"/>
        <v>3</v>
      </c>
      <c r="O2756" s="87"/>
    </row>
    <row r="2757" spans="1:15" ht="15.75" hidden="1" x14ac:dyDescent="0.25">
      <c r="A2757" s="1" t="str">
        <f t="shared" si="137"/>
        <v>450054500214FIFA CCTRANSPORTCAR</v>
      </c>
      <c r="B2757" s="154">
        <v>45005</v>
      </c>
      <c r="C2757" s="154">
        <v>45002</v>
      </c>
      <c r="D2757" s="3" t="s">
        <v>3268</v>
      </c>
      <c r="E2757" s="3">
        <v>14</v>
      </c>
      <c r="F2757" s="3">
        <v>1</v>
      </c>
      <c r="G2757" s="3">
        <f t="shared" si="136"/>
        <v>14</v>
      </c>
      <c r="H2757" s="3" t="s">
        <v>3294</v>
      </c>
      <c r="I2757" s="1" t="s">
        <v>296</v>
      </c>
      <c r="J2757" s="1" t="s">
        <v>2585</v>
      </c>
      <c r="K2757" s="1" t="s">
        <v>298</v>
      </c>
      <c r="L2757" s="1" t="s">
        <v>267</v>
      </c>
      <c r="M2757" s="1"/>
      <c r="N2757" s="1">
        <f t="shared" si="138"/>
        <v>3</v>
      </c>
      <c r="O2757" s="87"/>
    </row>
    <row r="2758" spans="1:15" ht="15.75" hidden="1" x14ac:dyDescent="0.25">
      <c r="A2758" s="1" t="str">
        <f t="shared" si="137"/>
        <v>4500545003180.75FIFA CCGROCERYLULU</v>
      </c>
      <c r="B2758" s="154">
        <v>45005</v>
      </c>
      <c r="C2758" s="154">
        <v>45003</v>
      </c>
      <c r="D2758" s="3" t="s">
        <v>3269</v>
      </c>
      <c r="E2758" s="3">
        <v>180.75</v>
      </c>
      <c r="F2758" s="3">
        <v>1</v>
      </c>
      <c r="G2758" s="3">
        <f t="shared" si="136"/>
        <v>180.75</v>
      </c>
      <c r="H2758" s="3" t="s">
        <v>3294</v>
      </c>
      <c r="I2758" s="1" t="s">
        <v>43</v>
      </c>
      <c r="J2758" s="1" t="s">
        <v>44</v>
      </c>
      <c r="K2758" s="1" t="s">
        <v>298</v>
      </c>
      <c r="L2758" s="1" t="s">
        <v>267</v>
      </c>
      <c r="M2758" s="1"/>
      <c r="N2758" s="1">
        <f t="shared" si="138"/>
        <v>3</v>
      </c>
      <c r="O2758" s="87"/>
    </row>
    <row r="2759" spans="1:15" ht="15.75" hidden="1" x14ac:dyDescent="0.25">
      <c r="A2759" s="1" t="str">
        <f t="shared" si="137"/>
        <v>450054500412FIFA CCFOODCAFÉ/REST.</v>
      </c>
      <c r="B2759" s="154">
        <v>45005</v>
      </c>
      <c r="C2759" s="154">
        <v>45004</v>
      </c>
      <c r="D2759" s="3" t="s">
        <v>3270</v>
      </c>
      <c r="E2759" s="3">
        <v>12</v>
      </c>
      <c r="F2759" s="3">
        <v>1</v>
      </c>
      <c r="G2759" s="3">
        <f t="shared" si="136"/>
        <v>12</v>
      </c>
      <c r="H2759" s="3" t="s">
        <v>3294</v>
      </c>
      <c r="I2759" s="1" t="s">
        <v>10</v>
      </c>
      <c r="J2759" s="1" t="s">
        <v>11</v>
      </c>
      <c r="K2759" s="1" t="s">
        <v>298</v>
      </c>
      <c r="L2759" s="1" t="s">
        <v>267</v>
      </c>
      <c r="M2759" s="1"/>
      <c r="N2759" s="1">
        <f t="shared" si="138"/>
        <v>3</v>
      </c>
      <c r="O2759" s="87"/>
    </row>
    <row r="2760" spans="1:15" ht="15.75" hidden="1" x14ac:dyDescent="0.25">
      <c r="A2760" s="1" t="str">
        <f t="shared" si="137"/>
        <v>450054500219FIFA CCFOODCAFÉ/REST.</v>
      </c>
      <c r="B2760" s="154">
        <v>45005</v>
      </c>
      <c r="C2760" s="154">
        <v>45002</v>
      </c>
      <c r="D2760" s="3" t="s">
        <v>3271</v>
      </c>
      <c r="E2760" s="3">
        <v>19</v>
      </c>
      <c r="F2760" s="3">
        <v>1</v>
      </c>
      <c r="G2760" s="3">
        <f t="shared" si="136"/>
        <v>19</v>
      </c>
      <c r="H2760" s="3" t="s">
        <v>3294</v>
      </c>
      <c r="I2760" s="1" t="s">
        <v>10</v>
      </c>
      <c r="J2760" s="1" t="s">
        <v>11</v>
      </c>
      <c r="K2760" s="1" t="s">
        <v>298</v>
      </c>
      <c r="L2760" s="1" t="s">
        <v>267</v>
      </c>
      <c r="M2760" s="1"/>
      <c r="N2760" s="1">
        <f t="shared" si="138"/>
        <v>3</v>
      </c>
      <c r="O2760" s="87"/>
    </row>
    <row r="2761" spans="1:15" ht="15.75" hidden="1" x14ac:dyDescent="0.25">
      <c r="A2761" s="1" t="str">
        <f t="shared" si="137"/>
        <v>450064500415FIFA CCTRANSPORTMR VALET</v>
      </c>
      <c r="B2761" s="154">
        <v>45006</v>
      </c>
      <c r="C2761" s="154">
        <v>45004</v>
      </c>
      <c r="D2761" s="3" t="s">
        <v>3272</v>
      </c>
      <c r="E2761" s="3">
        <v>15</v>
      </c>
      <c r="F2761" s="3">
        <v>1</v>
      </c>
      <c r="G2761" s="3">
        <f t="shared" si="136"/>
        <v>15</v>
      </c>
      <c r="H2761" s="3" t="s">
        <v>3294</v>
      </c>
      <c r="I2761" s="1" t="s">
        <v>296</v>
      </c>
      <c r="J2761" s="1" t="s">
        <v>2703</v>
      </c>
      <c r="K2761" s="1" t="s">
        <v>298</v>
      </c>
      <c r="L2761" s="1" t="s">
        <v>267</v>
      </c>
      <c r="M2761" s="1"/>
      <c r="N2761" s="1">
        <f t="shared" si="138"/>
        <v>3</v>
      </c>
      <c r="O2761" s="87"/>
    </row>
    <row r="2762" spans="1:15" ht="15.75" hidden="1" x14ac:dyDescent="0.25">
      <c r="A2762" s="1" t="str">
        <f t="shared" si="137"/>
        <v>450074500520FIFA CCFOODWISHBOX</v>
      </c>
      <c r="B2762" s="154">
        <v>45007</v>
      </c>
      <c r="C2762" s="154">
        <v>45005</v>
      </c>
      <c r="D2762" s="3" t="s">
        <v>3273</v>
      </c>
      <c r="E2762" s="3">
        <v>20</v>
      </c>
      <c r="F2762" s="3">
        <v>1</v>
      </c>
      <c r="G2762" s="3">
        <f t="shared" si="136"/>
        <v>20</v>
      </c>
      <c r="H2762" s="3" t="s">
        <v>3294</v>
      </c>
      <c r="I2762" s="1" t="s">
        <v>10</v>
      </c>
      <c r="J2762" s="1" t="s">
        <v>1199</v>
      </c>
      <c r="K2762" s="1" t="s">
        <v>298</v>
      </c>
      <c r="L2762" s="1" t="s">
        <v>267</v>
      </c>
      <c r="M2762" s="1"/>
      <c r="N2762" s="1">
        <f t="shared" si="138"/>
        <v>3</v>
      </c>
      <c r="O2762" s="87"/>
    </row>
    <row r="2763" spans="1:15" ht="15.75" hidden="1" x14ac:dyDescent="0.25">
      <c r="A2763" s="1" t="str">
        <f t="shared" si="137"/>
        <v>45008450068.8DINERSTRANSPORTUBER</v>
      </c>
      <c r="B2763" s="154">
        <v>45008</v>
      </c>
      <c r="C2763" s="154">
        <v>45006</v>
      </c>
      <c r="D2763" s="3" t="s">
        <v>3233</v>
      </c>
      <c r="E2763" s="3">
        <v>8.8000000000000007</v>
      </c>
      <c r="F2763" s="3">
        <v>1</v>
      </c>
      <c r="G2763" s="3">
        <f t="shared" ref="G2763:G2826" si="139">ABS(E2763)*F2763</f>
        <v>8.8000000000000007</v>
      </c>
      <c r="H2763" s="3" t="s">
        <v>266</v>
      </c>
      <c r="I2763" s="1" t="s">
        <v>296</v>
      </c>
      <c r="J2763" s="1" t="s">
        <v>299</v>
      </c>
      <c r="K2763" s="1" t="s">
        <v>298</v>
      </c>
      <c r="L2763" s="1" t="s">
        <v>267</v>
      </c>
      <c r="M2763" s="1"/>
      <c r="N2763" s="1">
        <f t="shared" si="138"/>
        <v>3</v>
      </c>
      <c r="O2763" s="87"/>
    </row>
    <row r="2764" spans="1:15" ht="15.75" hidden="1" x14ac:dyDescent="0.25">
      <c r="A2764" s="1" t="str">
        <f t="shared" si="137"/>
        <v>4500845006118.95FIFA CCGROCERYINDIAN SUPER</v>
      </c>
      <c r="B2764" s="154">
        <v>45008</v>
      </c>
      <c r="C2764" s="154">
        <v>45006</v>
      </c>
      <c r="D2764" s="3" t="s">
        <v>3274</v>
      </c>
      <c r="E2764" s="3">
        <v>118.95</v>
      </c>
      <c r="F2764" s="3">
        <v>1</v>
      </c>
      <c r="G2764" s="3">
        <f t="shared" si="139"/>
        <v>118.95</v>
      </c>
      <c r="H2764" s="3" t="s">
        <v>3294</v>
      </c>
      <c r="I2764" s="1" t="s">
        <v>43</v>
      </c>
      <c r="J2764" s="1" t="s">
        <v>2273</v>
      </c>
      <c r="K2764" s="1" t="s">
        <v>298</v>
      </c>
      <c r="L2764" s="1" t="s">
        <v>267</v>
      </c>
      <c r="M2764" s="1"/>
      <c r="N2764" s="1">
        <f t="shared" si="138"/>
        <v>3</v>
      </c>
      <c r="O2764" s="87"/>
    </row>
    <row r="2765" spans="1:15" ht="15.75" hidden="1" x14ac:dyDescent="0.25">
      <c r="A2765" s="1" t="str">
        <f t="shared" si="137"/>
        <v>450104500862FIFA CCFOODWISHBOX</v>
      </c>
      <c r="B2765" s="154">
        <v>45010</v>
      </c>
      <c r="C2765" s="154">
        <v>45008</v>
      </c>
      <c r="D2765" s="3" t="s">
        <v>3275</v>
      </c>
      <c r="E2765" s="3">
        <v>62</v>
      </c>
      <c r="F2765" s="3">
        <v>1</v>
      </c>
      <c r="G2765" s="3">
        <f t="shared" si="139"/>
        <v>62</v>
      </c>
      <c r="H2765" s="3" t="s">
        <v>3294</v>
      </c>
      <c r="I2765" s="1" t="s">
        <v>10</v>
      </c>
      <c r="J2765" s="1" t="s">
        <v>1199</v>
      </c>
      <c r="K2765" s="1" t="s">
        <v>298</v>
      </c>
      <c r="L2765" s="1" t="s">
        <v>267</v>
      </c>
      <c r="M2765" s="1"/>
      <c r="N2765" s="1">
        <f t="shared" si="138"/>
        <v>3</v>
      </c>
      <c r="O2765" s="87"/>
    </row>
    <row r="2766" spans="1:15" ht="15.75" hidden="1" x14ac:dyDescent="0.25">
      <c r="A2766" s="1" t="str">
        <f t="shared" si="137"/>
        <v>4501045010583.78FIFA CCTRANSPORTQIC</v>
      </c>
      <c r="B2766" s="154">
        <v>45010</v>
      </c>
      <c r="C2766" s="154">
        <v>45010</v>
      </c>
      <c r="D2766" s="3" t="s">
        <v>3276</v>
      </c>
      <c r="E2766" s="3">
        <v>583.78</v>
      </c>
      <c r="F2766" s="3">
        <v>1</v>
      </c>
      <c r="G2766" s="3">
        <f t="shared" si="139"/>
        <v>583.78</v>
      </c>
      <c r="H2766" s="3" t="s">
        <v>3294</v>
      </c>
      <c r="I2766" s="1" t="s">
        <v>296</v>
      </c>
      <c r="J2766" s="1" t="s">
        <v>2899</v>
      </c>
      <c r="K2766" s="1" t="s">
        <v>298</v>
      </c>
      <c r="L2766" s="1" t="s">
        <v>267</v>
      </c>
      <c r="M2766" s="1">
        <v>1</v>
      </c>
      <c r="N2766" s="1">
        <f t="shared" si="138"/>
        <v>3</v>
      </c>
      <c r="O2766" s="87"/>
    </row>
    <row r="2767" spans="1:15" ht="15.75" hidden="1" x14ac:dyDescent="0.25">
      <c r="A2767" s="1" t="str">
        <f t="shared" si="137"/>
        <v>45011450078.8DINERSTRANSPORTUBER</v>
      </c>
      <c r="B2767" s="154">
        <v>45011</v>
      </c>
      <c r="C2767" s="154">
        <v>45007</v>
      </c>
      <c r="D2767" s="3" t="s">
        <v>3234</v>
      </c>
      <c r="E2767" s="3">
        <v>8.8000000000000007</v>
      </c>
      <c r="F2767" s="3">
        <v>1</v>
      </c>
      <c r="G2767" s="3">
        <f t="shared" si="139"/>
        <v>8.8000000000000007</v>
      </c>
      <c r="H2767" s="3" t="s">
        <v>266</v>
      </c>
      <c r="I2767" s="1" t="s">
        <v>296</v>
      </c>
      <c r="J2767" s="1" t="s">
        <v>299</v>
      </c>
      <c r="K2767" s="1" t="s">
        <v>298</v>
      </c>
      <c r="L2767" s="1" t="s">
        <v>267</v>
      </c>
      <c r="M2767" s="1"/>
      <c r="N2767" s="1">
        <f t="shared" si="138"/>
        <v>3</v>
      </c>
      <c r="O2767" s="87"/>
    </row>
    <row r="2768" spans="1:15" ht="15.75" hidden="1" x14ac:dyDescent="0.25">
      <c r="A2768" s="1" t="str">
        <f t="shared" si="137"/>
        <v>45011450088.8DINERSTRANSPORTUBER</v>
      </c>
      <c r="B2768" s="154">
        <v>45011</v>
      </c>
      <c r="C2768" s="154">
        <v>45008</v>
      </c>
      <c r="D2768" s="3" t="s">
        <v>3235</v>
      </c>
      <c r="E2768" s="3">
        <v>8.8000000000000007</v>
      </c>
      <c r="F2768" s="3">
        <v>1</v>
      </c>
      <c r="G2768" s="3">
        <f t="shared" si="139"/>
        <v>8.8000000000000007</v>
      </c>
      <c r="H2768" s="3" t="s">
        <v>266</v>
      </c>
      <c r="I2768" s="1" t="s">
        <v>296</v>
      </c>
      <c r="J2768" s="1" t="s">
        <v>299</v>
      </c>
      <c r="K2768" s="1" t="s">
        <v>298</v>
      </c>
      <c r="L2768" s="1" t="s">
        <v>267</v>
      </c>
      <c r="M2768" s="1"/>
      <c r="N2768" s="1">
        <f t="shared" si="138"/>
        <v>3</v>
      </c>
      <c r="O2768" s="87"/>
    </row>
    <row r="2769" spans="1:15" ht="15.75" hidden="1" x14ac:dyDescent="0.25">
      <c r="A2769" s="1" t="str">
        <f t="shared" si="137"/>
        <v>45011450088.8DINERSTRANSPORTUBER</v>
      </c>
      <c r="B2769" s="154">
        <v>45011</v>
      </c>
      <c r="C2769" s="154">
        <v>45008</v>
      </c>
      <c r="D2769" s="3" t="s">
        <v>3236</v>
      </c>
      <c r="E2769" s="3">
        <v>8.8000000000000007</v>
      </c>
      <c r="F2769" s="3">
        <v>1</v>
      </c>
      <c r="G2769" s="3">
        <f t="shared" si="139"/>
        <v>8.8000000000000007</v>
      </c>
      <c r="H2769" s="3" t="s">
        <v>266</v>
      </c>
      <c r="I2769" s="1" t="s">
        <v>296</v>
      </c>
      <c r="J2769" s="1" t="s">
        <v>299</v>
      </c>
      <c r="K2769" s="1" t="s">
        <v>298</v>
      </c>
      <c r="L2769" s="1" t="s">
        <v>267</v>
      </c>
      <c r="M2769" s="1"/>
      <c r="N2769" s="1">
        <f t="shared" si="138"/>
        <v>3</v>
      </c>
      <c r="O2769" s="87"/>
    </row>
    <row r="2770" spans="1:15" ht="15.75" hidden="1" x14ac:dyDescent="0.25">
      <c r="A2770" s="1" t="str">
        <f t="shared" si="137"/>
        <v>450114500962FIFA CCFOODWISHBOX</v>
      </c>
      <c r="B2770" s="154">
        <v>45011</v>
      </c>
      <c r="C2770" s="154">
        <v>45009</v>
      </c>
      <c r="D2770" s="3" t="s">
        <v>3277</v>
      </c>
      <c r="E2770" s="3">
        <v>62</v>
      </c>
      <c r="F2770" s="3">
        <v>1</v>
      </c>
      <c r="G2770" s="3">
        <f t="shared" si="139"/>
        <v>62</v>
      </c>
      <c r="H2770" s="3" t="s">
        <v>3294</v>
      </c>
      <c r="I2770" s="1" t="s">
        <v>10</v>
      </c>
      <c r="J2770" s="1" t="s">
        <v>1199</v>
      </c>
      <c r="K2770" s="1" t="s">
        <v>298</v>
      </c>
      <c r="L2770" s="1" t="s">
        <v>267</v>
      </c>
      <c r="M2770" s="1"/>
      <c r="N2770" s="1">
        <f t="shared" si="138"/>
        <v>3</v>
      </c>
      <c r="O2770" s="87"/>
    </row>
    <row r="2771" spans="1:15" ht="15.75" hidden="1" x14ac:dyDescent="0.25">
      <c r="A2771" s="1" t="str">
        <f t="shared" si="137"/>
        <v>450124501012FIFA CCLAUNDRYAL RAYES</v>
      </c>
      <c r="B2771" s="154">
        <v>45012</v>
      </c>
      <c r="C2771" s="154">
        <v>45010</v>
      </c>
      <c r="D2771" s="3" t="s">
        <v>3278</v>
      </c>
      <c r="E2771" s="3">
        <v>12</v>
      </c>
      <c r="F2771" s="3">
        <v>1</v>
      </c>
      <c r="G2771" s="3">
        <f t="shared" si="139"/>
        <v>12</v>
      </c>
      <c r="H2771" s="3" t="s">
        <v>3294</v>
      </c>
      <c r="I2771" s="1" t="s">
        <v>3164</v>
      </c>
      <c r="J2771" s="1" t="s">
        <v>3165</v>
      </c>
      <c r="K2771" s="1" t="s">
        <v>298</v>
      </c>
      <c r="L2771" s="1" t="s">
        <v>267</v>
      </c>
      <c r="M2771" s="1"/>
      <c r="N2771" s="1">
        <f t="shared" si="138"/>
        <v>3</v>
      </c>
      <c r="O2771" s="87"/>
    </row>
    <row r="2772" spans="1:15" ht="15.75" hidden="1" x14ac:dyDescent="0.25">
      <c r="A2772" s="1" t="str">
        <f t="shared" si="137"/>
        <v>4501245010127FIFA CCSHOPPINGR&amp;B</v>
      </c>
      <c r="B2772" s="154">
        <v>45012</v>
      </c>
      <c r="C2772" s="154">
        <v>45010</v>
      </c>
      <c r="D2772" s="3" t="s">
        <v>3279</v>
      </c>
      <c r="E2772" s="3">
        <v>127</v>
      </c>
      <c r="F2772" s="3">
        <v>1</v>
      </c>
      <c r="G2772" s="3">
        <f t="shared" si="139"/>
        <v>127</v>
      </c>
      <c r="H2772" s="3" t="s">
        <v>3294</v>
      </c>
      <c r="I2772" s="1" t="s">
        <v>194</v>
      </c>
      <c r="J2772" s="1" t="s">
        <v>195</v>
      </c>
      <c r="K2772" s="1" t="s">
        <v>298</v>
      </c>
      <c r="L2772" s="1" t="s">
        <v>267</v>
      </c>
      <c r="M2772" s="1"/>
      <c r="N2772" s="1">
        <f t="shared" si="138"/>
        <v>3</v>
      </c>
      <c r="O2772" s="87"/>
    </row>
    <row r="2773" spans="1:15" ht="15.75" hidden="1" x14ac:dyDescent="0.25">
      <c r="A2773" s="1" t="str">
        <f t="shared" si="137"/>
        <v>450124501097.25FIFA CCGROCERYCARREFOUR</v>
      </c>
      <c r="B2773" s="154">
        <v>45012</v>
      </c>
      <c r="C2773" s="154">
        <v>45010</v>
      </c>
      <c r="D2773" s="3" t="s">
        <v>3280</v>
      </c>
      <c r="E2773" s="3">
        <v>97.25</v>
      </c>
      <c r="F2773" s="3">
        <v>1</v>
      </c>
      <c r="G2773" s="3">
        <f t="shared" si="139"/>
        <v>97.25</v>
      </c>
      <c r="H2773" s="3" t="s">
        <v>3294</v>
      </c>
      <c r="I2773" s="1" t="s">
        <v>43</v>
      </c>
      <c r="J2773" s="1" t="s">
        <v>67</v>
      </c>
      <c r="K2773" s="1" t="s">
        <v>298</v>
      </c>
      <c r="L2773" s="1" t="s">
        <v>267</v>
      </c>
      <c r="M2773" s="1"/>
      <c r="N2773" s="1">
        <f t="shared" si="138"/>
        <v>3</v>
      </c>
      <c r="O2773" s="87"/>
    </row>
    <row r="2774" spans="1:15" ht="15.75" hidden="1" x14ac:dyDescent="0.25">
      <c r="A2774" s="1" t="str">
        <f t="shared" si="137"/>
        <v>450124500815FIFA CCFOODQATAR AIR</v>
      </c>
      <c r="B2774" s="154">
        <v>45012</v>
      </c>
      <c r="C2774" s="154">
        <v>45008</v>
      </c>
      <c r="D2774" s="3" t="s">
        <v>3281</v>
      </c>
      <c r="E2774" s="3">
        <v>15</v>
      </c>
      <c r="F2774" s="3">
        <v>1</v>
      </c>
      <c r="G2774" s="3">
        <f t="shared" si="139"/>
        <v>15</v>
      </c>
      <c r="H2774" s="3" t="s">
        <v>3294</v>
      </c>
      <c r="I2774" s="1" t="s">
        <v>10</v>
      </c>
      <c r="J2774" s="1" t="s">
        <v>19</v>
      </c>
      <c r="K2774" s="1" t="s">
        <v>298</v>
      </c>
      <c r="L2774" s="1" t="s">
        <v>267</v>
      </c>
      <c r="M2774" s="1"/>
      <c r="N2774" s="1">
        <f t="shared" si="138"/>
        <v>3</v>
      </c>
      <c r="O2774" s="87"/>
    </row>
    <row r="2775" spans="1:15" ht="15.75" hidden="1" x14ac:dyDescent="0.25">
      <c r="A2775" s="1" t="str">
        <f t="shared" si="137"/>
        <v>4501245010120.5FIFA CCFOODCAFÉ/REST.</v>
      </c>
      <c r="B2775" s="154">
        <v>45012</v>
      </c>
      <c r="C2775" s="154">
        <v>45010</v>
      </c>
      <c r="D2775" s="3" t="s">
        <v>3282</v>
      </c>
      <c r="E2775" s="3">
        <v>120.5</v>
      </c>
      <c r="F2775" s="3">
        <v>1</v>
      </c>
      <c r="G2775" s="3">
        <f t="shared" si="139"/>
        <v>120.5</v>
      </c>
      <c r="H2775" s="3" t="s">
        <v>3294</v>
      </c>
      <c r="I2775" s="1" t="s">
        <v>10</v>
      </c>
      <c r="J2775" s="1" t="s">
        <v>11</v>
      </c>
      <c r="K2775" s="1" t="s">
        <v>298</v>
      </c>
      <c r="L2775" s="1" t="s">
        <v>267</v>
      </c>
      <c r="M2775" s="1"/>
      <c r="N2775" s="1">
        <f t="shared" si="138"/>
        <v>3</v>
      </c>
      <c r="O2775" s="87"/>
    </row>
    <row r="2776" spans="1:15" ht="15.75" hidden="1" x14ac:dyDescent="0.25">
      <c r="A2776" s="1" t="str">
        <f t="shared" si="137"/>
        <v>45013450118.8DINERSTRANSPORTUBER</v>
      </c>
      <c r="B2776" s="154">
        <v>45013</v>
      </c>
      <c r="C2776" s="154">
        <v>45011</v>
      </c>
      <c r="D2776" s="3" t="s">
        <v>3237</v>
      </c>
      <c r="E2776" s="3">
        <v>8.8000000000000007</v>
      </c>
      <c r="F2776" s="3">
        <v>1</v>
      </c>
      <c r="G2776" s="3">
        <f t="shared" si="139"/>
        <v>8.8000000000000007</v>
      </c>
      <c r="H2776" s="3" t="s">
        <v>266</v>
      </c>
      <c r="I2776" s="1" t="s">
        <v>296</v>
      </c>
      <c r="J2776" s="1" t="s">
        <v>299</v>
      </c>
      <c r="K2776" s="1" t="s">
        <v>298</v>
      </c>
      <c r="L2776" s="1" t="s">
        <v>267</v>
      </c>
      <c r="M2776" s="1"/>
      <c r="N2776" s="1">
        <f t="shared" si="138"/>
        <v>3</v>
      </c>
      <c r="O2776" s="87"/>
    </row>
    <row r="2777" spans="1:15" ht="15.75" hidden="1" x14ac:dyDescent="0.25">
      <c r="A2777" s="1" t="str">
        <f t="shared" si="137"/>
        <v>4501345011103.65FIFA CCGROCERYINDIAN SUPER</v>
      </c>
      <c r="B2777" s="154">
        <v>45013</v>
      </c>
      <c r="C2777" s="154">
        <v>45011</v>
      </c>
      <c r="D2777" s="3" t="s">
        <v>3283</v>
      </c>
      <c r="E2777" s="3">
        <v>103.65</v>
      </c>
      <c r="F2777" s="3">
        <v>1</v>
      </c>
      <c r="G2777" s="3">
        <f t="shared" si="139"/>
        <v>103.65</v>
      </c>
      <c r="H2777" s="3" t="s">
        <v>3294</v>
      </c>
      <c r="I2777" s="1" t="s">
        <v>43</v>
      </c>
      <c r="J2777" s="1" t="s">
        <v>2273</v>
      </c>
      <c r="K2777" s="1" t="s">
        <v>298</v>
      </c>
      <c r="L2777" s="1" t="s">
        <v>267</v>
      </c>
      <c r="M2777" s="1"/>
      <c r="N2777" s="1">
        <f t="shared" si="138"/>
        <v>3</v>
      </c>
      <c r="O2777" s="87"/>
    </row>
    <row r="2778" spans="1:15" ht="15.75" hidden="1" x14ac:dyDescent="0.25">
      <c r="A2778" s="1" t="str">
        <f t="shared" si="137"/>
        <v>4501345011105FIFA CCTRANSPORTWOQOD</v>
      </c>
      <c r="B2778" s="154">
        <v>45013</v>
      </c>
      <c r="C2778" s="154">
        <v>45011</v>
      </c>
      <c r="D2778" s="3" t="s">
        <v>3284</v>
      </c>
      <c r="E2778" s="3">
        <v>105</v>
      </c>
      <c r="F2778" s="3">
        <v>1</v>
      </c>
      <c r="G2778" s="3">
        <f t="shared" si="139"/>
        <v>105</v>
      </c>
      <c r="H2778" s="3" t="s">
        <v>3294</v>
      </c>
      <c r="I2778" s="1" t="s">
        <v>296</v>
      </c>
      <c r="J2778" s="1" t="s">
        <v>1942</v>
      </c>
      <c r="K2778" s="1" t="s">
        <v>298</v>
      </c>
      <c r="L2778" s="1" t="s">
        <v>267</v>
      </c>
      <c r="M2778" s="1"/>
      <c r="N2778" s="1">
        <f t="shared" si="138"/>
        <v>3</v>
      </c>
      <c r="O2778" s="87"/>
    </row>
    <row r="2779" spans="1:15" ht="15.75" hidden="1" x14ac:dyDescent="0.25">
      <c r="A2779" s="1" t="str">
        <f t="shared" si="137"/>
        <v>45013450115FIFA CCFOODQATAR AIR</v>
      </c>
      <c r="B2779" s="154">
        <v>45013</v>
      </c>
      <c r="C2779" s="154">
        <v>45011</v>
      </c>
      <c r="D2779" s="3" t="s">
        <v>3285</v>
      </c>
      <c r="E2779" s="3">
        <v>5</v>
      </c>
      <c r="F2779" s="3">
        <v>1</v>
      </c>
      <c r="G2779" s="3">
        <f t="shared" si="139"/>
        <v>5</v>
      </c>
      <c r="H2779" s="3" t="s">
        <v>3294</v>
      </c>
      <c r="I2779" s="1" t="s">
        <v>10</v>
      </c>
      <c r="J2779" s="1" t="s">
        <v>19</v>
      </c>
      <c r="K2779" s="1" t="s">
        <v>298</v>
      </c>
      <c r="L2779" s="1" t="s">
        <v>267</v>
      </c>
      <c r="M2779" s="1"/>
      <c r="N2779" s="1">
        <f t="shared" si="138"/>
        <v>3</v>
      </c>
      <c r="O2779" s="87"/>
    </row>
    <row r="2780" spans="1:15" ht="15.75" hidden="1" x14ac:dyDescent="0.25">
      <c r="A2780" s="1" t="str">
        <f t="shared" si="137"/>
        <v>450134501519MASTER CCFOODCAFÉ/REST.</v>
      </c>
      <c r="B2780" s="154">
        <v>45013</v>
      </c>
      <c r="C2780" s="154">
        <v>45015</v>
      </c>
      <c r="D2780" s="3" t="s">
        <v>3347</v>
      </c>
      <c r="E2780" s="3">
        <v>-19</v>
      </c>
      <c r="F2780" s="3">
        <v>1</v>
      </c>
      <c r="G2780" s="3">
        <f t="shared" si="139"/>
        <v>19</v>
      </c>
      <c r="H2780" s="3" t="s">
        <v>291</v>
      </c>
      <c r="I2780" s="1" t="s">
        <v>10</v>
      </c>
      <c r="J2780" s="1" t="s">
        <v>11</v>
      </c>
      <c r="K2780" s="1" t="s">
        <v>298</v>
      </c>
      <c r="L2780" s="1" t="s">
        <v>267</v>
      </c>
      <c r="M2780" s="1"/>
      <c r="N2780" s="1">
        <f t="shared" si="138"/>
        <v>3</v>
      </c>
      <c r="O2780" s="87"/>
    </row>
    <row r="2781" spans="1:15" ht="15.75" hidden="1" x14ac:dyDescent="0.25">
      <c r="A2781" s="1" t="str">
        <f t="shared" si="137"/>
        <v>45014450144200CURRENTCC BILL PAYMENTBANK</v>
      </c>
      <c r="B2781" s="154">
        <v>45014</v>
      </c>
      <c r="C2781" s="154">
        <v>45014</v>
      </c>
      <c r="D2781" s="3" t="s">
        <v>3215</v>
      </c>
      <c r="E2781" s="3">
        <v>-4200</v>
      </c>
      <c r="F2781" s="3">
        <v>1</v>
      </c>
      <c r="G2781" s="3">
        <f t="shared" si="139"/>
        <v>4200</v>
      </c>
      <c r="H2781" s="3" t="s">
        <v>293</v>
      </c>
      <c r="I2781" s="1" t="s">
        <v>81</v>
      </c>
      <c r="J2781" s="1" t="s">
        <v>8</v>
      </c>
      <c r="K2781" s="1" t="s">
        <v>298</v>
      </c>
      <c r="L2781" s="1" t="s">
        <v>257</v>
      </c>
      <c r="M2781" s="1"/>
      <c r="N2781" s="1">
        <f t="shared" si="138"/>
        <v>3</v>
      </c>
      <c r="O2781" s="87"/>
    </row>
    <row r="2782" spans="1:15" ht="15.75" hidden="1" x14ac:dyDescent="0.25">
      <c r="A2782" s="1" t="str">
        <f t="shared" si="137"/>
        <v>450144501421974CURRENTSALARYQATAR AIR</v>
      </c>
      <c r="B2782" s="154">
        <v>45014</v>
      </c>
      <c r="C2782" s="154">
        <v>45014</v>
      </c>
      <c r="D2782" s="3" t="s">
        <v>3216</v>
      </c>
      <c r="E2782" s="3">
        <v>21974</v>
      </c>
      <c r="F2782" s="3">
        <v>1</v>
      </c>
      <c r="G2782" s="3">
        <f t="shared" si="139"/>
        <v>21974</v>
      </c>
      <c r="H2782" s="3" t="s">
        <v>293</v>
      </c>
      <c r="I2782" s="1" t="s">
        <v>18</v>
      </c>
      <c r="J2782" s="1" t="s">
        <v>19</v>
      </c>
      <c r="K2782" s="1" t="s">
        <v>300</v>
      </c>
      <c r="L2782" s="1" t="s">
        <v>257</v>
      </c>
      <c r="M2782" s="1"/>
      <c r="N2782" s="1">
        <f t="shared" si="138"/>
        <v>3</v>
      </c>
      <c r="O2782" s="87"/>
    </row>
    <row r="2783" spans="1:15" ht="15.75" hidden="1" x14ac:dyDescent="0.25">
      <c r="A2783" s="1" t="str">
        <f t="shared" si="137"/>
        <v>45014450144200DINERSCC BILL PAYMENTBANK</v>
      </c>
      <c r="B2783" s="154">
        <v>45014</v>
      </c>
      <c r="C2783" s="154">
        <v>45014</v>
      </c>
      <c r="D2783" s="3" t="s">
        <v>80</v>
      </c>
      <c r="E2783" s="3">
        <v>4200</v>
      </c>
      <c r="F2783" s="3">
        <v>1</v>
      </c>
      <c r="G2783" s="3">
        <f t="shared" si="139"/>
        <v>4200</v>
      </c>
      <c r="H2783" s="3" t="s">
        <v>266</v>
      </c>
      <c r="I2783" s="1" t="s">
        <v>81</v>
      </c>
      <c r="J2783" s="1" t="s">
        <v>8</v>
      </c>
      <c r="K2783" s="1" t="s">
        <v>300</v>
      </c>
      <c r="L2783" s="1" t="s">
        <v>267</v>
      </c>
      <c r="M2783" s="1"/>
      <c r="N2783" s="1">
        <f t="shared" si="138"/>
        <v>3</v>
      </c>
      <c r="O2783" s="87"/>
    </row>
    <row r="2784" spans="1:15" ht="15.75" hidden="1" x14ac:dyDescent="0.25">
      <c r="A2784" s="1" t="str">
        <f t="shared" si="137"/>
        <v>45014450128.8DINERSTRANSPORTUBER</v>
      </c>
      <c r="B2784" s="154">
        <v>45014</v>
      </c>
      <c r="C2784" s="154">
        <v>45012</v>
      </c>
      <c r="D2784" s="3" t="s">
        <v>3238</v>
      </c>
      <c r="E2784" s="3">
        <v>8.8000000000000007</v>
      </c>
      <c r="F2784" s="3">
        <v>1</v>
      </c>
      <c r="G2784" s="3">
        <f t="shared" si="139"/>
        <v>8.8000000000000007</v>
      </c>
      <c r="H2784" s="3" t="s">
        <v>266</v>
      </c>
      <c r="I2784" s="1" t="s">
        <v>296</v>
      </c>
      <c r="J2784" s="1" t="s">
        <v>299</v>
      </c>
      <c r="K2784" s="1" t="s">
        <v>298</v>
      </c>
      <c r="L2784" s="1" t="s">
        <v>267</v>
      </c>
      <c r="M2784" s="1"/>
      <c r="N2784" s="1">
        <f t="shared" si="138"/>
        <v>3</v>
      </c>
      <c r="O2784" s="87"/>
    </row>
    <row r="2785" spans="1:15" ht="15.75" hidden="1" x14ac:dyDescent="0.25">
      <c r="A2785" s="1" t="str">
        <f t="shared" si="137"/>
        <v>4501445012336.7FIFA CCSHOPPINGQDF</v>
      </c>
      <c r="B2785" s="154">
        <v>45014</v>
      </c>
      <c r="C2785" s="154">
        <v>45012</v>
      </c>
      <c r="D2785" s="3" t="s">
        <v>3286</v>
      </c>
      <c r="E2785" s="3">
        <v>336.7</v>
      </c>
      <c r="F2785" s="3">
        <v>1</v>
      </c>
      <c r="G2785" s="3">
        <f t="shared" si="139"/>
        <v>336.7</v>
      </c>
      <c r="H2785" s="3" t="s">
        <v>3294</v>
      </c>
      <c r="I2785" s="1" t="s">
        <v>194</v>
      </c>
      <c r="J2785" s="1" t="s">
        <v>2900</v>
      </c>
      <c r="K2785" s="1" t="s">
        <v>298</v>
      </c>
      <c r="L2785" s="1" t="s">
        <v>267</v>
      </c>
      <c r="M2785" s="1"/>
      <c r="N2785" s="1">
        <f t="shared" si="138"/>
        <v>3</v>
      </c>
      <c r="O2785" s="87"/>
    </row>
    <row r="2786" spans="1:15" ht="15.75" hidden="1" x14ac:dyDescent="0.25">
      <c r="A2786" s="1" t="str">
        <f t="shared" si="137"/>
        <v>450144501110.5FIFA CCTRANSPORTWOQOD</v>
      </c>
      <c r="B2786" s="154">
        <v>45014</v>
      </c>
      <c r="C2786" s="154">
        <v>45011</v>
      </c>
      <c r="D2786" s="3" t="s">
        <v>3287</v>
      </c>
      <c r="E2786" s="3">
        <v>10.5</v>
      </c>
      <c r="F2786" s="3">
        <v>1</v>
      </c>
      <c r="G2786" s="3">
        <f t="shared" si="139"/>
        <v>10.5</v>
      </c>
      <c r="H2786" s="3" t="s">
        <v>3294</v>
      </c>
      <c r="I2786" s="1" t="s">
        <v>296</v>
      </c>
      <c r="J2786" s="1" t="s">
        <v>1942</v>
      </c>
      <c r="K2786" s="1" t="s">
        <v>298</v>
      </c>
      <c r="L2786" s="1" t="s">
        <v>267</v>
      </c>
      <c r="M2786" s="1"/>
      <c r="N2786" s="1">
        <f t="shared" si="138"/>
        <v>3</v>
      </c>
      <c r="O2786" s="87"/>
    </row>
    <row r="2787" spans="1:15" ht="15.75" hidden="1" x14ac:dyDescent="0.25">
      <c r="A2787" s="1" t="str">
        <f t="shared" si="137"/>
        <v>450144501215FIFA CCTRANSPORTMR VALET</v>
      </c>
      <c r="B2787" s="154">
        <v>45014</v>
      </c>
      <c r="C2787" s="154">
        <v>45012</v>
      </c>
      <c r="D2787" s="3" t="s">
        <v>3288</v>
      </c>
      <c r="E2787" s="3">
        <v>15</v>
      </c>
      <c r="F2787" s="3">
        <v>1</v>
      </c>
      <c r="G2787" s="3">
        <f t="shared" si="139"/>
        <v>15</v>
      </c>
      <c r="H2787" s="3" t="s">
        <v>3294</v>
      </c>
      <c r="I2787" s="1" t="s">
        <v>296</v>
      </c>
      <c r="J2787" s="1" t="s">
        <v>2703</v>
      </c>
      <c r="K2787" s="1" t="s">
        <v>298</v>
      </c>
      <c r="L2787" s="1" t="s">
        <v>267</v>
      </c>
      <c r="M2787" s="1"/>
      <c r="N2787" s="1">
        <f t="shared" si="138"/>
        <v>3</v>
      </c>
      <c r="O2787" s="87"/>
    </row>
    <row r="2788" spans="1:15" ht="15.75" hidden="1" x14ac:dyDescent="0.25">
      <c r="A2788" s="1" t="str">
        <f t="shared" si="137"/>
        <v>450144501217FIFA CCFOODQATAR AIR</v>
      </c>
      <c r="B2788" s="154">
        <v>45014</v>
      </c>
      <c r="C2788" s="154">
        <v>45012</v>
      </c>
      <c r="D2788" s="3" t="s">
        <v>3289</v>
      </c>
      <c r="E2788" s="3">
        <v>17</v>
      </c>
      <c r="F2788" s="3">
        <v>1</v>
      </c>
      <c r="G2788" s="3">
        <f t="shared" si="139"/>
        <v>17</v>
      </c>
      <c r="H2788" s="3" t="s">
        <v>3294</v>
      </c>
      <c r="I2788" s="1" t="s">
        <v>10</v>
      </c>
      <c r="J2788" s="1" t="s">
        <v>19</v>
      </c>
      <c r="K2788" s="1" t="s">
        <v>298</v>
      </c>
      <c r="L2788" s="1" t="s">
        <v>267</v>
      </c>
      <c r="M2788" s="1"/>
      <c r="N2788" s="1">
        <f t="shared" si="138"/>
        <v>3</v>
      </c>
      <c r="O2788" s="87"/>
    </row>
    <row r="2789" spans="1:15" ht="15.75" hidden="1" x14ac:dyDescent="0.25">
      <c r="A2789" s="1" t="str">
        <f t="shared" si="137"/>
        <v>45015450154CURRENTSERVICEBANK</v>
      </c>
      <c r="B2789" s="154">
        <v>45015</v>
      </c>
      <c r="C2789" s="154">
        <v>45015</v>
      </c>
      <c r="D2789" s="3" t="s">
        <v>3217</v>
      </c>
      <c r="E2789" s="3">
        <v>-4</v>
      </c>
      <c r="F2789" s="3">
        <v>1</v>
      </c>
      <c r="G2789" s="3">
        <f t="shared" si="139"/>
        <v>4</v>
      </c>
      <c r="H2789" s="3" t="s">
        <v>293</v>
      </c>
      <c r="I2789" s="1" t="s">
        <v>7</v>
      </c>
      <c r="J2789" s="1" t="s">
        <v>8</v>
      </c>
      <c r="K2789" s="1" t="s">
        <v>298</v>
      </c>
      <c r="L2789" s="1" t="s">
        <v>257</v>
      </c>
      <c r="M2789" s="1"/>
      <c r="N2789" s="1">
        <f t="shared" si="138"/>
        <v>3</v>
      </c>
      <c r="O2789" s="87"/>
    </row>
    <row r="2790" spans="1:15" ht="15.75" hidden="1" x14ac:dyDescent="0.25">
      <c r="A2790" s="1" t="str">
        <f t="shared" si="137"/>
        <v>45015450155000CURRENTLOANARSAL</v>
      </c>
      <c r="B2790" s="154">
        <v>45015</v>
      </c>
      <c r="C2790" s="154">
        <v>45015</v>
      </c>
      <c r="D2790" s="3" t="s">
        <v>3218</v>
      </c>
      <c r="E2790" s="3">
        <v>-5000</v>
      </c>
      <c r="F2790" s="3">
        <v>1</v>
      </c>
      <c r="G2790" s="3">
        <f t="shared" si="139"/>
        <v>5000</v>
      </c>
      <c r="H2790" s="3" t="s">
        <v>293</v>
      </c>
      <c r="I2790" s="1" t="s">
        <v>3</v>
      </c>
      <c r="J2790" s="1" t="s">
        <v>3302</v>
      </c>
      <c r="K2790" s="1" t="s">
        <v>298</v>
      </c>
      <c r="L2790" s="1" t="s">
        <v>257</v>
      </c>
      <c r="M2790" s="1"/>
      <c r="N2790" s="1">
        <f t="shared" si="138"/>
        <v>3</v>
      </c>
      <c r="O2790" s="87" t="s">
        <v>3301</v>
      </c>
    </row>
    <row r="2791" spans="1:15" ht="15.75" hidden="1" x14ac:dyDescent="0.25">
      <c r="A2791" s="1" t="str">
        <f t="shared" si="137"/>
        <v>45015450157000CURRENTLOANAKSHIT</v>
      </c>
      <c r="B2791" s="154">
        <v>45015</v>
      </c>
      <c r="C2791" s="154">
        <v>45015</v>
      </c>
      <c r="D2791" s="3" t="s">
        <v>3219</v>
      </c>
      <c r="E2791" s="3">
        <v>-7000</v>
      </c>
      <c r="F2791" s="3">
        <v>1</v>
      </c>
      <c r="G2791" s="3">
        <f t="shared" si="139"/>
        <v>7000</v>
      </c>
      <c r="H2791" s="3" t="s">
        <v>293</v>
      </c>
      <c r="I2791" s="1" t="s">
        <v>3</v>
      </c>
      <c r="J2791" s="1" t="s">
        <v>879</v>
      </c>
      <c r="K2791" s="1" t="s">
        <v>298</v>
      </c>
      <c r="L2791" s="1" t="s">
        <v>257</v>
      </c>
      <c r="M2791" s="1"/>
      <c r="N2791" s="1">
        <f t="shared" si="138"/>
        <v>3</v>
      </c>
      <c r="O2791" s="87" t="s">
        <v>3298</v>
      </c>
    </row>
    <row r="2792" spans="1:15" ht="15.75" hidden="1" x14ac:dyDescent="0.25">
      <c r="A2792" s="1" t="str">
        <f t="shared" si="137"/>
        <v>4501545015455CURRENTVISAUAE</v>
      </c>
      <c r="B2792" s="154">
        <v>45015</v>
      </c>
      <c r="C2792" s="154">
        <v>45015</v>
      </c>
      <c r="D2792" s="3" t="s">
        <v>3220</v>
      </c>
      <c r="E2792" s="3">
        <v>-455</v>
      </c>
      <c r="F2792" s="3">
        <v>1</v>
      </c>
      <c r="G2792" s="3">
        <f t="shared" si="139"/>
        <v>455</v>
      </c>
      <c r="H2792" s="3" t="s">
        <v>293</v>
      </c>
      <c r="I2792" s="1" t="s">
        <v>29</v>
      </c>
      <c r="J2792" s="1" t="s">
        <v>3303</v>
      </c>
      <c r="K2792" s="1" t="s">
        <v>298</v>
      </c>
      <c r="L2792" s="1" t="s">
        <v>257</v>
      </c>
      <c r="M2792" s="1"/>
      <c r="N2792" s="1">
        <f t="shared" si="138"/>
        <v>3</v>
      </c>
      <c r="O2792" s="87"/>
    </row>
    <row r="2793" spans="1:15" ht="15.75" hidden="1" x14ac:dyDescent="0.25">
      <c r="A2793" s="1" t="str">
        <f t="shared" si="137"/>
        <v>45015450138.8DINERSTRANSPORTUBER</v>
      </c>
      <c r="B2793" s="154">
        <v>45015</v>
      </c>
      <c r="C2793" s="154">
        <v>45013</v>
      </c>
      <c r="D2793" s="3" t="s">
        <v>3239</v>
      </c>
      <c r="E2793" s="3">
        <v>8.8000000000000007</v>
      </c>
      <c r="F2793" s="3">
        <v>1</v>
      </c>
      <c r="G2793" s="3">
        <f t="shared" si="139"/>
        <v>8.8000000000000007</v>
      </c>
      <c r="H2793" s="3" t="s">
        <v>266</v>
      </c>
      <c r="I2793" s="1" t="s">
        <v>296</v>
      </c>
      <c r="J2793" s="1" t="s">
        <v>299</v>
      </c>
      <c r="K2793" s="1" t="s">
        <v>298</v>
      </c>
      <c r="L2793" s="1" t="s">
        <v>267</v>
      </c>
      <c r="M2793" s="1"/>
      <c r="N2793" s="1">
        <f t="shared" si="138"/>
        <v>3</v>
      </c>
      <c r="O2793" s="87"/>
    </row>
    <row r="2794" spans="1:15" ht="15.75" hidden="1" x14ac:dyDescent="0.25">
      <c r="A2794" s="1" t="str">
        <f t="shared" si="137"/>
        <v>450154501360.27FIFA CCSHOPPINGANSAR</v>
      </c>
      <c r="B2794" s="154">
        <v>45015</v>
      </c>
      <c r="C2794" s="154">
        <v>45013</v>
      </c>
      <c r="D2794" s="3" t="s">
        <v>3290</v>
      </c>
      <c r="E2794" s="3">
        <v>60.27</v>
      </c>
      <c r="F2794" s="3">
        <v>1</v>
      </c>
      <c r="G2794" s="3">
        <f t="shared" si="139"/>
        <v>60.27</v>
      </c>
      <c r="H2794" s="3" t="s">
        <v>3294</v>
      </c>
      <c r="I2794" s="1" t="s">
        <v>194</v>
      </c>
      <c r="J2794" s="1" t="s">
        <v>1656</v>
      </c>
      <c r="K2794" s="1" t="s">
        <v>298</v>
      </c>
      <c r="L2794" s="1" t="s">
        <v>267</v>
      </c>
      <c r="M2794" s="1"/>
      <c r="N2794" s="1">
        <f t="shared" si="138"/>
        <v>3</v>
      </c>
      <c r="O2794" s="87"/>
    </row>
    <row r="2795" spans="1:15" ht="15.75" hidden="1" x14ac:dyDescent="0.25">
      <c r="A2795" s="1" t="str">
        <f t="shared" si="137"/>
        <v>450154501426.5FIFA CCFOODCAFÉ/REST.</v>
      </c>
      <c r="B2795" s="154">
        <v>45015</v>
      </c>
      <c r="C2795" s="154">
        <v>45014</v>
      </c>
      <c r="D2795" s="3" t="s">
        <v>3291</v>
      </c>
      <c r="E2795" s="3">
        <v>26.5</v>
      </c>
      <c r="F2795" s="3">
        <v>1</v>
      </c>
      <c r="G2795" s="3">
        <f t="shared" si="139"/>
        <v>26.5</v>
      </c>
      <c r="H2795" s="3" t="s">
        <v>3294</v>
      </c>
      <c r="I2795" s="1" t="s">
        <v>10</v>
      </c>
      <c r="J2795" s="1" t="s">
        <v>11</v>
      </c>
      <c r="K2795" s="1" t="s">
        <v>298</v>
      </c>
      <c r="L2795" s="1" t="s">
        <v>267</v>
      </c>
      <c r="M2795" s="1"/>
      <c r="N2795" s="1">
        <f t="shared" si="138"/>
        <v>3</v>
      </c>
      <c r="O2795" s="87"/>
    </row>
    <row r="2796" spans="1:15" ht="15.75" hidden="1" x14ac:dyDescent="0.25">
      <c r="A2796" s="1" t="str">
        <f t="shared" si="137"/>
        <v>450154501322FIFA CCFOODQATAR AIR</v>
      </c>
      <c r="B2796" s="154">
        <v>45015</v>
      </c>
      <c r="C2796" s="154">
        <v>45013</v>
      </c>
      <c r="D2796" s="3" t="s">
        <v>3292</v>
      </c>
      <c r="E2796" s="3">
        <v>22</v>
      </c>
      <c r="F2796" s="3">
        <v>1</v>
      </c>
      <c r="G2796" s="3">
        <f t="shared" si="139"/>
        <v>22</v>
      </c>
      <c r="H2796" s="3" t="s">
        <v>3294</v>
      </c>
      <c r="I2796" s="1" t="s">
        <v>10</v>
      </c>
      <c r="J2796" s="1" t="s">
        <v>19</v>
      </c>
      <c r="K2796" s="1" t="s">
        <v>298</v>
      </c>
      <c r="L2796" s="1" t="s">
        <v>267</v>
      </c>
      <c r="M2796" s="1"/>
      <c r="N2796" s="1">
        <f t="shared" si="138"/>
        <v>3</v>
      </c>
      <c r="O2796" s="87"/>
    </row>
    <row r="2797" spans="1:15" ht="15.75" hidden="1" x14ac:dyDescent="0.25">
      <c r="A2797" s="1" t="str">
        <f t="shared" si="137"/>
        <v>4501545015400CURRENTFOODQATAR AIR</v>
      </c>
      <c r="B2797" s="154">
        <v>45015</v>
      </c>
      <c r="C2797" s="154">
        <v>45015</v>
      </c>
      <c r="D2797" s="3" t="s">
        <v>3218</v>
      </c>
      <c r="E2797" s="3">
        <v>-400</v>
      </c>
      <c r="F2797" s="3">
        <v>1</v>
      </c>
      <c r="G2797" s="3">
        <f t="shared" si="139"/>
        <v>400</v>
      </c>
      <c r="H2797" s="3" t="s">
        <v>293</v>
      </c>
      <c r="I2797" s="1" t="s">
        <v>10</v>
      </c>
      <c r="J2797" s="1" t="s">
        <v>19</v>
      </c>
      <c r="K2797" s="1" t="s">
        <v>298</v>
      </c>
      <c r="L2797" s="1" t="s">
        <v>257</v>
      </c>
      <c r="M2797" s="1"/>
      <c r="N2797" s="1">
        <f t="shared" si="138"/>
        <v>3</v>
      </c>
      <c r="O2797" s="87"/>
    </row>
    <row r="2798" spans="1:15" ht="15.75" hidden="1" x14ac:dyDescent="0.25">
      <c r="A2798" s="1" t="str">
        <f t="shared" si="137"/>
        <v>45016450166.61DINERSSERVICEBANK</v>
      </c>
      <c r="B2798" s="154">
        <v>45016</v>
      </c>
      <c r="C2798" s="154">
        <v>45016</v>
      </c>
      <c r="D2798" s="3" t="s">
        <v>1102</v>
      </c>
      <c r="E2798" s="3">
        <v>6.61</v>
      </c>
      <c r="F2798" s="3">
        <v>1</v>
      </c>
      <c r="G2798" s="3">
        <f t="shared" si="139"/>
        <v>6.61</v>
      </c>
      <c r="H2798" s="3" t="s">
        <v>266</v>
      </c>
      <c r="I2798" s="1" t="s">
        <v>7</v>
      </c>
      <c r="J2798" s="1" t="s">
        <v>8</v>
      </c>
      <c r="K2798" s="1" t="s">
        <v>298</v>
      </c>
      <c r="L2798" s="1" t="s">
        <v>267</v>
      </c>
      <c r="M2798" s="1"/>
      <c r="N2798" s="1">
        <f t="shared" si="138"/>
        <v>3</v>
      </c>
      <c r="O2798" s="87"/>
    </row>
    <row r="2799" spans="1:15" ht="15.75" hidden="1" x14ac:dyDescent="0.25">
      <c r="A2799" s="1" t="str">
        <f t="shared" si="137"/>
        <v>450164501414FIFA CCFOODQATAR AIR</v>
      </c>
      <c r="B2799" s="154">
        <v>45016</v>
      </c>
      <c r="C2799" s="154">
        <v>45014</v>
      </c>
      <c r="D2799" s="3" t="s">
        <v>3293</v>
      </c>
      <c r="E2799" s="3">
        <v>14</v>
      </c>
      <c r="F2799" s="3">
        <v>1</v>
      </c>
      <c r="G2799" s="3">
        <f t="shared" si="139"/>
        <v>14</v>
      </c>
      <c r="H2799" s="3" t="s">
        <v>3294</v>
      </c>
      <c r="I2799" s="1" t="s">
        <v>10</v>
      </c>
      <c r="J2799" s="1" t="s">
        <v>19</v>
      </c>
      <c r="K2799" s="1" t="s">
        <v>298</v>
      </c>
      <c r="L2799" s="1" t="s">
        <v>267</v>
      </c>
      <c r="M2799" s="1"/>
      <c r="N2799" s="1">
        <f t="shared" si="138"/>
        <v>3</v>
      </c>
      <c r="O2799" s="87"/>
    </row>
    <row r="2800" spans="1:15" ht="15.75" hidden="1" x14ac:dyDescent="0.25">
      <c r="A2800" s="1" t="str">
        <f t="shared" si="137"/>
        <v>450164501948MASTER CCFOODWISHBOX</v>
      </c>
      <c r="B2800" s="154">
        <v>45016</v>
      </c>
      <c r="C2800" s="154">
        <v>45019</v>
      </c>
      <c r="D2800" s="3" t="s">
        <v>3348</v>
      </c>
      <c r="E2800" s="3">
        <v>-48</v>
      </c>
      <c r="F2800" s="3">
        <v>1</v>
      </c>
      <c r="G2800" s="3">
        <f t="shared" si="139"/>
        <v>48</v>
      </c>
      <c r="H2800" s="3" t="s">
        <v>291</v>
      </c>
      <c r="I2800" s="1" t="s">
        <v>10</v>
      </c>
      <c r="J2800" s="1" t="s">
        <v>1199</v>
      </c>
      <c r="K2800" s="1" t="s">
        <v>298</v>
      </c>
      <c r="L2800" s="1" t="s">
        <v>267</v>
      </c>
      <c r="M2800" s="1"/>
      <c r="N2800" s="1">
        <f t="shared" si="138"/>
        <v>4</v>
      </c>
      <c r="O2800" s="87"/>
    </row>
    <row r="2801" spans="1:15" ht="15.75" hidden="1" x14ac:dyDescent="0.25">
      <c r="A2801" s="1" t="str">
        <f t="shared" si="137"/>
        <v>45017450171023DINERSCC BILL PAYMENTBANK</v>
      </c>
      <c r="B2801" s="154">
        <v>45017</v>
      </c>
      <c r="C2801" s="154">
        <v>45017</v>
      </c>
      <c r="D2801" s="3" t="s">
        <v>80</v>
      </c>
      <c r="E2801" s="3">
        <v>1023</v>
      </c>
      <c r="F2801" s="3">
        <v>1</v>
      </c>
      <c r="G2801" s="3">
        <f t="shared" si="139"/>
        <v>1023</v>
      </c>
      <c r="H2801" s="3" t="s">
        <v>266</v>
      </c>
      <c r="I2801" s="1" t="s">
        <v>81</v>
      </c>
      <c r="J2801" s="1" t="s">
        <v>8</v>
      </c>
      <c r="K2801" s="1" t="s">
        <v>300</v>
      </c>
      <c r="L2801" s="1" t="s">
        <v>267</v>
      </c>
      <c r="M2801" s="1"/>
      <c r="N2801" s="1">
        <f t="shared" si="138"/>
        <v>4</v>
      </c>
      <c r="O2801" s="87"/>
    </row>
    <row r="2802" spans="1:15" ht="15.75" hidden="1" x14ac:dyDescent="0.25">
      <c r="A2802" s="1" t="str">
        <f t="shared" si="137"/>
        <v>4501745017163DINERSRENTKAHRAMAA</v>
      </c>
      <c r="B2802" s="154">
        <v>45017</v>
      </c>
      <c r="C2802" s="154">
        <v>45017</v>
      </c>
      <c r="D2802" s="3" t="s">
        <v>3315</v>
      </c>
      <c r="E2802" s="3">
        <v>-163</v>
      </c>
      <c r="F2802" s="3">
        <v>1</v>
      </c>
      <c r="G2802" s="3">
        <f t="shared" si="139"/>
        <v>163</v>
      </c>
      <c r="H2802" s="3" t="s">
        <v>266</v>
      </c>
      <c r="I2802" s="1" t="s">
        <v>83</v>
      </c>
      <c r="J2802" s="1" t="s">
        <v>4113</v>
      </c>
      <c r="K2802" s="1" t="s">
        <v>298</v>
      </c>
      <c r="L2802" s="1" t="s">
        <v>267</v>
      </c>
      <c r="M2802" s="1"/>
      <c r="N2802" s="1">
        <f t="shared" si="138"/>
        <v>4</v>
      </c>
      <c r="O2802" s="87"/>
    </row>
    <row r="2803" spans="1:15" ht="15.75" hidden="1" x14ac:dyDescent="0.25">
      <c r="A2803" s="1" t="str">
        <f t="shared" si="137"/>
        <v>4501745020119.28MASTER CCGROCERYINDIAN SUPER</v>
      </c>
      <c r="B2803" s="154">
        <v>45017</v>
      </c>
      <c r="C2803" s="154">
        <v>45020</v>
      </c>
      <c r="D2803" s="3" t="s">
        <v>3349</v>
      </c>
      <c r="E2803" s="3">
        <v>-119.28</v>
      </c>
      <c r="F2803" s="3">
        <v>1</v>
      </c>
      <c r="G2803" s="3">
        <f t="shared" si="139"/>
        <v>119.28</v>
      </c>
      <c r="H2803" s="3" t="s">
        <v>291</v>
      </c>
      <c r="I2803" s="1" t="s">
        <v>43</v>
      </c>
      <c r="J2803" s="1" t="s">
        <v>2273</v>
      </c>
      <c r="K2803" s="1" t="s">
        <v>298</v>
      </c>
      <c r="L2803" s="1" t="s">
        <v>267</v>
      </c>
      <c r="M2803" s="1"/>
      <c r="N2803" s="1">
        <f t="shared" si="138"/>
        <v>4</v>
      </c>
      <c r="O2803" s="87"/>
    </row>
    <row r="2804" spans="1:15" ht="15.75" hidden="1" x14ac:dyDescent="0.25">
      <c r="A2804" s="1" t="str">
        <f t="shared" si="137"/>
        <v>45018450181023CURRENTCC BILL PAYMENTBANK</v>
      </c>
      <c r="B2804" s="154">
        <v>45018</v>
      </c>
      <c r="C2804" s="154">
        <v>45018</v>
      </c>
      <c r="D2804" s="3" t="s">
        <v>3304</v>
      </c>
      <c r="E2804" s="3">
        <v>-1023</v>
      </c>
      <c r="F2804" s="3">
        <v>1</v>
      </c>
      <c r="G2804" s="3">
        <f t="shared" si="139"/>
        <v>1023</v>
      </c>
      <c r="H2804" s="3" t="s">
        <v>293</v>
      </c>
      <c r="I2804" s="1" t="s">
        <v>81</v>
      </c>
      <c r="J2804" s="1" t="s">
        <v>8</v>
      </c>
      <c r="K2804" s="1" t="s">
        <v>298</v>
      </c>
      <c r="L2804" s="1" t="s">
        <v>257</v>
      </c>
      <c r="M2804" s="1"/>
      <c r="N2804" s="1">
        <f t="shared" si="138"/>
        <v>4</v>
      </c>
      <c r="O2804" s="87"/>
    </row>
    <row r="2805" spans="1:15" ht="15.75" hidden="1" x14ac:dyDescent="0.25">
      <c r="A2805" s="1" t="str">
        <f t="shared" si="137"/>
        <v>4501845018500CURRENTSAVINGARTI</v>
      </c>
      <c r="B2805" s="154">
        <v>45018</v>
      </c>
      <c r="C2805" s="154">
        <v>45018</v>
      </c>
      <c r="D2805" s="3" t="s">
        <v>2909</v>
      </c>
      <c r="E2805" s="3">
        <v>-500</v>
      </c>
      <c r="F2805" s="3">
        <v>1</v>
      </c>
      <c r="G2805" s="3">
        <f t="shared" si="139"/>
        <v>500</v>
      </c>
      <c r="H2805" s="3" t="s">
        <v>293</v>
      </c>
      <c r="I2805" s="1" t="s">
        <v>302</v>
      </c>
      <c r="J2805" s="1" t="s">
        <v>453</v>
      </c>
      <c r="K2805" s="1" t="s">
        <v>298</v>
      </c>
      <c r="L2805" s="1" t="s">
        <v>257</v>
      </c>
      <c r="M2805" s="1"/>
      <c r="N2805" s="1">
        <f t="shared" si="138"/>
        <v>4</v>
      </c>
      <c r="O2805" s="87"/>
    </row>
    <row r="2806" spans="1:15" ht="15.75" hidden="1" x14ac:dyDescent="0.25">
      <c r="A2806" s="1" t="str">
        <f t="shared" si="137"/>
        <v>45018450208.8DINERSTRANSPORTUBER</v>
      </c>
      <c r="B2806" s="154">
        <v>45018</v>
      </c>
      <c r="C2806" s="154">
        <v>45020</v>
      </c>
      <c r="D2806" s="3" t="s">
        <v>3316</v>
      </c>
      <c r="E2806" s="3">
        <v>-8.8000000000000007</v>
      </c>
      <c r="F2806" s="3">
        <v>1</v>
      </c>
      <c r="G2806" s="3">
        <f t="shared" si="139"/>
        <v>8.8000000000000007</v>
      </c>
      <c r="H2806" s="3" t="s">
        <v>266</v>
      </c>
      <c r="I2806" s="1" t="s">
        <v>296</v>
      </c>
      <c r="J2806" s="1" t="s">
        <v>299</v>
      </c>
      <c r="K2806" s="1" t="s">
        <v>298</v>
      </c>
      <c r="L2806" s="1" t="s">
        <v>267</v>
      </c>
      <c r="M2806" s="1"/>
      <c r="N2806" s="1">
        <f t="shared" si="138"/>
        <v>4</v>
      </c>
      <c r="O2806" s="87"/>
    </row>
    <row r="2807" spans="1:15" ht="15.75" hidden="1" x14ac:dyDescent="0.25">
      <c r="A2807" s="1" t="str">
        <f t="shared" si="137"/>
        <v>450184501945DINERSFOODCAFÉ/REST.</v>
      </c>
      <c r="B2807" s="154">
        <v>45018</v>
      </c>
      <c r="C2807" s="154">
        <v>45019</v>
      </c>
      <c r="D2807" s="3" t="s">
        <v>3317</v>
      </c>
      <c r="E2807" s="3">
        <v>-45</v>
      </c>
      <c r="F2807" s="3">
        <v>1</v>
      </c>
      <c r="G2807" s="3">
        <f t="shared" si="139"/>
        <v>45</v>
      </c>
      <c r="H2807" s="3" t="s">
        <v>266</v>
      </c>
      <c r="I2807" s="1" t="s">
        <v>10</v>
      </c>
      <c r="J2807" s="1" t="s">
        <v>11</v>
      </c>
      <c r="K2807" s="1" t="s">
        <v>298</v>
      </c>
      <c r="L2807" s="1" t="s">
        <v>267</v>
      </c>
      <c r="M2807" s="1"/>
      <c r="N2807" s="1">
        <f t="shared" si="138"/>
        <v>4</v>
      </c>
      <c r="O2807" s="87"/>
    </row>
    <row r="2808" spans="1:15" ht="15.75" hidden="1" x14ac:dyDescent="0.25">
      <c r="A2808" s="1" t="str">
        <f t="shared" si="137"/>
        <v>450184502130MASTER CCFOODWISHBOX</v>
      </c>
      <c r="B2808" s="154">
        <v>45018</v>
      </c>
      <c r="C2808" s="154">
        <v>45021</v>
      </c>
      <c r="D2808" s="3" t="s">
        <v>3350</v>
      </c>
      <c r="E2808" s="3">
        <v>-30</v>
      </c>
      <c r="F2808" s="3">
        <v>1</v>
      </c>
      <c r="G2808" s="3">
        <f t="shared" si="139"/>
        <v>30</v>
      </c>
      <c r="H2808" s="3" t="s">
        <v>291</v>
      </c>
      <c r="I2808" s="1" t="s">
        <v>10</v>
      </c>
      <c r="J2808" s="1" t="s">
        <v>1199</v>
      </c>
      <c r="K2808" s="1" t="s">
        <v>298</v>
      </c>
      <c r="L2808" s="1" t="s">
        <v>267</v>
      </c>
      <c r="M2808" s="1"/>
      <c r="N2808" s="1">
        <f t="shared" si="138"/>
        <v>4</v>
      </c>
      <c r="O2808" s="87"/>
    </row>
    <row r="2809" spans="1:15" ht="15.75" hidden="1" x14ac:dyDescent="0.25">
      <c r="A2809" s="1" t="str">
        <f t="shared" si="137"/>
        <v>450184502022MASTER CCFOODQATAR AIR</v>
      </c>
      <c r="B2809" s="154">
        <v>45018</v>
      </c>
      <c r="C2809" s="154">
        <v>45020</v>
      </c>
      <c r="D2809" s="3" t="s">
        <v>3351</v>
      </c>
      <c r="E2809" s="3">
        <v>-22</v>
      </c>
      <c r="F2809" s="3">
        <v>1</v>
      </c>
      <c r="G2809" s="3">
        <f t="shared" si="139"/>
        <v>22</v>
      </c>
      <c r="H2809" s="3" t="s">
        <v>291</v>
      </c>
      <c r="I2809" s="1" t="s">
        <v>10</v>
      </c>
      <c r="J2809" s="1" t="s">
        <v>19</v>
      </c>
      <c r="K2809" s="1" t="s">
        <v>298</v>
      </c>
      <c r="L2809" s="1" t="s">
        <v>267</v>
      </c>
      <c r="M2809" s="1"/>
      <c r="N2809" s="1">
        <f t="shared" si="138"/>
        <v>4</v>
      </c>
      <c r="O2809" s="87"/>
    </row>
    <row r="2810" spans="1:15" ht="15.75" hidden="1" x14ac:dyDescent="0.25">
      <c r="A2810" s="1" t="str">
        <f t="shared" si="137"/>
        <v>45019450191950CURRENTEDUCATIONDAFFODILES</v>
      </c>
      <c r="B2810" s="154">
        <v>45019</v>
      </c>
      <c r="C2810" s="154">
        <v>45019</v>
      </c>
      <c r="D2810" s="3" t="s">
        <v>3305</v>
      </c>
      <c r="E2810" s="3">
        <v>-1950</v>
      </c>
      <c r="F2810" s="3">
        <v>1</v>
      </c>
      <c r="G2810" s="3">
        <f t="shared" si="139"/>
        <v>1950</v>
      </c>
      <c r="H2810" s="3" t="s">
        <v>293</v>
      </c>
      <c r="I2810" s="1" t="s">
        <v>543</v>
      </c>
      <c r="J2810" s="1" t="s">
        <v>2271</v>
      </c>
      <c r="K2810" s="1" t="s">
        <v>298</v>
      </c>
      <c r="L2810" s="1" t="s">
        <v>257</v>
      </c>
      <c r="M2810" s="1"/>
      <c r="N2810" s="1">
        <f t="shared" si="138"/>
        <v>4</v>
      </c>
      <c r="O2810" s="87"/>
    </row>
    <row r="2811" spans="1:15" ht="15.75" hidden="1" x14ac:dyDescent="0.25">
      <c r="A2811" s="1" t="str">
        <f t="shared" si="137"/>
        <v>45019450218.8DINERSTRANSPORTUBER</v>
      </c>
      <c r="B2811" s="154">
        <v>45019</v>
      </c>
      <c r="C2811" s="154">
        <v>45021</v>
      </c>
      <c r="D2811" s="3" t="s">
        <v>3318</v>
      </c>
      <c r="E2811" s="3">
        <v>-8.8000000000000007</v>
      </c>
      <c r="F2811" s="3">
        <v>1</v>
      </c>
      <c r="G2811" s="3">
        <f t="shared" si="139"/>
        <v>8.8000000000000007</v>
      </c>
      <c r="H2811" s="3" t="s">
        <v>266</v>
      </c>
      <c r="I2811" s="1" t="s">
        <v>296</v>
      </c>
      <c r="J2811" s="1" t="s">
        <v>299</v>
      </c>
      <c r="K2811" s="1" t="s">
        <v>298</v>
      </c>
      <c r="L2811" s="1" t="s">
        <v>267</v>
      </c>
      <c r="M2811" s="1"/>
      <c r="N2811" s="1">
        <f t="shared" si="138"/>
        <v>4</v>
      </c>
      <c r="O2811" s="87"/>
    </row>
    <row r="2812" spans="1:15" ht="15.75" hidden="1" x14ac:dyDescent="0.25">
      <c r="A2812" s="1" t="str">
        <f t="shared" si="137"/>
        <v>450194502120MASTER CCFOODQATAR AIR</v>
      </c>
      <c r="B2812" s="154">
        <v>45019</v>
      </c>
      <c r="C2812" s="154">
        <v>45021</v>
      </c>
      <c r="D2812" s="3" t="s">
        <v>3352</v>
      </c>
      <c r="E2812" s="3">
        <v>-20</v>
      </c>
      <c r="F2812" s="3">
        <v>1</v>
      </c>
      <c r="G2812" s="3">
        <f t="shared" si="139"/>
        <v>20</v>
      </c>
      <c r="H2812" s="3" t="s">
        <v>291</v>
      </c>
      <c r="I2812" s="1" t="s">
        <v>10</v>
      </c>
      <c r="J2812" s="1" t="s">
        <v>19</v>
      </c>
      <c r="K2812" s="1" t="s">
        <v>298</v>
      </c>
      <c r="L2812" s="1" t="s">
        <v>267</v>
      </c>
      <c r="M2812" s="1"/>
      <c r="N2812" s="1">
        <f t="shared" si="138"/>
        <v>4</v>
      </c>
      <c r="O2812" s="87"/>
    </row>
    <row r="2813" spans="1:15" ht="15.75" hidden="1" x14ac:dyDescent="0.25">
      <c r="A2813" s="1" t="str">
        <f t="shared" si="137"/>
        <v>45020450228.8DINERSTRANSPORTUBER</v>
      </c>
      <c r="B2813" s="154">
        <v>45020</v>
      </c>
      <c r="C2813" s="154">
        <v>45022</v>
      </c>
      <c r="D2813" s="3" t="s">
        <v>3319</v>
      </c>
      <c r="E2813" s="3">
        <v>-8.8000000000000007</v>
      </c>
      <c r="F2813" s="3">
        <v>1</v>
      </c>
      <c r="G2813" s="3">
        <f t="shared" si="139"/>
        <v>8.8000000000000007</v>
      </c>
      <c r="H2813" s="3" t="s">
        <v>266</v>
      </c>
      <c r="I2813" s="1" t="s">
        <v>296</v>
      </c>
      <c r="J2813" s="1" t="s">
        <v>299</v>
      </c>
      <c r="K2813" s="1" t="s">
        <v>298</v>
      </c>
      <c r="L2813" s="1" t="s">
        <v>267</v>
      </c>
      <c r="M2813" s="1"/>
      <c r="N2813" s="1">
        <f t="shared" si="138"/>
        <v>4</v>
      </c>
      <c r="O2813" s="87"/>
    </row>
    <row r="2814" spans="1:15" ht="15.75" hidden="1" x14ac:dyDescent="0.25">
      <c r="A2814" s="1" t="str">
        <f t="shared" si="137"/>
        <v>4502045021194.39DINERSGROCERYINDIAN SUPER</v>
      </c>
      <c r="B2814" s="154">
        <v>45020</v>
      </c>
      <c r="C2814" s="154">
        <v>45021</v>
      </c>
      <c r="D2814" s="3" t="s">
        <v>3320</v>
      </c>
      <c r="E2814" s="3">
        <v>-194.39</v>
      </c>
      <c r="F2814" s="3">
        <v>1</v>
      </c>
      <c r="G2814" s="3">
        <f t="shared" si="139"/>
        <v>194.39</v>
      </c>
      <c r="H2814" s="3" t="s">
        <v>266</v>
      </c>
      <c r="I2814" s="1" t="s">
        <v>43</v>
      </c>
      <c r="J2814" s="1" t="s">
        <v>2273</v>
      </c>
      <c r="K2814" s="1" t="s">
        <v>298</v>
      </c>
      <c r="L2814" s="1" t="s">
        <v>267</v>
      </c>
      <c r="M2814" s="1"/>
      <c r="N2814" s="1">
        <f t="shared" si="138"/>
        <v>4</v>
      </c>
      <c r="O2814" s="87"/>
    </row>
    <row r="2815" spans="1:15" ht="15.75" hidden="1" x14ac:dyDescent="0.25">
      <c r="A2815" s="1" t="str">
        <f t="shared" si="137"/>
        <v>450204502220MASTER CCFOODQATAR AIR</v>
      </c>
      <c r="B2815" s="154">
        <v>45020</v>
      </c>
      <c r="C2815" s="154">
        <v>45022</v>
      </c>
      <c r="D2815" s="3" t="s">
        <v>3353</v>
      </c>
      <c r="E2815" s="3">
        <v>-20</v>
      </c>
      <c r="F2815" s="3">
        <v>1</v>
      </c>
      <c r="G2815" s="3">
        <f t="shared" si="139"/>
        <v>20</v>
      </c>
      <c r="H2815" s="3" t="s">
        <v>291</v>
      </c>
      <c r="I2815" s="1" t="s">
        <v>10</v>
      </c>
      <c r="J2815" s="1" t="s">
        <v>19</v>
      </c>
      <c r="K2815" s="1" t="s">
        <v>298</v>
      </c>
      <c r="L2815" s="1" t="s">
        <v>267</v>
      </c>
      <c r="M2815" s="1"/>
      <c r="N2815" s="1">
        <f t="shared" si="138"/>
        <v>4</v>
      </c>
      <c r="O2815" s="87"/>
    </row>
    <row r="2816" spans="1:15" ht="15.75" hidden="1" x14ac:dyDescent="0.25">
      <c r="A2816" s="1" t="str">
        <f t="shared" si="137"/>
        <v>4502145021500CURRENTWITHDRAWSELF</v>
      </c>
      <c r="B2816" s="154">
        <v>45021</v>
      </c>
      <c r="C2816" s="154">
        <v>45021</v>
      </c>
      <c r="D2816" s="3" t="s">
        <v>3306</v>
      </c>
      <c r="E2816" s="3">
        <v>-500</v>
      </c>
      <c r="F2816" s="3">
        <v>1</v>
      </c>
      <c r="G2816" s="3">
        <f t="shared" si="139"/>
        <v>500</v>
      </c>
      <c r="H2816" s="3" t="s">
        <v>293</v>
      </c>
      <c r="I2816" s="1" t="s">
        <v>13</v>
      </c>
      <c r="J2816" s="1" t="s">
        <v>14</v>
      </c>
      <c r="K2816" s="1" t="s">
        <v>298</v>
      </c>
      <c r="L2816" s="1" t="s">
        <v>257</v>
      </c>
      <c r="M2816" s="1"/>
      <c r="N2816" s="1">
        <f t="shared" si="138"/>
        <v>4</v>
      </c>
      <c r="O2816" s="87"/>
    </row>
    <row r="2817" spans="1:15" ht="15.75" hidden="1" x14ac:dyDescent="0.25">
      <c r="A2817" s="1" t="str">
        <f t="shared" si="137"/>
        <v>45021450258.8DINERSTRANSPORTUBER</v>
      </c>
      <c r="B2817" s="154">
        <v>45021</v>
      </c>
      <c r="C2817" s="154">
        <v>45025</v>
      </c>
      <c r="D2817" s="3" t="s">
        <v>3321</v>
      </c>
      <c r="E2817" s="3">
        <v>-8.8000000000000007</v>
      </c>
      <c r="F2817" s="3">
        <v>1</v>
      </c>
      <c r="G2817" s="3">
        <f t="shared" si="139"/>
        <v>8.8000000000000007</v>
      </c>
      <c r="H2817" s="3" t="s">
        <v>266</v>
      </c>
      <c r="I2817" s="1" t="s">
        <v>296</v>
      </c>
      <c r="J2817" s="1" t="s">
        <v>299</v>
      </c>
      <c r="K2817" s="1" t="s">
        <v>298</v>
      </c>
      <c r="L2817" s="1" t="s">
        <v>267</v>
      </c>
      <c r="M2817" s="1"/>
      <c r="N2817" s="1">
        <f t="shared" si="138"/>
        <v>4</v>
      </c>
      <c r="O2817" s="87"/>
    </row>
    <row r="2818" spans="1:15" ht="15.75" hidden="1" x14ac:dyDescent="0.25">
      <c r="A2818" s="1" t="str">
        <f t="shared" ref="A2818:A2881" si="140">B2818&amp;C2818&amp;G2818&amp;H2818&amp;I2818&amp;J2818</f>
        <v>450214502517.95DINERSTRANSPORTUBER</v>
      </c>
      <c r="B2818" s="154">
        <v>45021</v>
      </c>
      <c r="C2818" s="154">
        <v>45025</v>
      </c>
      <c r="D2818" s="3" t="s">
        <v>3322</v>
      </c>
      <c r="E2818" s="3">
        <v>-17.95</v>
      </c>
      <c r="F2818" s="3">
        <v>1</v>
      </c>
      <c r="G2818" s="3">
        <f t="shared" si="139"/>
        <v>17.95</v>
      </c>
      <c r="H2818" s="3" t="s">
        <v>266</v>
      </c>
      <c r="I2818" s="1" t="s">
        <v>296</v>
      </c>
      <c r="J2818" s="1" t="s">
        <v>299</v>
      </c>
      <c r="K2818" s="1" t="s">
        <v>298</v>
      </c>
      <c r="L2818" s="1" t="s">
        <v>267</v>
      </c>
      <c r="M2818" s="1"/>
      <c r="N2818" s="1">
        <f t="shared" ref="N2818:N2881" si="141">MONTH(C2818)</f>
        <v>4</v>
      </c>
      <c r="O2818" s="87"/>
    </row>
    <row r="2819" spans="1:15" ht="15.75" hidden="1" x14ac:dyDescent="0.25">
      <c r="A2819" s="1" t="str">
        <f t="shared" si="140"/>
        <v>450214502722MASTER CCFOODQATAR AIR</v>
      </c>
      <c r="B2819" s="154">
        <v>45021</v>
      </c>
      <c r="C2819" s="154">
        <v>45027</v>
      </c>
      <c r="D2819" s="3" t="s">
        <v>3354</v>
      </c>
      <c r="E2819" s="3">
        <v>-22</v>
      </c>
      <c r="F2819" s="3">
        <v>1</v>
      </c>
      <c r="G2819" s="3">
        <f t="shared" si="139"/>
        <v>22</v>
      </c>
      <c r="H2819" s="3" t="s">
        <v>291</v>
      </c>
      <c r="I2819" s="1" t="s">
        <v>10</v>
      </c>
      <c r="J2819" s="1" t="s">
        <v>19</v>
      </c>
      <c r="K2819" s="1" t="s">
        <v>298</v>
      </c>
      <c r="L2819" s="1" t="s">
        <v>267</v>
      </c>
      <c r="M2819" s="1"/>
      <c r="N2819" s="1">
        <f t="shared" si="141"/>
        <v>4</v>
      </c>
      <c r="O2819" s="87"/>
    </row>
    <row r="2820" spans="1:15" ht="15.75" hidden="1" x14ac:dyDescent="0.25">
      <c r="A2820" s="1" t="str">
        <f t="shared" si="140"/>
        <v>450214502792MASTER CCSHOPPINGQDF</v>
      </c>
      <c r="B2820" s="154">
        <v>45021</v>
      </c>
      <c r="C2820" s="154">
        <v>45027</v>
      </c>
      <c r="D2820" s="3" t="s">
        <v>3355</v>
      </c>
      <c r="E2820" s="3">
        <v>-92</v>
      </c>
      <c r="F2820" s="3">
        <v>1</v>
      </c>
      <c r="G2820" s="3">
        <f t="shared" si="139"/>
        <v>92</v>
      </c>
      <c r="H2820" s="3" t="s">
        <v>291</v>
      </c>
      <c r="I2820" s="1" t="s">
        <v>194</v>
      </c>
      <c r="J2820" s="1" t="s">
        <v>2900</v>
      </c>
      <c r="K2820" s="1" t="s">
        <v>298</v>
      </c>
      <c r="L2820" s="1" t="s">
        <v>267</v>
      </c>
      <c r="M2820" s="1"/>
      <c r="N2820" s="1">
        <f t="shared" si="141"/>
        <v>4</v>
      </c>
      <c r="O2820" s="87"/>
    </row>
    <row r="2821" spans="1:15" ht="15.75" hidden="1" x14ac:dyDescent="0.25">
      <c r="A2821" s="1" t="str">
        <f t="shared" si="140"/>
        <v>45022450258.8DINERSTRANSPORTUBER</v>
      </c>
      <c r="B2821" s="154">
        <v>45022</v>
      </c>
      <c r="C2821" s="154">
        <v>45025</v>
      </c>
      <c r="D2821" s="3" t="s">
        <v>3323</v>
      </c>
      <c r="E2821" s="3">
        <v>-8.8000000000000007</v>
      </c>
      <c r="F2821" s="3">
        <v>1</v>
      </c>
      <c r="G2821" s="3">
        <f t="shared" si="139"/>
        <v>8.8000000000000007</v>
      </c>
      <c r="H2821" s="3" t="s">
        <v>266</v>
      </c>
      <c r="I2821" s="1" t="s">
        <v>296</v>
      </c>
      <c r="J2821" s="1" t="s">
        <v>299</v>
      </c>
      <c r="K2821" s="1" t="s">
        <v>298</v>
      </c>
      <c r="L2821" s="1" t="s">
        <v>267</v>
      </c>
      <c r="M2821" s="1"/>
      <c r="N2821" s="1">
        <f t="shared" si="141"/>
        <v>4</v>
      </c>
      <c r="O2821" s="87"/>
    </row>
    <row r="2822" spans="1:15" ht="15.75" hidden="1" x14ac:dyDescent="0.25">
      <c r="A2822" s="1" t="str">
        <f t="shared" si="140"/>
        <v>45022450258.8DINERSTRANSPORTUBER</v>
      </c>
      <c r="B2822" s="154">
        <v>45022</v>
      </c>
      <c r="C2822" s="154">
        <v>45025</v>
      </c>
      <c r="D2822" s="3" t="s">
        <v>3324</v>
      </c>
      <c r="E2822" s="3">
        <v>-8.8000000000000007</v>
      </c>
      <c r="F2822" s="3">
        <v>1</v>
      </c>
      <c r="G2822" s="3">
        <f t="shared" si="139"/>
        <v>8.8000000000000007</v>
      </c>
      <c r="H2822" s="3" t="s">
        <v>266</v>
      </c>
      <c r="I2822" s="1" t="s">
        <v>296</v>
      </c>
      <c r="J2822" s="1" t="s">
        <v>299</v>
      </c>
      <c r="K2822" s="1" t="s">
        <v>298</v>
      </c>
      <c r="L2822" s="1" t="s">
        <v>267</v>
      </c>
      <c r="M2822" s="1"/>
      <c r="N2822" s="1">
        <f t="shared" si="141"/>
        <v>4</v>
      </c>
      <c r="O2822" s="87"/>
    </row>
    <row r="2823" spans="1:15" ht="15.75" hidden="1" x14ac:dyDescent="0.25">
      <c r="A2823" s="1" t="str">
        <f t="shared" si="140"/>
        <v>450224502412.06MASTER CCTRANSPORTOTHER</v>
      </c>
      <c r="B2823" s="154">
        <v>45022</v>
      </c>
      <c r="C2823" s="154">
        <v>45024</v>
      </c>
      <c r="D2823" s="3" t="s">
        <v>3356</v>
      </c>
      <c r="E2823" s="3">
        <v>-12.06</v>
      </c>
      <c r="F2823" s="3">
        <v>1</v>
      </c>
      <c r="G2823" s="3">
        <f t="shared" si="139"/>
        <v>12.06</v>
      </c>
      <c r="H2823" s="3" t="s">
        <v>291</v>
      </c>
      <c r="I2823" s="1" t="s">
        <v>296</v>
      </c>
      <c r="J2823" s="1" t="s">
        <v>1285</v>
      </c>
      <c r="K2823" s="1" t="s">
        <v>298</v>
      </c>
      <c r="L2823" s="1" t="s">
        <v>267</v>
      </c>
      <c r="M2823" s="1"/>
      <c r="N2823" s="1">
        <f t="shared" si="141"/>
        <v>4</v>
      </c>
      <c r="O2823" s="87"/>
    </row>
    <row r="2824" spans="1:15" ht="15.75" hidden="1" x14ac:dyDescent="0.25">
      <c r="A2824" s="1" t="str">
        <f t="shared" si="140"/>
        <v>450224502429.38MASTER CCFOODPAPA JOHN'S</v>
      </c>
      <c r="B2824" s="154">
        <v>45022</v>
      </c>
      <c r="C2824" s="154">
        <v>45024</v>
      </c>
      <c r="D2824" s="3" t="s">
        <v>3357</v>
      </c>
      <c r="E2824" s="3">
        <v>-29.38</v>
      </c>
      <c r="F2824" s="3">
        <v>1</v>
      </c>
      <c r="G2824" s="3">
        <f t="shared" si="139"/>
        <v>29.38</v>
      </c>
      <c r="H2824" s="3" t="s">
        <v>291</v>
      </c>
      <c r="I2824" s="1" t="s">
        <v>10</v>
      </c>
      <c r="J2824" s="1" t="s">
        <v>1657</v>
      </c>
      <c r="K2824" s="1" t="s">
        <v>298</v>
      </c>
      <c r="L2824" s="1" t="s">
        <v>267</v>
      </c>
      <c r="M2824" s="1"/>
      <c r="N2824" s="1">
        <f t="shared" si="141"/>
        <v>4</v>
      </c>
      <c r="O2824" s="87"/>
    </row>
    <row r="2825" spans="1:15" ht="15.75" hidden="1" x14ac:dyDescent="0.25">
      <c r="A2825" s="1" t="str">
        <f t="shared" si="140"/>
        <v>45022450244.02MASTER CCFOODCAFÉ/REST.</v>
      </c>
      <c r="B2825" s="154">
        <v>45022</v>
      </c>
      <c r="C2825" s="154">
        <v>45024</v>
      </c>
      <c r="D2825" s="3" t="s">
        <v>3358</v>
      </c>
      <c r="E2825" s="3">
        <v>-4.0199999999999996</v>
      </c>
      <c r="F2825" s="3">
        <v>1</v>
      </c>
      <c r="G2825" s="3">
        <f t="shared" si="139"/>
        <v>4.0199999999999996</v>
      </c>
      <c r="H2825" s="3" t="s">
        <v>291</v>
      </c>
      <c r="I2825" s="1" t="s">
        <v>10</v>
      </c>
      <c r="J2825" s="1" t="s">
        <v>11</v>
      </c>
      <c r="K2825" s="1" t="s">
        <v>298</v>
      </c>
      <c r="L2825" s="1" t="s">
        <v>267</v>
      </c>
      <c r="M2825" s="1"/>
      <c r="N2825" s="1">
        <f t="shared" si="141"/>
        <v>4</v>
      </c>
      <c r="O2825" s="87"/>
    </row>
    <row r="2826" spans="1:15" ht="15.75" hidden="1" x14ac:dyDescent="0.25">
      <c r="A2826" s="1" t="str">
        <f t="shared" si="140"/>
        <v>450224502462.49MASTER CCTRANSPORTOTHER</v>
      </c>
      <c r="B2826" s="154">
        <v>45022</v>
      </c>
      <c r="C2826" s="154">
        <v>45024</v>
      </c>
      <c r="D2826" s="3" t="s">
        <v>3359</v>
      </c>
      <c r="E2826" s="3">
        <v>-62.49</v>
      </c>
      <c r="F2826" s="3">
        <v>1</v>
      </c>
      <c r="G2826" s="3">
        <f t="shared" si="139"/>
        <v>62.49</v>
      </c>
      <c r="H2826" s="3" t="s">
        <v>291</v>
      </c>
      <c r="I2826" s="1" t="s">
        <v>296</v>
      </c>
      <c r="J2826" s="1" t="s">
        <v>1285</v>
      </c>
      <c r="K2826" s="1" t="s">
        <v>298</v>
      </c>
      <c r="L2826" s="1" t="s">
        <v>267</v>
      </c>
      <c r="M2826" s="1"/>
      <c r="N2826" s="1">
        <f t="shared" si="141"/>
        <v>4</v>
      </c>
      <c r="O2826" s="87"/>
    </row>
    <row r="2827" spans="1:15" ht="15.75" hidden="1" x14ac:dyDescent="0.25">
      <c r="A2827" s="1" t="str">
        <f t="shared" si="140"/>
        <v>450224502430.12MASTER CCFOODCAFÉ/REST.</v>
      </c>
      <c r="B2827" s="154">
        <v>45022</v>
      </c>
      <c r="C2827" s="154">
        <v>45024</v>
      </c>
      <c r="D2827" s="3" t="s">
        <v>3360</v>
      </c>
      <c r="E2827" s="3">
        <v>-30.12</v>
      </c>
      <c r="F2827" s="3">
        <v>1</v>
      </c>
      <c r="G2827" s="3">
        <f t="shared" ref="G2827:G2890" si="142">ABS(E2827)*F2827</f>
        <v>30.12</v>
      </c>
      <c r="H2827" s="3" t="s">
        <v>291</v>
      </c>
      <c r="I2827" s="1" t="s">
        <v>10</v>
      </c>
      <c r="J2827" s="1" t="s">
        <v>11</v>
      </c>
      <c r="K2827" s="1" t="s">
        <v>298</v>
      </c>
      <c r="L2827" s="1" t="s">
        <v>267</v>
      </c>
      <c r="M2827" s="1"/>
      <c r="N2827" s="1">
        <f t="shared" si="141"/>
        <v>4</v>
      </c>
      <c r="O2827" s="87"/>
    </row>
    <row r="2828" spans="1:15" ht="15.75" hidden="1" x14ac:dyDescent="0.25">
      <c r="A2828" s="1" t="str">
        <f t="shared" si="140"/>
        <v>450224502412.06MASTER CCSHOPPINGABU DHABI</v>
      </c>
      <c r="B2828" s="154">
        <v>45022</v>
      </c>
      <c r="C2828" s="154">
        <v>45024</v>
      </c>
      <c r="D2828" s="3" t="s">
        <v>3361</v>
      </c>
      <c r="E2828" s="3">
        <v>-12.06</v>
      </c>
      <c r="F2828" s="3">
        <v>1</v>
      </c>
      <c r="G2828" s="3">
        <f t="shared" si="142"/>
        <v>12.06</v>
      </c>
      <c r="H2828" s="3" t="s">
        <v>291</v>
      </c>
      <c r="I2828" s="1" t="s">
        <v>194</v>
      </c>
      <c r="J2828" s="1" t="s">
        <v>3397</v>
      </c>
      <c r="K2828" s="1" t="s">
        <v>298</v>
      </c>
      <c r="L2828" s="1" t="s">
        <v>267</v>
      </c>
      <c r="M2828" s="1"/>
      <c r="N2828" s="1">
        <f t="shared" si="141"/>
        <v>4</v>
      </c>
      <c r="O2828" s="87"/>
    </row>
    <row r="2829" spans="1:15" ht="15.75" hidden="1" x14ac:dyDescent="0.25">
      <c r="A2829" s="1" t="str">
        <f t="shared" si="140"/>
        <v>4502245023240.47MASTER CCHOTELNOVOTEL</v>
      </c>
      <c r="B2829" s="154">
        <v>45022</v>
      </c>
      <c r="C2829" s="154">
        <v>45023</v>
      </c>
      <c r="D2829" s="3" t="s">
        <v>3362</v>
      </c>
      <c r="E2829" s="3">
        <v>-240.47</v>
      </c>
      <c r="F2829" s="3">
        <v>1</v>
      </c>
      <c r="G2829" s="3">
        <f t="shared" si="142"/>
        <v>240.47</v>
      </c>
      <c r="H2829" s="3" t="s">
        <v>291</v>
      </c>
      <c r="I2829" s="1" t="s">
        <v>1128</v>
      </c>
      <c r="J2829" s="1" t="s">
        <v>3396</v>
      </c>
      <c r="K2829" s="1" t="s">
        <v>298</v>
      </c>
      <c r="L2829" s="1" t="s">
        <v>267</v>
      </c>
      <c r="M2829" s="1"/>
      <c r="N2829" s="1">
        <f t="shared" si="141"/>
        <v>4</v>
      </c>
      <c r="O2829" s="87"/>
    </row>
    <row r="2830" spans="1:15" ht="15.75" hidden="1" x14ac:dyDescent="0.25">
      <c r="A2830" s="1" t="str">
        <f t="shared" si="140"/>
        <v>450234502749MASTER CCTRANSPORTKARWA</v>
      </c>
      <c r="B2830" s="154">
        <v>45023</v>
      </c>
      <c r="C2830" s="154">
        <v>45027</v>
      </c>
      <c r="D2830" s="3" t="s">
        <v>3363</v>
      </c>
      <c r="E2830" s="3">
        <v>-49</v>
      </c>
      <c r="F2830" s="3">
        <v>1</v>
      </c>
      <c r="G2830" s="3">
        <f t="shared" si="142"/>
        <v>49</v>
      </c>
      <c r="H2830" s="3" t="s">
        <v>291</v>
      </c>
      <c r="I2830" s="1" t="s">
        <v>296</v>
      </c>
      <c r="J2830" s="1" t="s">
        <v>4085</v>
      </c>
      <c r="K2830" s="1" t="s">
        <v>298</v>
      </c>
      <c r="L2830" s="1" t="s">
        <v>267</v>
      </c>
      <c r="M2830" s="1"/>
      <c r="N2830" s="1">
        <f t="shared" si="141"/>
        <v>4</v>
      </c>
      <c r="O2830" s="87"/>
    </row>
    <row r="2831" spans="1:15" ht="15.75" hidden="1" x14ac:dyDescent="0.25">
      <c r="A2831" s="1" t="str">
        <f t="shared" si="140"/>
        <v>450234502639MASTER CCGROCERYLULU</v>
      </c>
      <c r="B2831" s="154">
        <v>45023</v>
      </c>
      <c r="C2831" s="154">
        <v>45026</v>
      </c>
      <c r="D2831" s="3" t="s">
        <v>3364</v>
      </c>
      <c r="E2831" s="3">
        <v>-39</v>
      </c>
      <c r="F2831" s="3">
        <v>1</v>
      </c>
      <c r="G2831" s="3">
        <f t="shared" si="142"/>
        <v>39</v>
      </c>
      <c r="H2831" s="3" t="s">
        <v>291</v>
      </c>
      <c r="I2831" s="1" t="s">
        <v>43</v>
      </c>
      <c r="J2831" s="1" t="s">
        <v>44</v>
      </c>
      <c r="K2831" s="1" t="s">
        <v>298</v>
      </c>
      <c r="L2831" s="1" t="s">
        <v>267</v>
      </c>
      <c r="M2831" s="1"/>
      <c r="N2831" s="1">
        <f t="shared" si="141"/>
        <v>4</v>
      </c>
      <c r="O2831" s="87"/>
    </row>
    <row r="2832" spans="1:15" ht="15.75" hidden="1" x14ac:dyDescent="0.25">
      <c r="A2832" s="1" t="str">
        <f t="shared" si="140"/>
        <v>450234502695.5MASTER CCFOODCAFÉ/REST.</v>
      </c>
      <c r="B2832" s="154">
        <v>45023</v>
      </c>
      <c r="C2832" s="154">
        <v>45026</v>
      </c>
      <c r="D2832" s="3" t="s">
        <v>3365</v>
      </c>
      <c r="E2832" s="3">
        <v>-95.5</v>
      </c>
      <c r="F2832" s="3">
        <v>1</v>
      </c>
      <c r="G2832" s="3">
        <f t="shared" si="142"/>
        <v>95.5</v>
      </c>
      <c r="H2832" s="3" t="s">
        <v>291</v>
      </c>
      <c r="I2832" s="1" t="s">
        <v>10</v>
      </c>
      <c r="J2832" s="1" t="s">
        <v>11</v>
      </c>
      <c r="K2832" s="1" t="s">
        <v>298</v>
      </c>
      <c r="L2832" s="1" t="s">
        <v>267</v>
      </c>
      <c r="M2832" s="1"/>
      <c r="N2832" s="1">
        <f t="shared" si="141"/>
        <v>4</v>
      </c>
      <c r="O2832" s="87"/>
    </row>
    <row r="2833" spans="1:15" ht="15.75" hidden="1" x14ac:dyDescent="0.25">
      <c r="A2833" s="1" t="str">
        <f t="shared" si="140"/>
        <v>450244502572.96DINERSGROCERYTOTAL FRESH</v>
      </c>
      <c r="B2833" s="154">
        <v>45024</v>
      </c>
      <c r="C2833" s="154">
        <v>45025</v>
      </c>
      <c r="D2833" s="3" t="s">
        <v>3325</v>
      </c>
      <c r="E2833" s="3">
        <v>-72.959999999999994</v>
      </c>
      <c r="F2833" s="3">
        <v>1</v>
      </c>
      <c r="G2833" s="3">
        <f t="shared" si="142"/>
        <v>72.959999999999994</v>
      </c>
      <c r="H2833" s="3" t="s">
        <v>266</v>
      </c>
      <c r="I2833" s="1" t="s">
        <v>43</v>
      </c>
      <c r="J2833" s="1" t="s">
        <v>1394</v>
      </c>
      <c r="K2833" s="1" t="s">
        <v>298</v>
      </c>
      <c r="L2833" s="1" t="s">
        <v>267</v>
      </c>
      <c r="M2833" s="1"/>
      <c r="N2833" s="1">
        <f t="shared" si="141"/>
        <v>4</v>
      </c>
      <c r="O2833" s="87"/>
    </row>
    <row r="2834" spans="1:15" ht="15.75" hidden="1" x14ac:dyDescent="0.25">
      <c r="A2834" s="1" t="str">
        <f t="shared" si="140"/>
        <v>450244502520DINERSFOODCAFÉ/REST.</v>
      </c>
      <c r="B2834" s="154">
        <v>45024</v>
      </c>
      <c r="C2834" s="154">
        <v>45025</v>
      </c>
      <c r="D2834" s="3" t="s">
        <v>3326</v>
      </c>
      <c r="E2834" s="3">
        <v>-20</v>
      </c>
      <c r="F2834" s="3">
        <v>1</v>
      </c>
      <c r="G2834" s="3">
        <f t="shared" si="142"/>
        <v>20</v>
      </c>
      <c r="H2834" s="3" t="s">
        <v>266</v>
      </c>
      <c r="I2834" s="1" t="s">
        <v>10</v>
      </c>
      <c r="J2834" s="1" t="s">
        <v>11</v>
      </c>
      <c r="K2834" s="1" t="s">
        <v>298</v>
      </c>
      <c r="L2834" s="1" t="s">
        <v>267</v>
      </c>
      <c r="M2834" s="1"/>
      <c r="N2834" s="1">
        <f t="shared" si="141"/>
        <v>4</v>
      </c>
      <c r="O2834" s="87"/>
    </row>
    <row r="2835" spans="1:15" ht="15.75" hidden="1" x14ac:dyDescent="0.25">
      <c r="A2835" s="1" t="str">
        <f t="shared" si="140"/>
        <v>450254502560.44CURRENTFOODCAFÉ/REST.</v>
      </c>
      <c r="B2835" s="154">
        <v>45025</v>
      </c>
      <c r="C2835" s="154">
        <v>45025</v>
      </c>
      <c r="D2835" s="3" t="s">
        <v>3307</v>
      </c>
      <c r="E2835" s="3">
        <v>-60.44</v>
      </c>
      <c r="F2835" s="3">
        <v>1</v>
      </c>
      <c r="G2835" s="3">
        <f t="shared" si="142"/>
        <v>60.44</v>
      </c>
      <c r="H2835" s="3" t="s">
        <v>293</v>
      </c>
      <c r="I2835" s="1" t="s">
        <v>10</v>
      </c>
      <c r="J2835" s="1" t="s">
        <v>11</v>
      </c>
      <c r="K2835" s="1" t="s">
        <v>298</v>
      </c>
      <c r="L2835" s="1" t="s">
        <v>257</v>
      </c>
      <c r="M2835" s="1"/>
      <c r="N2835" s="1">
        <f t="shared" si="141"/>
        <v>4</v>
      </c>
      <c r="O2835" s="87"/>
    </row>
    <row r="2836" spans="1:15" ht="15.75" hidden="1" x14ac:dyDescent="0.25">
      <c r="A2836" s="1" t="str">
        <f t="shared" si="140"/>
        <v>45025450251009CURRENTSALARYQATAR AIR</v>
      </c>
      <c r="B2836" s="154">
        <v>45025</v>
      </c>
      <c r="C2836" s="154">
        <v>45025</v>
      </c>
      <c r="D2836" s="3" t="s">
        <v>3308</v>
      </c>
      <c r="E2836" s="3">
        <v>1009</v>
      </c>
      <c r="F2836" s="3">
        <v>1</v>
      </c>
      <c r="G2836" s="3">
        <f t="shared" si="142"/>
        <v>1009</v>
      </c>
      <c r="H2836" s="3" t="s">
        <v>293</v>
      </c>
      <c r="I2836" s="1" t="s">
        <v>18</v>
      </c>
      <c r="J2836" s="1" t="s">
        <v>19</v>
      </c>
      <c r="K2836" s="1" t="s">
        <v>300</v>
      </c>
      <c r="L2836" s="1" t="s">
        <v>257</v>
      </c>
      <c r="M2836" s="1"/>
      <c r="N2836" s="1">
        <f t="shared" si="141"/>
        <v>4</v>
      </c>
      <c r="O2836" s="87"/>
    </row>
    <row r="2837" spans="1:15" ht="15.75" hidden="1" x14ac:dyDescent="0.25">
      <c r="A2837" s="1" t="str">
        <f t="shared" si="140"/>
        <v>45025450278.8DINERSTRANSPORTUBER</v>
      </c>
      <c r="B2837" s="154">
        <v>45025</v>
      </c>
      <c r="C2837" s="154">
        <v>45027</v>
      </c>
      <c r="D2837" s="3" t="s">
        <v>3327</v>
      </c>
      <c r="E2837" s="3">
        <v>-8.8000000000000007</v>
      </c>
      <c r="F2837" s="3">
        <v>1</v>
      </c>
      <c r="G2837" s="3">
        <f t="shared" si="142"/>
        <v>8.8000000000000007</v>
      </c>
      <c r="H2837" s="3" t="s">
        <v>266</v>
      </c>
      <c r="I2837" s="1" t="s">
        <v>296</v>
      </c>
      <c r="J2837" s="1" t="s">
        <v>299</v>
      </c>
      <c r="K2837" s="1" t="s">
        <v>298</v>
      </c>
      <c r="L2837" s="1" t="s">
        <v>267</v>
      </c>
      <c r="M2837" s="1"/>
      <c r="N2837" s="1">
        <f t="shared" si="141"/>
        <v>4</v>
      </c>
      <c r="O2837" s="87"/>
    </row>
    <row r="2838" spans="1:15" ht="15.75" hidden="1" x14ac:dyDescent="0.25">
      <c r="A2838" s="1" t="str">
        <f t="shared" si="140"/>
        <v>450254502646DINERSFOODCAFÉ/REST.</v>
      </c>
      <c r="B2838" s="154">
        <v>45025</v>
      </c>
      <c r="C2838" s="154">
        <v>45026</v>
      </c>
      <c r="D2838" s="3" t="s">
        <v>3328</v>
      </c>
      <c r="E2838" s="3">
        <v>-46</v>
      </c>
      <c r="F2838" s="3">
        <v>1</v>
      </c>
      <c r="G2838" s="3">
        <f t="shared" si="142"/>
        <v>46</v>
      </c>
      <c r="H2838" s="3" t="s">
        <v>266</v>
      </c>
      <c r="I2838" s="1" t="s">
        <v>10</v>
      </c>
      <c r="J2838" s="1" t="s">
        <v>11</v>
      </c>
      <c r="K2838" s="1" t="s">
        <v>298</v>
      </c>
      <c r="L2838" s="1" t="s">
        <v>267</v>
      </c>
      <c r="M2838" s="1"/>
      <c r="N2838" s="1">
        <f t="shared" si="141"/>
        <v>4</v>
      </c>
      <c r="O2838" s="87"/>
    </row>
    <row r="2839" spans="1:15" ht="15.75" hidden="1" x14ac:dyDescent="0.25">
      <c r="A2839" s="1" t="str">
        <f t="shared" si="140"/>
        <v>450254502847.49MASTER CCGROCERYINDIAN SUPER</v>
      </c>
      <c r="B2839" s="154">
        <v>45025</v>
      </c>
      <c r="C2839" s="154">
        <v>45028</v>
      </c>
      <c r="D2839" s="3" t="s">
        <v>3366</v>
      </c>
      <c r="E2839" s="3">
        <v>-47.49</v>
      </c>
      <c r="F2839" s="3">
        <v>1</v>
      </c>
      <c r="G2839" s="3">
        <f t="shared" si="142"/>
        <v>47.49</v>
      </c>
      <c r="H2839" s="3" t="s">
        <v>291</v>
      </c>
      <c r="I2839" s="1" t="s">
        <v>43</v>
      </c>
      <c r="J2839" s="1" t="s">
        <v>2273</v>
      </c>
      <c r="K2839" s="1" t="s">
        <v>298</v>
      </c>
      <c r="L2839" s="1" t="s">
        <v>267</v>
      </c>
      <c r="M2839" s="1"/>
      <c r="N2839" s="1">
        <f t="shared" si="141"/>
        <v>4</v>
      </c>
      <c r="O2839" s="87"/>
    </row>
    <row r="2840" spans="1:15" ht="15.75" hidden="1" x14ac:dyDescent="0.25">
      <c r="A2840" s="1" t="str">
        <f t="shared" si="140"/>
        <v>450254502720MASTER CCFOODQATAR AIR</v>
      </c>
      <c r="B2840" s="154">
        <v>45025</v>
      </c>
      <c r="C2840" s="154">
        <v>45027</v>
      </c>
      <c r="D2840" s="3" t="s">
        <v>3367</v>
      </c>
      <c r="E2840" s="3">
        <v>-20</v>
      </c>
      <c r="F2840" s="3">
        <v>1</v>
      </c>
      <c r="G2840" s="3">
        <f t="shared" si="142"/>
        <v>20</v>
      </c>
      <c r="H2840" s="3" t="s">
        <v>291</v>
      </c>
      <c r="I2840" s="1" t="s">
        <v>10</v>
      </c>
      <c r="J2840" s="1" t="s">
        <v>19</v>
      </c>
      <c r="K2840" s="1" t="s">
        <v>298</v>
      </c>
      <c r="L2840" s="1" t="s">
        <v>267</v>
      </c>
      <c r="M2840" s="1"/>
      <c r="N2840" s="1">
        <f t="shared" si="141"/>
        <v>4</v>
      </c>
      <c r="O2840" s="87"/>
    </row>
    <row r="2841" spans="1:15" ht="15.75" hidden="1" x14ac:dyDescent="0.25">
      <c r="A2841" s="1" t="str">
        <f t="shared" si="140"/>
        <v>450254502715MASTER CCTRANSPORTMR VALET</v>
      </c>
      <c r="B2841" s="154">
        <v>45025</v>
      </c>
      <c r="C2841" s="154">
        <v>45027</v>
      </c>
      <c r="D2841" s="3" t="s">
        <v>3368</v>
      </c>
      <c r="E2841" s="3">
        <v>-15</v>
      </c>
      <c r="F2841" s="3">
        <v>1</v>
      </c>
      <c r="G2841" s="3">
        <f t="shared" si="142"/>
        <v>15</v>
      </c>
      <c r="H2841" s="3" t="s">
        <v>291</v>
      </c>
      <c r="I2841" s="1" t="s">
        <v>296</v>
      </c>
      <c r="J2841" s="1" t="s">
        <v>2703</v>
      </c>
      <c r="K2841" s="1" t="s">
        <v>298</v>
      </c>
      <c r="L2841" s="1" t="s">
        <v>267</v>
      </c>
      <c r="M2841" s="1"/>
      <c r="N2841" s="1">
        <f t="shared" si="141"/>
        <v>4</v>
      </c>
      <c r="O2841" s="87"/>
    </row>
    <row r="2842" spans="1:15" ht="15.75" hidden="1" x14ac:dyDescent="0.25">
      <c r="A2842" s="1" t="str">
        <f t="shared" si="140"/>
        <v>45026450265000CURRENTRENTALBAKER</v>
      </c>
      <c r="B2842" s="154">
        <v>45026</v>
      </c>
      <c r="C2842" s="154">
        <v>45026</v>
      </c>
      <c r="D2842" s="3" t="s">
        <v>3309</v>
      </c>
      <c r="E2842" s="3">
        <v>-5000</v>
      </c>
      <c r="F2842" s="3">
        <v>1</v>
      </c>
      <c r="G2842" s="3">
        <f t="shared" si="142"/>
        <v>5000</v>
      </c>
      <c r="H2842" s="3" t="s">
        <v>293</v>
      </c>
      <c r="I2842" s="1" t="s">
        <v>83</v>
      </c>
      <c r="J2842" s="1" t="s">
        <v>2701</v>
      </c>
      <c r="K2842" s="1" t="s">
        <v>298</v>
      </c>
      <c r="L2842" s="1" t="s">
        <v>257</v>
      </c>
      <c r="M2842" s="1"/>
      <c r="N2842" s="1">
        <f t="shared" si="141"/>
        <v>4</v>
      </c>
      <c r="O2842" s="87"/>
    </row>
    <row r="2843" spans="1:15" ht="15.75" hidden="1" x14ac:dyDescent="0.25">
      <c r="A2843" s="1" t="str">
        <f t="shared" si="140"/>
        <v>45026450288.8DINERSTRANSPORTUBER</v>
      </c>
      <c r="B2843" s="154">
        <v>45026</v>
      </c>
      <c r="C2843" s="154">
        <v>45028</v>
      </c>
      <c r="D2843" s="3" t="s">
        <v>3329</v>
      </c>
      <c r="E2843" s="3">
        <v>-8.8000000000000007</v>
      </c>
      <c r="F2843" s="3">
        <v>1</v>
      </c>
      <c r="G2843" s="3">
        <f t="shared" si="142"/>
        <v>8.8000000000000007</v>
      </c>
      <c r="H2843" s="3" t="s">
        <v>266</v>
      </c>
      <c r="I2843" s="1" t="s">
        <v>296</v>
      </c>
      <c r="J2843" s="1" t="s">
        <v>299</v>
      </c>
      <c r="K2843" s="1" t="s">
        <v>298</v>
      </c>
      <c r="L2843" s="1" t="s">
        <v>267</v>
      </c>
      <c r="M2843" s="1"/>
      <c r="N2843" s="1">
        <f t="shared" si="141"/>
        <v>4</v>
      </c>
      <c r="O2843" s="87"/>
    </row>
    <row r="2844" spans="1:15" ht="15.75" hidden="1" x14ac:dyDescent="0.25">
      <c r="A2844" s="1" t="str">
        <f t="shared" si="140"/>
        <v>45026450289.4DINERSTRANSPORTUBER</v>
      </c>
      <c r="B2844" s="154">
        <v>45026</v>
      </c>
      <c r="C2844" s="154">
        <v>45028</v>
      </c>
      <c r="D2844" s="3" t="s">
        <v>3330</v>
      </c>
      <c r="E2844" s="3">
        <v>-9.4</v>
      </c>
      <c r="F2844" s="3">
        <v>1</v>
      </c>
      <c r="G2844" s="3">
        <f t="shared" si="142"/>
        <v>9.4</v>
      </c>
      <c r="H2844" s="3" t="s">
        <v>266</v>
      </c>
      <c r="I2844" s="1" t="s">
        <v>296</v>
      </c>
      <c r="J2844" s="1" t="s">
        <v>299</v>
      </c>
      <c r="K2844" s="1" t="s">
        <v>298</v>
      </c>
      <c r="L2844" s="1" t="s">
        <v>267</v>
      </c>
      <c r="M2844" s="1"/>
      <c r="N2844" s="1">
        <f t="shared" si="141"/>
        <v>4</v>
      </c>
      <c r="O2844" s="87"/>
    </row>
    <row r="2845" spans="1:15" ht="15.75" hidden="1" x14ac:dyDescent="0.25">
      <c r="A2845" s="1" t="str">
        <f t="shared" si="140"/>
        <v>45026450288.82DINERSTRANSPORTUBER</v>
      </c>
      <c r="B2845" s="154">
        <v>45026</v>
      </c>
      <c r="C2845" s="154">
        <v>45028</v>
      </c>
      <c r="D2845" s="3" t="s">
        <v>3331</v>
      </c>
      <c r="E2845" s="3">
        <v>-8.82</v>
      </c>
      <c r="F2845" s="3">
        <v>1</v>
      </c>
      <c r="G2845" s="3">
        <f t="shared" si="142"/>
        <v>8.82</v>
      </c>
      <c r="H2845" s="3" t="s">
        <v>266</v>
      </c>
      <c r="I2845" s="1" t="s">
        <v>296</v>
      </c>
      <c r="J2845" s="1" t="s">
        <v>299</v>
      </c>
      <c r="K2845" s="1" t="s">
        <v>298</v>
      </c>
      <c r="L2845" s="1" t="s">
        <v>267</v>
      </c>
      <c r="M2845" s="1"/>
      <c r="N2845" s="1">
        <f t="shared" si="141"/>
        <v>4</v>
      </c>
      <c r="O2845" s="87"/>
    </row>
    <row r="2846" spans="1:15" ht="15.75" hidden="1" x14ac:dyDescent="0.25">
      <c r="A2846" s="1" t="str">
        <f t="shared" si="140"/>
        <v>4502645028104MASTER CCTRANSPORTWOQOD</v>
      </c>
      <c r="B2846" s="154">
        <v>45026</v>
      </c>
      <c r="C2846" s="154">
        <v>45028</v>
      </c>
      <c r="D2846" s="3" t="s">
        <v>3369</v>
      </c>
      <c r="E2846" s="3">
        <v>-104</v>
      </c>
      <c r="F2846" s="3">
        <v>1</v>
      </c>
      <c r="G2846" s="3">
        <f t="shared" si="142"/>
        <v>104</v>
      </c>
      <c r="H2846" s="3" t="s">
        <v>291</v>
      </c>
      <c r="I2846" s="1" t="s">
        <v>296</v>
      </c>
      <c r="J2846" s="1" t="s">
        <v>1942</v>
      </c>
      <c r="K2846" s="1" t="s">
        <v>298</v>
      </c>
      <c r="L2846" s="1" t="s">
        <v>267</v>
      </c>
      <c r="M2846" s="1"/>
      <c r="N2846" s="1">
        <f t="shared" si="141"/>
        <v>4</v>
      </c>
      <c r="O2846" s="87"/>
    </row>
    <row r="2847" spans="1:15" ht="15.75" hidden="1" x14ac:dyDescent="0.25">
      <c r="A2847" s="1" t="str">
        <f t="shared" si="140"/>
        <v>45027450299.68DINERSTRANSPORTUBER</v>
      </c>
      <c r="B2847" s="154">
        <v>45027</v>
      </c>
      <c r="C2847" s="154">
        <v>45029</v>
      </c>
      <c r="D2847" s="3" t="s">
        <v>3332</v>
      </c>
      <c r="E2847" s="3">
        <v>-9.68</v>
      </c>
      <c r="F2847" s="3">
        <v>1</v>
      </c>
      <c r="G2847" s="3">
        <f t="shared" si="142"/>
        <v>9.68</v>
      </c>
      <c r="H2847" s="3" t="s">
        <v>266</v>
      </c>
      <c r="I2847" s="1" t="s">
        <v>296</v>
      </c>
      <c r="J2847" s="1" t="s">
        <v>299</v>
      </c>
      <c r="K2847" s="1" t="s">
        <v>298</v>
      </c>
      <c r="L2847" s="1" t="s">
        <v>267</v>
      </c>
      <c r="M2847" s="1"/>
      <c r="N2847" s="1">
        <f t="shared" si="141"/>
        <v>4</v>
      </c>
      <c r="O2847" s="87"/>
    </row>
    <row r="2848" spans="1:15" ht="15.75" hidden="1" x14ac:dyDescent="0.25">
      <c r="A2848" s="1" t="str">
        <f t="shared" si="140"/>
        <v>45027450298.8DINERSTRANSPORTUBER</v>
      </c>
      <c r="B2848" s="154">
        <v>45027</v>
      </c>
      <c r="C2848" s="154">
        <v>45029</v>
      </c>
      <c r="D2848" s="3" t="s">
        <v>3333</v>
      </c>
      <c r="E2848" s="3">
        <v>-8.8000000000000007</v>
      </c>
      <c r="F2848" s="3">
        <v>1</v>
      </c>
      <c r="G2848" s="3">
        <f t="shared" si="142"/>
        <v>8.8000000000000007</v>
      </c>
      <c r="H2848" s="3" t="s">
        <v>266</v>
      </c>
      <c r="I2848" s="1" t="s">
        <v>296</v>
      </c>
      <c r="J2848" s="1" t="s">
        <v>299</v>
      </c>
      <c r="K2848" s="1" t="s">
        <v>298</v>
      </c>
      <c r="L2848" s="1" t="s">
        <v>267</v>
      </c>
      <c r="M2848" s="1"/>
      <c r="N2848" s="1">
        <f t="shared" si="141"/>
        <v>4</v>
      </c>
      <c r="O2848" s="87"/>
    </row>
    <row r="2849" spans="1:15" ht="15.75" hidden="1" x14ac:dyDescent="0.25">
      <c r="A2849" s="1" t="str">
        <f t="shared" si="140"/>
        <v>45027450298.8DINERSTRANSPORTUBER</v>
      </c>
      <c r="B2849" s="154">
        <v>45027</v>
      </c>
      <c r="C2849" s="154">
        <v>45029</v>
      </c>
      <c r="D2849" s="3" t="s">
        <v>3334</v>
      </c>
      <c r="E2849" s="3">
        <v>-8.8000000000000007</v>
      </c>
      <c r="F2849" s="3">
        <v>1</v>
      </c>
      <c r="G2849" s="3">
        <f t="shared" si="142"/>
        <v>8.8000000000000007</v>
      </c>
      <c r="H2849" s="3" t="s">
        <v>266</v>
      </c>
      <c r="I2849" s="1" t="s">
        <v>296</v>
      </c>
      <c r="J2849" s="1" t="s">
        <v>299</v>
      </c>
      <c r="K2849" s="1" t="s">
        <v>298</v>
      </c>
      <c r="L2849" s="1" t="s">
        <v>267</v>
      </c>
      <c r="M2849" s="1"/>
      <c r="N2849" s="1">
        <f t="shared" si="141"/>
        <v>4</v>
      </c>
      <c r="O2849" s="87"/>
    </row>
    <row r="2850" spans="1:15" ht="15.75" hidden="1" x14ac:dyDescent="0.25">
      <c r="A2850" s="1" t="str">
        <f t="shared" si="140"/>
        <v>450274503040MASTER CCFOODWISHBOX</v>
      </c>
      <c r="B2850" s="154">
        <v>45027</v>
      </c>
      <c r="C2850" s="154">
        <v>45030</v>
      </c>
      <c r="D2850" s="3" t="s">
        <v>3370</v>
      </c>
      <c r="E2850" s="3">
        <v>-40</v>
      </c>
      <c r="F2850" s="3">
        <v>1</v>
      </c>
      <c r="G2850" s="3">
        <f t="shared" si="142"/>
        <v>40</v>
      </c>
      <c r="H2850" s="3" t="s">
        <v>291</v>
      </c>
      <c r="I2850" s="1" t="s">
        <v>10</v>
      </c>
      <c r="J2850" s="1" t="s">
        <v>1199</v>
      </c>
      <c r="K2850" s="1" t="s">
        <v>298</v>
      </c>
      <c r="L2850" s="1" t="s">
        <v>267</v>
      </c>
      <c r="M2850" s="1"/>
      <c r="N2850" s="1">
        <f t="shared" si="141"/>
        <v>4</v>
      </c>
      <c r="O2850" s="87"/>
    </row>
    <row r="2851" spans="1:15" ht="15.75" hidden="1" x14ac:dyDescent="0.25">
      <c r="A2851" s="1" t="str">
        <f t="shared" si="140"/>
        <v>450274502920MASTER CCFOODQATAR AIR</v>
      </c>
      <c r="B2851" s="154">
        <v>45027</v>
      </c>
      <c r="C2851" s="154">
        <v>45029</v>
      </c>
      <c r="D2851" s="3" t="s">
        <v>3371</v>
      </c>
      <c r="E2851" s="3">
        <v>-20</v>
      </c>
      <c r="F2851" s="3">
        <v>1</v>
      </c>
      <c r="G2851" s="3">
        <f t="shared" si="142"/>
        <v>20</v>
      </c>
      <c r="H2851" s="3" t="s">
        <v>291</v>
      </c>
      <c r="I2851" s="1" t="s">
        <v>10</v>
      </c>
      <c r="J2851" s="1" t="s">
        <v>19</v>
      </c>
      <c r="K2851" s="1" t="s">
        <v>298</v>
      </c>
      <c r="L2851" s="1" t="s">
        <v>267</v>
      </c>
      <c r="M2851" s="1"/>
      <c r="N2851" s="1">
        <f t="shared" si="141"/>
        <v>4</v>
      </c>
      <c r="O2851" s="87"/>
    </row>
    <row r="2852" spans="1:15" ht="15.75" hidden="1" x14ac:dyDescent="0.25">
      <c r="A2852" s="1" t="str">
        <f t="shared" si="140"/>
        <v>450274502935MASTER CCFOODWISHBOX</v>
      </c>
      <c r="B2852" s="154">
        <v>45027</v>
      </c>
      <c r="C2852" s="154">
        <v>45029</v>
      </c>
      <c r="D2852" s="3" t="s">
        <v>3372</v>
      </c>
      <c r="E2852" s="3">
        <v>-35</v>
      </c>
      <c r="F2852" s="3">
        <v>1</v>
      </c>
      <c r="G2852" s="3">
        <f t="shared" si="142"/>
        <v>35</v>
      </c>
      <c r="H2852" s="3" t="s">
        <v>291</v>
      </c>
      <c r="I2852" s="1" t="s">
        <v>10</v>
      </c>
      <c r="J2852" s="1" t="s">
        <v>1199</v>
      </c>
      <c r="K2852" s="1" t="s">
        <v>298</v>
      </c>
      <c r="L2852" s="1" t="s">
        <v>267</v>
      </c>
      <c r="M2852" s="1"/>
      <c r="N2852" s="1">
        <f t="shared" si="141"/>
        <v>4</v>
      </c>
      <c r="O2852" s="87"/>
    </row>
    <row r="2853" spans="1:15" ht="15.75" hidden="1" x14ac:dyDescent="0.25">
      <c r="A2853" s="1" t="str">
        <f t="shared" si="140"/>
        <v>45027450295050MASTER CCRENTWASEEF</v>
      </c>
      <c r="B2853" s="154">
        <v>45027</v>
      </c>
      <c r="C2853" s="154">
        <v>45029</v>
      </c>
      <c r="D2853" s="3" t="s">
        <v>3373</v>
      </c>
      <c r="E2853" s="3">
        <v>-5050</v>
      </c>
      <c r="F2853" s="3">
        <v>1</v>
      </c>
      <c r="G2853" s="3">
        <f t="shared" si="142"/>
        <v>5050</v>
      </c>
      <c r="H2853" s="3" t="s">
        <v>291</v>
      </c>
      <c r="I2853" s="1" t="s">
        <v>83</v>
      </c>
      <c r="J2853" s="1" t="s">
        <v>3314</v>
      </c>
      <c r="K2853" s="1" t="s">
        <v>298</v>
      </c>
      <c r="L2853" s="1" t="s">
        <v>267</v>
      </c>
      <c r="M2853" s="1"/>
      <c r="N2853" s="1">
        <f t="shared" si="141"/>
        <v>4</v>
      </c>
      <c r="O2853" s="87"/>
    </row>
    <row r="2854" spans="1:15" ht="15.75" hidden="1" x14ac:dyDescent="0.25">
      <c r="A2854" s="1" t="str">
        <f t="shared" si="140"/>
        <v>45028450328.8DINERSTRANSPORTUBER</v>
      </c>
      <c r="B2854" s="154">
        <v>45028</v>
      </c>
      <c r="C2854" s="154">
        <v>45032</v>
      </c>
      <c r="D2854" s="3" t="s">
        <v>3335</v>
      </c>
      <c r="E2854" s="3">
        <v>-8.8000000000000007</v>
      </c>
      <c r="F2854" s="3">
        <v>1</v>
      </c>
      <c r="G2854" s="3">
        <f t="shared" si="142"/>
        <v>8.8000000000000007</v>
      </c>
      <c r="H2854" s="3" t="s">
        <v>266</v>
      </c>
      <c r="I2854" s="1" t="s">
        <v>296</v>
      </c>
      <c r="J2854" s="1" t="s">
        <v>299</v>
      </c>
      <c r="K2854" s="1" t="s">
        <v>298</v>
      </c>
      <c r="L2854" s="1" t="s">
        <v>267</v>
      </c>
      <c r="M2854" s="1"/>
      <c r="N2854" s="1">
        <f t="shared" si="141"/>
        <v>4</v>
      </c>
      <c r="O2854" s="87"/>
    </row>
    <row r="2855" spans="1:15" ht="15.75" hidden="1" x14ac:dyDescent="0.25">
      <c r="A2855" s="1" t="str">
        <f t="shared" si="140"/>
        <v>45028450328.95DINERSTRANSPORTUBER</v>
      </c>
      <c r="B2855" s="154">
        <v>45028</v>
      </c>
      <c r="C2855" s="154">
        <v>45032</v>
      </c>
      <c r="D2855" s="3" t="s">
        <v>3336</v>
      </c>
      <c r="E2855" s="3">
        <v>-8.9499999999999993</v>
      </c>
      <c r="F2855" s="3">
        <v>1</v>
      </c>
      <c r="G2855" s="3">
        <f t="shared" si="142"/>
        <v>8.9499999999999993</v>
      </c>
      <c r="H2855" s="3" t="s">
        <v>266</v>
      </c>
      <c r="I2855" s="1" t="s">
        <v>296</v>
      </c>
      <c r="J2855" s="1" t="s">
        <v>299</v>
      </c>
      <c r="K2855" s="1" t="s">
        <v>298</v>
      </c>
      <c r="L2855" s="1" t="s">
        <v>267</v>
      </c>
      <c r="M2855" s="1"/>
      <c r="N2855" s="1">
        <f t="shared" si="141"/>
        <v>4</v>
      </c>
      <c r="O2855" s="87"/>
    </row>
    <row r="2856" spans="1:15" ht="15.75" hidden="1" x14ac:dyDescent="0.25">
      <c r="A2856" s="1" t="str">
        <f t="shared" si="140"/>
        <v>45028450329.47DINERSTRANSPORTUBER</v>
      </c>
      <c r="B2856" s="154">
        <v>45028</v>
      </c>
      <c r="C2856" s="154">
        <v>45032</v>
      </c>
      <c r="D2856" s="3" t="s">
        <v>3337</v>
      </c>
      <c r="E2856" s="3">
        <v>-9.4700000000000006</v>
      </c>
      <c r="F2856" s="3">
        <v>1</v>
      </c>
      <c r="G2856" s="3">
        <f t="shared" si="142"/>
        <v>9.4700000000000006</v>
      </c>
      <c r="H2856" s="3" t="s">
        <v>266</v>
      </c>
      <c r="I2856" s="1" t="s">
        <v>296</v>
      </c>
      <c r="J2856" s="1" t="s">
        <v>299</v>
      </c>
      <c r="K2856" s="1" t="s">
        <v>298</v>
      </c>
      <c r="L2856" s="1" t="s">
        <v>267</v>
      </c>
      <c r="M2856" s="1"/>
      <c r="N2856" s="1">
        <f t="shared" si="141"/>
        <v>4</v>
      </c>
      <c r="O2856" s="87"/>
    </row>
    <row r="2857" spans="1:15" ht="15.75" hidden="1" x14ac:dyDescent="0.25">
      <c r="A2857" s="1" t="str">
        <f t="shared" si="140"/>
        <v>450284503022MASTER CCFOODQATAR AIR</v>
      </c>
      <c r="B2857" s="154">
        <v>45028</v>
      </c>
      <c r="C2857" s="154">
        <v>45030</v>
      </c>
      <c r="D2857" s="3" t="s">
        <v>3374</v>
      </c>
      <c r="E2857" s="3">
        <v>-22</v>
      </c>
      <c r="F2857" s="3">
        <v>1</v>
      </c>
      <c r="G2857" s="3">
        <f t="shared" si="142"/>
        <v>22</v>
      </c>
      <c r="H2857" s="3" t="s">
        <v>291</v>
      </c>
      <c r="I2857" s="1" t="s">
        <v>10</v>
      </c>
      <c r="J2857" s="1" t="s">
        <v>19</v>
      </c>
      <c r="K2857" s="1" t="s">
        <v>298</v>
      </c>
      <c r="L2857" s="1" t="s">
        <v>267</v>
      </c>
      <c r="M2857" s="1"/>
      <c r="N2857" s="1">
        <f t="shared" si="141"/>
        <v>4</v>
      </c>
      <c r="O2857" s="87"/>
    </row>
    <row r="2858" spans="1:15" ht="15.75" hidden="1" x14ac:dyDescent="0.25">
      <c r="A2858" s="1" t="str">
        <f t="shared" si="140"/>
        <v>450294502910CURRENTLAUNDRYAL RAYES</v>
      </c>
      <c r="B2858" s="154">
        <v>45029</v>
      </c>
      <c r="C2858" s="154">
        <v>45029</v>
      </c>
      <c r="D2858" s="3" t="s">
        <v>3310</v>
      </c>
      <c r="E2858" s="3">
        <v>-10</v>
      </c>
      <c r="F2858" s="3">
        <v>1</v>
      </c>
      <c r="G2858" s="3">
        <f t="shared" si="142"/>
        <v>10</v>
      </c>
      <c r="H2858" s="3" t="s">
        <v>293</v>
      </c>
      <c r="I2858" s="1" t="s">
        <v>3164</v>
      </c>
      <c r="J2858" s="1" t="s">
        <v>3165</v>
      </c>
      <c r="K2858" s="1" t="s">
        <v>298</v>
      </c>
      <c r="L2858" s="1" t="s">
        <v>257</v>
      </c>
      <c r="M2858" s="1"/>
      <c r="N2858" s="1">
        <f t="shared" si="141"/>
        <v>4</v>
      </c>
      <c r="O2858" s="87"/>
    </row>
    <row r="2859" spans="1:15" ht="15.75" hidden="1" x14ac:dyDescent="0.25">
      <c r="A2859" s="1" t="str">
        <f t="shared" si="140"/>
        <v>45029450328.95DINERSTRANSPORTUBER</v>
      </c>
      <c r="B2859" s="154">
        <v>45029</v>
      </c>
      <c r="C2859" s="154">
        <v>45032</v>
      </c>
      <c r="D2859" s="3" t="s">
        <v>3338</v>
      </c>
      <c r="E2859" s="3">
        <v>-8.9499999999999993</v>
      </c>
      <c r="F2859" s="3">
        <v>1</v>
      </c>
      <c r="G2859" s="3">
        <f t="shared" si="142"/>
        <v>8.9499999999999993</v>
      </c>
      <c r="H2859" s="3" t="s">
        <v>266</v>
      </c>
      <c r="I2859" s="1" t="s">
        <v>296</v>
      </c>
      <c r="J2859" s="1" t="s">
        <v>299</v>
      </c>
      <c r="K2859" s="1" t="s">
        <v>298</v>
      </c>
      <c r="L2859" s="1" t="s">
        <v>267</v>
      </c>
      <c r="M2859" s="1"/>
      <c r="N2859" s="1">
        <f t="shared" si="141"/>
        <v>4</v>
      </c>
      <c r="O2859" s="87"/>
    </row>
    <row r="2860" spans="1:15" ht="15.75" hidden="1" x14ac:dyDescent="0.25">
      <c r="A2860" s="1" t="str">
        <f t="shared" si="140"/>
        <v>45029450329.74DINERSTRANSPORTUBER</v>
      </c>
      <c r="B2860" s="154">
        <v>45029</v>
      </c>
      <c r="C2860" s="154">
        <v>45032</v>
      </c>
      <c r="D2860" s="3" t="s">
        <v>3339</v>
      </c>
      <c r="E2860" s="3">
        <v>-9.74</v>
      </c>
      <c r="F2860" s="3">
        <v>1</v>
      </c>
      <c r="G2860" s="3">
        <f t="shared" si="142"/>
        <v>9.74</v>
      </c>
      <c r="H2860" s="3" t="s">
        <v>266</v>
      </c>
      <c r="I2860" s="1" t="s">
        <v>296</v>
      </c>
      <c r="J2860" s="1" t="s">
        <v>299</v>
      </c>
      <c r="K2860" s="1" t="s">
        <v>298</v>
      </c>
      <c r="L2860" s="1" t="s">
        <v>267</v>
      </c>
      <c r="M2860" s="1"/>
      <c r="N2860" s="1">
        <f t="shared" si="141"/>
        <v>4</v>
      </c>
      <c r="O2860" s="87"/>
    </row>
    <row r="2861" spans="1:15" ht="15.75" hidden="1" x14ac:dyDescent="0.25">
      <c r="A2861" s="1" t="str">
        <f t="shared" si="140"/>
        <v>450294503420MASTER CCFOODQATAR AIR</v>
      </c>
      <c r="B2861" s="154">
        <v>45029</v>
      </c>
      <c r="C2861" s="154">
        <v>45034</v>
      </c>
      <c r="D2861" s="3" t="s">
        <v>3375</v>
      </c>
      <c r="E2861" s="3">
        <v>-20</v>
      </c>
      <c r="F2861" s="3">
        <v>1</v>
      </c>
      <c r="G2861" s="3">
        <f t="shared" si="142"/>
        <v>20</v>
      </c>
      <c r="H2861" s="3" t="s">
        <v>291</v>
      </c>
      <c r="I2861" s="1" t="s">
        <v>10</v>
      </c>
      <c r="J2861" s="1" t="s">
        <v>19</v>
      </c>
      <c r="K2861" s="1" t="s">
        <v>298</v>
      </c>
      <c r="L2861" s="1" t="s">
        <v>267</v>
      </c>
      <c r="M2861" s="1"/>
      <c r="N2861" s="1">
        <f t="shared" si="141"/>
        <v>4</v>
      </c>
      <c r="O2861" s="87"/>
    </row>
    <row r="2862" spans="1:15" ht="15.75" hidden="1" x14ac:dyDescent="0.25">
      <c r="A2862" s="1" t="str">
        <f t="shared" si="140"/>
        <v>450294503238MASTER CCFOODCAFÉ/REST.</v>
      </c>
      <c r="B2862" s="154">
        <v>45029</v>
      </c>
      <c r="C2862" s="154">
        <v>45032</v>
      </c>
      <c r="D2862" s="3" t="s">
        <v>3376</v>
      </c>
      <c r="E2862" s="3">
        <v>-38</v>
      </c>
      <c r="F2862" s="3">
        <v>1</v>
      </c>
      <c r="G2862" s="3">
        <f t="shared" si="142"/>
        <v>38</v>
      </c>
      <c r="H2862" s="3" t="s">
        <v>291</v>
      </c>
      <c r="I2862" s="1" t="s">
        <v>10</v>
      </c>
      <c r="J2862" s="1" t="s">
        <v>11</v>
      </c>
      <c r="K2862" s="1" t="s">
        <v>298</v>
      </c>
      <c r="L2862" s="1" t="s">
        <v>267</v>
      </c>
      <c r="M2862" s="1"/>
      <c r="N2862" s="1">
        <f t="shared" si="141"/>
        <v>4</v>
      </c>
      <c r="O2862" s="87"/>
    </row>
    <row r="2863" spans="1:15" ht="15.75" hidden="1" x14ac:dyDescent="0.25">
      <c r="A2863" s="1" t="str">
        <f t="shared" si="140"/>
        <v>450294503265MASTER CCFOODCAFÉ/REST.</v>
      </c>
      <c r="B2863" s="154">
        <v>45029</v>
      </c>
      <c r="C2863" s="154">
        <v>45032</v>
      </c>
      <c r="D2863" s="3" t="s">
        <v>3377</v>
      </c>
      <c r="E2863" s="3">
        <v>-65</v>
      </c>
      <c r="F2863" s="3">
        <v>1</v>
      </c>
      <c r="G2863" s="3">
        <f t="shared" si="142"/>
        <v>65</v>
      </c>
      <c r="H2863" s="3" t="s">
        <v>291</v>
      </c>
      <c r="I2863" s="1" t="s">
        <v>10</v>
      </c>
      <c r="J2863" s="1" t="s">
        <v>11</v>
      </c>
      <c r="K2863" s="1" t="s">
        <v>298</v>
      </c>
      <c r="L2863" s="1" t="s">
        <v>267</v>
      </c>
      <c r="M2863" s="1"/>
      <c r="N2863" s="1">
        <f t="shared" si="141"/>
        <v>4</v>
      </c>
      <c r="O2863" s="87"/>
    </row>
    <row r="2864" spans="1:15" ht="15.75" hidden="1" x14ac:dyDescent="0.25">
      <c r="A2864" s="1" t="str">
        <f t="shared" si="140"/>
        <v>450304503175DINERSFOODCAFÉ/REST.</v>
      </c>
      <c r="B2864" s="154">
        <v>45030</v>
      </c>
      <c r="C2864" s="154">
        <v>45031</v>
      </c>
      <c r="D2864" s="3" t="s">
        <v>3340</v>
      </c>
      <c r="E2864" s="3">
        <v>-75</v>
      </c>
      <c r="F2864" s="3">
        <v>1</v>
      </c>
      <c r="G2864" s="3">
        <f t="shared" si="142"/>
        <v>75</v>
      </c>
      <c r="H2864" s="3" t="s">
        <v>266</v>
      </c>
      <c r="I2864" s="1" t="s">
        <v>10</v>
      </c>
      <c r="J2864" s="1" t="s">
        <v>11</v>
      </c>
      <c r="K2864" s="1" t="s">
        <v>298</v>
      </c>
      <c r="L2864" s="1" t="s">
        <v>267</v>
      </c>
      <c r="M2864" s="1"/>
      <c r="N2864" s="1">
        <f t="shared" si="141"/>
        <v>4</v>
      </c>
      <c r="O2864" s="87"/>
    </row>
    <row r="2865" spans="1:15" ht="15.75" hidden="1" x14ac:dyDescent="0.25">
      <c r="A2865" s="1" t="str">
        <f t="shared" si="140"/>
        <v>450304503240.5MASTER CCFOODWISHBOX</v>
      </c>
      <c r="B2865" s="154">
        <v>45030</v>
      </c>
      <c r="C2865" s="154">
        <v>45032</v>
      </c>
      <c r="D2865" s="3" t="s">
        <v>3378</v>
      </c>
      <c r="E2865" s="3">
        <v>-40.5</v>
      </c>
      <c r="F2865" s="3">
        <v>1</v>
      </c>
      <c r="G2865" s="3">
        <f t="shared" si="142"/>
        <v>40.5</v>
      </c>
      <c r="H2865" s="3" t="s">
        <v>291</v>
      </c>
      <c r="I2865" s="1" t="s">
        <v>10</v>
      </c>
      <c r="J2865" s="1" t="s">
        <v>1199</v>
      </c>
      <c r="K2865" s="1" t="s">
        <v>298</v>
      </c>
      <c r="L2865" s="1" t="s">
        <v>267</v>
      </c>
      <c r="M2865" s="1"/>
      <c r="N2865" s="1">
        <f t="shared" si="141"/>
        <v>4</v>
      </c>
      <c r="O2865" s="87"/>
    </row>
    <row r="2866" spans="1:15" ht="15.75" hidden="1" x14ac:dyDescent="0.25">
      <c r="A2866" s="1" t="str">
        <f t="shared" si="140"/>
        <v>450304503240.5MASTER CCFOODWISHBOX</v>
      </c>
      <c r="B2866" s="154">
        <v>45030</v>
      </c>
      <c r="C2866" s="154">
        <v>45032</v>
      </c>
      <c r="D2866" s="3" t="s">
        <v>3379</v>
      </c>
      <c r="E2866" s="3">
        <v>-40.5</v>
      </c>
      <c r="F2866" s="3">
        <v>1</v>
      </c>
      <c r="G2866" s="3">
        <f t="shared" si="142"/>
        <v>40.5</v>
      </c>
      <c r="H2866" s="3" t="s">
        <v>291</v>
      </c>
      <c r="I2866" s="1" t="s">
        <v>10</v>
      </c>
      <c r="J2866" s="1" t="s">
        <v>1199</v>
      </c>
      <c r="K2866" s="1" t="s">
        <v>298</v>
      </c>
      <c r="L2866" s="1" t="s">
        <v>267</v>
      </c>
      <c r="M2866" s="1"/>
      <c r="N2866" s="1">
        <f t="shared" si="141"/>
        <v>4</v>
      </c>
      <c r="O2866" s="87"/>
    </row>
    <row r="2867" spans="1:15" ht="15.75" hidden="1" x14ac:dyDescent="0.25">
      <c r="A2867" s="1" t="str">
        <f t="shared" si="140"/>
        <v>450314503265DINERSFOODCAFÉ/REST.</v>
      </c>
      <c r="B2867" s="154">
        <v>45031</v>
      </c>
      <c r="C2867" s="154">
        <v>45032</v>
      </c>
      <c r="D2867" s="3" t="s">
        <v>3341</v>
      </c>
      <c r="E2867" s="3">
        <v>-65</v>
      </c>
      <c r="F2867" s="3">
        <v>1</v>
      </c>
      <c r="G2867" s="3">
        <f t="shared" si="142"/>
        <v>65</v>
      </c>
      <c r="H2867" s="3" t="s">
        <v>266</v>
      </c>
      <c r="I2867" s="1" t="s">
        <v>10</v>
      </c>
      <c r="J2867" s="1" t="s">
        <v>11</v>
      </c>
      <c r="K2867" s="1" t="s">
        <v>298</v>
      </c>
      <c r="L2867" s="1" t="s">
        <v>267</v>
      </c>
      <c r="M2867" s="1"/>
      <c r="N2867" s="1">
        <f t="shared" si="141"/>
        <v>4</v>
      </c>
      <c r="O2867" s="87"/>
    </row>
    <row r="2868" spans="1:15" ht="15.75" hidden="1" x14ac:dyDescent="0.25">
      <c r="A2868" s="1" t="str">
        <f t="shared" si="140"/>
        <v>450314503450MASTER CCMEDICALHEALTH CENTER</v>
      </c>
      <c r="B2868" s="154">
        <v>45031</v>
      </c>
      <c r="C2868" s="154">
        <v>45034</v>
      </c>
      <c r="D2868" s="3" t="s">
        <v>3380</v>
      </c>
      <c r="E2868" s="3">
        <v>-50</v>
      </c>
      <c r="F2868" s="3">
        <v>1</v>
      </c>
      <c r="G2868" s="3">
        <f t="shared" si="142"/>
        <v>50</v>
      </c>
      <c r="H2868" s="3" t="s">
        <v>291</v>
      </c>
      <c r="I2868" s="1" t="s">
        <v>301</v>
      </c>
      <c r="J2868" s="1" t="s">
        <v>159</v>
      </c>
      <c r="K2868" s="1" t="s">
        <v>298</v>
      </c>
      <c r="L2868" s="1" t="s">
        <v>267</v>
      </c>
      <c r="M2868" s="1"/>
      <c r="N2868" s="1">
        <f t="shared" si="141"/>
        <v>4</v>
      </c>
      <c r="O2868" s="87"/>
    </row>
    <row r="2869" spans="1:15" ht="15.75" hidden="1" x14ac:dyDescent="0.25">
      <c r="A2869" s="1" t="str">
        <f t="shared" si="140"/>
        <v>450314503365MASTER CCFOODCAFÉ/REST.</v>
      </c>
      <c r="B2869" s="154">
        <v>45031</v>
      </c>
      <c r="C2869" s="154">
        <v>45033</v>
      </c>
      <c r="D2869" s="3" t="s">
        <v>3381</v>
      </c>
      <c r="E2869" s="3">
        <v>-65</v>
      </c>
      <c r="F2869" s="3">
        <v>1</v>
      </c>
      <c r="G2869" s="3">
        <f t="shared" si="142"/>
        <v>65</v>
      </c>
      <c r="H2869" s="3" t="s">
        <v>291</v>
      </c>
      <c r="I2869" s="1" t="s">
        <v>10</v>
      </c>
      <c r="J2869" s="1" t="s">
        <v>11</v>
      </c>
      <c r="K2869" s="1" t="s">
        <v>298</v>
      </c>
      <c r="L2869" s="1" t="s">
        <v>267</v>
      </c>
      <c r="M2869" s="1"/>
      <c r="N2869" s="1">
        <f t="shared" si="141"/>
        <v>4</v>
      </c>
      <c r="O2869" s="87"/>
    </row>
    <row r="2870" spans="1:15" ht="15.75" hidden="1" x14ac:dyDescent="0.25">
      <c r="A2870" s="1" t="str">
        <f t="shared" si="140"/>
        <v>45032450321020CURRENTRENTWASEEF</v>
      </c>
      <c r="B2870" s="154">
        <v>45032</v>
      </c>
      <c r="C2870" s="154">
        <v>45032</v>
      </c>
      <c r="D2870" s="3" t="s">
        <v>3311</v>
      </c>
      <c r="E2870" s="3">
        <v>-1020</v>
      </c>
      <c r="F2870" s="3">
        <v>1</v>
      </c>
      <c r="G2870" s="3">
        <f t="shared" si="142"/>
        <v>1020</v>
      </c>
      <c r="H2870" s="3" t="s">
        <v>293</v>
      </c>
      <c r="I2870" s="1" t="s">
        <v>83</v>
      </c>
      <c r="J2870" s="1" t="s">
        <v>3314</v>
      </c>
      <c r="K2870" s="1" t="s">
        <v>298</v>
      </c>
      <c r="L2870" s="1" t="s">
        <v>257</v>
      </c>
      <c r="M2870" s="1"/>
      <c r="N2870" s="1">
        <f t="shared" si="141"/>
        <v>4</v>
      </c>
      <c r="O2870" s="87"/>
    </row>
    <row r="2871" spans="1:15" ht="15.75" hidden="1" x14ac:dyDescent="0.25">
      <c r="A2871" s="1" t="str">
        <f t="shared" si="140"/>
        <v>4503245032141.65CURRENTGROCERYINDIAN SUPER</v>
      </c>
      <c r="B2871" s="154">
        <v>45032</v>
      </c>
      <c r="C2871" s="154">
        <v>45032</v>
      </c>
      <c r="D2871" s="3" t="s">
        <v>3312</v>
      </c>
      <c r="E2871" s="3">
        <v>-141.65</v>
      </c>
      <c r="F2871" s="3">
        <v>1</v>
      </c>
      <c r="G2871" s="3">
        <f t="shared" si="142"/>
        <v>141.65</v>
      </c>
      <c r="H2871" s="3" t="s">
        <v>293</v>
      </c>
      <c r="I2871" s="1" t="s">
        <v>43</v>
      </c>
      <c r="J2871" s="1" t="s">
        <v>2273</v>
      </c>
      <c r="K2871" s="1" t="s">
        <v>298</v>
      </c>
      <c r="L2871" s="1" t="s">
        <v>257</v>
      </c>
      <c r="M2871" s="1"/>
      <c r="N2871" s="1">
        <f t="shared" si="141"/>
        <v>4</v>
      </c>
      <c r="O2871" s="87"/>
    </row>
    <row r="2872" spans="1:15" ht="15.75" hidden="1" x14ac:dyDescent="0.25">
      <c r="A2872" s="1" t="str">
        <f t="shared" si="140"/>
        <v>450324503313DINERSFOODCAFÉ/REST.</v>
      </c>
      <c r="B2872" s="154">
        <v>45032</v>
      </c>
      <c r="C2872" s="154">
        <v>45033</v>
      </c>
      <c r="D2872" s="3" t="s">
        <v>3342</v>
      </c>
      <c r="E2872" s="3">
        <v>-13</v>
      </c>
      <c r="F2872" s="3">
        <v>1</v>
      </c>
      <c r="G2872" s="3">
        <f t="shared" si="142"/>
        <v>13</v>
      </c>
      <c r="H2872" s="3" t="s">
        <v>266</v>
      </c>
      <c r="I2872" s="1" t="s">
        <v>10</v>
      </c>
      <c r="J2872" s="1" t="s">
        <v>11</v>
      </c>
      <c r="K2872" s="1" t="s">
        <v>298</v>
      </c>
      <c r="L2872" s="1" t="s">
        <v>267</v>
      </c>
      <c r="M2872" s="1"/>
      <c r="N2872" s="1">
        <f t="shared" si="141"/>
        <v>4</v>
      </c>
      <c r="O2872" s="87"/>
    </row>
    <row r="2873" spans="1:15" ht="15.75" hidden="1" x14ac:dyDescent="0.25">
      <c r="A2873" s="1" t="str">
        <f t="shared" si="140"/>
        <v>450324503532MASTER CCFOODCAFÉ/REST.</v>
      </c>
      <c r="B2873" s="154">
        <v>45032</v>
      </c>
      <c r="C2873" s="154">
        <v>45035</v>
      </c>
      <c r="D2873" s="3" t="s">
        <v>3382</v>
      </c>
      <c r="E2873" s="3">
        <v>-32</v>
      </c>
      <c r="F2873" s="3">
        <v>1</v>
      </c>
      <c r="G2873" s="3">
        <f t="shared" si="142"/>
        <v>32</v>
      </c>
      <c r="H2873" s="3" t="s">
        <v>291</v>
      </c>
      <c r="I2873" s="1" t="s">
        <v>10</v>
      </c>
      <c r="J2873" s="1" t="s">
        <v>11</v>
      </c>
      <c r="K2873" s="1" t="s">
        <v>298</v>
      </c>
      <c r="L2873" s="1" t="s">
        <v>267</v>
      </c>
      <c r="M2873" s="1"/>
      <c r="N2873" s="1">
        <f t="shared" si="141"/>
        <v>4</v>
      </c>
      <c r="O2873" s="87"/>
    </row>
    <row r="2874" spans="1:15" ht="15.75" hidden="1" x14ac:dyDescent="0.25">
      <c r="A2874" s="1" t="str">
        <f t="shared" si="140"/>
        <v>450324503420MASTER CCFOODQATAR AIR</v>
      </c>
      <c r="B2874" s="154">
        <v>45032</v>
      </c>
      <c r="C2874" s="154">
        <v>45034</v>
      </c>
      <c r="D2874" s="3" t="s">
        <v>3383</v>
      </c>
      <c r="E2874" s="3">
        <v>-20</v>
      </c>
      <c r="F2874" s="3">
        <v>1</v>
      </c>
      <c r="G2874" s="3">
        <f t="shared" si="142"/>
        <v>20</v>
      </c>
      <c r="H2874" s="3" t="s">
        <v>291</v>
      </c>
      <c r="I2874" s="1" t="s">
        <v>10</v>
      </c>
      <c r="J2874" s="1" t="s">
        <v>19</v>
      </c>
      <c r="K2874" s="1" t="s">
        <v>298</v>
      </c>
      <c r="L2874" s="1" t="s">
        <v>267</v>
      </c>
      <c r="M2874" s="1"/>
      <c r="N2874" s="1">
        <f t="shared" si="141"/>
        <v>4</v>
      </c>
      <c r="O2874" s="87"/>
    </row>
    <row r="2875" spans="1:15" ht="15.75" hidden="1" x14ac:dyDescent="0.25">
      <c r="A2875" s="1" t="str">
        <f t="shared" si="140"/>
        <v>45032450345MASTER CCFOODQATAR AIR</v>
      </c>
      <c r="B2875" s="154">
        <v>45032</v>
      </c>
      <c r="C2875" s="154">
        <v>45034</v>
      </c>
      <c r="D2875" s="3" t="s">
        <v>3384</v>
      </c>
      <c r="E2875" s="3">
        <v>-5</v>
      </c>
      <c r="F2875" s="3">
        <v>1</v>
      </c>
      <c r="G2875" s="3">
        <f t="shared" si="142"/>
        <v>5</v>
      </c>
      <c r="H2875" s="3" t="s">
        <v>291</v>
      </c>
      <c r="I2875" s="1" t="s">
        <v>10</v>
      </c>
      <c r="J2875" s="1" t="s">
        <v>19</v>
      </c>
      <c r="K2875" s="1" t="s">
        <v>298</v>
      </c>
      <c r="L2875" s="1" t="s">
        <v>267</v>
      </c>
      <c r="M2875" s="1"/>
      <c r="N2875" s="1">
        <f t="shared" si="141"/>
        <v>4</v>
      </c>
      <c r="O2875" s="87"/>
    </row>
    <row r="2876" spans="1:15" ht="15.75" hidden="1" x14ac:dyDescent="0.25">
      <c r="A2876" s="1" t="str">
        <f t="shared" si="140"/>
        <v>45033450358.8DINERSTRANSPORTUBER</v>
      </c>
      <c r="B2876" s="154">
        <v>45033</v>
      </c>
      <c r="C2876" s="154">
        <v>45035</v>
      </c>
      <c r="D2876" s="3" t="s">
        <v>3343</v>
      </c>
      <c r="E2876" s="3">
        <v>-8.8000000000000007</v>
      </c>
      <c r="F2876" s="3">
        <v>1</v>
      </c>
      <c r="G2876" s="3">
        <f t="shared" si="142"/>
        <v>8.8000000000000007</v>
      </c>
      <c r="H2876" s="3" t="s">
        <v>266</v>
      </c>
      <c r="I2876" s="1" t="s">
        <v>296</v>
      </c>
      <c r="J2876" s="1" t="s">
        <v>299</v>
      </c>
      <c r="K2876" s="1" t="s">
        <v>298</v>
      </c>
      <c r="L2876" s="1" t="s">
        <v>267</v>
      </c>
      <c r="M2876" s="1"/>
      <c r="N2876" s="1">
        <f t="shared" si="141"/>
        <v>4</v>
      </c>
      <c r="O2876" s="87"/>
    </row>
    <row r="2877" spans="1:15" ht="15.75" hidden="1" x14ac:dyDescent="0.25">
      <c r="A2877" s="1" t="str">
        <f t="shared" si="140"/>
        <v>450334503449DINERSGROCERYLULU</v>
      </c>
      <c r="B2877" s="154">
        <v>45033</v>
      </c>
      <c r="C2877" s="154">
        <v>45034</v>
      </c>
      <c r="D2877" s="3" t="s">
        <v>3344</v>
      </c>
      <c r="E2877" s="3">
        <v>-49</v>
      </c>
      <c r="F2877" s="3">
        <v>1</v>
      </c>
      <c r="G2877" s="3">
        <f t="shared" si="142"/>
        <v>49</v>
      </c>
      <c r="H2877" s="3" t="s">
        <v>266</v>
      </c>
      <c r="I2877" s="1" t="s">
        <v>43</v>
      </c>
      <c r="J2877" s="1" t="s">
        <v>44</v>
      </c>
      <c r="K2877" s="1" t="s">
        <v>298</v>
      </c>
      <c r="L2877" s="1" t="s">
        <v>267</v>
      </c>
      <c r="M2877" s="1"/>
      <c r="N2877" s="1">
        <f t="shared" si="141"/>
        <v>4</v>
      </c>
      <c r="O2877" s="87"/>
    </row>
    <row r="2878" spans="1:15" ht="15.75" hidden="1" x14ac:dyDescent="0.25">
      <c r="A2878" s="1" t="str">
        <f t="shared" si="140"/>
        <v>4503345034153.33DINERSGROCERYLULU</v>
      </c>
      <c r="B2878" s="154">
        <v>45033</v>
      </c>
      <c r="C2878" s="154">
        <v>45034</v>
      </c>
      <c r="D2878" s="3" t="s">
        <v>3345</v>
      </c>
      <c r="E2878" s="3">
        <v>-153.33000000000001</v>
      </c>
      <c r="F2878" s="3">
        <v>1</v>
      </c>
      <c r="G2878" s="3">
        <f t="shared" si="142"/>
        <v>153.33000000000001</v>
      </c>
      <c r="H2878" s="3" t="s">
        <v>266</v>
      </c>
      <c r="I2878" s="1" t="s">
        <v>43</v>
      </c>
      <c r="J2878" s="1" t="s">
        <v>44</v>
      </c>
      <c r="K2878" s="1" t="s">
        <v>298</v>
      </c>
      <c r="L2878" s="1" t="s">
        <v>267</v>
      </c>
      <c r="M2878" s="1"/>
      <c r="N2878" s="1">
        <f t="shared" si="141"/>
        <v>4</v>
      </c>
      <c r="O2878" s="87"/>
    </row>
    <row r="2879" spans="1:15" ht="15.75" hidden="1" x14ac:dyDescent="0.25">
      <c r="A2879" s="1" t="str">
        <f t="shared" si="140"/>
        <v>450334503622MASTER CCFOODQATAR AIR</v>
      </c>
      <c r="B2879" s="154">
        <v>45033</v>
      </c>
      <c r="C2879" s="154">
        <v>45036</v>
      </c>
      <c r="D2879" s="3" t="s">
        <v>3385</v>
      </c>
      <c r="E2879" s="3">
        <v>-22</v>
      </c>
      <c r="F2879" s="3">
        <v>1</v>
      </c>
      <c r="G2879" s="3">
        <f t="shared" si="142"/>
        <v>22</v>
      </c>
      <c r="H2879" s="3" t="s">
        <v>291</v>
      </c>
      <c r="I2879" s="1" t="s">
        <v>10</v>
      </c>
      <c r="J2879" s="1" t="s">
        <v>19</v>
      </c>
      <c r="K2879" s="1" t="s">
        <v>298</v>
      </c>
      <c r="L2879" s="1" t="s">
        <v>267</v>
      </c>
      <c r="M2879" s="1"/>
      <c r="N2879" s="1">
        <f t="shared" si="141"/>
        <v>4</v>
      </c>
      <c r="O2879" s="87"/>
    </row>
    <row r="2880" spans="1:15" ht="15.75" hidden="1" x14ac:dyDescent="0.25">
      <c r="A2880" s="1" t="str">
        <f t="shared" si="140"/>
        <v>450334503635MASTER CCFOODWISHBOX</v>
      </c>
      <c r="B2880" s="154">
        <v>45033</v>
      </c>
      <c r="C2880" s="154">
        <v>45036</v>
      </c>
      <c r="D2880" s="3" t="s">
        <v>3386</v>
      </c>
      <c r="E2880" s="3">
        <v>-35</v>
      </c>
      <c r="F2880" s="3">
        <v>1</v>
      </c>
      <c r="G2880" s="3">
        <f t="shared" si="142"/>
        <v>35</v>
      </c>
      <c r="H2880" s="3" t="s">
        <v>291</v>
      </c>
      <c r="I2880" s="1" t="s">
        <v>10</v>
      </c>
      <c r="J2880" s="1" t="s">
        <v>1199</v>
      </c>
      <c r="K2880" s="1" t="s">
        <v>298</v>
      </c>
      <c r="L2880" s="1" t="s">
        <v>267</v>
      </c>
      <c r="M2880" s="1"/>
      <c r="N2880" s="1">
        <f t="shared" si="141"/>
        <v>4</v>
      </c>
      <c r="O2880" s="87"/>
    </row>
    <row r="2881" spans="1:15" ht="15.75" hidden="1" x14ac:dyDescent="0.25">
      <c r="A2881" s="1" t="str">
        <f t="shared" si="140"/>
        <v>45034450369.12DINERSTRANSPORTUBER</v>
      </c>
      <c r="B2881" s="154">
        <v>45034</v>
      </c>
      <c r="C2881" s="154">
        <v>45036</v>
      </c>
      <c r="D2881" s="3" t="s">
        <v>3346</v>
      </c>
      <c r="E2881" s="3">
        <v>-9.1199999999999992</v>
      </c>
      <c r="F2881" s="3">
        <v>1</v>
      </c>
      <c r="G2881" s="3">
        <f t="shared" si="142"/>
        <v>9.1199999999999992</v>
      </c>
      <c r="H2881" s="3" t="s">
        <v>266</v>
      </c>
      <c r="I2881" s="1" t="s">
        <v>296</v>
      </c>
      <c r="J2881" s="1" t="s">
        <v>299</v>
      </c>
      <c r="K2881" s="1" t="s">
        <v>298</v>
      </c>
      <c r="L2881" s="1" t="s">
        <v>267</v>
      </c>
      <c r="M2881" s="1"/>
      <c r="N2881" s="1">
        <f t="shared" si="141"/>
        <v>4</v>
      </c>
      <c r="O2881" s="87"/>
    </row>
    <row r="2882" spans="1:15" ht="15.75" hidden="1" x14ac:dyDescent="0.25">
      <c r="A2882" s="1" t="str">
        <f t="shared" ref="A2882:A2945" si="143">B2882&amp;C2882&amp;G2882&amp;H2882&amp;I2882&amp;J2882</f>
        <v>450344503620MASTER CCFOODQATAR AIR</v>
      </c>
      <c r="B2882" s="154">
        <v>45034</v>
      </c>
      <c r="C2882" s="154">
        <v>45036</v>
      </c>
      <c r="D2882" s="3" t="s">
        <v>3387</v>
      </c>
      <c r="E2882" s="3">
        <v>-20</v>
      </c>
      <c r="F2882" s="3">
        <v>1</v>
      </c>
      <c r="G2882" s="3">
        <f t="shared" si="142"/>
        <v>20</v>
      </c>
      <c r="H2882" s="3" t="s">
        <v>291</v>
      </c>
      <c r="I2882" s="1" t="s">
        <v>10</v>
      </c>
      <c r="J2882" s="1" t="s">
        <v>19</v>
      </c>
      <c r="K2882" s="1" t="s">
        <v>298</v>
      </c>
      <c r="L2882" s="1" t="s">
        <v>267</v>
      </c>
      <c r="M2882" s="1"/>
      <c r="N2882" s="1">
        <f t="shared" ref="N2882:N2945" si="144">MONTH(C2882)</f>
        <v>4</v>
      </c>
      <c r="O2882" s="87"/>
    </row>
    <row r="2883" spans="1:15" ht="15.75" hidden="1" x14ac:dyDescent="0.25">
      <c r="A2883" s="1" t="str">
        <f t="shared" si="143"/>
        <v>4503445036144.38MASTER CCSHOPPINGDAFFODILES</v>
      </c>
      <c r="B2883" s="154">
        <v>45034</v>
      </c>
      <c r="C2883" s="154">
        <v>45036</v>
      </c>
      <c r="D2883" s="3" t="s">
        <v>3388</v>
      </c>
      <c r="E2883" s="3">
        <v>-144.38</v>
      </c>
      <c r="F2883" s="3">
        <v>1</v>
      </c>
      <c r="G2883" s="3">
        <f t="shared" si="142"/>
        <v>144.38</v>
      </c>
      <c r="H2883" s="3" t="s">
        <v>291</v>
      </c>
      <c r="I2883" s="1" t="s">
        <v>194</v>
      </c>
      <c r="J2883" s="1" t="s">
        <v>2271</v>
      </c>
      <c r="K2883" s="1" t="s">
        <v>298</v>
      </c>
      <c r="L2883" s="1" t="s">
        <v>267</v>
      </c>
      <c r="M2883" s="1"/>
      <c r="N2883" s="1">
        <f t="shared" si="144"/>
        <v>4</v>
      </c>
      <c r="O2883" s="87"/>
    </row>
    <row r="2884" spans="1:15" ht="15.75" hidden="1" x14ac:dyDescent="0.25">
      <c r="A2884" s="1" t="str">
        <f t="shared" si="143"/>
        <v>450354503521974CURRENTSALARYQATAR AIR</v>
      </c>
      <c r="B2884" s="154">
        <v>45035</v>
      </c>
      <c r="C2884" s="154">
        <v>45035</v>
      </c>
      <c r="D2884" s="3" t="s">
        <v>3313</v>
      </c>
      <c r="E2884" s="3">
        <v>21974</v>
      </c>
      <c r="F2884" s="3">
        <v>1</v>
      </c>
      <c r="G2884" s="3">
        <f t="shared" si="142"/>
        <v>21974</v>
      </c>
      <c r="H2884" s="3" t="s">
        <v>293</v>
      </c>
      <c r="I2884" s="1" t="s">
        <v>18</v>
      </c>
      <c r="J2884" s="1" t="s">
        <v>19</v>
      </c>
      <c r="K2884" s="1" t="s">
        <v>300</v>
      </c>
      <c r="L2884" s="1" t="s">
        <v>257</v>
      </c>
      <c r="M2884" s="1"/>
      <c r="N2884" s="1">
        <f t="shared" si="144"/>
        <v>4</v>
      </c>
      <c r="O2884" s="87"/>
    </row>
    <row r="2885" spans="1:15" ht="15.75" hidden="1" x14ac:dyDescent="0.25">
      <c r="A2885" s="1" t="str">
        <f t="shared" si="143"/>
        <v>450354503855MASTER CCFOODCAFÉ/REST.</v>
      </c>
      <c r="B2885" s="154">
        <v>45035</v>
      </c>
      <c r="C2885" s="154">
        <v>45038</v>
      </c>
      <c r="D2885" s="3" t="s">
        <v>3389</v>
      </c>
      <c r="E2885" s="3">
        <v>-55</v>
      </c>
      <c r="F2885" s="3">
        <v>1</v>
      </c>
      <c r="G2885" s="3">
        <f t="shared" si="142"/>
        <v>55</v>
      </c>
      <c r="H2885" s="3" t="s">
        <v>291</v>
      </c>
      <c r="I2885" s="1" t="s">
        <v>10</v>
      </c>
      <c r="J2885" s="1" t="s">
        <v>11</v>
      </c>
      <c r="K2885" s="1" t="s">
        <v>298</v>
      </c>
      <c r="L2885" s="1" t="s">
        <v>267</v>
      </c>
      <c r="M2885" s="1"/>
      <c r="N2885" s="1">
        <f t="shared" si="144"/>
        <v>4</v>
      </c>
      <c r="O2885" s="87"/>
    </row>
    <row r="2886" spans="1:15" ht="15.75" hidden="1" x14ac:dyDescent="0.25">
      <c r="A2886" s="1" t="str">
        <f t="shared" si="143"/>
        <v>450354503838.44MASTER CCGROCERYINDIAN SUPER</v>
      </c>
      <c r="B2886" s="154">
        <v>45035</v>
      </c>
      <c r="C2886" s="154">
        <v>45038</v>
      </c>
      <c r="D2886" s="3" t="s">
        <v>3390</v>
      </c>
      <c r="E2886" s="3">
        <v>-38.44</v>
      </c>
      <c r="F2886" s="3">
        <v>1</v>
      </c>
      <c r="G2886" s="3">
        <f t="shared" si="142"/>
        <v>38.44</v>
      </c>
      <c r="H2886" s="3" t="s">
        <v>291</v>
      </c>
      <c r="I2886" s="1" t="s">
        <v>43</v>
      </c>
      <c r="J2886" s="1" t="s">
        <v>2273</v>
      </c>
      <c r="K2886" s="1" t="s">
        <v>298</v>
      </c>
      <c r="L2886" s="1" t="s">
        <v>267</v>
      </c>
      <c r="M2886" s="1"/>
      <c r="N2886" s="1">
        <f t="shared" si="144"/>
        <v>4</v>
      </c>
      <c r="O2886" s="87"/>
    </row>
    <row r="2887" spans="1:15" ht="15.75" hidden="1" x14ac:dyDescent="0.25">
      <c r="A2887" s="1" t="str">
        <f t="shared" si="143"/>
        <v>45035450387MASTER CCFOODQATAR AIR</v>
      </c>
      <c r="B2887" s="154">
        <v>45035</v>
      </c>
      <c r="C2887" s="154">
        <v>45038</v>
      </c>
      <c r="D2887" s="3" t="s">
        <v>3391</v>
      </c>
      <c r="E2887" s="3">
        <v>-7</v>
      </c>
      <c r="F2887" s="3">
        <v>1</v>
      </c>
      <c r="G2887" s="3">
        <f t="shared" si="142"/>
        <v>7</v>
      </c>
      <c r="H2887" s="3" t="s">
        <v>291</v>
      </c>
      <c r="I2887" s="1" t="s">
        <v>10</v>
      </c>
      <c r="J2887" s="1" t="s">
        <v>19</v>
      </c>
      <c r="K2887" s="1" t="s">
        <v>298</v>
      </c>
      <c r="L2887" s="1" t="s">
        <v>267</v>
      </c>
      <c r="M2887" s="1"/>
      <c r="N2887" s="1">
        <f t="shared" si="144"/>
        <v>4</v>
      </c>
      <c r="O2887" s="87"/>
    </row>
    <row r="2888" spans="1:15" ht="15.75" hidden="1" x14ac:dyDescent="0.25">
      <c r="A2888" s="1" t="str">
        <f t="shared" si="143"/>
        <v>45035450372.5MASTER CCFOODWISHBOX</v>
      </c>
      <c r="B2888" s="154">
        <v>45035</v>
      </c>
      <c r="C2888" s="154">
        <v>45037</v>
      </c>
      <c r="D2888" s="3" t="s">
        <v>3392</v>
      </c>
      <c r="E2888" s="3">
        <v>-2.5</v>
      </c>
      <c r="F2888" s="3">
        <v>1</v>
      </c>
      <c r="G2888" s="3">
        <f t="shared" si="142"/>
        <v>2.5</v>
      </c>
      <c r="H2888" s="3" t="s">
        <v>291</v>
      </c>
      <c r="I2888" s="1" t="s">
        <v>10</v>
      </c>
      <c r="J2888" s="1" t="s">
        <v>1199</v>
      </c>
      <c r="K2888" s="1" t="s">
        <v>298</v>
      </c>
      <c r="L2888" s="1" t="s">
        <v>267</v>
      </c>
      <c r="M2888" s="1"/>
      <c r="N2888" s="1">
        <f t="shared" si="144"/>
        <v>4</v>
      </c>
      <c r="O2888" s="87"/>
    </row>
    <row r="2889" spans="1:15" ht="15.75" hidden="1" x14ac:dyDescent="0.25">
      <c r="A2889" s="1" t="str">
        <f t="shared" si="143"/>
        <v>450364504110MASTER CCFOODQATAR AIR</v>
      </c>
      <c r="B2889" s="154">
        <v>45036</v>
      </c>
      <c r="C2889" s="154">
        <v>45041</v>
      </c>
      <c r="D2889" s="3" t="s">
        <v>3393</v>
      </c>
      <c r="E2889" s="3">
        <v>-10</v>
      </c>
      <c r="F2889" s="3">
        <v>1</v>
      </c>
      <c r="G2889" s="3">
        <f t="shared" si="142"/>
        <v>10</v>
      </c>
      <c r="H2889" s="3" t="s">
        <v>291</v>
      </c>
      <c r="I2889" s="1" t="s">
        <v>10</v>
      </c>
      <c r="J2889" s="1" t="s">
        <v>19</v>
      </c>
      <c r="K2889" s="1" t="s">
        <v>298</v>
      </c>
      <c r="L2889" s="1" t="s">
        <v>267</v>
      </c>
      <c r="M2889" s="1"/>
      <c r="N2889" s="1">
        <f t="shared" si="144"/>
        <v>4</v>
      </c>
      <c r="O2889" s="87"/>
    </row>
    <row r="2890" spans="1:15" ht="15.75" hidden="1" x14ac:dyDescent="0.25">
      <c r="A2890" s="1" t="str">
        <f t="shared" si="143"/>
        <v>450364503932MASTER CCFOODWISHBOX</v>
      </c>
      <c r="B2890" s="154">
        <v>45036</v>
      </c>
      <c r="C2890" s="154">
        <v>45039</v>
      </c>
      <c r="D2890" s="3" t="s">
        <v>3394</v>
      </c>
      <c r="E2890" s="3">
        <v>-32</v>
      </c>
      <c r="F2890" s="3">
        <v>1</v>
      </c>
      <c r="G2890" s="3">
        <f t="shared" si="142"/>
        <v>32</v>
      </c>
      <c r="H2890" s="3" t="s">
        <v>291</v>
      </c>
      <c r="I2890" s="1" t="s">
        <v>10</v>
      </c>
      <c r="J2890" s="1" t="s">
        <v>1199</v>
      </c>
      <c r="K2890" s="1" t="s">
        <v>298</v>
      </c>
      <c r="L2890" s="1" t="s">
        <v>267</v>
      </c>
      <c r="M2890" s="1"/>
      <c r="N2890" s="1">
        <f t="shared" si="144"/>
        <v>4</v>
      </c>
      <c r="O2890" s="87"/>
    </row>
    <row r="2891" spans="1:15" ht="15.75" hidden="1" x14ac:dyDescent="0.25">
      <c r="A2891" s="1" t="str">
        <f t="shared" si="143"/>
        <v>450364503835MASTER CCFOODWISHBOX</v>
      </c>
      <c r="B2891" s="154">
        <v>45036</v>
      </c>
      <c r="C2891" s="154">
        <v>45038</v>
      </c>
      <c r="D2891" s="3" t="s">
        <v>3395</v>
      </c>
      <c r="E2891" s="3">
        <v>-35</v>
      </c>
      <c r="F2891" s="3">
        <v>1</v>
      </c>
      <c r="G2891" s="3">
        <f t="shared" ref="G2891:G2954" si="145">ABS(E2891)*F2891</f>
        <v>35</v>
      </c>
      <c r="H2891" s="3" t="s">
        <v>291</v>
      </c>
      <c r="I2891" s="1" t="s">
        <v>10</v>
      </c>
      <c r="J2891" s="1" t="s">
        <v>1199</v>
      </c>
      <c r="K2891" s="1" t="s">
        <v>298</v>
      </c>
      <c r="L2891" s="1" t="s">
        <v>267</v>
      </c>
      <c r="M2891" s="1"/>
      <c r="N2891" s="1">
        <f t="shared" si="144"/>
        <v>4</v>
      </c>
      <c r="O2891" s="87"/>
    </row>
    <row r="2892" spans="1:15" ht="15.75" hidden="1" x14ac:dyDescent="0.25">
      <c r="A2892" s="1" t="str">
        <f t="shared" si="143"/>
        <v>4503745041104MASTER CCTRANSPORTWOQOD</v>
      </c>
      <c r="B2892" s="154">
        <v>45037</v>
      </c>
      <c r="C2892" s="154">
        <v>45041</v>
      </c>
      <c r="D2892" s="3" t="s">
        <v>3441</v>
      </c>
      <c r="E2892" s="3">
        <v>-104</v>
      </c>
      <c r="F2892" s="3">
        <v>1</v>
      </c>
      <c r="G2892" s="3">
        <f t="shared" si="145"/>
        <v>104</v>
      </c>
      <c r="H2892" s="3" t="s">
        <v>291</v>
      </c>
      <c r="I2892" s="1" t="s">
        <v>296</v>
      </c>
      <c r="J2892" s="1" t="s">
        <v>1942</v>
      </c>
      <c r="K2892" s="1" t="s">
        <v>298</v>
      </c>
      <c r="L2892" s="1" t="s">
        <v>267</v>
      </c>
      <c r="M2892" s="1"/>
      <c r="N2892" s="1">
        <f t="shared" si="144"/>
        <v>4</v>
      </c>
      <c r="O2892" s="87"/>
    </row>
    <row r="2893" spans="1:15" ht="15.75" hidden="1" x14ac:dyDescent="0.25">
      <c r="A2893" s="1" t="str">
        <f t="shared" si="143"/>
        <v>450374504048MASTER CCFOODCAFÉ/REST.</v>
      </c>
      <c r="B2893" s="154">
        <v>45037</v>
      </c>
      <c r="C2893" s="154">
        <v>45040</v>
      </c>
      <c r="D2893" s="3" t="s">
        <v>3442</v>
      </c>
      <c r="E2893" s="3">
        <v>-48</v>
      </c>
      <c r="F2893" s="3">
        <v>1</v>
      </c>
      <c r="G2893" s="3">
        <f t="shared" si="145"/>
        <v>48</v>
      </c>
      <c r="H2893" s="3" t="s">
        <v>291</v>
      </c>
      <c r="I2893" s="1" t="s">
        <v>10</v>
      </c>
      <c r="J2893" s="1" t="s">
        <v>11</v>
      </c>
      <c r="K2893" s="1" t="s">
        <v>298</v>
      </c>
      <c r="L2893" s="1" t="s">
        <v>267</v>
      </c>
      <c r="M2893" s="1"/>
      <c r="N2893" s="1">
        <f t="shared" si="144"/>
        <v>4</v>
      </c>
      <c r="O2893" s="87"/>
    </row>
    <row r="2894" spans="1:15" ht="15.75" hidden="1" x14ac:dyDescent="0.25">
      <c r="A2894" s="1" t="str">
        <f t="shared" si="143"/>
        <v>450374503932MASTER CCFOODWISHBOX</v>
      </c>
      <c r="B2894" s="154">
        <v>45037</v>
      </c>
      <c r="C2894" s="154">
        <v>45039</v>
      </c>
      <c r="D2894" s="3" t="s">
        <v>3443</v>
      </c>
      <c r="E2894" s="3">
        <v>-32</v>
      </c>
      <c r="F2894" s="3">
        <v>1</v>
      </c>
      <c r="G2894" s="3">
        <f t="shared" si="145"/>
        <v>32</v>
      </c>
      <c r="H2894" s="3" t="s">
        <v>291</v>
      </c>
      <c r="I2894" s="1" t="s">
        <v>10</v>
      </c>
      <c r="J2894" s="1" t="s">
        <v>1199</v>
      </c>
      <c r="K2894" s="1" t="s">
        <v>298</v>
      </c>
      <c r="L2894" s="1" t="s">
        <v>267</v>
      </c>
      <c r="M2894" s="1"/>
      <c r="N2894" s="1">
        <f t="shared" si="144"/>
        <v>4</v>
      </c>
      <c r="O2894" s="87"/>
    </row>
    <row r="2895" spans="1:15" ht="15.75" hidden="1" x14ac:dyDescent="0.25">
      <c r="A2895" s="1" t="str">
        <f t="shared" si="143"/>
        <v>4503845039365DINERSRENTOOREDOO</v>
      </c>
      <c r="B2895" s="154">
        <v>45038</v>
      </c>
      <c r="C2895" s="154">
        <v>45039</v>
      </c>
      <c r="D2895" s="3" t="s">
        <v>3427</v>
      </c>
      <c r="E2895" s="3">
        <v>-365</v>
      </c>
      <c r="F2895" s="3">
        <v>1</v>
      </c>
      <c r="G2895" s="3">
        <f t="shared" si="145"/>
        <v>365</v>
      </c>
      <c r="H2895" s="3" t="s">
        <v>266</v>
      </c>
      <c r="I2895" s="1" t="s">
        <v>83</v>
      </c>
      <c r="J2895" s="1" t="s">
        <v>59</v>
      </c>
      <c r="K2895" s="1" t="s">
        <v>298</v>
      </c>
      <c r="L2895" s="1" t="s">
        <v>267</v>
      </c>
      <c r="M2895" s="1"/>
      <c r="N2895" s="1">
        <f t="shared" si="144"/>
        <v>4</v>
      </c>
      <c r="O2895" s="87"/>
    </row>
    <row r="2896" spans="1:15" ht="15.75" hidden="1" x14ac:dyDescent="0.25">
      <c r="A2896" s="1" t="str">
        <f t="shared" si="143"/>
        <v>4503845039300.74DINERSRENTOOREDOO</v>
      </c>
      <c r="B2896" s="154">
        <v>45038</v>
      </c>
      <c r="C2896" s="154">
        <v>45039</v>
      </c>
      <c r="D2896" s="3" t="s">
        <v>3428</v>
      </c>
      <c r="E2896" s="3">
        <v>-300.74</v>
      </c>
      <c r="F2896" s="3">
        <v>1</v>
      </c>
      <c r="G2896" s="3">
        <f t="shared" si="145"/>
        <v>300.74</v>
      </c>
      <c r="H2896" s="3" t="s">
        <v>266</v>
      </c>
      <c r="I2896" s="1" t="s">
        <v>83</v>
      </c>
      <c r="J2896" s="1" t="s">
        <v>59</v>
      </c>
      <c r="K2896" s="1" t="s">
        <v>298</v>
      </c>
      <c r="L2896" s="1" t="s">
        <v>267</v>
      </c>
      <c r="M2896" s="1"/>
      <c r="N2896" s="1">
        <f t="shared" si="144"/>
        <v>4</v>
      </c>
      <c r="O2896" s="87"/>
    </row>
    <row r="2897" spans="1:15" ht="15.75" hidden="1" x14ac:dyDescent="0.25">
      <c r="A2897" s="1" t="str">
        <f t="shared" si="143"/>
        <v>450394504232MASTER CCFOODWISHBOX</v>
      </c>
      <c r="B2897" s="154">
        <v>45039</v>
      </c>
      <c r="C2897" s="154">
        <v>45042</v>
      </c>
      <c r="D2897" s="3" t="s">
        <v>3444</v>
      </c>
      <c r="E2897" s="3">
        <v>-32</v>
      </c>
      <c r="F2897" s="3">
        <v>1</v>
      </c>
      <c r="G2897" s="3">
        <f t="shared" si="145"/>
        <v>32</v>
      </c>
      <c r="H2897" s="3" t="s">
        <v>291</v>
      </c>
      <c r="I2897" s="1" t="s">
        <v>10</v>
      </c>
      <c r="J2897" s="1" t="s">
        <v>1199</v>
      </c>
      <c r="K2897" s="1" t="s">
        <v>298</v>
      </c>
      <c r="L2897" s="1" t="s">
        <v>267</v>
      </c>
      <c r="M2897" s="1"/>
      <c r="N2897" s="1">
        <f t="shared" si="144"/>
        <v>4</v>
      </c>
      <c r="O2897" s="87"/>
    </row>
    <row r="2898" spans="1:15" ht="15.75" hidden="1" x14ac:dyDescent="0.25">
      <c r="A2898" s="1" t="str">
        <f t="shared" si="143"/>
        <v>450394504144MASTER CCFOODWISHBOX</v>
      </c>
      <c r="B2898" s="154">
        <v>45039</v>
      </c>
      <c r="C2898" s="154">
        <v>45041</v>
      </c>
      <c r="D2898" s="3" t="s">
        <v>3445</v>
      </c>
      <c r="E2898" s="3">
        <v>-44</v>
      </c>
      <c r="F2898" s="3">
        <v>1</v>
      </c>
      <c r="G2898" s="3">
        <f t="shared" si="145"/>
        <v>44</v>
      </c>
      <c r="H2898" s="3" t="s">
        <v>291</v>
      </c>
      <c r="I2898" s="1" t="s">
        <v>10</v>
      </c>
      <c r="J2898" s="1" t="s">
        <v>1199</v>
      </c>
      <c r="K2898" s="1" t="s">
        <v>298</v>
      </c>
      <c r="L2898" s="1" t="s">
        <v>267</v>
      </c>
      <c r="M2898" s="1"/>
      <c r="N2898" s="1">
        <f t="shared" si="144"/>
        <v>4</v>
      </c>
      <c r="O2898" s="87"/>
    </row>
    <row r="2899" spans="1:15" ht="15.75" hidden="1" x14ac:dyDescent="0.25">
      <c r="A2899" s="1" t="str">
        <f t="shared" si="143"/>
        <v>4504045042113MASTER CCFOODWISHBOX</v>
      </c>
      <c r="B2899" s="154">
        <v>45040</v>
      </c>
      <c r="C2899" s="154">
        <v>45042</v>
      </c>
      <c r="D2899" s="3" t="s">
        <v>3446</v>
      </c>
      <c r="E2899" s="3">
        <v>-113</v>
      </c>
      <c r="F2899" s="3">
        <v>1</v>
      </c>
      <c r="G2899" s="3">
        <f t="shared" si="145"/>
        <v>113</v>
      </c>
      <c r="H2899" s="3" t="s">
        <v>291</v>
      </c>
      <c r="I2899" s="1" t="s">
        <v>10</v>
      </c>
      <c r="J2899" s="1" t="s">
        <v>1199</v>
      </c>
      <c r="K2899" s="1" t="s">
        <v>298</v>
      </c>
      <c r="L2899" s="1" t="s">
        <v>267</v>
      </c>
      <c r="M2899" s="1"/>
      <c r="N2899" s="1">
        <f t="shared" si="144"/>
        <v>4</v>
      </c>
      <c r="O2899" s="87"/>
    </row>
    <row r="2900" spans="1:15" ht="15.75" hidden="1" x14ac:dyDescent="0.25">
      <c r="A2900" s="1" t="str">
        <f t="shared" si="143"/>
        <v>450404504258.5MASTER CCGROCERYREDROSE</v>
      </c>
      <c r="B2900" s="154">
        <v>45040</v>
      </c>
      <c r="C2900" s="154">
        <v>45042</v>
      </c>
      <c r="D2900" s="3" t="s">
        <v>3447</v>
      </c>
      <c r="E2900" s="3">
        <v>-58.5</v>
      </c>
      <c r="F2900" s="3">
        <v>1</v>
      </c>
      <c r="G2900" s="3">
        <f t="shared" si="145"/>
        <v>58.5</v>
      </c>
      <c r="H2900" s="3" t="s">
        <v>291</v>
      </c>
      <c r="I2900" s="1" t="s">
        <v>43</v>
      </c>
      <c r="J2900" s="1" t="s">
        <v>4082</v>
      </c>
      <c r="K2900" s="1" t="s">
        <v>298</v>
      </c>
      <c r="L2900" s="1" t="s">
        <v>267</v>
      </c>
      <c r="M2900" s="1"/>
      <c r="N2900" s="1">
        <f t="shared" si="144"/>
        <v>4</v>
      </c>
      <c r="O2900" s="87"/>
    </row>
    <row r="2901" spans="1:15" ht="15.75" hidden="1" x14ac:dyDescent="0.25">
      <c r="A2901" s="1" t="str">
        <f t="shared" si="143"/>
        <v>4504145041702CURRENTRENTOOREDOO</v>
      </c>
      <c r="B2901" s="154">
        <v>45041</v>
      </c>
      <c r="C2901" s="154">
        <v>45041</v>
      </c>
      <c r="D2901" s="3" t="s">
        <v>3398</v>
      </c>
      <c r="E2901" s="3">
        <v>-702</v>
      </c>
      <c r="F2901" s="3">
        <v>1</v>
      </c>
      <c r="G2901" s="3">
        <f t="shared" si="145"/>
        <v>702</v>
      </c>
      <c r="H2901" s="3" t="s">
        <v>293</v>
      </c>
      <c r="I2901" s="1" t="s">
        <v>83</v>
      </c>
      <c r="J2901" s="1" t="s">
        <v>59</v>
      </c>
      <c r="K2901" s="1" t="s">
        <v>298</v>
      </c>
      <c r="L2901" s="1" t="s">
        <v>257</v>
      </c>
      <c r="M2901" s="1"/>
      <c r="N2901" s="1">
        <f t="shared" si="144"/>
        <v>4</v>
      </c>
      <c r="O2901" s="87"/>
    </row>
    <row r="2902" spans="1:15" ht="15.75" hidden="1" x14ac:dyDescent="0.25">
      <c r="A2902" s="1" t="str">
        <f t="shared" si="143"/>
        <v>45041450413.25CURRENTGROCERYLULU</v>
      </c>
      <c r="B2902" s="154">
        <v>45041</v>
      </c>
      <c r="C2902" s="154">
        <v>45041</v>
      </c>
      <c r="D2902" s="3" t="s">
        <v>3399</v>
      </c>
      <c r="E2902" s="3">
        <v>-3.25</v>
      </c>
      <c r="F2902" s="3">
        <v>1</v>
      </c>
      <c r="G2902" s="3">
        <f t="shared" si="145"/>
        <v>3.25</v>
      </c>
      <c r="H2902" s="3" t="s">
        <v>293</v>
      </c>
      <c r="I2902" s="1" t="s">
        <v>43</v>
      </c>
      <c r="J2902" s="1" t="s">
        <v>44</v>
      </c>
      <c r="K2902" s="1" t="s">
        <v>298</v>
      </c>
      <c r="L2902" s="1" t="s">
        <v>257</v>
      </c>
      <c r="M2902" s="1"/>
      <c r="N2902" s="1">
        <f t="shared" si="144"/>
        <v>4</v>
      </c>
      <c r="O2902" s="87"/>
    </row>
    <row r="2903" spans="1:15" ht="15.75" hidden="1" x14ac:dyDescent="0.25">
      <c r="A2903" s="1" t="str">
        <f t="shared" si="143"/>
        <v>450414504142CURRENTFOODCAFÉ/REST.</v>
      </c>
      <c r="B2903" s="154">
        <v>45041</v>
      </c>
      <c r="C2903" s="154">
        <v>45041</v>
      </c>
      <c r="D2903" s="3" t="s">
        <v>3400</v>
      </c>
      <c r="E2903" s="3">
        <v>-42</v>
      </c>
      <c r="F2903" s="3">
        <v>1</v>
      </c>
      <c r="G2903" s="3">
        <f t="shared" si="145"/>
        <v>42</v>
      </c>
      <c r="H2903" s="3" t="s">
        <v>293</v>
      </c>
      <c r="I2903" s="1" t="s">
        <v>10</v>
      </c>
      <c r="J2903" s="1" t="s">
        <v>11</v>
      </c>
      <c r="K2903" s="1" t="s">
        <v>298</v>
      </c>
      <c r="L2903" s="1" t="s">
        <v>257</v>
      </c>
      <c r="M2903" s="1"/>
      <c r="N2903" s="1">
        <f t="shared" si="144"/>
        <v>4</v>
      </c>
      <c r="O2903" s="87"/>
    </row>
    <row r="2904" spans="1:15" ht="15.75" hidden="1" x14ac:dyDescent="0.25">
      <c r="A2904" s="1" t="str">
        <f t="shared" si="143"/>
        <v>4504145042137.34DINERSGROCERYLULU</v>
      </c>
      <c r="B2904" s="154">
        <v>45041</v>
      </c>
      <c r="C2904" s="154">
        <v>45042</v>
      </c>
      <c r="D2904" s="3" t="s">
        <v>3429</v>
      </c>
      <c r="E2904" s="3">
        <v>-137.34</v>
      </c>
      <c r="F2904" s="3">
        <v>1</v>
      </c>
      <c r="G2904" s="3">
        <f t="shared" si="145"/>
        <v>137.34</v>
      </c>
      <c r="H2904" s="3" t="s">
        <v>266</v>
      </c>
      <c r="I2904" s="1" t="s">
        <v>43</v>
      </c>
      <c r="J2904" s="1" t="s">
        <v>44</v>
      </c>
      <c r="K2904" s="1" t="s">
        <v>298</v>
      </c>
      <c r="L2904" s="1" t="s">
        <v>267</v>
      </c>
      <c r="M2904" s="1"/>
      <c r="N2904" s="1">
        <f t="shared" si="144"/>
        <v>4</v>
      </c>
      <c r="O2904" s="87"/>
    </row>
    <row r="2905" spans="1:15" ht="15.75" hidden="1" x14ac:dyDescent="0.25">
      <c r="A2905" s="1" t="str">
        <f t="shared" si="143"/>
        <v>450414504329MASTER CCFOODWISHBOX</v>
      </c>
      <c r="B2905" s="154">
        <v>45041</v>
      </c>
      <c r="C2905" s="154">
        <v>45043</v>
      </c>
      <c r="D2905" s="3" t="s">
        <v>3448</v>
      </c>
      <c r="E2905" s="3">
        <v>-29</v>
      </c>
      <c r="F2905" s="3">
        <v>1</v>
      </c>
      <c r="G2905" s="3">
        <f t="shared" si="145"/>
        <v>29</v>
      </c>
      <c r="H2905" s="3" t="s">
        <v>291</v>
      </c>
      <c r="I2905" s="1" t="s">
        <v>10</v>
      </c>
      <c r="J2905" s="1" t="s">
        <v>1199</v>
      </c>
      <c r="K2905" s="1" t="s">
        <v>298</v>
      </c>
      <c r="L2905" s="1" t="s">
        <v>267</v>
      </c>
      <c r="M2905" s="1"/>
      <c r="N2905" s="1">
        <f t="shared" si="144"/>
        <v>4</v>
      </c>
      <c r="O2905" s="87"/>
    </row>
    <row r="2906" spans="1:15" ht="15.75" hidden="1" x14ac:dyDescent="0.25">
      <c r="A2906" s="1" t="str">
        <f t="shared" si="143"/>
        <v>450424504210946CURRENTCC BILL PAYMENTBANK</v>
      </c>
      <c r="B2906" s="154">
        <v>45042</v>
      </c>
      <c r="C2906" s="154">
        <v>45042</v>
      </c>
      <c r="D2906" s="3" t="s">
        <v>3401</v>
      </c>
      <c r="E2906" s="3">
        <v>-10946</v>
      </c>
      <c r="F2906" s="3">
        <v>1</v>
      </c>
      <c r="G2906" s="3">
        <f t="shared" si="145"/>
        <v>10946</v>
      </c>
      <c r="H2906" s="3" t="s">
        <v>293</v>
      </c>
      <c r="I2906" s="1" t="s">
        <v>81</v>
      </c>
      <c r="J2906" s="1" t="s">
        <v>8</v>
      </c>
      <c r="K2906" s="1" t="s">
        <v>298</v>
      </c>
      <c r="L2906" s="1" t="s">
        <v>257</v>
      </c>
      <c r="M2906" s="1"/>
      <c r="N2906" s="1">
        <f t="shared" si="144"/>
        <v>4</v>
      </c>
      <c r="O2906" s="87"/>
    </row>
    <row r="2907" spans="1:15" ht="15.75" hidden="1" x14ac:dyDescent="0.25">
      <c r="A2907" s="1" t="str">
        <f t="shared" si="143"/>
        <v>45042450421500CURRENTWITHDRAWSELF</v>
      </c>
      <c r="B2907" s="154">
        <v>45042</v>
      </c>
      <c r="C2907" s="154">
        <v>45042</v>
      </c>
      <c r="D2907" s="3" t="s">
        <v>3402</v>
      </c>
      <c r="E2907" s="3">
        <v>-1500</v>
      </c>
      <c r="F2907" s="3">
        <v>1</v>
      </c>
      <c r="G2907" s="3">
        <f t="shared" si="145"/>
        <v>1500</v>
      </c>
      <c r="H2907" s="3" t="s">
        <v>293</v>
      </c>
      <c r="I2907" s="1" t="s">
        <v>13</v>
      </c>
      <c r="J2907" s="1" t="s">
        <v>14</v>
      </c>
      <c r="K2907" s="1" t="s">
        <v>298</v>
      </c>
      <c r="L2907" s="1" t="s">
        <v>257</v>
      </c>
      <c r="M2907" s="1"/>
      <c r="N2907" s="1">
        <f t="shared" si="144"/>
        <v>4</v>
      </c>
      <c r="O2907" s="87"/>
    </row>
    <row r="2908" spans="1:15" ht="15.75" hidden="1" x14ac:dyDescent="0.25">
      <c r="A2908" s="1" t="str">
        <f t="shared" si="143"/>
        <v>450424504370.25DINERSGROCERYINDIAN SUPER</v>
      </c>
      <c r="B2908" s="154">
        <v>45042</v>
      </c>
      <c r="C2908" s="154">
        <v>45043</v>
      </c>
      <c r="D2908" s="3" t="s">
        <v>3430</v>
      </c>
      <c r="E2908" s="3">
        <v>-70.25</v>
      </c>
      <c r="F2908" s="3">
        <v>1</v>
      </c>
      <c r="G2908" s="3">
        <f t="shared" si="145"/>
        <v>70.25</v>
      </c>
      <c r="H2908" s="3" t="s">
        <v>266</v>
      </c>
      <c r="I2908" s="1" t="s">
        <v>43</v>
      </c>
      <c r="J2908" s="1" t="s">
        <v>2273</v>
      </c>
      <c r="K2908" s="1" t="s">
        <v>298</v>
      </c>
      <c r="L2908" s="1" t="s">
        <v>267</v>
      </c>
      <c r="M2908" s="1"/>
      <c r="N2908" s="1">
        <f t="shared" si="144"/>
        <v>4</v>
      </c>
      <c r="O2908" s="87"/>
    </row>
    <row r="2909" spans="1:15" ht="15.75" hidden="1" x14ac:dyDescent="0.25">
      <c r="A2909" s="1" t="str">
        <f t="shared" si="143"/>
        <v>450424504385DINERSFOODCAFÉ/REST.</v>
      </c>
      <c r="B2909" s="154">
        <v>45042</v>
      </c>
      <c r="C2909" s="154">
        <v>45043</v>
      </c>
      <c r="D2909" s="3" t="s">
        <v>3431</v>
      </c>
      <c r="E2909" s="3">
        <v>-85</v>
      </c>
      <c r="F2909" s="3">
        <v>1</v>
      </c>
      <c r="G2909" s="3">
        <f t="shared" si="145"/>
        <v>85</v>
      </c>
      <c r="H2909" s="3" t="s">
        <v>266</v>
      </c>
      <c r="I2909" s="1" t="s">
        <v>10</v>
      </c>
      <c r="J2909" s="1" t="s">
        <v>11</v>
      </c>
      <c r="K2909" s="1" t="s">
        <v>298</v>
      </c>
      <c r="L2909" s="1" t="s">
        <v>267</v>
      </c>
      <c r="M2909" s="1"/>
      <c r="N2909" s="1">
        <f t="shared" si="144"/>
        <v>4</v>
      </c>
      <c r="O2909" s="87"/>
    </row>
    <row r="2910" spans="1:15" ht="15.75" hidden="1" x14ac:dyDescent="0.25">
      <c r="A2910" s="1" t="str">
        <f t="shared" si="143"/>
        <v>450424504210946DINERSCC BILL PAYMENTBANK</v>
      </c>
      <c r="B2910" s="154">
        <v>45042</v>
      </c>
      <c r="C2910" s="154">
        <v>45042</v>
      </c>
      <c r="D2910" s="3" t="s">
        <v>80</v>
      </c>
      <c r="E2910" s="3">
        <v>10946</v>
      </c>
      <c r="F2910" s="3">
        <v>1</v>
      </c>
      <c r="G2910" s="3">
        <f t="shared" si="145"/>
        <v>10946</v>
      </c>
      <c r="H2910" s="3" t="s">
        <v>266</v>
      </c>
      <c r="I2910" s="1" t="s">
        <v>81</v>
      </c>
      <c r="J2910" s="1" t="s">
        <v>8</v>
      </c>
      <c r="K2910" s="1" t="s">
        <v>300</v>
      </c>
      <c r="L2910" s="1" t="s">
        <v>267</v>
      </c>
      <c r="M2910" s="1"/>
      <c r="N2910" s="1">
        <f t="shared" si="144"/>
        <v>4</v>
      </c>
      <c r="O2910" s="87"/>
    </row>
    <row r="2911" spans="1:15" ht="15.75" hidden="1" x14ac:dyDescent="0.25">
      <c r="A2911" s="1" t="str">
        <f t="shared" si="143"/>
        <v>450434504420DINERSSERVICEKALYAN</v>
      </c>
      <c r="B2911" s="154">
        <v>45043</v>
      </c>
      <c r="C2911" s="154">
        <v>45044</v>
      </c>
      <c r="D2911" s="3" t="s">
        <v>3432</v>
      </c>
      <c r="E2911" s="3">
        <v>-20</v>
      </c>
      <c r="F2911" s="3">
        <v>1</v>
      </c>
      <c r="G2911" s="3">
        <f t="shared" si="145"/>
        <v>20</v>
      </c>
      <c r="H2911" s="3" t="s">
        <v>266</v>
      </c>
      <c r="I2911" s="1" t="s">
        <v>7</v>
      </c>
      <c r="J2911" s="1" t="s">
        <v>173</v>
      </c>
      <c r="K2911" s="1" t="s">
        <v>298</v>
      </c>
      <c r="L2911" s="1" t="s">
        <v>267</v>
      </c>
      <c r="M2911" s="1"/>
      <c r="N2911" s="1">
        <f t="shared" si="144"/>
        <v>4</v>
      </c>
      <c r="O2911" s="87"/>
    </row>
    <row r="2912" spans="1:15" ht="15.75" hidden="1" x14ac:dyDescent="0.25">
      <c r="A2912" s="1" t="str">
        <f t="shared" si="143"/>
        <v>450434504829MASTER CCFOODQATAR AIR</v>
      </c>
      <c r="B2912" s="154">
        <v>45043</v>
      </c>
      <c r="C2912" s="154">
        <v>45048</v>
      </c>
      <c r="D2912" s="3" t="s">
        <v>3449</v>
      </c>
      <c r="E2912" s="3">
        <v>-29</v>
      </c>
      <c r="F2912" s="3">
        <v>1</v>
      </c>
      <c r="G2912" s="3">
        <f t="shared" si="145"/>
        <v>29</v>
      </c>
      <c r="H2912" s="3" t="s">
        <v>291</v>
      </c>
      <c r="I2912" s="1" t="s">
        <v>10</v>
      </c>
      <c r="J2912" s="1" t="s">
        <v>19</v>
      </c>
      <c r="K2912" s="1" t="s">
        <v>298</v>
      </c>
      <c r="L2912" s="1" t="s">
        <v>267</v>
      </c>
      <c r="M2912" s="1"/>
      <c r="N2912" s="1">
        <f t="shared" si="144"/>
        <v>5</v>
      </c>
      <c r="O2912" s="87"/>
    </row>
    <row r="2913" spans="1:15" ht="15.75" hidden="1" x14ac:dyDescent="0.25">
      <c r="A2913" s="1" t="str">
        <f t="shared" si="143"/>
        <v>450444504654MASTER CCFOODWISHBOX</v>
      </c>
      <c r="B2913" s="154">
        <v>45044</v>
      </c>
      <c r="C2913" s="154">
        <v>45046</v>
      </c>
      <c r="D2913" s="3" t="s">
        <v>3450</v>
      </c>
      <c r="E2913" s="3">
        <v>-54</v>
      </c>
      <c r="F2913" s="3">
        <v>1</v>
      </c>
      <c r="G2913" s="3">
        <f t="shared" si="145"/>
        <v>54</v>
      </c>
      <c r="H2913" s="3" t="s">
        <v>291</v>
      </c>
      <c r="I2913" s="1" t="s">
        <v>10</v>
      </c>
      <c r="J2913" s="1" t="s">
        <v>1199</v>
      </c>
      <c r="K2913" s="1" t="s">
        <v>298</v>
      </c>
      <c r="L2913" s="1" t="s">
        <v>267</v>
      </c>
      <c r="M2913" s="1"/>
      <c r="N2913" s="1">
        <f t="shared" si="144"/>
        <v>4</v>
      </c>
      <c r="O2913" s="87"/>
    </row>
    <row r="2914" spans="1:15" ht="15.75" hidden="1" x14ac:dyDescent="0.25">
      <c r="A2914" s="1" t="str">
        <f t="shared" si="143"/>
        <v>450454504841MASTER CCFOODCAFÉ/REST.</v>
      </c>
      <c r="B2914" s="154">
        <v>45045</v>
      </c>
      <c r="C2914" s="154">
        <v>45048</v>
      </c>
      <c r="D2914" s="3" t="s">
        <v>3451</v>
      </c>
      <c r="E2914" s="3">
        <v>-41</v>
      </c>
      <c r="F2914" s="3">
        <v>1</v>
      </c>
      <c r="G2914" s="3">
        <f t="shared" si="145"/>
        <v>41</v>
      </c>
      <c r="H2914" s="3" t="s">
        <v>291</v>
      </c>
      <c r="I2914" s="1" t="s">
        <v>10</v>
      </c>
      <c r="J2914" s="1" t="s">
        <v>11</v>
      </c>
      <c r="K2914" s="1" t="s">
        <v>298</v>
      </c>
      <c r="L2914" s="1" t="s">
        <v>267</v>
      </c>
      <c r="M2914" s="1"/>
      <c r="N2914" s="1">
        <f t="shared" si="144"/>
        <v>5</v>
      </c>
      <c r="O2914" s="87"/>
    </row>
    <row r="2915" spans="1:15" ht="15.75" hidden="1" x14ac:dyDescent="0.25">
      <c r="A2915" s="1" t="str">
        <f t="shared" si="143"/>
        <v>4504545048119MASTER CCFOODCAFÉ/REST.</v>
      </c>
      <c r="B2915" s="154">
        <v>45045</v>
      </c>
      <c r="C2915" s="154">
        <v>45048</v>
      </c>
      <c r="D2915" s="3" t="s">
        <v>3452</v>
      </c>
      <c r="E2915" s="3">
        <v>-119</v>
      </c>
      <c r="F2915" s="3">
        <v>1</v>
      </c>
      <c r="G2915" s="3">
        <f t="shared" si="145"/>
        <v>119</v>
      </c>
      <c r="H2915" s="3" t="s">
        <v>291</v>
      </c>
      <c r="I2915" s="1" t="s">
        <v>10</v>
      </c>
      <c r="J2915" s="1" t="s">
        <v>11</v>
      </c>
      <c r="K2915" s="1" t="s">
        <v>298</v>
      </c>
      <c r="L2915" s="1" t="s">
        <v>267</v>
      </c>
      <c r="M2915" s="1"/>
      <c r="N2915" s="1">
        <f t="shared" si="144"/>
        <v>5</v>
      </c>
      <c r="O2915" s="87"/>
    </row>
    <row r="2916" spans="1:15" ht="15.75" hidden="1" x14ac:dyDescent="0.25">
      <c r="A2916" s="1" t="str">
        <f t="shared" si="143"/>
        <v>450454504820MASTER CCENTERTAINMENTFUNCITY</v>
      </c>
      <c r="B2916" s="154">
        <v>45045</v>
      </c>
      <c r="C2916" s="154">
        <v>45048</v>
      </c>
      <c r="D2916" s="3" t="s">
        <v>3453</v>
      </c>
      <c r="E2916" s="3">
        <v>-20</v>
      </c>
      <c r="F2916" s="3">
        <v>1</v>
      </c>
      <c r="G2916" s="3">
        <f t="shared" si="145"/>
        <v>20</v>
      </c>
      <c r="H2916" s="3" t="s">
        <v>291</v>
      </c>
      <c r="I2916" s="1" t="s">
        <v>2476</v>
      </c>
      <c r="J2916" s="1" t="s">
        <v>3295</v>
      </c>
      <c r="K2916" s="1" t="s">
        <v>298</v>
      </c>
      <c r="L2916" s="1" t="s">
        <v>267</v>
      </c>
      <c r="M2916" s="1"/>
      <c r="N2916" s="1">
        <f t="shared" si="144"/>
        <v>5</v>
      </c>
      <c r="O2916" s="87"/>
    </row>
    <row r="2917" spans="1:15" ht="15.75" hidden="1" x14ac:dyDescent="0.25">
      <c r="A2917" s="1" t="str">
        <f t="shared" si="143"/>
        <v>450454504849MASTER CCENTERTAINMENTFUNCITY</v>
      </c>
      <c r="B2917" s="154">
        <v>45045</v>
      </c>
      <c r="C2917" s="154">
        <v>45048</v>
      </c>
      <c r="D2917" s="3" t="s">
        <v>3454</v>
      </c>
      <c r="E2917" s="3">
        <v>-49</v>
      </c>
      <c r="F2917" s="3">
        <v>1</v>
      </c>
      <c r="G2917" s="3">
        <f t="shared" si="145"/>
        <v>49</v>
      </c>
      <c r="H2917" s="3" t="s">
        <v>291</v>
      </c>
      <c r="I2917" s="1" t="s">
        <v>2476</v>
      </c>
      <c r="J2917" s="1" t="s">
        <v>3295</v>
      </c>
      <c r="K2917" s="1" t="s">
        <v>298</v>
      </c>
      <c r="L2917" s="1" t="s">
        <v>267</v>
      </c>
      <c r="M2917" s="1"/>
      <c r="N2917" s="1">
        <f t="shared" si="144"/>
        <v>5</v>
      </c>
      <c r="O2917" s="87"/>
    </row>
    <row r="2918" spans="1:15" ht="15.75" hidden="1" x14ac:dyDescent="0.25">
      <c r="A2918" s="1" t="str">
        <f t="shared" si="143"/>
        <v>450454504810MASTER CCENTERTAINMENTFUNCITY</v>
      </c>
      <c r="B2918" s="154">
        <v>45045</v>
      </c>
      <c r="C2918" s="154">
        <v>45048</v>
      </c>
      <c r="D2918" s="3" t="s">
        <v>3455</v>
      </c>
      <c r="E2918" s="3">
        <v>-10</v>
      </c>
      <c r="F2918" s="3">
        <v>1</v>
      </c>
      <c r="G2918" s="3">
        <f t="shared" si="145"/>
        <v>10</v>
      </c>
      <c r="H2918" s="3" t="s">
        <v>291</v>
      </c>
      <c r="I2918" s="1" t="s">
        <v>2476</v>
      </c>
      <c r="J2918" s="1" t="s">
        <v>3295</v>
      </c>
      <c r="K2918" s="1" t="s">
        <v>298</v>
      </c>
      <c r="L2918" s="1" t="s">
        <v>267</v>
      </c>
      <c r="M2918" s="1"/>
      <c r="N2918" s="1">
        <f t="shared" si="144"/>
        <v>5</v>
      </c>
      <c r="O2918" s="87"/>
    </row>
    <row r="2919" spans="1:15" ht="15.75" hidden="1" x14ac:dyDescent="0.25">
      <c r="A2919" s="1" t="str">
        <f t="shared" si="143"/>
        <v>450454504812MASTER CCENTERTAINMENTFUNCITY</v>
      </c>
      <c r="B2919" s="154">
        <v>45045</v>
      </c>
      <c r="C2919" s="154">
        <v>45048</v>
      </c>
      <c r="D2919" s="3" t="s">
        <v>3456</v>
      </c>
      <c r="E2919" s="3">
        <v>-12</v>
      </c>
      <c r="F2919" s="3">
        <v>1</v>
      </c>
      <c r="G2919" s="3">
        <f t="shared" si="145"/>
        <v>12</v>
      </c>
      <c r="H2919" s="3" t="s">
        <v>291</v>
      </c>
      <c r="I2919" s="1" t="s">
        <v>2476</v>
      </c>
      <c r="J2919" s="1" t="s">
        <v>3295</v>
      </c>
      <c r="K2919" s="1" t="s">
        <v>298</v>
      </c>
      <c r="L2919" s="1" t="s">
        <v>267</v>
      </c>
      <c r="M2919" s="1"/>
      <c r="N2919" s="1">
        <f t="shared" si="144"/>
        <v>5</v>
      </c>
      <c r="O2919" s="87"/>
    </row>
    <row r="2920" spans="1:15" ht="15.75" hidden="1" x14ac:dyDescent="0.25">
      <c r="A2920" s="1" t="str">
        <f t="shared" si="143"/>
        <v>45046450469CURRENTFOODQATAR AIR</v>
      </c>
      <c r="B2920" s="154">
        <v>45046</v>
      </c>
      <c r="C2920" s="154">
        <v>45046</v>
      </c>
      <c r="D2920" s="3" t="s">
        <v>3403</v>
      </c>
      <c r="E2920" s="3">
        <v>-9</v>
      </c>
      <c r="F2920" s="3">
        <v>1</v>
      </c>
      <c r="G2920" s="3">
        <f t="shared" si="145"/>
        <v>9</v>
      </c>
      <c r="H2920" s="3" t="s">
        <v>293</v>
      </c>
      <c r="I2920" s="1" t="s">
        <v>10</v>
      </c>
      <c r="J2920" s="1" t="s">
        <v>19</v>
      </c>
      <c r="K2920" s="1" t="s">
        <v>298</v>
      </c>
      <c r="L2920" s="1" t="s">
        <v>257</v>
      </c>
      <c r="M2920" s="1"/>
      <c r="N2920" s="1">
        <f t="shared" si="144"/>
        <v>4</v>
      </c>
      <c r="O2920" s="87"/>
    </row>
    <row r="2921" spans="1:15" ht="15.75" hidden="1" x14ac:dyDescent="0.25">
      <c r="A2921" s="1" t="str">
        <f t="shared" si="143"/>
        <v>450464504630CURRENTFOODQATAR AIR</v>
      </c>
      <c r="B2921" s="154">
        <v>45046</v>
      </c>
      <c r="C2921" s="154">
        <v>45046</v>
      </c>
      <c r="D2921" s="3" t="s">
        <v>3404</v>
      </c>
      <c r="E2921" s="3">
        <v>-30</v>
      </c>
      <c r="F2921" s="3">
        <v>1</v>
      </c>
      <c r="G2921" s="3">
        <f t="shared" si="145"/>
        <v>30</v>
      </c>
      <c r="H2921" s="3" t="s">
        <v>293</v>
      </c>
      <c r="I2921" s="1" t="s">
        <v>10</v>
      </c>
      <c r="J2921" s="1" t="s">
        <v>19</v>
      </c>
      <c r="K2921" s="1" t="s">
        <v>298</v>
      </c>
      <c r="L2921" s="1" t="s">
        <v>257</v>
      </c>
      <c r="M2921" s="1"/>
      <c r="N2921" s="1">
        <f t="shared" si="144"/>
        <v>4</v>
      </c>
      <c r="O2921" s="87"/>
    </row>
    <row r="2922" spans="1:15" ht="15.75" hidden="1" x14ac:dyDescent="0.25">
      <c r="A2922" s="1" t="str">
        <f t="shared" si="143"/>
        <v>4504645046104CURRENTFOODCAFÉ/REST.</v>
      </c>
      <c r="B2922" s="154">
        <v>45046</v>
      </c>
      <c r="C2922" s="154">
        <v>45046</v>
      </c>
      <c r="D2922" s="3" t="s">
        <v>3405</v>
      </c>
      <c r="E2922" s="3">
        <v>-104</v>
      </c>
      <c r="F2922" s="3">
        <v>1</v>
      </c>
      <c r="G2922" s="3">
        <f t="shared" si="145"/>
        <v>104</v>
      </c>
      <c r="H2922" s="3" t="s">
        <v>293</v>
      </c>
      <c r="I2922" s="1" t="s">
        <v>10</v>
      </c>
      <c r="J2922" s="1" t="s">
        <v>11</v>
      </c>
      <c r="K2922" s="1" t="s">
        <v>298</v>
      </c>
      <c r="L2922" s="1" t="s">
        <v>257</v>
      </c>
      <c r="M2922" s="1"/>
      <c r="N2922" s="1">
        <f t="shared" si="144"/>
        <v>4</v>
      </c>
      <c r="O2922" s="87"/>
    </row>
    <row r="2923" spans="1:15" ht="15.75" hidden="1" x14ac:dyDescent="0.25">
      <c r="A2923" s="1" t="str">
        <f t="shared" si="143"/>
        <v>450464504666CURRENTFOODCAFÉ/REST.</v>
      </c>
      <c r="B2923" s="154">
        <v>45046</v>
      </c>
      <c r="C2923" s="154">
        <v>45046</v>
      </c>
      <c r="D2923" s="3" t="s">
        <v>3406</v>
      </c>
      <c r="E2923" s="3">
        <v>-66</v>
      </c>
      <c r="F2923" s="3">
        <v>1</v>
      </c>
      <c r="G2923" s="3">
        <f t="shared" si="145"/>
        <v>66</v>
      </c>
      <c r="H2923" s="3" t="s">
        <v>293</v>
      </c>
      <c r="I2923" s="1" t="s">
        <v>10</v>
      </c>
      <c r="J2923" s="1" t="s">
        <v>11</v>
      </c>
      <c r="K2923" s="1" t="s">
        <v>298</v>
      </c>
      <c r="L2923" s="1" t="s">
        <v>257</v>
      </c>
      <c r="M2923" s="1"/>
      <c r="N2923" s="1">
        <f t="shared" si="144"/>
        <v>4</v>
      </c>
      <c r="O2923" s="87"/>
    </row>
    <row r="2924" spans="1:15" ht="15.75" hidden="1" x14ac:dyDescent="0.25">
      <c r="A2924" s="1" t="str">
        <f t="shared" si="143"/>
        <v>45046450464.55CURRENTSERVICEBANK</v>
      </c>
      <c r="B2924" s="154">
        <v>45046</v>
      </c>
      <c r="C2924" s="154">
        <v>45046</v>
      </c>
      <c r="D2924" s="3" t="s">
        <v>3407</v>
      </c>
      <c r="E2924" s="3">
        <v>-4.55</v>
      </c>
      <c r="F2924" s="3">
        <v>1</v>
      </c>
      <c r="G2924" s="3">
        <f t="shared" si="145"/>
        <v>4.55</v>
      </c>
      <c r="H2924" s="3" t="s">
        <v>293</v>
      </c>
      <c r="I2924" s="1" t="s">
        <v>7</v>
      </c>
      <c r="J2924" s="1" t="s">
        <v>8</v>
      </c>
      <c r="K2924" s="1" t="s">
        <v>298</v>
      </c>
      <c r="L2924" s="1" t="s">
        <v>257</v>
      </c>
      <c r="M2924" s="1"/>
      <c r="N2924" s="1">
        <f t="shared" si="144"/>
        <v>4</v>
      </c>
      <c r="O2924" s="87"/>
    </row>
    <row r="2925" spans="1:15" ht="15.75" hidden="1" x14ac:dyDescent="0.25">
      <c r="A2925" s="1" t="str">
        <f t="shared" si="143"/>
        <v>450464504665CURRENTSERVICEBANK</v>
      </c>
      <c r="B2925" s="154">
        <v>45046</v>
      </c>
      <c r="C2925" s="154">
        <v>45046</v>
      </c>
      <c r="D2925" s="3" t="s">
        <v>3408</v>
      </c>
      <c r="E2925" s="3">
        <v>-65</v>
      </c>
      <c r="F2925" s="3">
        <v>1</v>
      </c>
      <c r="G2925" s="3">
        <f t="shared" si="145"/>
        <v>65</v>
      </c>
      <c r="H2925" s="3" t="s">
        <v>293</v>
      </c>
      <c r="I2925" s="1" t="s">
        <v>7</v>
      </c>
      <c r="J2925" s="1" t="s">
        <v>8</v>
      </c>
      <c r="K2925" s="1" t="s">
        <v>298</v>
      </c>
      <c r="L2925" s="1" t="s">
        <v>257</v>
      </c>
      <c r="M2925" s="1"/>
      <c r="N2925" s="1">
        <f t="shared" si="144"/>
        <v>4</v>
      </c>
      <c r="O2925" s="87"/>
    </row>
    <row r="2926" spans="1:15" ht="15.75" hidden="1" x14ac:dyDescent="0.25">
      <c r="A2926" s="1" t="str">
        <f t="shared" si="143"/>
        <v>450464504615CURRENTSERVICEBANK</v>
      </c>
      <c r="B2926" s="154">
        <v>45046</v>
      </c>
      <c r="C2926" s="154">
        <v>45046</v>
      </c>
      <c r="D2926" s="3" t="s">
        <v>3409</v>
      </c>
      <c r="E2926" s="3">
        <v>-15</v>
      </c>
      <c r="F2926" s="3">
        <v>1</v>
      </c>
      <c r="G2926" s="3">
        <f t="shared" si="145"/>
        <v>15</v>
      </c>
      <c r="H2926" s="3" t="s">
        <v>293</v>
      </c>
      <c r="I2926" s="1" t="s">
        <v>7</v>
      </c>
      <c r="J2926" s="1" t="s">
        <v>8</v>
      </c>
      <c r="K2926" s="1" t="s">
        <v>298</v>
      </c>
      <c r="L2926" s="1" t="s">
        <v>257</v>
      </c>
      <c r="M2926" s="1"/>
      <c r="N2926" s="1">
        <f t="shared" si="144"/>
        <v>4</v>
      </c>
      <c r="O2926" s="87"/>
    </row>
    <row r="2927" spans="1:15" ht="15.75" hidden="1" x14ac:dyDescent="0.25">
      <c r="A2927" s="1" t="str">
        <f t="shared" si="143"/>
        <v>4504645046303.5CURRENTVISACHILE</v>
      </c>
      <c r="B2927" s="154">
        <v>45046</v>
      </c>
      <c r="C2927" s="154">
        <v>45046</v>
      </c>
      <c r="D2927" s="3" t="s">
        <v>3410</v>
      </c>
      <c r="E2927" s="3">
        <v>-303.5</v>
      </c>
      <c r="F2927" s="3">
        <v>1</v>
      </c>
      <c r="G2927" s="3">
        <f t="shared" si="145"/>
        <v>303.5</v>
      </c>
      <c r="H2927" s="3" t="s">
        <v>293</v>
      </c>
      <c r="I2927" s="1" t="s">
        <v>29</v>
      </c>
      <c r="J2927" s="1" t="s">
        <v>3497</v>
      </c>
      <c r="K2927" s="1" t="s">
        <v>298</v>
      </c>
      <c r="L2927" s="1" t="s">
        <v>257</v>
      </c>
      <c r="M2927" s="1"/>
      <c r="N2927" s="1">
        <f t="shared" si="144"/>
        <v>4</v>
      </c>
      <c r="O2927" s="87"/>
    </row>
    <row r="2928" spans="1:15" ht="15.75" hidden="1" x14ac:dyDescent="0.25">
      <c r="A2928" s="1" t="str">
        <f t="shared" si="143"/>
        <v>45046450460.48DINERSSERVICEBANK</v>
      </c>
      <c r="B2928" s="154">
        <v>45046</v>
      </c>
      <c r="C2928" s="154">
        <v>45046</v>
      </c>
      <c r="D2928" s="3" t="s">
        <v>1102</v>
      </c>
      <c r="E2928" s="3">
        <v>-0.48</v>
      </c>
      <c r="F2928" s="3">
        <v>1</v>
      </c>
      <c r="G2928" s="3">
        <f t="shared" si="145"/>
        <v>0.48</v>
      </c>
      <c r="H2928" s="3" t="s">
        <v>266</v>
      </c>
      <c r="I2928" s="1" t="s">
        <v>7</v>
      </c>
      <c r="J2928" s="1" t="s">
        <v>8</v>
      </c>
      <c r="K2928" s="1" t="s">
        <v>298</v>
      </c>
      <c r="L2928" s="1" t="s">
        <v>267</v>
      </c>
      <c r="M2928" s="1"/>
      <c r="N2928" s="1">
        <f t="shared" si="144"/>
        <v>4</v>
      </c>
      <c r="O2928" s="87"/>
    </row>
    <row r="2929" spans="1:15" ht="15.75" hidden="1" x14ac:dyDescent="0.25">
      <c r="A2929" s="1" t="str">
        <f t="shared" si="143"/>
        <v>4504745047500CURRENTSAVINGARTI</v>
      </c>
      <c r="B2929" s="154">
        <v>45047</v>
      </c>
      <c r="C2929" s="154">
        <v>45047</v>
      </c>
      <c r="D2929" s="3" t="s">
        <v>2909</v>
      </c>
      <c r="E2929" s="3">
        <v>-500</v>
      </c>
      <c r="F2929" s="3">
        <v>1</v>
      </c>
      <c r="G2929" s="3">
        <f t="shared" si="145"/>
        <v>500</v>
      </c>
      <c r="H2929" s="3" t="s">
        <v>293</v>
      </c>
      <c r="I2929" s="1" t="s">
        <v>302</v>
      </c>
      <c r="J2929" s="1" t="s">
        <v>453</v>
      </c>
      <c r="K2929" s="1" t="s">
        <v>298</v>
      </c>
      <c r="L2929" s="1" t="s">
        <v>257</v>
      </c>
      <c r="M2929" s="1"/>
      <c r="N2929" s="1">
        <f t="shared" si="144"/>
        <v>5</v>
      </c>
      <c r="O2929" s="87"/>
    </row>
    <row r="2930" spans="1:15" ht="15.75" hidden="1" x14ac:dyDescent="0.25">
      <c r="A2930" s="1" t="str">
        <f t="shared" si="143"/>
        <v>450474504939MASTER CCFOODQATAR AIR</v>
      </c>
      <c r="B2930" s="154">
        <v>45047</v>
      </c>
      <c r="C2930" s="154">
        <v>45049</v>
      </c>
      <c r="D2930" s="3" t="s">
        <v>3457</v>
      </c>
      <c r="E2930" s="3">
        <v>-39</v>
      </c>
      <c r="F2930" s="3">
        <v>1</v>
      </c>
      <c r="G2930" s="3">
        <f t="shared" si="145"/>
        <v>39</v>
      </c>
      <c r="H2930" s="3" t="s">
        <v>291</v>
      </c>
      <c r="I2930" s="1" t="s">
        <v>10</v>
      </c>
      <c r="J2930" s="1" t="s">
        <v>19</v>
      </c>
      <c r="K2930" s="1" t="s">
        <v>298</v>
      </c>
      <c r="L2930" s="1" t="s">
        <v>267</v>
      </c>
      <c r="M2930" s="1"/>
      <c r="N2930" s="1">
        <f t="shared" si="144"/>
        <v>5</v>
      </c>
      <c r="O2930" s="87"/>
    </row>
    <row r="2931" spans="1:15" ht="15.75" hidden="1" x14ac:dyDescent="0.25">
      <c r="A2931" s="1" t="str">
        <f t="shared" si="143"/>
        <v>450474504939MASTER CCFOODWISHBOX</v>
      </c>
      <c r="B2931" s="154">
        <v>45047</v>
      </c>
      <c r="C2931" s="154">
        <v>45049</v>
      </c>
      <c r="D2931" s="3" t="s">
        <v>3458</v>
      </c>
      <c r="E2931" s="3">
        <v>-39</v>
      </c>
      <c r="F2931" s="3">
        <v>1</v>
      </c>
      <c r="G2931" s="3">
        <f t="shared" si="145"/>
        <v>39</v>
      </c>
      <c r="H2931" s="3" t="s">
        <v>291</v>
      </c>
      <c r="I2931" s="1" t="s">
        <v>10</v>
      </c>
      <c r="J2931" s="1" t="s">
        <v>1199</v>
      </c>
      <c r="K2931" s="1" t="s">
        <v>298</v>
      </c>
      <c r="L2931" s="1" t="s">
        <v>267</v>
      </c>
      <c r="M2931" s="1"/>
      <c r="N2931" s="1">
        <f t="shared" si="144"/>
        <v>5</v>
      </c>
      <c r="O2931" s="87"/>
    </row>
    <row r="2932" spans="1:15" ht="15.75" hidden="1" x14ac:dyDescent="0.25">
      <c r="A2932" s="1" t="str">
        <f t="shared" si="143"/>
        <v>450474504910MASTER CCFOODQATAR AIR</v>
      </c>
      <c r="B2932" s="154">
        <v>45047</v>
      </c>
      <c r="C2932" s="154">
        <v>45049</v>
      </c>
      <c r="D2932" s="3" t="s">
        <v>3459</v>
      </c>
      <c r="E2932" s="3">
        <v>-10</v>
      </c>
      <c r="F2932" s="3">
        <v>1</v>
      </c>
      <c r="G2932" s="3">
        <f t="shared" si="145"/>
        <v>10</v>
      </c>
      <c r="H2932" s="3" t="s">
        <v>291</v>
      </c>
      <c r="I2932" s="1" t="s">
        <v>10</v>
      </c>
      <c r="J2932" s="1" t="s">
        <v>19</v>
      </c>
      <c r="K2932" s="1" t="s">
        <v>298</v>
      </c>
      <c r="L2932" s="1" t="s">
        <v>267</v>
      </c>
      <c r="M2932" s="1"/>
      <c r="N2932" s="1">
        <f t="shared" si="144"/>
        <v>5</v>
      </c>
      <c r="O2932" s="87"/>
    </row>
    <row r="2933" spans="1:15" ht="15.75" hidden="1" x14ac:dyDescent="0.25">
      <c r="A2933" s="1" t="str">
        <f t="shared" si="143"/>
        <v>450484504852CURRENTFOODCAFÉ/REST.</v>
      </c>
      <c r="B2933" s="154">
        <v>45048</v>
      </c>
      <c r="C2933" s="154">
        <v>45048</v>
      </c>
      <c r="D2933" s="3" t="s">
        <v>3411</v>
      </c>
      <c r="E2933" s="3">
        <v>-52</v>
      </c>
      <c r="F2933" s="3">
        <v>1</v>
      </c>
      <c r="G2933" s="3">
        <f t="shared" si="145"/>
        <v>52</v>
      </c>
      <c r="H2933" s="3" t="s">
        <v>293</v>
      </c>
      <c r="I2933" s="1" t="s">
        <v>10</v>
      </c>
      <c r="J2933" s="1" t="s">
        <v>11</v>
      </c>
      <c r="K2933" s="1" t="s">
        <v>298</v>
      </c>
      <c r="L2933" s="1" t="s">
        <v>257</v>
      </c>
      <c r="M2933" s="1"/>
      <c r="N2933" s="1">
        <f t="shared" si="144"/>
        <v>5</v>
      </c>
      <c r="O2933" s="87"/>
    </row>
    <row r="2934" spans="1:15" ht="15.75" hidden="1" x14ac:dyDescent="0.25">
      <c r="A2934" s="1" t="str">
        <f t="shared" si="143"/>
        <v>450484505129MASTER CCFOODQATAR AIR</v>
      </c>
      <c r="B2934" s="154">
        <v>45048</v>
      </c>
      <c r="C2934" s="154">
        <v>45051</v>
      </c>
      <c r="D2934" s="3" t="s">
        <v>3460</v>
      </c>
      <c r="E2934" s="3">
        <v>-29</v>
      </c>
      <c r="F2934" s="3">
        <v>1</v>
      </c>
      <c r="G2934" s="3">
        <f t="shared" si="145"/>
        <v>29</v>
      </c>
      <c r="H2934" s="3" t="s">
        <v>291</v>
      </c>
      <c r="I2934" s="1" t="s">
        <v>10</v>
      </c>
      <c r="J2934" s="1" t="s">
        <v>19</v>
      </c>
      <c r="K2934" s="1" t="s">
        <v>298</v>
      </c>
      <c r="L2934" s="1" t="s">
        <v>267</v>
      </c>
      <c r="M2934" s="1"/>
      <c r="N2934" s="1">
        <f t="shared" si="144"/>
        <v>5</v>
      </c>
      <c r="O2934" s="87"/>
    </row>
    <row r="2935" spans="1:15" ht="15.75" hidden="1" x14ac:dyDescent="0.25">
      <c r="A2935" s="1" t="str">
        <f t="shared" si="143"/>
        <v>45049450491797CURRENTRENTKAHRAMAA</v>
      </c>
      <c r="B2935" s="154">
        <v>45049</v>
      </c>
      <c r="C2935" s="154">
        <v>45049</v>
      </c>
      <c r="D2935" s="3" t="s">
        <v>3412</v>
      </c>
      <c r="E2935" s="3">
        <v>1797</v>
      </c>
      <c r="F2935" s="3">
        <v>1</v>
      </c>
      <c r="G2935" s="3">
        <f t="shared" si="145"/>
        <v>1797</v>
      </c>
      <c r="H2935" s="3" t="s">
        <v>293</v>
      </c>
      <c r="I2935" s="1" t="s">
        <v>83</v>
      </c>
      <c r="J2935" s="1" t="s">
        <v>4113</v>
      </c>
      <c r="K2935" s="1" t="s">
        <v>300</v>
      </c>
      <c r="L2935" s="1" t="s">
        <v>257</v>
      </c>
      <c r="M2935" s="1"/>
      <c r="N2935" s="1">
        <f t="shared" si="144"/>
        <v>5</v>
      </c>
      <c r="O2935" s="87"/>
    </row>
    <row r="2936" spans="1:15" ht="15.75" hidden="1" x14ac:dyDescent="0.25">
      <c r="A2936" s="1" t="str">
        <f t="shared" si="143"/>
        <v>4504945050230DINERSGROCERYLULU</v>
      </c>
      <c r="B2936" s="154">
        <v>45049</v>
      </c>
      <c r="C2936" s="154">
        <v>45050</v>
      </c>
      <c r="D2936" s="3" t="s">
        <v>3433</v>
      </c>
      <c r="E2936" s="3">
        <v>-230</v>
      </c>
      <c r="F2936" s="3">
        <v>1</v>
      </c>
      <c r="G2936" s="3">
        <f t="shared" si="145"/>
        <v>230</v>
      </c>
      <c r="H2936" s="3" t="s">
        <v>266</v>
      </c>
      <c r="I2936" s="1" t="s">
        <v>43</v>
      </c>
      <c r="J2936" s="1" t="s">
        <v>44</v>
      </c>
      <c r="K2936" s="1" t="s">
        <v>298</v>
      </c>
      <c r="L2936" s="1" t="s">
        <v>267</v>
      </c>
      <c r="M2936" s="1"/>
      <c r="N2936" s="1">
        <f t="shared" si="144"/>
        <v>5</v>
      </c>
      <c r="O2936" s="87"/>
    </row>
    <row r="2937" spans="1:15" ht="15.75" hidden="1" x14ac:dyDescent="0.25">
      <c r="A2937" s="1" t="str">
        <f t="shared" si="143"/>
        <v>450494505455MASTER CCFOODTALABAT</v>
      </c>
      <c r="B2937" s="154">
        <v>45049</v>
      </c>
      <c r="C2937" s="154">
        <v>45054</v>
      </c>
      <c r="D2937" s="3" t="s">
        <v>3461</v>
      </c>
      <c r="E2937" s="3">
        <v>-55</v>
      </c>
      <c r="F2937" s="3">
        <v>1</v>
      </c>
      <c r="G2937" s="3">
        <f t="shared" si="145"/>
        <v>55</v>
      </c>
      <c r="H2937" s="3" t="s">
        <v>291</v>
      </c>
      <c r="I2937" s="1" t="s">
        <v>10</v>
      </c>
      <c r="J2937" s="1" t="s">
        <v>865</v>
      </c>
      <c r="K2937" s="1" t="s">
        <v>298</v>
      </c>
      <c r="L2937" s="1" t="s">
        <v>267</v>
      </c>
      <c r="M2937" s="1"/>
      <c r="N2937" s="1">
        <f t="shared" si="144"/>
        <v>5</v>
      </c>
      <c r="O2937" s="87"/>
    </row>
    <row r="2938" spans="1:15" ht="15.75" hidden="1" x14ac:dyDescent="0.25">
      <c r="A2938" s="1" t="str">
        <f t="shared" si="143"/>
        <v>450494505145MASTER CCFOODQATAR AIR</v>
      </c>
      <c r="B2938" s="154">
        <v>45049</v>
      </c>
      <c r="C2938" s="154">
        <v>45051</v>
      </c>
      <c r="D2938" s="3" t="s">
        <v>3462</v>
      </c>
      <c r="E2938" s="3">
        <v>-45</v>
      </c>
      <c r="F2938" s="3">
        <v>1</v>
      </c>
      <c r="G2938" s="3">
        <f t="shared" si="145"/>
        <v>45</v>
      </c>
      <c r="H2938" s="3" t="s">
        <v>291</v>
      </c>
      <c r="I2938" s="1" t="s">
        <v>10</v>
      </c>
      <c r="J2938" s="1" t="s">
        <v>19</v>
      </c>
      <c r="K2938" s="1" t="s">
        <v>298</v>
      </c>
      <c r="L2938" s="1" t="s">
        <v>267</v>
      </c>
      <c r="M2938" s="1"/>
      <c r="N2938" s="1">
        <f t="shared" si="144"/>
        <v>5</v>
      </c>
      <c r="O2938" s="87"/>
    </row>
    <row r="2939" spans="1:15" ht="15.75" hidden="1" x14ac:dyDescent="0.25">
      <c r="A2939" s="1" t="str">
        <f t="shared" si="143"/>
        <v>450494505125MASTER CCFOODWISHBOX</v>
      </c>
      <c r="B2939" s="154">
        <v>45049</v>
      </c>
      <c r="C2939" s="154">
        <v>45051</v>
      </c>
      <c r="D2939" s="3" t="s">
        <v>3463</v>
      </c>
      <c r="E2939" s="3">
        <v>-25</v>
      </c>
      <c r="F2939" s="3">
        <v>1</v>
      </c>
      <c r="G2939" s="3">
        <f t="shared" si="145"/>
        <v>25</v>
      </c>
      <c r="H2939" s="3" t="s">
        <v>291</v>
      </c>
      <c r="I2939" s="1" t="s">
        <v>10</v>
      </c>
      <c r="J2939" s="1" t="s">
        <v>1199</v>
      </c>
      <c r="K2939" s="1" t="s">
        <v>298</v>
      </c>
      <c r="L2939" s="1" t="s">
        <v>267</v>
      </c>
      <c r="M2939" s="1"/>
      <c r="N2939" s="1">
        <f t="shared" si="144"/>
        <v>5</v>
      </c>
      <c r="O2939" s="87"/>
    </row>
    <row r="2940" spans="1:15" ht="15.75" hidden="1" x14ac:dyDescent="0.25">
      <c r="A2940" s="1" t="str">
        <f t="shared" si="143"/>
        <v>4504945051104MASTER CCTRANSPORTWOQOD</v>
      </c>
      <c r="B2940" s="154">
        <v>45049</v>
      </c>
      <c r="C2940" s="154">
        <v>45051</v>
      </c>
      <c r="D2940" s="3" t="s">
        <v>3464</v>
      </c>
      <c r="E2940" s="3">
        <v>-104</v>
      </c>
      <c r="F2940" s="3">
        <v>1</v>
      </c>
      <c r="G2940" s="3">
        <f t="shared" si="145"/>
        <v>104</v>
      </c>
      <c r="H2940" s="3" t="s">
        <v>291</v>
      </c>
      <c r="I2940" s="1" t="s">
        <v>296</v>
      </c>
      <c r="J2940" s="1" t="s">
        <v>1942</v>
      </c>
      <c r="K2940" s="1" t="s">
        <v>298</v>
      </c>
      <c r="L2940" s="1" t="s">
        <v>267</v>
      </c>
      <c r="M2940" s="1"/>
      <c r="N2940" s="1">
        <f t="shared" si="144"/>
        <v>5</v>
      </c>
      <c r="O2940" s="87"/>
    </row>
    <row r="2941" spans="1:15" ht="15.75" hidden="1" x14ac:dyDescent="0.25">
      <c r="A2941" s="1" t="str">
        <f t="shared" si="143"/>
        <v>4504945051265.91MASTER CCGROCERYLULU</v>
      </c>
      <c r="B2941" s="154">
        <v>45049</v>
      </c>
      <c r="C2941" s="154">
        <v>45051</v>
      </c>
      <c r="D2941" s="3" t="s">
        <v>3465</v>
      </c>
      <c r="E2941" s="3">
        <v>-265.91000000000003</v>
      </c>
      <c r="F2941" s="3">
        <v>1</v>
      </c>
      <c r="G2941" s="3">
        <f t="shared" si="145"/>
        <v>265.91000000000003</v>
      </c>
      <c r="H2941" s="3" t="s">
        <v>291</v>
      </c>
      <c r="I2941" s="1" t="s">
        <v>43</v>
      </c>
      <c r="J2941" s="1" t="s">
        <v>44</v>
      </c>
      <c r="K2941" s="1" t="s">
        <v>298</v>
      </c>
      <c r="L2941" s="1" t="s">
        <v>267</v>
      </c>
      <c r="M2941" s="1"/>
      <c r="N2941" s="1">
        <f t="shared" si="144"/>
        <v>5</v>
      </c>
      <c r="O2941" s="87"/>
    </row>
    <row r="2942" spans="1:15" ht="15.75" hidden="1" x14ac:dyDescent="0.25">
      <c r="A2942" s="1" t="str">
        <f t="shared" si="143"/>
        <v>4505045050190CURRENTTRANSFERINDIA</v>
      </c>
      <c r="B2942" s="154">
        <v>45050</v>
      </c>
      <c r="C2942" s="154">
        <v>45050</v>
      </c>
      <c r="D2942" s="3" t="s">
        <v>3413</v>
      </c>
      <c r="E2942" s="3">
        <v>-190</v>
      </c>
      <c r="F2942" s="3">
        <v>1</v>
      </c>
      <c r="G2942" s="3">
        <f t="shared" si="145"/>
        <v>190</v>
      </c>
      <c r="H2942" s="3" t="s">
        <v>293</v>
      </c>
      <c r="I2942" s="1" t="s">
        <v>22</v>
      </c>
      <c r="J2942" s="1" t="s">
        <v>23</v>
      </c>
      <c r="K2942" s="1" t="s">
        <v>298</v>
      </c>
      <c r="L2942" s="1" t="s">
        <v>257</v>
      </c>
      <c r="M2942" s="1"/>
      <c r="N2942" s="1">
        <f t="shared" si="144"/>
        <v>5</v>
      </c>
      <c r="O2942" s="87"/>
    </row>
    <row r="2943" spans="1:15" ht="15.75" hidden="1" x14ac:dyDescent="0.25">
      <c r="A2943" s="1" t="str">
        <f t="shared" si="143"/>
        <v>4505045050700CURRENTTRANSFERINDIA</v>
      </c>
      <c r="B2943" s="154">
        <v>45050</v>
      </c>
      <c r="C2943" s="154">
        <v>45050</v>
      </c>
      <c r="D2943" s="3" t="s">
        <v>3414</v>
      </c>
      <c r="E2943" s="3">
        <v>-700</v>
      </c>
      <c r="F2943" s="3">
        <v>1</v>
      </c>
      <c r="G2943" s="3">
        <f t="shared" si="145"/>
        <v>700</v>
      </c>
      <c r="H2943" s="3" t="s">
        <v>293</v>
      </c>
      <c r="I2943" s="1" t="s">
        <v>22</v>
      </c>
      <c r="J2943" s="1" t="s">
        <v>23</v>
      </c>
      <c r="K2943" s="1" t="s">
        <v>298</v>
      </c>
      <c r="L2943" s="1" t="s">
        <v>257</v>
      </c>
      <c r="M2943" s="1"/>
      <c r="N2943" s="1">
        <f t="shared" si="144"/>
        <v>5</v>
      </c>
      <c r="O2943" s="87"/>
    </row>
    <row r="2944" spans="1:15" ht="15.75" hidden="1" x14ac:dyDescent="0.25">
      <c r="A2944" s="1" t="str">
        <f t="shared" si="143"/>
        <v>450504505320.57DINERSTRANSPORTUBER</v>
      </c>
      <c r="B2944" s="154">
        <v>45050</v>
      </c>
      <c r="C2944" s="154">
        <v>45053</v>
      </c>
      <c r="D2944" s="3" t="s">
        <v>3434</v>
      </c>
      <c r="E2944" s="3">
        <v>-20.57</v>
      </c>
      <c r="F2944" s="3">
        <v>1</v>
      </c>
      <c r="G2944" s="3">
        <f t="shared" si="145"/>
        <v>20.57</v>
      </c>
      <c r="H2944" s="3" t="s">
        <v>266</v>
      </c>
      <c r="I2944" s="1" t="s">
        <v>296</v>
      </c>
      <c r="J2944" s="1" t="s">
        <v>299</v>
      </c>
      <c r="K2944" s="1" t="s">
        <v>298</v>
      </c>
      <c r="L2944" s="1" t="s">
        <v>267</v>
      </c>
      <c r="M2944" s="1"/>
      <c r="N2944" s="1">
        <f t="shared" si="144"/>
        <v>5</v>
      </c>
      <c r="O2944" s="87"/>
    </row>
    <row r="2945" spans="1:15" ht="15.75" hidden="1" x14ac:dyDescent="0.25">
      <c r="A2945" s="1" t="str">
        <f t="shared" si="143"/>
        <v>450504505539MASTER CCFOODQATAR AIR</v>
      </c>
      <c r="B2945" s="154">
        <v>45050</v>
      </c>
      <c r="C2945" s="154">
        <v>45055</v>
      </c>
      <c r="D2945" s="3" t="s">
        <v>3466</v>
      </c>
      <c r="E2945" s="3">
        <v>-39</v>
      </c>
      <c r="F2945" s="3">
        <v>1</v>
      </c>
      <c r="G2945" s="3">
        <f t="shared" si="145"/>
        <v>39</v>
      </c>
      <c r="H2945" s="3" t="s">
        <v>291</v>
      </c>
      <c r="I2945" s="1" t="s">
        <v>10</v>
      </c>
      <c r="J2945" s="1" t="s">
        <v>19</v>
      </c>
      <c r="K2945" s="1" t="s">
        <v>298</v>
      </c>
      <c r="L2945" s="1" t="s">
        <v>267</v>
      </c>
      <c r="M2945" s="1"/>
      <c r="N2945" s="1">
        <f t="shared" si="144"/>
        <v>5</v>
      </c>
      <c r="O2945" s="87"/>
    </row>
    <row r="2946" spans="1:15" ht="15.75" hidden="1" x14ac:dyDescent="0.25">
      <c r="A2946" s="1" t="str">
        <f t="shared" ref="A2946:A3009" si="146">B2946&amp;C2946&amp;G2946&amp;H2946&amp;I2946&amp;J2946</f>
        <v>450504505511.2MASTER CCFOODCAFÉ/REST.</v>
      </c>
      <c r="B2946" s="154">
        <v>45050</v>
      </c>
      <c r="C2946" s="154">
        <v>45055</v>
      </c>
      <c r="D2946" s="3" t="s">
        <v>3467</v>
      </c>
      <c r="E2946" s="3">
        <v>-11.2</v>
      </c>
      <c r="F2946" s="3">
        <v>1</v>
      </c>
      <c r="G2946" s="3">
        <f t="shared" si="145"/>
        <v>11.2</v>
      </c>
      <c r="H2946" s="3" t="s">
        <v>291</v>
      </c>
      <c r="I2946" s="1" t="s">
        <v>10</v>
      </c>
      <c r="J2946" s="1" t="s">
        <v>11</v>
      </c>
      <c r="K2946" s="1" t="s">
        <v>298</v>
      </c>
      <c r="L2946" s="1" t="s">
        <v>267</v>
      </c>
      <c r="M2946" s="1"/>
      <c r="N2946" s="1">
        <f t="shared" ref="N2946:N3009" si="147">MONTH(C2946)</f>
        <v>5</v>
      </c>
      <c r="O2946" s="87"/>
    </row>
    <row r="2947" spans="1:15" ht="15.75" hidden="1" x14ac:dyDescent="0.25">
      <c r="A2947" s="1" t="str">
        <f t="shared" si="146"/>
        <v>450504505214MASTER CCLAUNDRYAL RAYES</v>
      </c>
      <c r="B2947" s="154">
        <v>45050</v>
      </c>
      <c r="C2947" s="154">
        <v>45052</v>
      </c>
      <c r="D2947" s="3" t="s">
        <v>3468</v>
      </c>
      <c r="E2947" s="3">
        <v>-14</v>
      </c>
      <c r="F2947" s="3">
        <v>1</v>
      </c>
      <c r="G2947" s="3">
        <f t="shared" si="145"/>
        <v>14</v>
      </c>
      <c r="H2947" s="3" t="s">
        <v>291</v>
      </c>
      <c r="I2947" s="1" t="s">
        <v>3164</v>
      </c>
      <c r="J2947" s="1" t="s">
        <v>3165</v>
      </c>
      <c r="K2947" s="1" t="s">
        <v>298</v>
      </c>
      <c r="L2947" s="1" t="s">
        <v>267</v>
      </c>
      <c r="M2947" s="1"/>
      <c r="N2947" s="1">
        <f t="shared" si="147"/>
        <v>5</v>
      </c>
      <c r="O2947" s="87"/>
    </row>
    <row r="2948" spans="1:15" ht="15.75" hidden="1" x14ac:dyDescent="0.25">
      <c r="A2948" s="1" t="str">
        <f t="shared" si="146"/>
        <v>45055450554520CURRENTTRANSFERINDIA</v>
      </c>
      <c r="B2948" s="154">
        <v>45055</v>
      </c>
      <c r="C2948" s="154">
        <v>45055</v>
      </c>
      <c r="D2948" s="3" t="s">
        <v>3415</v>
      </c>
      <c r="E2948" s="3">
        <v>-4520</v>
      </c>
      <c r="F2948" s="3">
        <v>1</v>
      </c>
      <c r="G2948" s="3">
        <f t="shared" si="145"/>
        <v>4520</v>
      </c>
      <c r="H2948" s="3" t="s">
        <v>293</v>
      </c>
      <c r="I2948" s="1" t="s">
        <v>22</v>
      </c>
      <c r="J2948" s="1" t="s">
        <v>23</v>
      </c>
      <c r="K2948" s="1" t="s">
        <v>298</v>
      </c>
      <c r="L2948" s="1" t="s">
        <v>257</v>
      </c>
      <c r="M2948" s="1"/>
      <c r="N2948" s="1">
        <f t="shared" si="147"/>
        <v>5</v>
      </c>
      <c r="O2948" s="87"/>
    </row>
    <row r="2949" spans="1:15" ht="15.75" hidden="1" x14ac:dyDescent="0.25">
      <c r="A2949" s="1" t="str">
        <f t="shared" si="146"/>
        <v>450594506226.07DINERSTRANSPORTUBER</v>
      </c>
      <c r="B2949" s="154">
        <v>45059</v>
      </c>
      <c r="C2949" s="154">
        <v>45062</v>
      </c>
      <c r="D2949" s="3" t="s">
        <v>3435</v>
      </c>
      <c r="E2949" s="3">
        <v>-26.07</v>
      </c>
      <c r="F2949" s="3">
        <v>1</v>
      </c>
      <c r="G2949" s="3">
        <f t="shared" si="145"/>
        <v>26.07</v>
      </c>
      <c r="H2949" s="3" t="s">
        <v>266</v>
      </c>
      <c r="I2949" s="1" t="s">
        <v>296</v>
      </c>
      <c r="J2949" s="1" t="s">
        <v>299</v>
      </c>
      <c r="K2949" s="1" t="s">
        <v>298</v>
      </c>
      <c r="L2949" s="1" t="s">
        <v>267</v>
      </c>
      <c r="M2949" s="1"/>
      <c r="N2949" s="1">
        <f t="shared" si="147"/>
        <v>5</v>
      </c>
      <c r="O2949" s="87"/>
    </row>
    <row r="2950" spans="1:15" ht="15.75" hidden="1" x14ac:dyDescent="0.25">
      <c r="A2950" s="1" t="str">
        <f t="shared" si="146"/>
        <v>450594506043DINERSSHOPPINGIKEA</v>
      </c>
      <c r="B2950" s="154">
        <v>45059</v>
      </c>
      <c r="C2950" s="154">
        <v>45060</v>
      </c>
      <c r="D2950" s="3" t="s">
        <v>3436</v>
      </c>
      <c r="E2950" s="3">
        <v>-43</v>
      </c>
      <c r="F2950" s="3">
        <v>1</v>
      </c>
      <c r="G2950" s="3">
        <f t="shared" si="145"/>
        <v>43</v>
      </c>
      <c r="H2950" s="3" t="s">
        <v>266</v>
      </c>
      <c r="I2950" s="1" t="s">
        <v>194</v>
      </c>
      <c r="J2950" s="1" t="s">
        <v>192</v>
      </c>
      <c r="K2950" s="1" t="s">
        <v>298</v>
      </c>
      <c r="L2950" s="1" t="s">
        <v>267</v>
      </c>
      <c r="M2950" s="1"/>
      <c r="N2950" s="1">
        <f t="shared" si="147"/>
        <v>5</v>
      </c>
      <c r="O2950" s="87"/>
    </row>
    <row r="2951" spans="1:15" ht="15.75" hidden="1" x14ac:dyDescent="0.25">
      <c r="A2951" s="1" t="str">
        <f t="shared" si="146"/>
        <v>450594505973.8DINERSCC BILL PAYMENTBANK</v>
      </c>
      <c r="B2951" s="154">
        <v>45059</v>
      </c>
      <c r="C2951" s="154">
        <v>45059</v>
      </c>
      <c r="D2951" s="3" t="s">
        <v>80</v>
      </c>
      <c r="E2951" s="3">
        <v>73.8</v>
      </c>
      <c r="F2951" s="3">
        <v>1</v>
      </c>
      <c r="G2951" s="3">
        <f t="shared" si="145"/>
        <v>73.8</v>
      </c>
      <c r="H2951" s="3" t="s">
        <v>266</v>
      </c>
      <c r="I2951" s="1" t="s">
        <v>81</v>
      </c>
      <c r="J2951" s="1" t="s">
        <v>8</v>
      </c>
      <c r="K2951" s="1" t="s">
        <v>300</v>
      </c>
      <c r="L2951" s="1" t="s">
        <v>267</v>
      </c>
      <c r="M2951" s="1"/>
      <c r="N2951" s="1">
        <f t="shared" si="147"/>
        <v>5</v>
      </c>
      <c r="O2951" s="87"/>
    </row>
    <row r="2952" spans="1:15" ht="15.75" hidden="1" x14ac:dyDescent="0.25">
      <c r="A2952" s="1" t="str">
        <f t="shared" si="146"/>
        <v>450594506125MASTER CCFOODCAFÉ/REST.</v>
      </c>
      <c r="B2952" s="154">
        <v>45059</v>
      </c>
      <c r="C2952" s="154">
        <v>45061</v>
      </c>
      <c r="D2952" s="3" t="s">
        <v>3469</v>
      </c>
      <c r="E2952" s="3">
        <v>-25</v>
      </c>
      <c r="F2952" s="3">
        <v>1</v>
      </c>
      <c r="G2952" s="3">
        <f t="shared" si="145"/>
        <v>25</v>
      </c>
      <c r="H2952" s="3" t="s">
        <v>291</v>
      </c>
      <c r="I2952" s="1" t="s">
        <v>10</v>
      </c>
      <c r="J2952" s="1" t="s">
        <v>11</v>
      </c>
      <c r="K2952" s="1" t="s">
        <v>298</v>
      </c>
      <c r="L2952" s="1" t="s">
        <v>267</v>
      </c>
      <c r="M2952" s="1"/>
      <c r="N2952" s="1">
        <f t="shared" si="147"/>
        <v>5</v>
      </c>
      <c r="O2952" s="87"/>
    </row>
    <row r="2953" spans="1:15" ht="15.75" hidden="1" x14ac:dyDescent="0.25">
      <c r="A2953" s="1" t="str">
        <f t="shared" si="146"/>
        <v>450604506073.8CURRENTCC BILL PAYMENTBANK</v>
      </c>
      <c r="B2953" s="154">
        <v>45060</v>
      </c>
      <c r="C2953" s="154">
        <v>45060</v>
      </c>
      <c r="D2953" s="3" t="s">
        <v>3416</v>
      </c>
      <c r="E2953" s="3">
        <v>-73.8</v>
      </c>
      <c r="F2953" s="3">
        <v>1</v>
      </c>
      <c r="G2953" s="3">
        <f t="shared" si="145"/>
        <v>73.8</v>
      </c>
      <c r="H2953" s="3" t="s">
        <v>293</v>
      </c>
      <c r="I2953" s="1" t="s">
        <v>81</v>
      </c>
      <c r="J2953" s="1" t="s">
        <v>8</v>
      </c>
      <c r="K2953" s="1" t="s">
        <v>298</v>
      </c>
      <c r="L2953" s="1" t="s">
        <v>257</v>
      </c>
      <c r="M2953" s="1"/>
      <c r="N2953" s="1">
        <f t="shared" si="147"/>
        <v>5</v>
      </c>
      <c r="O2953" s="87"/>
    </row>
    <row r="2954" spans="1:15" ht="15.75" hidden="1" x14ac:dyDescent="0.25">
      <c r="A2954" s="1" t="str">
        <f t="shared" si="146"/>
        <v>450604506473MASTER CCFOODTALABAT</v>
      </c>
      <c r="B2954" s="154">
        <v>45060</v>
      </c>
      <c r="C2954" s="154">
        <v>45064</v>
      </c>
      <c r="D2954" s="3" t="s">
        <v>3470</v>
      </c>
      <c r="E2954" s="3">
        <v>-73</v>
      </c>
      <c r="F2954" s="3">
        <v>1</v>
      </c>
      <c r="G2954" s="3">
        <f t="shared" si="145"/>
        <v>73</v>
      </c>
      <c r="H2954" s="3" t="s">
        <v>291</v>
      </c>
      <c r="I2954" s="1" t="s">
        <v>10</v>
      </c>
      <c r="J2954" s="1" t="s">
        <v>865</v>
      </c>
      <c r="K2954" s="1" t="s">
        <v>298</v>
      </c>
      <c r="L2954" s="1" t="s">
        <v>267</v>
      </c>
      <c r="M2954" s="1"/>
      <c r="N2954" s="1">
        <f t="shared" si="147"/>
        <v>5</v>
      </c>
      <c r="O2954" s="87"/>
    </row>
    <row r="2955" spans="1:15" ht="15.75" hidden="1" x14ac:dyDescent="0.25">
      <c r="A2955" s="1" t="str">
        <f t="shared" si="146"/>
        <v>450614506150CURRENTMEDICALHEALTH CENTER</v>
      </c>
      <c r="B2955" s="154">
        <v>45061</v>
      </c>
      <c r="C2955" s="154">
        <v>45061</v>
      </c>
      <c r="D2955" s="3" t="s">
        <v>3417</v>
      </c>
      <c r="E2955" s="3">
        <v>-50</v>
      </c>
      <c r="F2955" s="3">
        <v>1</v>
      </c>
      <c r="G2955" s="3">
        <f t="shared" ref="G2955:G3018" si="148">ABS(E2955)*F2955</f>
        <v>50</v>
      </c>
      <c r="H2955" s="3" t="s">
        <v>293</v>
      </c>
      <c r="I2955" s="1" t="s">
        <v>301</v>
      </c>
      <c r="J2955" s="1" t="s">
        <v>159</v>
      </c>
      <c r="K2955" s="1" t="s">
        <v>298</v>
      </c>
      <c r="L2955" s="1" t="s">
        <v>257</v>
      </c>
      <c r="M2955" s="1"/>
      <c r="N2955" s="1">
        <f t="shared" si="147"/>
        <v>5</v>
      </c>
      <c r="O2955" s="87"/>
    </row>
    <row r="2956" spans="1:15" ht="15.75" hidden="1" x14ac:dyDescent="0.25">
      <c r="A2956" s="1" t="str">
        <f t="shared" si="146"/>
        <v>450614506329MASTER CCFOODQATAR AIR</v>
      </c>
      <c r="B2956" s="154">
        <v>45061</v>
      </c>
      <c r="C2956" s="154">
        <v>45063</v>
      </c>
      <c r="D2956" s="3" t="s">
        <v>3471</v>
      </c>
      <c r="E2956" s="3">
        <v>-29</v>
      </c>
      <c r="F2956" s="3">
        <v>1</v>
      </c>
      <c r="G2956" s="3">
        <f t="shared" si="148"/>
        <v>29</v>
      </c>
      <c r="H2956" s="3" t="s">
        <v>291</v>
      </c>
      <c r="I2956" s="1" t="s">
        <v>10</v>
      </c>
      <c r="J2956" s="1" t="s">
        <v>19</v>
      </c>
      <c r="K2956" s="1" t="s">
        <v>298</v>
      </c>
      <c r="L2956" s="1" t="s">
        <v>267</v>
      </c>
      <c r="M2956" s="1"/>
      <c r="N2956" s="1">
        <f t="shared" si="147"/>
        <v>5</v>
      </c>
      <c r="O2956" s="87"/>
    </row>
    <row r="2957" spans="1:15" ht="15.75" hidden="1" x14ac:dyDescent="0.25">
      <c r="A2957" s="1" t="str">
        <f t="shared" si="146"/>
        <v>450614506312MASTER CCFOODCAFÉ/REST.</v>
      </c>
      <c r="B2957" s="154">
        <v>45061</v>
      </c>
      <c r="C2957" s="154">
        <v>45063</v>
      </c>
      <c r="D2957" s="3" t="s">
        <v>3472</v>
      </c>
      <c r="E2957" s="3">
        <v>-12</v>
      </c>
      <c r="F2957" s="3">
        <v>1</v>
      </c>
      <c r="G2957" s="3">
        <f t="shared" si="148"/>
        <v>12</v>
      </c>
      <c r="H2957" s="3" t="s">
        <v>291</v>
      </c>
      <c r="I2957" s="1" t="s">
        <v>10</v>
      </c>
      <c r="J2957" s="1" t="s">
        <v>11</v>
      </c>
      <c r="K2957" s="1" t="s">
        <v>298</v>
      </c>
      <c r="L2957" s="1" t="s">
        <v>267</v>
      </c>
      <c r="M2957" s="1"/>
      <c r="N2957" s="1">
        <f t="shared" si="147"/>
        <v>5</v>
      </c>
      <c r="O2957" s="87"/>
    </row>
    <row r="2958" spans="1:15" ht="15.75" hidden="1" x14ac:dyDescent="0.25">
      <c r="A2958" s="1" t="str">
        <f t="shared" si="146"/>
        <v>450624506427.5MASTER CCGROCERYREDROSE</v>
      </c>
      <c r="B2958" s="154">
        <v>45062</v>
      </c>
      <c r="C2958" s="154">
        <v>45064</v>
      </c>
      <c r="D2958" s="3" t="s">
        <v>3473</v>
      </c>
      <c r="E2958" s="3">
        <v>-27.5</v>
      </c>
      <c r="F2958" s="3">
        <v>1</v>
      </c>
      <c r="G2958" s="3">
        <f t="shared" si="148"/>
        <v>27.5</v>
      </c>
      <c r="H2958" s="3" t="s">
        <v>291</v>
      </c>
      <c r="I2958" s="1" t="s">
        <v>43</v>
      </c>
      <c r="J2958" s="1" t="s">
        <v>4082</v>
      </c>
      <c r="K2958" s="1" t="s">
        <v>298</v>
      </c>
      <c r="L2958" s="1" t="s">
        <v>267</v>
      </c>
      <c r="M2958" s="1"/>
      <c r="N2958" s="1">
        <f t="shared" si="147"/>
        <v>5</v>
      </c>
      <c r="O2958" s="87"/>
    </row>
    <row r="2959" spans="1:15" ht="15.75" hidden="1" x14ac:dyDescent="0.25">
      <c r="A2959" s="1" t="str">
        <f t="shared" si="146"/>
        <v>450624506435MASTER CCFOODWISHBOX</v>
      </c>
      <c r="B2959" s="154">
        <v>45062</v>
      </c>
      <c r="C2959" s="154">
        <v>45064</v>
      </c>
      <c r="D2959" s="3" t="s">
        <v>3474</v>
      </c>
      <c r="E2959" s="3">
        <v>-35</v>
      </c>
      <c r="F2959" s="3">
        <v>1</v>
      </c>
      <c r="G2959" s="3">
        <f t="shared" si="148"/>
        <v>35</v>
      </c>
      <c r="H2959" s="3" t="s">
        <v>291</v>
      </c>
      <c r="I2959" s="1" t="s">
        <v>10</v>
      </c>
      <c r="J2959" s="1" t="s">
        <v>1199</v>
      </c>
      <c r="K2959" s="1" t="s">
        <v>298</v>
      </c>
      <c r="L2959" s="1" t="s">
        <v>267</v>
      </c>
      <c r="M2959" s="1"/>
      <c r="N2959" s="1">
        <f t="shared" si="147"/>
        <v>5</v>
      </c>
      <c r="O2959" s="87"/>
    </row>
    <row r="2960" spans="1:15" ht="15.75" hidden="1" x14ac:dyDescent="0.25">
      <c r="A2960" s="1" t="str">
        <f t="shared" si="146"/>
        <v>450634506620MASTER CCFOODCAFÉ/REST.</v>
      </c>
      <c r="B2960" s="154">
        <v>45063</v>
      </c>
      <c r="C2960" s="154">
        <v>45066</v>
      </c>
      <c r="D2960" s="3" t="s">
        <v>3475</v>
      </c>
      <c r="E2960" s="3">
        <v>-20</v>
      </c>
      <c r="F2960" s="3">
        <v>1</v>
      </c>
      <c r="G2960" s="3">
        <f t="shared" si="148"/>
        <v>20</v>
      </c>
      <c r="H2960" s="3" t="s">
        <v>291</v>
      </c>
      <c r="I2960" s="1" t="s">
        <v>10</v>
      </c>
      <c r="J2960" s="1" t="s">
        <v>11</v>
      </c>
      <c r="K2960" s="1" t="s">
        <v>298</v>
      </c>
      <c r="L2960" s="1" t="s">
        <v>267</v>
      </c>
      <c r="M2960" s="1"/>
      <c r="N2960" s="1">
        <f t="shared" si="147"/>
        <v>5</v>
      </c>
      <c r="O2960" s="87"/>
    </row>
    <row r="2961" spans="1:15" ht="15.75" hidden="1" x14ac:dyDescent="0.25">
      <c r="A2961" s="1" t="str">
        <f t="shared" si="146"/>
        <v>450634506529MASTER CCFOODQATAR AIR</v>
      </c>
      <c r="B2961" s="154">
        <v>45063</v>
      </c>
      <c r="C2961" s="154">
        <v>45065</v>
      </c>
      <c r="D2961" s="3" t="s">
        <v>3476</v>
      </c>
      <c r="E2961" s="3">
        <v>-29</v>
      </c>
      <c r="F2961" s="3">
        <v>1</v>
      </c>
      <c r="G2961" s="3">
        <f t="shared" si="148"/>
        <v>29</v>
      </c>
      <c r="H2961" s="3" t="s">
        <v>291</v>
      </c>
      <c r="I2961" s="1" t="s">
        <v>10</v>
      </c>
      <c r="J2961" s="1" t="s">
        <v>19</v>
      </c>
      <c r="K2961" s="1" t="s">
        <v>298</v>
      </c>
      <c r="L2961" s="1" t="s">
        <v>267</v>
      </c>
      <c r="M2961" s="1"/>
      <c r="N2961" s="1">
        <f t="shared" si="147"/>
        <v>5</v>
      </c>
      <c r="O2961" s="87"/>
    </row>
    <row r="2962" spans="1:15" ht="15.75" hidden="1" x14ac:dyDescent="0.25">
      <c r="A2962" s="1" t="str">
        <f t="shared" si="146"/>
        <v>45063450659MASTER CCFOODQATAR AIR</v>
      </c>
      <c r="B2962" s="154">
        <v>45063</v>
      </c>
      <c r="C2962" s="154">
        <v>45065</v>
      </c>
      <c r="D2962" s="3" t="s">
        <v>3477</v>
      </c>
      <c r="E2962" s="3">
        <v>-9</v>
      </c>
      <c r="F2962" s="3">
        <v>1</v>
      </c>
      <c r="G2962" s="3">
        <f t="shared" si="148"/>
        <v>9</v>
      </c>
      <c r="H2962" s="3" t="s">
        <v>291</v>
      </c>
      <c r="I2962" s="1" t="s">
        <v>10</v>
      </c>
      <c r="J2962" s="1" t="s">
        <v>19</v>
      </c>
      <c r="K2962" s="1" t="s">
        <v>298</v>
      </c>
      <c r="L2962" s="1" t="s">
        <v>267</v>
      </c>
      <c r="M2962" s="1"/>
      <c r="N2962" s="1">
        <f t="shared" si="147"/>
        <v>5</v>
      </c>
      <c r="O2962" s="87"/>
    </row>
    <row r="2963" spans="1:15" ht="15.75" hidden="1" x14ac:dyDescent="0.25">
      <c r="A2963" s="1" t="str">
        <f t="shared" si="146"/>
        <v>450634506521.5MASTER CCFOODWISHBOX</v>
      </c>
      <c r="B2963" s="154">
        <v>45063</v>
      </c>
      <c r="C2963" s="154">
        <v>45065</v>
      </c>
      <c r="D2963" s="3" t="s">
        <v>3478</v>
      </c>
      <c r="E2963" s="3">
        <v>-21.5</v>
      </c>
      <c r="F2963" s="3">
        <v>1</v>
      </c>
      <c r="G2963" s="3">
        <f t="shared" si="148"/>
        <v>21.5</v>
      </c>
      <c r="H2963" s="3" t="s">
        <v>291</v>
      </c>
      <c r="I2963" s="1" t="s">
        <v>10</v>
      </c>
      <c r="J2963" s="1" t="s">
        <v>1199</v>
      </c>
      <c r="K2963" s="1" t="s">
        <v>298</v>
      </c>
      <c r="L2963" s="1" t="s">
        <v>267</v>
      </c>
      <c r="M2963" s="1"/>
      <c r="N2963" s="1">
        <f t="shared" si="147"/>
        <v>5</v>
      </c>
      <c r="O2963" s="87"/>
    </row>
    <row r="2964" spans="1:15" ht="15.75" hidden="1" x14ac:dyDescent="0.25">
      <c r="A2964" s="1" t="str">
        <f t="shared" si="146"/>
        <v>45064450644775CURRENTTRAVELQATAR AIR</v>
      </c>
      <c r="B2964" s="154">
        <v>45064</v>
      </c>
      <c r="C2964" s="154">
        <v>45064</v>
      </c>
      <c r="D2964" s="3" t="s">
        <v>3418</v>
      </c>
      <c r="E2964" s="3">
        <v>4775</v>
      </c>
      <c r="F2964" s="3">
        <v>1</v>
      </c>
      <c r="G2964" s="3">
        <f t="shared" si="148"/>
        <v>4775</v>
      </c>
      <c r="H2964" s="3" t="s">
        <v>293</v>
      </c>
      <c r="I2964" s="1" t="s">
        <v>393</v>
      </c>
      <c r="J2964" s="1" t="s">
        <v>19</v>
      </c>
      <c r="K2964" s="1" t="s">
        <v>300</v>
      </c>
      <c r="L2964" s="1" t="s">
        <v>257</v>
      </c>
      <c r="M2964" s="1"/>
      <c r="N2964" s="1">
        <f t="shared" si="147"/>
        <v>5</v>
      </c>
      <c r="O2964" s="87"/>
    </row>
    <row r="2965" spans="1:15" ht="15.75" hidden="1" x14ac:dyDescent="0.25">
      <c r="A2965" s="1" t="str">
        <f t="shared" si="146"/>
        <v>450644506933MASTER CCFOODQATAR AIR</v>
      </c>
      <c r="B2965" s="154">
        <v>45064</v>
      </c>
      <c r="C2965" s="154">
        <v>45069</v>
      </c>
      <c r="D2965" s="3" t="s">
        <v>3479</v>
      </c>
      <c r="E2965" s="3">
        <v>-33</v>
      </c>
      <c r="F2965" s="3">
        <v>1</v>
      </c>
      <c r="G2965" s="3">
        <f t="shared" si="148"/>
        <v>33</v>
      </c>
      <c r="H2965" s="3" t="s">
        <v>291</v>
      </c>
      <c r="I2965" s="1" t="s">
        <v>10</v>
      </c>
      <c r="J2965" s="1" t="s">
        <v>19</v>
      </c>
      <c r="K2965" s="1" t="s">
        <v>298</v>
      </c>
      <c r="L2965" s="1" t="s">
        <v>267</v>
      </c>
      <c r="M2965" s="1"/>
      <c r="N2965" s="1">
        <f t="shared" si="147"/>
        <v>5</v>
      </c>
      <c r="O2965" s="87"/>
    </row>
    <row r="2966" spans="1:15" ht="15.75" hidden="1" x14ac:dyDescent="0.25">
      <c r="A2966" s="1" t="str">
        <f t="shared" si="146"/>
        <v>450644506647MASTER CCFOODWISHBOX</v>
      </c>
      <c r="B2966" s="154">
        <v>45064</v>
      </c>
      <c r="C2966" s="154">
        <v>45066</v>
      </c>
      <c r="D2966" s="3" t="s">
        <v>3480</v>
      </c>
      <c r="E2966" s="3">
        <v>-47</v>
      </c>
      <c r="F2966" s="3">
        <v>1</v>
      </c>
      <c r="G2966" s="3">
        <f t="shared" si="148"/>
        <v>47</v>
      </c>
      <c r="H2966" s="3" t="s">
        <v>291</v>
      </c>
      <c r="I2966" s="1" t="s">
        <v>10</v>
      </c>
      <c r="J2966" s="1" t="s">
        <v>1199</v>
      </c>
      <c r="K2966" s="1" t="s">
        <v>298</v>
      </c>
      <c r="L2966" s="1" t="s">
        <v>267</v>
      </c>
      <c r="M2966" s="1"/>
      <c r="N2966" s="1">
        <f t="shared" si="147"/>
        <v>5</v>
      </c>
      <c r="O2966" s="87"/>
    </row>
    <row r="2967" spans="1:15" ht="15.75" hidden="1" x14ac:dyDescent="0.25">
      <c r="A2967" s="1" t="str">
        <f t="shared" si="146"/>
        <v>450654506970.5MASTER CCGROCERYLULU</v>
      </c>
      <c r="B2967" s="154">
        <v>45065</v>
      </c>
      <c r="C2967" s="154">
        <v>45069</v>
      </c>
      <c r="D2967" s="3" t="s">
        <v>3481</v>
      </c>
      <c r="E2967" s="3">
        <v>-70.5</v>
      </c>
      <c r="F2967" s="3">
        <v>1</v>
      </c>
      <c r="G2967" s="3">
        <f t="shared" si="148"/>
        <v>70.5</v>
      </c>
      <c r="H2967" s="3" t="s">
        <v>291</v>
      </c>
      <c r="I2967" s="1" t="s">
        <v>43</v>
      </c>
      <c r="J2967" s="1" t="s">
        <v>44</v>
      </c>
      <c r="K2967" s="1" t="s">
        <v>298</v>
      </c>
      <c r="L2967" s="1" t="s">
        <v>267</v>
      </c>
      <c r="M2967" s="1"/>
      <c r="N2967" s="1">
        <f t="shared" si="147"/>
        <v>5</v>
      </c>
      <c r="O2967" s="87"/>
    </row>
    <row r="2968" spans="1:15" ht="15.75" hidden="1" x14ac:dyDescent="0.25">
      <c r="A2968" s="1" t="str">
        <f t="shared" si="146"/>
        <v>450654506740MASTER CCFOODWISHBOX</v>
      </c>
      <c r="B2968" s="154">
        <v>45065</v>
      </c>
      <c r="C2968" s="154">
        <v>45067</v>
      </c>
      <c r="D2968" s="3" t="s">
        <v>3482</v>
      </c>
      <c r="E2968" s="3">
        <v>-40</v>
      </c>
      <c r="F2968" s="3">
        <v>1</v>
      </c>
      <c r="G2968" s="3">
        <f t="shared" si="148"/>
        <v>40</v>
      </c>
      <c r="H2968" s="3" t="s">
        <v>291</v>
      </c>
      <c r="I2968" s="1" t="s">
        <v>10</v>
      </c>
      <c r="J2968" s="1" t="s">
        <v>1199</v>
      </c>
      <c r="K2968" s="1" t="s">
        <v>298</v>
      </c>
      <c r="L2968" s="1" t="s">
        <v>267</v>
      </c>
      <c r="M2968" s="1"/>
      <c r="N2968" s="1">
        <f t="shared" si="147"/>
        <v>5</v>
      </c>
      <c r="O2968" s="87"/>
    </row>
    <row r="2969" spans="1:15" ht="15.75" hidden="1" x14ac:dyDescent="0.25">
      <c r="A2969" s="1" t="str">
        <f t="shared" si="146"/>
        <v>450654506727MASTER CCFOODWISHBOX</v>
      </c>
      <c r="B2969" s="154">
        <v>45065</v>
      </c>
      <c r="C2969" s="154">
        <v>45067</v>
      </c>
      <c r="D2969" s="3" t="s">
        <v>3483</v>
      </c>
      <c r="E2969" s="3">
        <v>-27</v>
      </c>
      <c r="F2969" s="3">
        <v>1</v>
      </c>
      <c r="G2969" s="3">
        <f t="shared" si="148"/>
        <v>27</v>
      </c>
      <c r="H2969" s="3" t="s">
        <v>291</v>
      </c>
      <c r="I2969" s="1" t="s">
        <v>10</v>
      </c>
      <c r="J2969" s="1" t="s">
        <v>1199</v>
      </c>
      <c r="K2969" s="1" t="s">
        <v>298</v>
      </c>
      <c r="L2969" s="1" t="s">
        <v>267</v>
      </c>
      <c r="M2969" s="1"/>
      <c r="N2969" s="1">
        <f t="shared" si="147"/>
        <v>5</v>
      </c>
      <c r="O2969" s="87"/>
    </row>
    <row r="2970" spans="1:15" ht="15.75" hidden="1" x14ac:dyDescent="0.25">
      <c r="A2970" s="1" t="str">
        <f t="shared" si="146"/>
        <v>450664506919.34DINERSTRANSPORTUBER</v>
      </c>
      <c r="B2970" s="154">
        <v>45066</v>
      </c>
      <c r="C2970" s="154">
        <v>45069</v>
      </c>
      <c r="D2970" s="3" t="s">
        <v>3437</v>
      </c>
      <c r="E2970" s="3">
        <v>-19.34</v>
      </c>
      <c r="F2970" s="3">
        <v>1</v>
      </c>
      <c r="G2970" s="3">
        <f t="shared" si="148"/>
        <v>19.34</v>
      </c>
      <c r="H2970" s="3" t="s">
        <v>266</v>
      </c>
      <c r="I2970" s="1" t="s">
        <v>296</v>
      </c>
      <c r="J2970" s="1" t="s">
        <v>299</v>
      </c>
      <c r="K2970" s="1" t="s">
        <v>298</v>
      </c>
      <c r="L2970" s="1" t="s">
        <v>267</v>
      </c>
      <c r="M2970" s="1"/>
      <c r="N2970" s="1">
        <f t="shared" si="147"/>
        <v>5</v>
      </c>
      <c r="O2970" s="87"/>
    </row>
    <row r="2971" spans="1:15" ht="15.75" hidden="1" x14ac:dyDescent="0.25">
      <c r="A2971" s="1" t="str">
        <f t="shared" si="146"/>
        <v>45067450670MASTER CCHOTELHILTON</v>
      </c>
      <c r="B2971" s="154">
        <v>45067</v>
      </c>
      <c r="C2971" s="156">
        <f>B2971</f>
        <v>45067</v>
      </c>
      <c r="D2971" s="3" t="s">
        <v>3484</v>
      </c>
      <c r="E2971" s="3">
        <v>-3276</v>
      </c>
      <c r="F2971" s="3">
        <v>0</v>
      </c>
      <c r="G2971" s="3">
        <f t="shared" si="148"/>
        <v>0</v>
      </c>
      <c r="H2971" s="3" t="s">
        <v>291</v>
      </c>
      <c r="I2971" s="1" t="s">
        <v>1128</v>
      </c>
      <c r="J2971" s="1" t="s">
        <v>3499</v>
      </c>
      <c r="K2971" s="1" t="s">
        <v>298</v>
      </c>
      <c r="L2971" s="1" t="s">
        <v>267</v>
      </c>
      <c r="M2971" s="1"/>
      <c r="N2971" s="1">
        <f t="shared" si="147"/>
        <v>5</v>
      </c>
      <c r="O2971" s="87"/>
    </row>
    <row r="2972" spans="1:15" ht="15.75" hidden="1" x14ac:dyDescent="0.25">
      <c r="A2972" s="1" t="str">
        <f t="shared" si="146"/>
        <v>4506745070118.57MASTER CCSHOPPINGCHILE</v>
      </c>
      <c r="B2972" s="154">
        <v>45067</v>
      </c>
      <c r="C2972" s="154">
        <v>45070</v>
      </c>
      <c r="D2972" s="3" t="s">
        <v>3485</v>
      </c>
      <c r="E2972" s="3">
        <v>-118.57</v>
      </c>
      <c r="F2972" s="3">
        <v>1</v>
      </c>
      <c r="G2972" s="3">
        <f t="shared" si="148"/>
        <v>118.57</v>
      </c>
      <c r="H2972" s="3" t="s">
        <v>291</v>
      </c>
      <c r="I2972" s="1" t="s">
        <v>194</v>
      </c>
      <c r="J2972" s="1" t="s">
        <v>3497</v>
      </c>
      <c r="K2972" s="1" t="s">
        <v>298</v>
      </c>
      <c r="L2972" s="1" t="s">
        <v>267</v>
      </c>
      <c r="M2972" s="1"/>
      <c r="N2972" s="1">
        <f t="shared" si="147"/>
        <v>5</v>
      </c>
      <c r="O2972" s="87"/>
    </row>
    <row r="2973" spans="1:15" ht="15.75" hidden="1" x14ac:dyDescent="0.25">
      <c r="A2973" s="1" t="str">
        <f t="shared" si="146"/>
        <v>4506745070379.38MASTER CCSHOPPINGCHILE</v>
      </c>
      <c r="B2973" s="154">
        <v>45067</v>
      </c>
      <c r="C2973" s="154">
        <v>45070</v>
      </c>
      <c r="D2973" s="3" t="s">
        <v>3486</v>
      </c>
      <c r="E2973" s="3">
        <v>-379.38</v>
      </c>
      <c r="F2973" s="3">
        <v>1</v>
      </c>
      <c r="G2973" s="3">
        <f t="shared" si="148"/>
        <v>379.38</v>
      </c>
      <c r="H2973" s="3" t="s">
        <v>291</v>
      </c>
      <c r="I2973" s="1" t="s">
        <v>194</v>
      </c>
      <c r="J2973" s="1" t="s">
        <v>3497</v>
      </c>
      <c r="K2973" s="1" t="s">
        <v>298</v>
      </c>
      <c r="L2973" s="1" t="s">
        <v>267</v>
      </c>
      <c r="M2973" s="1"/>
      <c r="N2973" s="1">
        <f t="shared" si="147"/>
        <v>5</v>
      </c>
      <c r="O2973" s="87"/>
    </row>
    <row r="2974" spans="1:15" ht="15.75" hidden="1" x14ac:dyDescent="0.25">
      <c r="A2974" s="1" t="str">
        <f t="shared" si="146"/>
        <v>450684507118.81MASTER CCFOODCAFÉ/REST.</v>
      </c>
      <c r="B2974" s="154">
        <v>45068</v>
      </c>
      <c r="C2974" s="154">
        <v>45071</v>
      </c>
      <c r="D2974" s="3" t="s">
        <v>3487</v>
      </c>
      <c r="E2974" s="3">
        <v>-18.809999999999999</v>
      </c>
      <c r="F2974" s="3">
        <v>1</v>
      </c>
      <c r="G2974" s="3">
        <f t="shared" si="148"/>
        <v>18.809999999999999</v>
      </c>
      <c r="H2974" s="3" t="s">
        <v>291</v>
      </c>
      <c r="I2974" s="1" t="s">
        <v>10</v>
      </c>
      <c r="J2974" s="1" t="s">
        <v>11</v>
      </c>
      <c r="K2974" s="1" t="s">
        <v>298</v>
      </c>
      <c r="L2974" s="1" t="s">
        <v>267</v>
      </c>
      <c r="M2974" s="1"/>
      <c r="N2974" s="1">
        <f t="shared" si="147"/>
        <v>5</v>
      </c>
      <c r="O2974" s="87"/>
    </row>
    <row r="2975" spans="1:15" ht="15.75" hidden="1" x14ac:dyDescent="0.25">
      <c r="A2975" s="1" t="str">
        <f t="shared" si="146"/>
        <v>45071450732600.03MASTER CCHOTELHILTON</v>
      </c>
      <c r="B2975" s="154">
        <v>45071</v>
      </c>
      <c r="C2975" s="154">
        <v>45073</v>
      </c>
      <c r="D2975" s="3" t="s">
        <v>3484</v>
      </c>
      <c r="E2975" s="3">
        <v>-2600.0300000000002</v>
      </c>
      <c r="F2975" s="3">
        <v>1</v>
      </c>
      <c r="G2975" s="3">
        <f t="shared" si="148"/>
        <v>2600.0300000000002</v>
      </c>
      <c r="H2975" s="3" t="s">
        <v>291</v>
      </c>
      <c r="I2975" s="1" t="s">
        <v>1128</v>
      </c>
      <c r="J2975" s="1" t="s">
        <v>3499</v>
      </c>
      <c r="K2975" s="1" t="s">
        <v>298</v>
      </c>
      <c r="L2975" s="1" t="s">
        <v>267</v>
      </c>
      <c r="M2975" s="1"/>
      <c r="N2975" s="1">
        <f t="shared" si="147"/>
        <v>5</v>
      </c>
      <c r="O2975" s="87"/>
    </row>
    <row r="2976" spans="1:15" ht="15.75" hidden="1" x14ac:dyDescent="0.25">
      <c r="A2976" s="1" t="str">
        <f t="shared" si="146"/>
        <v>4507145073116.04MASTER CCSHOPPINGCHILE</v>
      </c>
      <c r="B2976" s="154">
        <v>45071</v>
      </c>
      <c r="C2976" s="154">
        <v>45073</v>
      </c>
      <c r="D2976" s="3" t="s">
        <v>3488</v>
      </c>
      <c r="E2976" s="3">
        <v>-116.04</v>
      </c>
      <c r="F2976" s="3">
        <v>1</v>
      </c>
      <c r="G2976" s="3">
        <f t="shared" si="148"/>
        <v>116.04</v>
      </c>
      <c r="H2976" s="3" t="s">
        <v>291</v>
      </c>
      <c r="I2976" s="1" t="s">
        <v>194</v>
      </c>
      <c r="J2976" s="1" t="s">
        <v>3497</v>
      </c>
      <c r="K2976" s="1" t="s">
        <v>298</v>
      </c>
      <c r="L2976" s="1" t="s">
        <v>267</v>
      </c>
      <c r="M2976" s="1"/>
      <c r="N2976" s="1">
        <f t="shared" si="147"/>
        <v>5</v>
      </c>
      <c r="O2976" s="87"/>
    </row>
    <row r="2977" spans="1:15" ht="15.75" hidden="1" x14ac:dyDescent="0.25">
      <c r="A2977" s="1" t="str">
        <f t="shared" si="146"/>
        <v>450714507355.82MASTER CCSHOPPINGCHILE</v>
      </c>
      <c r="B2977" s="154">
        <v>45071</v>
      </c>
      <c r="C2977" s="154">
        <v>45073</v>
      </c>
      <c r="D2977" s="3" t="s">
        <v>3489</v>
      </c>
      <c r="E2977" s="3">
        <v>-55.82</v>
      </c>
      <c r="F2977" s="3">
        <v>1</v>
      </c>
      <c r="G2977" s="3">
        <f t="shared" si="148"/>
        <v>55.82</v>
      </c>
      <c r="H2977" s="3" t="s">
        <v>291</v>
      </c>
      <c r="I2977" s="1" t="s">
        <v>194</v>
      </c>
      <c r="J2977" s="1" t="s">
        <v>3497</v>
      </c>
      <c r="K2977" s="1" t="s">
        <v>298</v>
      </c>
      <c r="L2977" s="1" t="s">
        <v>267</v>
      </c>
      <c r="M2977" s="1"/>
      <c r="N2977" s="1">
        <f t="shared" si="147"/>
        <v>5</v>
      </c>
      <c r="O2977" s="87"/>
    </row>
    <row r="2978" spans="1:15" ht="15.75" hidden="1" x14ac:dyDescent="0.25">
      <c r="A2978" s="1" t="str">
        <f t="shared" si="146"/>
        <v>450724507626.39DINERSTRANSPORTUBER</v>
      </c>
      <c r="B2978" s="154">
        <v>45072</v>
      </c>
      <c r="C2978" s="154">
        <v>45076</v>
      </c>
      <c r="D2978" s="3" t="s">
        <v>3438</v>
      </c>
      <c r="E2978" s="3">
        <v>-26.39</v>
      </c>
      <c r="F2978" s="3">
        <v>1</v>
      </c>
      <c r="G2978" s="3">
        <f t="shared" si="148"/>
        <v>26.39</v>
      </c>
      <c r="H2978" s="3" t="s">
        <v>266</v>
      </c>
      <c r="I2978" s="1" t="s">
        <v>296</v>
      </c>
      <c r="J2978" s="1" t="s">
        <v>299</v>
      </c>
      <c r="K2978" s="1" t="s">
        <v>298</v>
      </c>
      <c r="L2978" s="1" t="s">
        <v>267</v>
      </c>
      <c r="M2978" s="1"/>
      <c r="N2978" s="1">
        <f t="shared" si="147"/>
        <v>5</v>
      </c>
      <c r="O2978" s="87"/>
    </row>
    <row r="2979" spans="1:15" ht="15.75" hidden="1" x14ac:dyDescent="0.25">
      <c r="A2979" s="1" t="str">
        <f t="shared" si="146"/>
        <v>450724507548MASTER CCFOODTALABAT</v>
      </c>
      <c r="B2979" s="154">
        <v>45072</v>
      </c>
      <c r="C2979" s="154">
        <v>45075</v>
      </c>
      <c r="D2979" s="3" t="s">
        <v>3490</v>
      </c>
      <c r="E2979" s="3">
        <v>-48</v>
      </c>
      <c r="F2979" s="3">
        <v>1</v>
      </c>
      <c r="G2979" s="3">
        <f t="shared" si="148"/>
        <v>48</v>
      </c>
      <c r="H2979" s="3" t="s">
        <v>291</v>
      </c>
      <c r="I2979" s="1" t="s">
        <v>10</v>
      </c>
      <c r="J2979" s="1" t="s">
        <v>865</v>
      </c>
      <c r="K2979" s="1" t="s">
        <v>298</v>
      </c>
      <c r="L2979" s="1" t="s">
        <v>267</v>
      </c>
      <c r="M2979" s="1"/>
      <c r="N2979" s="1">
        <f t="shared" si="147"/>
        <v>5</v>
      </c>
      <c r="O2979" s="87"/>
    </row>
    <row r="2980" spans="1:15" ht="15.75" hidden="1" x14ac:dyDescent="0.25">
      <c r="A2980" s="1" t="str">
        <f t="shared" si="146"/>
        <v>4507345074117DINERSTELECOMOOREDOO</v>
      </c>
      <c r="B2980" s="154">
        <v>45073</v>
      </c>
      <c r="C2980" s="154">
        <v>45074</v>
      </c>
      <c r="D2980" s="3" t="s">
        <v>3439</v>
      </c>
      <c r="E2980" s="3">
        <v>-117</v>
      </c>
      <c r="F2980" s="3">
        <v>1</v>
      </c>
      <c r="G2980" s="3">
        <f t="shared" si="148"/>
        <v>117</v>
      </c>
      <c r="H2980" s="3" t="s">
        <v>266</v>
      </c>
      <c r="I2980" s="1" t="s">
        <v>58</v>
      </c>
      <c r="J2980" s="1" t="s">
        <v>59</v>
      </c>
      <c r="K2980" s="1" t="s">
        <v>298</v>
      </c>
      <c r="L2980" s="1" t="s">
        <v>267</v>
      </c>
      <c r="M2980" s="1"/>
      <c r="N2980" s="1">
        <f t="shared" si="147"/>
        <v>5</v>
      </c>
      <c r="O2980" s="87"/>
    </row>
    <row r="2981" spans="1:15" ht="15.75" hidden="1" x14ac:dyDescent="0.25">
      <c r="A2981" s="1" t="str">
        <f t="shared" si="146"/>
        <v>45073450731200DINERSRENTKAHRAMAA</v>
      </c>
      <c r="B2981" s="154">
        <v>45073</v>
      </c>
      <c r="C2981" s="154">
        <v>45073</v>
      </c>
      <c r="D2981" s="3" t="s">
        <v>3440</v>
      </c>
      <c r="E2981" s="3">
        <v>-1200</v>
      </c>
      <c r="F2981" s="3">
        <v>1</v>
      </c>
      <c r="G2981" s="3">
        <f t="shared" si="148"/>
        <v>1200</v>
      </c>
      <c r="H2981" s="3" t="s">
        <v>266</v>
      </c>
      <c r="I2981" s="1" t="s">
        <v>83</v>
      </c>
      <c r="J2981" s="1" t="s">
        <v>4113</v>
      </c>
      <c r="K2981" s="1" t="s">
        <v>298</v>
      </c>
      <c r="L2981" s="1" t="s">
        <v>267</v>
      </c>
      <c r="M2981" s="1"/>
      <c r="N2981" s="1">
        <f t="shared" si="147"/>
        <v>5</v>
      </c>
      <c r="O2981" s="87"/>
    </row>
    <row r="2982" spans="1:15" ht="15.75" hidden="1" x14ac:dyDescent="0.25">
      <c r="A2982" s="1" t="str">
        <f t="shared" si="146"/>
        <v>4507445074135.3CURRENTTRANSPORTUBER</v>
      </c>
      <c r="B2982" s="154">
        <v>45074</v>
      </c>
      <c r="C2982" s="154">
        <v>45074</v>
      </c>
      <c r="D2982" s="3" t="s">
        <v>3419</v>
      </c>
      <c r="E2982" s="3">
        <v>-135.30000000000001</v>
      </c>
      <c r="F2982" s="3">
        <v>1</v>
      </c>
      <c r="G2982" s="3">
        <f t="shared" si="148"/>
        <v>135.30000000000001</v>
      </c>
      <c r="H2982" s="3" t="s">
        <v>293</v>
      </c>
      <c r="I2982" s="1" t="s">
        <v>296</v>
      </c>
      <c r="J2982" s="1" t="s">
        <v>299</v>
      </c>
      <c r="K2982" s="1" t="s">
        <v>298</v>
      </c>
      <c r="L2982" s="1" t="s">
        <v>257</v>
      </c>
      <c r="M2982" s="1"/>
      <c r="N2982" s="1">
        <f t="shared" si="147"/>
        <v>5</v>
      </c>
      <c r="O2982" s="87"/>
    </row>
    <row r="2983" spans="1:15" ht="15.75" hidden="1" x14ac:dyDescent="0.25">
      <c r="A2983" s="1" t="str">
        <f t="shared" si="146"/>
        <v>450744507416.57CURRENTFOODCAFÉ/REST.</v>
      </c>
      <c r="B2983" s="154">
        <v>45074</v>
      </c>
      <c r="C2983" s="154">
        <v>45074</v>
      </c>
      <c r="D2983" s="3" t="s">
        <v>3420</v>
      </c>
      <c r="E2983" s="3">
        <v>-16.57</v>
      </c>
      <c r="F2983" s="3">
        <v>1</v>
      </c>
      <c r="G2983" s="3">
        <f t="shared" si="148"/>
        <v>16.57</v>
      </c>
      <c r="H2983" s="3" t="s">
        <v>293</v>
      </c>
      <c r="I2983" s="1" t="s">
        <v>10</v>
      </c>
      <c r="J2983" s="1" t="s">
        <v>11</v>
      </c>
      <c r="K2983" s="1" t="s">
        <v>298</v>
      </c>
      <c r="L2983" s="1" t="s">
        <v>257</v>
      </c>
      <c r="M2983" s="1"/>
      <c r="N2983" s="1">
        <f t="shared" si="147"/>
        <v>5</v>
      </c>
      <c r="O2983" s="87"/>
    </row>
    <row r="2984" spans="1:15" ht="15.75" hidden="1" x14ac:dyDescent="0.25">
      <c r="A2984" s="1" t="str">
        <f t="shared" si="146"/>
        <v>450744507715MASTER CCTRANSPORTMR VALET</v>
      </c>
      <c r="B2984" s="154">
        <v>45074</v>
      </c>
      <c r="C2984" s="154">
        <v>45077</v>
      </c>
      <c r="D2984" s="3" t="s">
        <v>3491</v>
      </c>
      <c r="E2984" s="3">
        <v>-15</v>
      </c>
      <c r="F2984" s="3">
        <v>1</v>
      </c>
      <c r="G2984" s="3">
        <f t="shared" si="148"/>
        <v>15</v>
      </c>
      <c r="H2984" s="3" t="s">
        <v>291</v>
      </c>
      <c r="I2984" s="1" t="s">
        <v>296</v>
      </c>
      <c r="J2984" s="1" t="s">
        <v>2703</v>
      </c>
      <c r="K2984" s="1" t="s">
        <v>298</v>
      </c>
      <c r="L2984" s="1" t="s">
        <v>267</v>
      </c>
      <c r="M2984" s="1"/>
      <c r="N2984" s="1">
        <f t="shared" si="147"/>
        <v>5</v>
      </c>
      <c r="O2984" s="87"/>
    </row>
    <row r="2985" spans="1:15" ht="15.75" hidden="1" x14ac:dyDescent="0.25">
      <c r="A2985" s="1" t="str">
        <f t="shared" si="146"/>
        <v>450744507723MASTER CCFOODCAFÉ/REST.</v>
      </c>
      <c r="B2985" s="154">
        <v>45074</v>
      </c>
      <c r="C2985" s="154">
        <v>45077</v>
      </c>
      <c r="D2985" s="3" t="s">
        <v>3492</v>
      </c>
      <c r="E2985" s="3">
        <v>-23</v>
      </c>
      <c r="F2985" s="3">
        <v>1</v>
      </c>
      <c r="G2985" s="3">
        <f t="shared" si="148"/>
        <v>23</v>
      </c>
      <c r="H2985" s="3" t="s">
        <v>291</v>
      </c>
      <c r="I2985" s="1" t="s">
        <v>10</v>
      </c>
      <c r="J2985" s="1" t="s">
        <v>11</v>
      </c>
      <c r="K2985" s="1" t="s">
        <v>298</v>
      </c>
      <c r="L2985" s="1" t="s">
        <v>267</v>
      </c>
      <c r="M2985" s="1"/>
      <c r="N2985" s="1">
        <f t="shared" si="147"/>
        <v>5</v>
      </c>
      <c r="O2985" s="87"/>
    </row>
    <row r="2986" spans="1:15" ht="15.75" hidden="1" x14ac:dyDescent="0.25">
      <c r="A2986" s="1" t="str">
        <f t="shared" si="146"/>
        <v>450744507646MASTER CCFOODWISHBOX</v>
      </c>
      <c r="B2986" s="154">
        <v>45074</v>
      </c>
      <c r="C2986" s="154">
        <v>45076</v>
      </c>
      <c r="D2986" s="3" t="s">
        <v>3493</v>
      </c>
      <c r="E2986" s="3">
        <v>-46</v>
      </c>
      <c r="F2986" s="3">
        <v>1</v>
      </c>
      <c r="G2986" s="3">
        <f t="shared" si="148"/>
        <v>46</v>
      </c>
      <c r="H2986" s="3" t="s">
        <v>291</v>
      </c>
      <c r="I2986" s="1" t="s">
        <v>10</v>
      </c>
      <c r="J2986" s="1" t="s">
        <v>1199</v>
      </c>
      <c r="K2986" s="1" t="s">
        <v>298</v>
      </c>
      <c r="L2986" s="1" t="s">
        <v>267</v>
      </c>
      <c r="M2986" s="1"/>
      <c r="N2986" s="1">
        <f t="shared" si="147"/>
        <v>5</v>
      </c>
      <c r="O2986" s="87"/>
    </row>
    <row r="2987" spans="1:15" ht="15.75" hidden="1" x14ac:dyDescent="0.25">
      <c r="A2987" s="1" t="str">
        <f t="shared" si="146"/>
        <v>45076450766578CURRENTCC BILL PAYMENTBANK</v>
      </c>
      <c r="B2987" s="154">
        <v>45076</v>
      </c>
      <c r="C2987" s="154">
        <v>45076</v>
      </c>
      <c r="D2987" s="3" t="s">
        <v>3421</v>
      </c>
      <c r="E2987" s="3">
        <v>-6578</v>
      </c>
      <c r="F2987" s="3">
        <v>1</v>
      </c>
      <c r="G2987" s="3">
        <f t="shared" si="148"/>
        <v>6578</v>
      </c>
      <c r="H2987" s="3" t="s">
        <v>293</v>
      </c>
      <c r="I2987" s="1" t="s">
        <v>81</v>
      </c>
      <c r="J2987" s="1" t="s">
        <v>8</v>
      </c>
      <c r="K2987" s="1" t="s">
        <v>298</v>
      </c>
      <c r="L2987" s="1" t="s">
        <v>257</v>
      </c>
      <c r="M2987" s="1"/>
      <c r="N2987" s="1">
        <f t="shared" si="147"/>
        <v>5</v>
      </c>
      <c r="O2987" s="87"/>
    </row>
    <row r="2988" spans="1:15" ht="15.75" hidden="1" x14ac:dyDescent="0.25">
      <c r="A2988" s="1" t="str">
        <f t="shared" si="146"/>
        <v>450764507625624CURRENTSALARYQATAR AIR</v>
      </c>
      <c r="B2988" s="154">
        <v>45076</v>
      </c>
      <c r="C2988" s="154">
        <v>45076</v>
      </c>
      <c r="D2988" s="3" t="s">
        <v>3422</v>
      </c>
      <c r="E2988" s="3">
        <v>25624</v>
      </c>
      <c r="F2988" s="3">
        <v>1</v>
      </c>
      <c r="G2988" s="3">
        <f t="shared" si="148"/>
        <v>25624</v>
      </c>
      <c r="H2988" s="3" t="s">
        <v>293</v>
      </c>
      <c r="I2988" s="1" t="s">
        <v>18</v>
      </c>
      <c r="J2988" s="1" t="s">
        <v>19</v>
      </c>
      <c r="K2988" s="1" t="s">
        <v>300</v>
      </c>
      <c r="L2988" s="1" t="s">
        <v>257</v>
      </c>
      <c r="M2988" s="1"/>
      <c r="N2988" s="1">
        <f t="shared" si="147"/>
        <v>5</v>
      </c>
      <c r="O2988" s="87"/>
    </row>
    <row r="2989" spans="1:15" ht="15.75" hidden="1" x14ac:dyDescent="0.25">
      <c r="A2989" s="1" t="str">
        <f t="shared" si="146"/>
        <v>45076450776578DINERSCC BILL PAYMENTBANK</v>
      </c>
      <c r="B2989" s="154">
        <v>45076</v>
      </c>
      <c r="C2989" s="154">
        <v>45077</v>
      </c>
      <c r="D2989" s="3" t="s">
        <v>80</v>
      </c>
      <c r="E2989" s="3">
        <v>6578</v>
      </c>
      <c r="F2989" s="3">
        <v>1</v>
      </c>
      <c r="G2989" s="3">
        <f t="shared" si="148"/>
        <v>6578</v>
      </c>
      <c r="H2989" s="3" t="s">
        <v>266</v>
      </c>
      <c r="I2989" s="1" t="s">
        <v>81</v>
      </c>
      <c r="J2989" s="1" t="s">
        <v>8</v>
      </c>
      <c r="K2989" s="1" t="s">
        <v>300</v>
      </c>
      <c r="L2989" s="1" t="s">
        <v>267</v>
      </c>
      <c r="M2989" s="1"/>
      <c r="N2989" s="1">
        <f t="shared" si="147"/>
        <v>5</v>
      </c>
      <c r="O2989" s="87"/>
    </row>
    <row r="2990" spans="1:15" ht="15.75" hidden="1" x14ac:dyDescent="0.25">
      <c r="A2990" s="1" t="str">
        <f t="shared" si="146"/>
        <v>450764507720MASTER CCFOODWISHBOX</v>
      </c>
      <c r="B2990" s="154">
        <v>45076</v>
      </c>
      <c r="C2990" s="154">
        <v>45077</v>
      </c>
      <c r="D2990" s="3" t="s">
        <v>3494</v>
      </c>
      <c r="E2990" s="3">
        <v>-20</v>
      </c>
      <c r="F2990" s="3">
        <v>1</v>
      </c>
      <c r="G2990" s="3">
        <f t="shared" si="148"/>
        <v>20</v>
      </c>
      <c r="H2990" s="3" t="s">
        <v>291</v>
      </c>
      <c r="I2990" s="1" t="s">
        <v>10</v>
      </c>
      <c r="J2990" s="1" t="s">
        <v>1199</v>
      </c>
      <c r="K2990" s="1" t="s">
        <v>298</v>
      </c>
      <c r="L2990" s="1" t="s">
        <v>267</v>
      </c>
      <c r="M2990" s="1"/>
      <c r="N2990" s="1">
        <f t="shared" si="147"/>
        <v>5</v>
      </c>
      <c r="O2990" s="87"/>
    </row>
    <row r="2991" spans="1:15" ht="15.75" hidden="1" x14ac:dyDescent="0.25">
      <c r="A2991" s="1" t="str">
        <f t="shared" si="146"/>
        <v>450774507760.07CURRENTGROCERYSAFARI</v>
      </c>
      <c r="B2991" s="154">
        <v>45077</v>
      </c>
      <c r="C2991" s="154">
        <v>45077</v>
      </c>
      <c r="D2991" s="3" t="s">
        <v>3423</v>
      </c>
      <c r="E2991" s="3">
        <v>-60.07</v>
      </c>
      <c r="F2991" s="3">
        <v>1</v>
      </c>
      <c r="G2991" s="3">
        <f t="shared" si="148"/>
        <v>60.07</v>
      </c>
      <c r="H2991" s="3" t="s">
        <v>293</v>
      </c>
      <c r="I2991" s="1" t="s">
        <v>43</v>
      </c>
      <c r="J2991" s="1" t="s">
        <v>3498</v>
      </c>
      <c r="K2991" s="1" t="s">
        <v>298</v>
      </c>
      <c r="L2991" s="1" t="s">
        <v>257</v>
      </c>
      <c r="M2991" s="1"/>
      <c r="N2991" s="1">
        <f t="shared" si="147"/>
        <v>5</v>
      </c>
      <c r="O2991" s="87"/>
    </row>
    <row r="2992" spans="1:15" ht="15.75" hidden="1" x14ac:dyDescent="0.25">
      <c r="A2992" s="1" t="str">
        <f t="shared" si="146"/>
        <v>45077450776CURRENTFOODQATAR AIR</v>
      </c>
      <c r="B2992" s="154">
        <v>45077</v>
      </c>
      <c r="C2992" s="154">
        <v>45077</v>
      </c>
      <c r="D2992" s="3" t="s">
        <v>3424</v>
      </c>
      <c r="E2992" s="3">
        <v>-6</v>
      </c>
      <c r="F2992" s="3">
        <v>1</v>
      </c>
      <c r="G2992" s="3">
        <f t="shared" si="148"/>
        <v>6</v>
      </c>
      <c r="H2992" s="3" t="s">
        <v>293</v>
      </c>
      <c r="I2992" s="1" t="s">
        <v>10</v>
      </c>
      <c r="J2992" s="1" t="s">
        <v>19</v>
      </c>
      <c r="K2992" s="1" t="s">
        <v>298</v>
      </c>
      <c r="L2992" s="1" t="s">
        <v>257</v>
      </c>
      <c r="M2992" s="1"/>
      <c r="N2992" s="1">
        <f t="shared" si="147"/>
        <v>5</v>
      </c>
      <c r="O2992" s="87"/>
    </row>
    <row r="2993" spans="1:15" ht="15.75" hidden="1" x14ac:dyDescent="0.25">
      <c r="A2993" s="1" t="str">
        <f t="shared" si="146"/>
        <v>450774507713MASTER CCFOODQATAR AIR</v>
      </c>
      <c r="B2993" s="154">
        <v>45077</v>
      </c>
      <c r="C2993" s="156">
        <f>B2993</f>
        <v>45077</v>
      </c>
      <c r="D2993" s="3" t="s">
        <v>3495</v>
      </c>
      <c r="E2993" s="3">
        <v>-13</v>
      </c>
      <c r="F2993" s="3">
        <v>1</v>
      </c>
      <c r="G2993" s="3">
        <f t="shared" si="148"/>
        <v>13</v>
      </c>
      <c r="H2993" s="3" t="s">
        <v>291</v>
      </c>
      <c r="I2993" s="1" t="s">
        <v>10</v>
      </c>
      <c r="J2993" s="1" t="s">
        <v>19</v>
      </c>
      <c r="K2993" s="1" t="s">
        <v>298</v>
      </c>
      <c r="L2993" s="1" t="s">
        <v>267</v>
      </c>
      <c r="M2993" s="1"/>
      <c r="N2993" s="1">
        <f t="shared" si="147"/>
        <v>5</v>
      </c>
      <c r="O2993" s="87"/>
    </row>
    <row r="2994" spans="1:15" ht="15.75" hidden="1" x14ac:dyDescent="0.25">
      <c r="A2994" s="1" t="str">
        <f t="shared" si="146"/>
        <v>450784507815CURRENTFOODQATAR AIR</v>
      </c>
      <c r="B2994" s="154">
        <v>45078</v>
      </c>
      <c r="C2994" s="154">
        <v>45078</v>
      </c>
      <c r="D2994" s="3" t="s">
        <v>3425</v>
      </c>
      <c r="E2994" s="3">
        <v>-15</v>
      </c>
      <c r="F2994" s="3">
        <v>1</v>
      </c>
      <c r="G2994" s="3">
        <f t="shared" si="148"/>
        <v>15</v>
      </c>
      <c r="H2994" s="3" t="s">
        <v>293</v>
      </c>
      <c r="I2994" s="1" t="s">
        <v>10</v>
      </c>
      <c r="J2994" s="1" t="s">
        <v>19</v>
      </c>
      <c r="K2994" s="1" t="s">
        <v>298</v>
      </c>
      <c r="L2994" s="1" t="s">
        <v>257</v>
      </c>
      <c r="M2994" s="1"/>
      <c r="N2994" s="1">
        <f t="shared" si="147"/>
        <v>6</v>
      </c>
      <c r="O2994" s="87"/>
    </row>
    <row r="2995" spans="1:15" ht="15.75" hidden="1" x14ac:dyDescent="0.25">
      <c r="A2995" s="1" t="str">
        <f t="shared" si="146"/>
        <v>4507845078500CURRENTWITHDRAWSELF</v>
      </c>
      <c r="B2995" s="154">
        <v>45078</v>
      </c>
      <c r="C2995" s="154">
        <v>45078</v>
      </c>
      <c r="D2995" s="3" t="s">
        <v>3426</v>
      </c>
      <c r="E2995" s="3">
        <v>-500</v>
      </c>
      <c r="F2995" s="3">
        <v>1</v>
      </c>
      <c r="G2995" s="3">
        <f t="shared" si="148"/>
        <v>500</v>
      </c>
      <c r="H2995" s="3" t="s">
        <v>293</v>
      </c>
      <c r="I2995" s="1" t="s">
        <v>13</v>
      </c>
      <c r="J2995" s="1" t="s">
        <v>14</v>
      </c>
      <c r="K2995" s="1" t="s">
        <v>298</v>
      </c>
      <c r="L2995" s="1" t="s">
        <v>257</v>
      </c>
      <c r="M2995" s="1"/>
      <c r="N2995" s="1">
        <f t="shared" si="147"/>
        <v>6</v>
      </c>
      <c r="O2995" s="87"/>
    </row>
    <row r="2996" spans="1:15" ht="15.75" hidden="1" x14ac:dyDescent="0.25">
      <c r="A2996" s="1" t="str">
        <f t="shared" si="146"/>
        <v>4507845078500CURRENTSAVINGARTI</v>
      </c>
      <c r="B2996" s="154">
        <v>45078</v>
      </c>
      <c r="C2996" s="154">
        <v>45078</v>
      </c>
      <c r="D2996" s="3" t="s">
        <v>2909</v>
      </c>
      <c r="E2996" s="3">
        <v>-500</v>
      </c>
      <c r="F2996" s="3">
        <v>1</v>
      </c>
      <c r="G2996" s="3">
        <f t="shared" si="148"/>
        <v>500</v>
      </c>
      <c r="H2996" s="3" t="s">
        <v>293</v>
      </c>
      <c r="I2996" s="1" t="s">
        <v>302</v>
      </c>
      <c r="J2996" s="1" t="s">
        <v>453</v>
      </c>
      <c r="K2996" s="1" t="s">
        <v>298</v>
      </c>
      <c r="L2996" s="1" t="s">
        <v>257</v>
      </c>
      <c r="M2996" s="1"/>
      <c r="N2996" s="1">
        <f t="shared" si="147"/>
        <v>6</v>
      </c>
      <c r="O2996" s="87"/>
    </row>
    <row r="2997" spans="1:15" ht="15.75" hidden="1" x14ac:dyDescent="0.25">
      <c r="A2997" s="1" t="str">
        <f t="shared" si="146"/>
        <v>450784507858MASTER CCFOODTALABAT</v>
      </c>
      <c r="B2997" s="154">
        <v>45078</v>
      </c>
      <c r="C2997" s="154">
        <f>B2997</f>
        <v>45078</v>
      </c>
      <c r="D2997" s="3" t="s">
        <v>3496</v>
      </c>
      <c r="E2997" s="3">
        <v>-58</v>
      </c>
      <c r="F2997" s="3">
        <v>1</v>
      </c>
      <c r="G2997" s="3">
        <f t="shared" si="148"/>
        <v>58</v>
      </c>
      <c r="H2997" s="3" t="s">
        <v>291</v>
      </c>
      <c r="I2997" s="1" t="s">
        <v>10</v>
      </c>
      <c r="J2997" s="1" t="s">
        <v>865</v>
      </c>
      <c r="K2997" s="1" t="s">
        <v>298</v>
      </c>
      <c r="L2997" s="1" t="s">
        <v>267</v>
      </c>
      <c r="M2997" s="1"/>
      <c r="N2997" s="1">
        <f t="shared" si="147"/>
        <v>6</v>
      </c>
      <c r="O2997" s="87"/>
    </row>
    <row r="2998" spans="1:15" ht="15.75" hidden="1" x14ac:dyDescent="0.25">
      <c r="A2998" s="1" t="str">
        <f t="shared" si="146"/>
        <v>450794508135MASTER CCFOODWISHBOX</v>
      </c>
      <c r="B2998" s="154">
        <v>45079</v>
      </c>
      <c r="C2998" s="154">
        <v>45081</v>
      </c>
      <c r="D2998" s="3" t="s">
        <v>3533</v>
      </c>
      <c r="E2998" s="3">
        <v>-35</v>
      </c>
      <c r="F2998" s="3">
        <v>1</v>
      </c>
      <c r="G2998" s="3">
        <f t="shared" si="148"/>
        <v>35</v>
      </c>
      <c r="H2998" s="3" t="s">
        <v>291</v>
      </c>
      <c r="I2998" s="1" t="s">
        <v>10</v>
      </c>
      <c r="J2998" s="1" t="s">
        <v>1199</v>
      </c>
      <c r="K2998" s="1" t="s">
        <v>298</v>
      </c>
      <c r="L2998" s="1" t="s">
        <v>267</v>
      </c>
      <c r="M2998" s="1"/>
      <c r="N2998" s="1">
        <f t="shared" si="147"/>
        <v>6</v>
      </c>
      <c r="O2998" s="87"/>
    </row>
    <row r="2999" spans="1:15" ht="15.75" hidden="1" x14ac:dyDescent="0.25">
      <c r="A2999" s="1" t="str">
        <f t="shared" si="146"/>
        <v>450794508042DINERSRENTKAHRAMAA</v>
      </c>
      <c r="B2999" s="154">
        <v>45079</v>
      </c>
      <c r="C2999" s="154">
        <v>45080</v>
      </c>
      <c r="D2999" s="3" t="s">
        <v>3615</v>
      </c>
      <c r="E2999" s="3">
        <v>-42</v>
      </c>
      <c r="F2999" s="3">
        <v>1</v>
      </c>
      <c r="G2999" s="3">
        <f t="shared" si="148"/>
        <v>42</v>
      </c>
      <c r="H2999" s="3" t="s">
        <v>266</v>
      </c>
      <c r="I2999" s="1" t="s">
        <v>83</v>
      </c>
      <c r="J2999" s="1" t="s">
        <v>4113</v>
      </c>
      <c r="K2999" s="1" t="s">
        <v>298</v>
      </c>
      <c r="L2999" s="1" t="s">
        <v>267</v>
      </c>
      <c r="M2999" s="1"/>
      <c r="N2999" s="1">
        <f t="shared" si="147"/>
        <v>6</v>
      </c>
      <c r="O2999" s="87"/>
    </row>
    <row r="3000" spans="1:15" ht="15.75" hidden="1" x14ac:dyDescent="0.25">
      <c r="A3000" s="1" t="str">
        <f t="shared" si="146"/>
        <v>4508045083105MASTER CCTRANSPORTWOQOD</v>
      </c>
      <c r="B3000" s="154">
        <v>45080</v>
      </c>
      <c r="C3000" s="154">
        <v>45083</v>
      </c>
      <c r="D3000" s="3" t="s">
        <v>3534</v>
      </c>
      <c r="E3000" s="3">
        <v>-105</v>
      </c>
      <c r="F3000" s="3">
        <v>1</v>
      </c>
      <c r="G3000" s="3">
        <f t="shared" si="148"/>
        <v>105</v>
      </c>
      <c r="H3000" s="3" t="s">
        <v>291</v>
      </c>
      <c r="I3000" s="1" t="s">
        <v>296</v>
      </c>
      <c r="J3000" s="1" t="s">
        <v>1942</v>
      </c>
      <c r="K3000" s="1" t="s">
        <v>298</v>
      </c>
      <c r="L3000" s="1" t="s">
        <v>267</v>
      </c>
      <c r="M3000" s="1"/>
      <c r="N3000" s="1">
        <f t="shared" si="147"/>
        <v>6</v>
      </c>
      <c r="O3000" s="87"/>
    </row>
    <row r="3001" spans="1:15" ht="15.75" hidden="1" x14ac:dyDescent="0.25">
      <c r="A3001" s="1" t="str">
        <f t="shared" si="146"/>
        <v>450804508228MASTER CCFOODCAFÉ/REST.</v>
      </c>
      <c r="B3001" s="154">
        <v>45080</v>
      </c>
      <c r="C3001" s="154">
        <v>45082</v>
      </c>
      <c r="D3001" s="3" t="s">
        <v>3535</v>
      </c>
      <c r="E3001" s="3">
        <v>-28</v>
      </c>
      <c r="F3001" s="3">
        <v>1</v>
      </c>
      <c r="G3001" s="3">
        <f t="shared" si="148"/>
        <v>28</v>
      </c>
      <c r="H3001" s="3" t="s">
        <v>291</v>
      </c>
      <c r="I3001" s="1" t="s">
        <v>10</v>
      </c>
      <c r="J3001" s="1" t="s">
        <v>11</v>
      </c>
      <c r="K3001" s="1" t="s">
        <v>298</v>
      </c>
      <c r="L3001" s="1" t="s">
        <v>267</v>
      </c>
      <c r="M3001" s="1"/>
      <c r="N3001" s="1">
        <f t="shared" si="147"/>
        <v>6</v>
      </c>
      <c r="O3001" s="87"/>
    </row>
    <row r="3002" spans="1:15" ht="15.75" hidden="1" x14ac:dyDescent="0.25">
      <c r="A3002" s="1" t="str">
        <f t="shared" si="146"/>
        <v>45080450826MASTER CCFOODCAFÉ/REST.</v>
      </c>
      <c r="B3002" s="154">
        <v>45080</v>
      </c>
      <c r="C3002" s="154">
        <v>45082</v>
      </c>
      <c r="D3002" s="3" t="s">
        <v>3536</v>
      </c>
      <c r="E3002" s="3">
        <v>-6</v>
      </c>
      <c r="F3002" s="3">
        <v>1</v>
      </c>
      <c r="G3002" s="3">
        <f t="shared" si="148"/>
        <v>6</v>
      </c>
      <c r="H3002" s="3" t="s">
        <v>291</v>
      </c>
      <c r="I3002" s="1" t="s">
        <v>10</v>
      </c>
      <c r="J3002" s="1" t="s">
        <v>11</v>
      </c>
      <c r="K3002" s="1" t="s">
        <v>298</v>
      </c>
      <c r="L3002" s="1" t="s">
        <v>267</v>
      </c>
      <c r="M3002" s="1"/>
      <c r="N3002" s="1">
        <f t="shared" si="147"/>
        <v>6</v>
      </c>
      <c r="O3002" s="87"/>
    </row>
    <row r="3003" spans="1:15" ht="15.75" hidden="1" x14ac:dyDescent="0.25">
      <c r="A3003" s="1" t="str">
        <f t="shared" si="146"/>
        <v>45081450815020CURRENTTRANSFERINDIA</v>
      </c>
      <c r="B3003" s="154">
        <v>45081</v>
      </c>
      <c r="C3003" s="154">
        <v>45081</v>
      </c>
      <c r="D3003" s="3" t="s">
        <v>3506</v>
      </c>
      <c r="E3003" s="3">
        <v>-5020</v>
      </c>
      <c r="F3003" s="3">
        <v>1</v>
      </c>
      <c r="G3003" s="3">
        <f t="shared" si="148"/>
        <v>5020</v>
      </c>
      <c r="H3003" s="3" t="s">
        <v>293</v>
      </c>
      <c r="I3003" s="1" t="s">
        <v>22</v>
      </c>
      <c r="J3003" s="1" t="s">
        <v>23</v>
      </c>
      <c r="K3003" s="1" t="s">
        <v>298</v>
      </c>
      <c r="L3003" s="1" t="s">
        <v>257</v>
      </c>
      <c r="M3003" s="1"/>
      <c r="N3003" s="1">
        <f t="shared" si="147"/>
        <v>6</v>
      </c>
      <c r="O3003" s="87"/>
    </row>
    <row r="3004" spans="1:15" ht="15.75" hidden="1" x14ac:dyDescent="0.25">
      <c r="A3004" s="1" t="str">
        <f t="shared" si="146"/>
        <v>450814508351MASTER CCFOODWISHBOX</v>
      </c>
      <c r="B3004" s="154">
        <v>45081</v>
      </c>
      <c r="C3004" s="154">
        <v>45083</v>
      </c>
      <c r="D3004" s="3" t="s">
        <v>3537</v>
      </c>
      <c r="E3004" s="3">
        <v>-51</v>
      </c>
      <c r="F3004" s="3">
        <v>1</v>
      </c>
      <c r="G3004" s="3">
        <f t="shared" si="148"/>
        <v>51</v>
      </c>
      <c r="H3004" s="3" t="s">
        <v>291</v>
      </c>
      <c r="I3004" s="1" t="s">
        <v>10</v>
      </c>
      <c r="J3004" s="1" t="s">
        <v>1199</v>
      </c>
      <c r="K3004" s="1" t="s">
        <v>298</v>
      </c>
      <c r="L3004" s="1" t="s">
        <v>267</v>
      </c>
      <c r="M3004" s="1"/>
      <c r="N3004" s="1">
        <f t="shared" si="147"/>
        <v>6</v>
      </c>
      <c r="O3004" s="87"/>
    </row>
    <row r="3005" spans="1:15" ht="15.75" hidden="1" x14ac:dyDescent="0.25">
      <c r="A3005" s="1" t="str">
        <f t="shared" si="146"/>
        <v>45081450834MASTER CCFOODQATAR AIR</v>
      </c>
      <c r="B3005" s="154">
        <v>45081</v>
      </c>
      <c r="C3005" s="154">
        <v>45083</v>
      </c>
      <c r="D3005" s="3" t="s">
        <v>3538</v>
      </c>
      <c r="E3005" s="3">
        <v>-4</v>
      </c>
      <c r="F3005" s="3">
        <v>1</v>
      </c>
      <c r="G3005" s="3">
        <f t="shared" si="148"/>
        <v>4</v>
      </c>
      <c r="H3005" s="3" t="s">
        <v>291</v>
      </c>
      <c r="I3005" s="1" t="s">
        <v>10</v>
      </c>
      <c r="J3005" s="1" t="s">
        <v>19</v>
      </c>
      <c r="K3005" s="1" t="s">
        <v>298</v>
      </c>
      <c r="L3005" s="1" t="s">
        <v>267</v>
      </c>
      <c r="M3005" s="1"/>
      <c r="N3005" s="1">
        <f t="shared" si="147"/>
        <v>6</v>
      </c>
      <c r="O3005" s="87"/>
    </row>
    <row r="3006" spans="1:15" ht="15.75" hidden="1" x14ac:dyDescent="0.25">
      <c r="A3006" s="1" t="str">
        <f t="shared" si="146"/>
        <v>45082450825000CURRENTRENTBARWA</v>
      </c>
      <c r="B3006" s="154">
        <v>45082</v>
      </c>
      <c r="C3006" s="154">
        <v>45082</v>
      </c>
      <c r="D3006" s="3" t="s">
        <v>3507</v>
      </c>
      <c r="E3006" s="3">
        <v>-5000</v>
      </c>
      <c r="F3006" s="3">
        <v>1</v>
      </c>
      <c r="G3006" s="3">
        <f t="shared" si="148"/>
        <v>5000</v>
      </c>
      <c r="H3006" s="3" t="s">
        <v>293</v>
      </c>
      <c r="I3006" s="1" t="s">
        <v>83</v>
      </c>
      <c r="J3006" s="1" t="s">
        <v>3633</v>
      </c>
      <c r="K3006" s="1" t="s">
        <v>298</v>
      </c>
      <c r="L3006" s="1" t="s">
        <v>257</v>
      </c>
      <c r="M3006" s="1"/>
      <c r="N3006" s="1">
        <f t="shared" si="147"/>
        <v>6</v>
      </c>
      <c r="O3006" s="87"/>
    </row>
    <row r="3007" spans="1:15" ht="15.75" hidden="1" x14ac:dyDescent="0.25">
      <c r="A3007" s="1" t="str">
        <f t="shared" si="146"/>
        <v>450824508545MASTER CCFOODTALABAT</v>
      </c>
      <c r="B3007" s="154">
        <v>45082</v>
      </c>
      <c r="C3007" s="154">
        <v>45085</v>
      </c>
      <c r="D3007" s="3" t="s">
        <v>3539</v>
      </c>
      <c r="E3007" s="3">
        <v>-45</v>
      </c>
      <c r="F3007" s="3">
        <v>1</v>
      </c>
      <c r="G3007" s="3">
        <f t="shared" si="148"/>
        <v>45</v>
      </c>
      <c r="H3007" s="3" t="s">
        <v>291</v>
      </c>
      <c r="I3007" s="1" t="s">
        <v>10</v>
      </c>
      <c r="J3007" s="1" t="s">
        <v>865</v>
      </c>
      <c r="K3007" s="1" t="s">
        <v>298</v>
      </c>
      <c r="L3007" s="1" t="s">
        <v>267</v>
      </c>
      <c r="M3007" s="1"/>
      <c r="N3007" s="1">
        <f t="shared" si="147"/>
        <v>6</v>
      </c>
      <c r="O3007" s="87"/>
    </row>
    <row r="3008" spans="1:15" ht="15.75" hidden="1" x14ac:dyDescent="0.25">
      <c r="A3008" s="1" t="str">
        <f t="shared" si="146"/>
        <v>450824508416MASTER CCLAUNDRYAL RAYES</v>
      </c>
      <c r="B3008" s="154">
        <v>45082</v>
      </c>
      <c r="C3008" s="154">
        <v>45084</v>
      </c>
      <c r="D3008" s="3" t="s">
        <v>3540</v>
      </c>
      <c r="E3008" s="3">
        <v>-16</v>
      </c>
      <c r="F3008" s="3">
        <v>1</v>
      </c>
      <c r="G3008" s="3">
        <f t="shared" si="148"/>
        <v>16</v>
      </c>
      <c r="H3008" s="3" t="s">
        <v>291</v>
      </c>
      <c r="I3008" s="1" t="s">
        <v>3164</v>
      </c>
      <c r="J3008" s="1" t="s">
        <v>3165</v>
      </c>
      <c r="K3008" s="1" t="s">
        <v>298</v>
      </c>
      <c r="L3008" s="1" t="s">
        <v>267</v>
      </c>
      <c r="M3008" s="1"/>
      <c r="N3008" s="1">
        <f t="shared" si="147"/>
        <v>6</v>
      </c>
      <c r="O3008" s="87"/>
    </row>
    <row r="3009" spans="1:15" ht="15.75" hidden="1" x14ac:dyDescent="0.25">
      <c r="A3009" s="1" t="str">
        <f t="shared" si="146"/>
        <v>450844508839MASTER CCFOODTALABAT</v>
      </c>
      <c r="B3009" s="154">
        <v>45084</v>
      </c>
      <c r="C3009" s="154">
        <v>45088</v>
      </c>
      <c r="D3009" s="3" t="s">
        <v>3541</v>
      </c>
      <c r="E3009" s="3">
        <v>-39</v>
      </c>
      <c r="F3009" s="3">
        <v>1</v>
      </c>
      <c r="G3009" s="3">
        <f t="shared" si="148"/>
        <v>39</v>
      </c>
      <c r="H3009" s="3" t="s">
        <v>291</v>
      </c>
      <c r="I3009" s="1" t="s">
        <v>10</v>
      </c>
      <c r="J3009" s="1" t="s">
        <v>865</v>
      </c>
      <c r="K3009" s="1" t="s">
        <v>298</v>
      </c>
      <c r="L3009" s="1" t="s">
        <v>267</v>
      </c>
      <c r="M3009" s="1"/>
      <c r="N3009" s="1">
        <f t="shared" si="147"/>
        <v>6</v>
      </c>
      <c r="O3009" s="87"/>
    </row>
    <row r="3010" spans="1:15" ht="15.75" hidden="1" x14ac:dyDescent="0.25">
      <c r="A3010" s="1" t="str">
        <f t="shared" ref="A3010:A3073" si="149">B3010&amp;C3010&amp;G3010&amp;H3010&amp;I3010&amp;J3010</f>
        <v>450844508763.84MASTER CCGROCERYINDIAN SUPER</v>
      </c>
      <c r="B3010" s="154">
        <v>45084</v>
      </c>
      <c r="C3010" s="154">
        <v>45087</v>
      </c>
      <c r="D3010" s="3" t="s">
        <v>3542</v>
      </c>
      <c r="E3010" s="3">
        <v>-63.84</v>
      </c>
      <c r="F3010" s="3">
        <v>1</v>
      </c>
      <c r="G3010" s="3">
        <f t="shared" si="148"/>
        <v>63.84</v>
      </c>
      <c r="H3010" s="3" t="s">
        <v>291</v>
      </c>
      <c r="I3010" s="1" t="s">
        <v>43</v>
      </c>
      <c r="J3010" s="1" t="s">
        <v>2273</v>
      </c>
      <c r="K3010" s="1" t="s">
        <v>298</v>
      </c>
      <c r="L3010" s="1" t="s">
        <v>267</v>
      </c>
      <c r="M3010" s="1"/>
      <c r="N3010" s="1">
        <f t="shared" ref="N3010:N3073" si="150">MONTH(C3010)</f>
        <v>6</v>
      </c>
      <c r="O3010" s="87"/>
    </row>
    <row r="3011" spans="1:15" ht="15.75" hidden="1" x14ac:dyDescent="0.25">
      <c r="A3011" s="1" t="str">
        <f t="shared" si="149"/>
        <v>450854508872MASTER CCFOODTALABAT</v>
      </c>
      <c r="B3011" s="154">
        <v>45085</v>
      </c>
      <c r="C3011" s="154">
        <v>45088</v>
      </c>
      <c r="D3011" s="3" t="s">
        <v>3543</v>
      </c>
      <c r="E3011" s="3">
        <v>-72</v>
      </c>
      <c r="F3011" s="3">
        <v>1</v>
      </c>
      <c r="G3011" s="3">
        <f t="shared" si="148"/>
        <v>72</v>
      </c>
      <c r="H3011" s="3" t="s">
        <v>291</v>
      </c>
      <c r="I3011" s="1" t="s">
        <v>10</v>
      </c>
      <c r="J3011" s="1" t="s">
        <v>865</v>
      </c>
      <c r="K3011" s="1" t="s">
        <v>298</v>
      </c>
      <c r="L3011" s="1" t="s">
        <v>267</v>
      </c>
      <c r="M3011" s="1"/>
      <c r="N3011" s="1">
        <f t="shared" si="150"/>
        <v>6</v>
      </c>
      <c r="O3011" s="87"/>
    </row>
    <row r="3012" spans="1:15" ht="15.75" hidden="1" x14ac:dyDescent="0.25">
      <c r="A3012" s="1" t="str">
        <f t="shared" si="149"/>
        <v>4508545086298.99MASTER CCENTERTAINMENTDISNEY</v>
      </c>
      <c r="B3012" s="154">
        <v>45085</v>
      </c>
      <c r="C3012" s="154">
        <v>45086</v>
      </c>
      <c r="D3012" s="3" t="s">
        <v>3544</v>
      </c>
      <c r="E3012" s="3">
        <v>-298.99</v>
      </c>
      <c r="F3012" s="3">
        <v>1</v>
      </c>
      <c r="G3012" s="3">
        <f t="shared" si="148"/>
        <v>298.99</v>
      </c>
      <c r="H3012" s="3" t="s">
        <v>291</v>
      </c>
      <c r="I3012" s="1" t="s">
        <v>2476</v>
      </c>
      <c r="J3012" s="1" t="s">
        <v>2477</v>
      </c>
      <c r="K3012" s="1" t="s">
        <v>298</v>
      </c>
      <c r="L3012" s="1" t="s">
        <v>267</v>
      </c>
      <c r="M3012" s="1"/>
      <c r="N3012" s="1">
        <f t="shared" si="150"/>
        <v>6</v>
      </c>
      <c r="O3012" s="87"/>
    </row>
    <row r="3013" spans="1:15" ht="15.75" hidden="1" x14ac:dyDescent="0.25">
      <c r="A3013" s="1" t="str">
        <f t="shared" si="149"/>
        <v>450864509023MASTER CCFOODCAFÉ/REST.</v>
      </c>
      <c r="B3013" s="154">
        <v>45086</v>
      </c>
      <c r="C3013" s="154">
        <v>45090</v>
      </c>
      <c r="D3013" s="3" t="s">
        <v>3545</v>
      </c>
      <c r="E3013" s="3">
        <v>-23</v>
      </c>
      <c r="F3013" s="3">
        <v>1</v>
      </c>
      <c r="G3013" s="3">
        <f t="shared" si="148"/>
        <v>23</v>
      </c>
      <c r="H3013" s="3" t="s">
        <v>291</v>
      </c>
      <c r="I3013" s="1" t="s">
        <v>10</v>
      </c>
      <c r="J3013" s="1" t="s">
        <v>11</v>
      </c>
      <c r="K3013" s="1" t="s">
        <v>298</v>
      </c>
      <c r="L3013" s="1" t="s">
        <v>267</v>
      </c>
      <c r="M3013" s="1"/>
      <c r="N3013" s="1">
        <f t="shared" si="150"/>
        <v>6</v>
      </c>
      <c r="O3013" s="87"/>
    </row>
    <row r="3014" spans="1:15" ht="15.75" hidden="1" x14ac:dyDescent="0.25">
      <c r="A3014" s="1" t="str">
        <f t="shared" si="149"/>
        <v>450874509048MASTER CCGROCERYLULU</v>
      </c>
      <c r="B3014" s="154">
        <v>45087</v>
      </c>
      <c r="C3014" s="154">
        <v>45090</v>
      </c>
      <c r="D3014" s="3" t="s">
        <v>3546</v>
      </c>
      <c r="E3014" s="3">
        <v>-48</v>
      </c>
      <c r="F3014" s="3">
        <v>1</v>
      </c>
      <c r="G3014" s="3">
        <f t="shared" si="148"/>
        <v>48</v>
      </c>
      <c r="H3014" s="3" t="s">
        <v>291</v>
      </c>
      <c r="I3014" s="1" t="s">
        <v>43</v>
      </c>
      <c r="J3014" s="1" t="s">
        <v>44</v>
      </c>
      <c r="K3014" s="1" t="s">
        <v>298</v>
      </c>
      <c r="L3014" s="1" t="s">
        <v>267</v>
      </c>
      <c r="M3014" s="1"/>
      <c r="N3014" s="1">
        <f t="shared" si="150"/>
        <v>6</v>
      </c>
      <c r="O3014" s="87"/>
    </row>
    <row r="3015" spans="1:15" ht="15.75" hidden="1" x14ac:dyDescent="0.25">
      <c r="A3015" s="1" t="str">
        <f t="shared" si="149"/>
        <v>450874508913MASTER CCGROCERYREDROSE</v>
      </c>
      <c r="B3015" s="154">
        <v>45087</v>
      </c>
      <c r="C3015" s="154">
        <v>45089</v>
      </c>
      <c r="D3015" s="3" t="s">
        <v>3547</v>
      </c>
      <c r="E3015" s="3">
        <v>-13</v>
      </c>
      <c r="F3015" s="3">
        <v>1</v>
      </c>
      <c r="G3015" s="3">
        <f t="shared" si="148"/>
        <v>13</v>
      </c>
      <c r="H3015" s="3" t="s">
        <v>291</v>
      </c>
      <c r="I3015" s="1" t="s">
        <v>43</v>
      </c>
      <c r="J3015" s="1" t="s">
        <v>4082</v>
      </c>
      <c r="K3015" s="1" t="s">
        <v>298</v>
      </c>
      <c r="L3015" s="1" t="s">
        <v>267</v>
      </c>
      <c r="M3015" s="1"/>
      <c r="N3015" s="1">
        <f t="shared" si="150"/>
        <v>6</v>
      </c>
      <c r="O3015" s="87"/>
    </row>
    <row r="3016" spans="1:15" ht="15.75" hidden="1" x14ac:dyDescent="0.25">
      <c r="A3016" s="1" t="str">
        <f t="shared" si="149"/>
        <v>450874508929MASTER CCFOODCAFÉ/REST.</v>
      </c>
      <c r="B3016" s="154">
        <v>45087</v>
      </c>
      <c r="C3016" s="154">
        <v>45089</v>
      </c>
      <c r="D3016" s="3" t="s">
        <v>3548</v>
      </c>
      <c r="E3016" s="3">
        <v>-29</v>
      </c>
      <c r="F3016" s="3">
        <v>1</v>
      </c>
      <c r="G3016" s="3">
        <f t="shared" si="148"/>
        <v>29</v>
      </c>
      <c r="H3016" s="3" t="s">
        <v>291</v>
      </c>
      <c r="I3016" s="1" t="s">
        <v>10</v>
      </c>
      <c r="J3016" s="1" t="s">
        <v>11</v>
      </c>
      <c r="K3016" s="1" t="s">
        <v>298</v>
      </c>
      <c r="L3016" s="1" t="s">
        <v>267</v>
      </c>
      <c r="M3016" s="1"/>
      <c r="N3016" s="1">
        <f t="shared" si="150"/>
        <v>6</v>
      </c>
      <c r="O3016" s="87"/>
    </row>
    <row r="3017" spans="1:15" ht="15.75" hidden="1" x14ac:dyDescent="0.25">
      <c r="A3017" s="1" t="str">
        <f t="shared" si="149"/>
        <v>45088450886.25CURRENTGROCERYCARREFOUR</v>
      </c>
      <c r="B3017" s="154">
        <v>45088</v>
      </c>
      <c r="C3017" s="154">
        <v>45088</v>
      </c>
      <c r="D3017" s="3" t="s">
        <v>3508</v>
      </c>
      <c r="E3017" s="3">
        <v>-6.25</v>
      </c>
      <c r="F3017" s="3">
        <v>1</v>
      </c>
      <c r="G3017" s="3">
        <f t="shared" si="148"/>
        <v>6.25</v>
      </c>
      <c r="H3017" s="3" t="s">
        <v>293</v>
      </c>
      <c r="I3017" s="1" t="s">
        <v>43</v>
      </c>
      <c r="J3017" s="1" t="s">
        <v>67</v>
      </c>
      <c r="K3017" s="1" t="s">
        <v>298</v>
      </c>
      <c r="L3017" s="1" t="s">
        <v>257</v>
      </c>
      <c r="M3017" s="1"/>
      <c r="N3017" s="1">
        <f t="shared" si="150"/>
        <v>6</v>
      </c>
      <c r="O3017" s="87"/>
    </row>
    <row r="3018" spans="1:15" ht="15.75" hidden="1" x14ac:dyDescent="0.25">
      <c r="A3018" s="1" t="str">
        <f t="shared" si="149"/>
        <v>4508845088154CURRENTSHOPPINGCARREFOUR</v>
      </c>
      <c r="B3018" s="154">
        <v>45088</v>
      </c>
      <c r="C3018" s="154">
        <v>45088</v>
      </c>
      <c r="D3018" s="3" t="s">
        <v>3509</v>
      </c>
      <c r="E3018" s="3">
        <v>-154</v>
      </c>
      <c r="F3018" s="3">
        <v>1</v>
      </c>
      <c r="G3018" s="3">
        <f t="shared" si="148"/>
        <v>154</v>
      </c>
      <c r="H3018" s="3" t="s">
        <v>293</v>
      </c>
      <c r="I3018" s="1" t="s">
        <v>194</v>
      </c>
      <c r="J3018" s="1" t="s">
        <v>67</v>
      </c>
      <c r="K3018" s="1" t="s">
        <v>298</v>
      </c>
      <c r="L3018" s="1" t="s">
        <v>257</v>
      </c>
      <c r="M3018" s="1"/>
      <c r="N3018" s="1">
        <f t="shared" si="150"/>
        <v>6</v>
      </c>
      <c r="O3018" s="87"/>
    </row>
    <row r="3019" spans="1:15" ht="15.75" hidden="1" x14ac:dyDescent="0.25">
      <c r="A3019" s="1" t="str">
        <f t="shared" si="149"/>
        <v>450884509113MASTER CCFOODQATAR AIR</v>
      </c>
      <c r="B3019" s="154">
        <v>45088</v>
      </c>
      <c r="C3019" s="154">
        <v>45091</v>
      </c>
      <c r="D3019" s="3" t="s">
        <v>3549</v>
      </c>
      <c r="E3019" s="3">
        <v>-13</v>
      </c>
      <c r="F3019" s="3">
        <v>1</v>
      </c>
      <c r="G3019" s="3">
        <f t="shared" ref="G3019:G3082" si="151">ABS(E3019)*F3019</f>
        <v>13</v>
      </c>
      <c r="H3019" s="3" t="s">
        <v>291</v>
      </c>
      <c r="I3019" s="1" t="s">
        <v>10</v>
      </c>
      <c r="J3019" s="1" t="s">
        <v>19</v>
      </c>
      <c r="K3019" s="1" t="s">
        <v>298</v>
      </c>
      <c r="L3019" s="1" t="s">
        <v>267</v>
      </c>
      <c r="M3019" s="1"/>
      <c r="N3019" s="1">
        <f t="shared" si="150"/>
        <v>6</v>
      </c>
      <c r="O3019" s="87"/>
    </row>
    <row r="3020" spans="1:15" ht="15.75" hidden="1" x14ac:dyDescent="0.25">
      <c r="A3020" s="1" t="str">
        <f t="shared" si="149"/>
        <v>450884509022.87MASTER CCFOODCAFÉ/REST.</v>
      </c>
      <c r="B3020" s="154">
        <v>45088</v>
      </c>
      <c r="C3020" s="154">
        <v>45090</v>
      </c>
      <c r="D3020" s="3" t="s">
        <v>3550</v>
      </c>
      <c r="E3020" s="3">
        <v>-22.87</v>
      </c>
      <c r="F3020" s="3">
        <v>1</v>
      </c>
      <c r="G3020" s="3">
        <f t="shared" si="151"/>
        <v>22.87</v>
      </c>
      <c r="H3020" s="3" t="s">
        <v>291</v>
      </c>
      <c r="I3020" s="1" t="s">
        <v>10</v>
      </c>
      <c r="J3020" s="1" t="s">
        <v>11</v>
      </c>
      <c r="K3020" s="1" t="s">
        <v>298</v>
      </c>
      <c r="L3020" s="1" t="s">
        <v>267</v>
      </c>
      <c r="M3020" s="1"/>
      <c r="N3020" s="1">
        <f t="shared" si="150"/>
        <v>6</v>
      </c>
      <c r="O3020" s="87"/>
    </row>
    <row r="3021" spans="1:15" ht="15.75" hidden="1" x14ac:dyDescent="0.25">
      <c r="A3021" s="1" t="str">
        <f t="shared" si="149"/>
        <v>450894509258MASTER CCFOODTALABAT</v>
      </c>
      <c r="B3021" s="154">
        <v>45089</v>
      </c>
      <c r="C3021" s="154">
        <v>45092</v>
      </c>
      <c r="D3021" s="3" t="s">
        <v>3551</v>
      </c>
      <c r="E3021" s="3">
        <v>-58</v>
      </c>
      <c r="F3021" s="3">
        <v>1</v>
      </c>
      <c r="G3021" s="3">
        <f t="shared" si="151"/>
        <v>58</v>
      </c>
      <c r="H3021" s="3" t="s">
        <v>291</v>
      </c>
      <c r="I3021" s="1" t="s">
        <v>10</v>
      </c>
      <c r="J3021" s="1" t="s">
        <v>865</v>
      </c>
      <c r="K3021" s="1" t="s">
        <v>298</v>
      </c>
      <c r="L3021" s="1" t="s">
        <v>267</v>
      </c>
      <c r="M3021" s="1"/>
      <c r="N3021" s="1">
        <f t="shared" si="150"/>
        <v>6</v>
      </c>
      <c r="O3021" s="87"/>
    </row>
    <row r="3022" spans="1:15" ht="15.75" hidden="1" x14ac:dyDescent="0.25">
      <c r="A3022" s="1" t="str">
        <f t="shared" si="149"/>
        <v>450904509453MASTER CCFOODTALABAT</v>
      </c>
      <c r="B3022" s="154">
        <v>45090</v>
      </c>
      <c r="C3022" s="154">
        <v>45094</v>
      </c>
      <c r="D3022" s="3" t="s">
        <v>3552</v>
      </c>
      <c r="E3022" s="3">
        <v>-53</v>
      </c>
      <c r="F3022" s="3">
        <v>1</v>
      </c>
      <c r="G3022" s="3">
        <f t="shared" si="151"/>
        <v>53</v>
      </c>
      <c r="H3022" s="3" t="s">
        <v>291</v>
      </c>
      <c r="I3022" s="1" t="s">
        <v>10</v>
      </c>
      <c r="J3022" s="1" t="s">
        <v>865</v>
      </c>
      <c r="K3022" s="1" t="s">
        <v>298</v>
      </c>
      <c r="L3022" s="1" t="s">
        <v>267</v>
      </c>
      <c r="M3022" s="1"/>
      <c r="N3022" s="1">
        <f t="shared" si="150"/>
        <v>6</v>
      </c>
      <c r="O3022" s="87"/>
    </row>
    <row r="3023" spans="1:15" ht="15.75" hidden="1" x14ac:dyDescent="0.25">
      <c r="A3023" s="1" t="str">
        <f t="shared" si="149"/>
        <v>450904509223MASTER CCFOODQATAR AIR</v>
      </c>
      <c r="B3023" s="154">
        <v>45090</v>
      </c>
      <c r="C3023" s="154">
        <v>45092</v>
      </c>
      <c r="D3023" s="3" t="s">
        <v>3553</v>
      </c>
      <c r="E3023" s="3">
        <v>-23</v>
      </c>
      <c r="F3023" s="3">
        <v>1</v>
      </c>
      <c r="G3023" s="3">
        <f t="shared" si="151"/>
        <v>23</v>
      </c>
      <c r="H3023" s="3" t="s">
        <v>291</v>
      </c>
      <c r="I3023" s="1" t="s">
        <v>10</v>
      </c>
      <c r="J3023" s="1" t="s">
        <v>19</v>
      </c>
      <c r="K3023" s="1" t="s">
        <v>298</v>
      </c>
      <c r="L3023" s="1" t="s">
        <v>267</v>
      </c>
      <c r="M3023" s="1"/>
      <c r="N3023" s="1">
        <f t="shared" si="150"/>
        <v>6</v>
      </c>
      <c r="O3023" s="87"/>
    </row>
    <row r="3024" spans="1:15" ht="15.75" hidden="1" x14ac:dyDescent="0.25">
      <c r="A3024" s="1" t="str">
        <f t="shared" si="149"/>
        <v>450904509223MASTER CCFOODWISHBOX</v>
      </c>
      <c r="B3024" s="154">
        <v>45090</v>
      </c>
      <c r="C3024" s="154">
        <v>45092</v>
      </c>
      <c r="D3024" s="3" t="s">
        <v>3554</v>
      </c>
      <c r="E3024" s="3">
        <v>-23</v>
      </c>
      <c r="F3024" s="3">
        <v>1</v>
      </c>
      <c r="G3024" s="3">
        <f t="shared" si="151"/>
        <v>23</v>
      </c>
      <c r="H3024" s="3" t="s">
        <v>291</v>
      </c>
      <c r="I3024" s="1" t="s">
        <v>10</v>
      </c>
      <c r="J3024" s="1" t="s">
        <v>1199</v>
      </c>
      <c r="K3024" s="1" t="s">
        <v>298</v>
      </c>
      <c r="L3024" s="1" t="s">
        <v>267</v>
      </c>
      <c r="M3024" s="1"/>
      <c r="N3024" s="1">
        <f t="shared" si="150"/>
        <v>6</v>
      </c>
      <c r="O3024" s="87"/>
    </row>
    <row r="3025" spans="1:15" ht="15.75" hidden="1" x14ac:dyDescent="0.25">
      <c r="A3025" s="1" t="str">
        <f t="shared" si="149"/>
        <v>450914509315MASTER CCFOODCAFÉ/REST.</v>
      </c>
      <c r="B3025" s="154">
        <v>45091</v>
      </c>
      <c r="C3025" s="154">
        <v>45093</v>
      </c>
      <c r="D3025" s="3" t="s">
        <v>3555</v>
      </c>
      <c r="E3025" s="3">
        <v>-15</v>
      </c>
      <c r="F3025" s="3">
        <v>1</v>
      </c>
      <c r="G3025" s="3">
        <f t="shared" si="151"/>
        <v>15</v>
      </c>
      <c r="H3025" s="3" t="s">
        <v>291</v>
      </c>
      <c r="I3025" s="1" t="s">
        <v>10</v>
      </c>
      <c r="J3025" s="1" t="s">
        <v>11</v>
      </c>
      <c r="K3025" s="1" t="s">
        <v>298</v>
      </c>
      <c r="L3025" s="1" t="s">
        <v>267</v>
      </c>
      <c r="M3025" s="1"/>
      <c r="N3025" s="1">
        <f t="shared" si="150"/>
        <v>6</v>
      </c>
      <c r="O3025" s="87"/>
    </row>
    <row r="3026" spans="1:15" ht="15.75" hidden="1" x14ac:dyDescent="0.25">
      <c r="A3026" s="1" t="str">
        <f t="shared" si="149"/>
        <v>450924509210000CURRENTSAVINGSELF</v>
      </c>
      <c r="B3026" s="154">
        <v>45092</v>
      </c>
      <c r="C3026" s="154">
        <v>45092</v>
      </c>
      <c r="D3026" s="3" t="s">
        <v>3510</v>
      </c>
      <c r="E3026" s="3">
        <v>-10000</v>
      </c>
      <c r="F3026" s="3">
        <v>1</v>
      </c>
      <c r="G3026" s="3">
        <f t="shared" si="151"/>
        <v>10000</v>
      </c>
      <c r="H3026" s="3" t="s">
        <v>293</v>
      </c>
      <c r="I3026" s="1" t="s">
        <v>302</v>
      </c>
      <c r="J3026" s="1" t="s">
        <v>14</v>
      </c>
      <c r="K3026" s="1" t="s">
        <v>298</v>
      </c>
      <c r="L3026" s="1" t="s">
        <v>257</v>
      </c>
      <c r="M3026" s="1"/>
      <c r="N3026" s="1">
        <f t="shared" si="150"/>
        <v>6</v>
      </c>
      <c r="O3026" s="87"/>
    </row>
    <row r="3027" spans="1:15" ht="15.75" hidden="1" x14ac:dyDescent="0.25">
      <c r="A3027" s="1" t="str">
        <f t="shared" si="149"/>
        <v>450924509554MASTER CCFOODTALABAT</v>
      </c>
      <c r="B3027" s="154">
        <v>45092</v>
      </c>
      <c r="C3027" s="154">
        <v>45095</v>
      </c>
      <c r="D3027" s="3" t="s">
        <v>3556</v>
      </c>
      <c r="E3027" s="3">
        <v>-54</v>
      </c>
      <c r="F3027" s="3">
        <v>1</v>
      </c>
      <c r="G3027" s="3">
        <f t="shared" si="151"/>
        <v>54</v>
      </c>
      <c r="H3027" s="3" t="s">
        <v>291</v>
      </c>
      <c r="I3027" s="1" t="s">
        <v>10</v>
      </c>
      <c r="J3027" s="1" t="s">
        <v>865</v>
      </c>
      <c r="K3027" s="1" t="s">
        <v>298</v>
      </c>
      <c r="L3027" s="1" t="s">
        <v>267</v>
      </c>
      <c r="M3027" s="1"/>
      <c r="N3027" s="1">
        <f t="shared" si="150"/>
        <v>6</v>
      </c>
      <c r="O3027" s="87"/>
    </row>
    <row r="3028" spans="1:15" ht="15.75" hidden="1" x14ac:dyDescent="0.25">
      <c r="A3028" s="1" t="str">
        <f t="shared" si="149"/>
        <v>450924509418MASTER CCFOODCAFÉ/REST.</v>
      </c>
      <c r="B3028" s="154">
        <v>45092</v>
      </c>
      <c r="C3028" s="154">
        <v>45094</v>
      </c>
      <c r="D3028" s="3" t="s">
        <v>3557</v>
      </c>
      <c r="E3028" s="3">
        <v>-18</v>
      </c>
      <c r="F3028" s="3">
        <v>1</v>
      </c>
      <c r="G3028" s="3">
        <f t="shared" si="151"/>
        <v>18</v>
      </c>
      <c r="H3028" s="3" t="s">
        <v>291</v>
      </c>
      <c r="I3028" s="1" t="s">
        <v>10</v>
      </c>
      <c r="J3028" s="1" t="s">
        <v>11</v>
      </c>
      <c r="K3028" s="1" t="s">
        <v>298</v>
      </c>
      <c r="L3028" s="1" t="s">
        <v>267</v>
      </c>
      <c r="M3028" s="1"/>
      <c r="N3028" s="1">
        <f t="shared" si="150"/>
        <v>6</v>
      </c>
      <c r="O3028" s="87"/>
    </row>
    <row r="3029" spans="1:15" ht="15.75" hidden="1" x14ac:dyDescent="0.25">
      <c r="A3029" s="1" t="str">
        <f t="shared" si="149"/>
        <v>450924509410.25MASTER CCGROCERYREDROSE</v>
      </c>
      <c r="B3029" s="154">
        <v>45092</v>
      </c>
      <c r="C3029" s="154">
        <v>45094</v>
      </c>
      <c r="D3029" s="3" t="s">
        <v>3558</v>
      </c>
      <c r="E3029" s="3">
        <v>-10.25</v>
      </c>
      <c r="F3029" s="3">
        <v>1</v>
      </c>
      <c r="G3029" s="3">
        <f t="shared" si="151"/>
        <v>10.25</v>
      </c>
      <c r="H3029" s="3" t="s">
        <v>291</v>
      </c>
      <c r="I3029" s="1" t="s">
        <v>43</v>
      </c>
      <c r="J3029" s="1" t="s">
        <v>4082</v>
      </c>
      <c r="K3029" s="1" t="s">
        <v>298</v>
      </c>
      <c r="L3029" s="1" t="s">
        <v>267</v>
      </c>
      <c r="M3029" s="1"/>
      <c r="N3029" s="1">
        <f t="shared" si="150"/>
        <v>6</v>
      </c>
      <c r="O3029" s="87"/>
    </row>
    <row r="3030" spans="1:15" ht="15.75" hidden="1" x14ac:dyDescent="0.25">
      <c r="A3030" s="1" t="str">
        <f t="shared" si="149"/>
        <v>450944509665.5MASTER CCFOODWISHBOX</v>
      </c>
      <c r="B3030" s="154">
        <v>45094</v>
      </c>
      <c r="C3030" s="154">
        <v>45096</v>
      </c>
      <c r="D3030" s="3" t="s">
        <v>3559</v>
      </c>
      <c r="E3030" s="3">
        <v>-65.5</v>
      </c>
      <c r="F3030" s="3">
        <v>1</v>
      </c>
      <c r="G3030" s="3">
        <f t="shared" si="151"/>
        <v>65.5</v>
      </c>
      <c r="H3030" s="3" t="s">
        <v>291</v>
      </c>
      <c r="I3030" s="1" t="s">
        <v>10</v>
      </c>
      <c r="J3030" s="1" t="s">
        <v>1199</v>
      </c>
      <c r="K3030" s="1" t="s">
        <v>298</v>
      </c>
      <c r="L3030" s="1" t="s">
        <v>267</v>
      </c>
      <c r="M3030" s="1"/>
      <c r="N3030" s="1">
        <f t="shared" si="150"/>
        <v>6</v>
      </c>
      <c r="O3030" s="87"/>
    </row>
    <row r="3031" spans="1:15" ht="15.75" hidden="1" x14ac:dyDescent="0.25">
      <c r="A3031" s="1" t="str">
        <f t="shared" si="149"/>
        <v>4509545095101CURRENTTRANSPORTWOQOD</v>
      </c>
      <c r="B3031" s="154">
        <v>45095</v>
      </c>
      <c r="C3031" s="154">
        <v>45095</v>
      </c>
      <c r="D3031" s="3" t="s">
        <v>3511</v>
      </c>
      <c r="E3031" s="3">
        <v>-101</v>
      </c>
      <c r="F3031" s="3">
        <v>1</v>
      </c>
      <c r="G3031" s="3">
        <f t="shared" si="151"/>
        <v>101</v>
      </c>
      <c r="H3031" s="3" t="s">
        <v>293</v>
      </c>
      <c r="I3031" s="1" t="s">
        <v>296</v>
      </c>
      <c r="J3031" s="1" t="s">
        <v>1942</v>
      </c>
      <c r="K3031" s="1" t="s">
        <v>298</v>
      </c>
      <c r="L3031" s="1" t="s">
        <v>257</v>
      </c>
      <c r="M3031" s="1"/>
      <c r="N3031" s="1">
        <f t="shared" si="150"/>
        <v>6</v>
      </c>
      <c r="O3031" s="87"/>
    </row>
    <row r="3032" spans="1:15" ht="15.75" hidden="1" x14ac:dyDescent="0.25">
      <c r="A3032" s="1" t="str">
        <f t="shared" si="149"/>
        <v>450954509698.06DINERSGROCERYINDIAN SUPER</v>
      </c>
      <c r="B3032" s="154">
        <v>45095</v>
      </c>
      <c r="C3032" s="154">
        <v>45096</v>
      </c>
      <c r="D3032" s="3" t="s">
        <v>3616</v>
      </c>
      <c r="E3032" s="3">
        <v>-98.06</v>
      </c>
      <c r="F3032" s="3">
        <v>1</v>
      </c>
      <c r="G3032" s="3">
        <f t="shared" si="151"/>
        <v>98.06</v>
      </c>
      <c r="H3032" s="3" t="s">
        <v>266</v>
      </c>
      <c r="I3032" s="1" t="s">
        <v>43</v>
      </c>
      <c r="J3032" s="1" t="s">
        <v>2273</v>
      </c>
      <c r="K3032" s="1" t="s">
        <v>298</v>
      </c>
      <c r="L3032" s="1" t="s">
        <v>267</v>
      </c>
      <c r="M3032" s="1"/>
      <c r="N3032" s="1">
        <f t="shared" si="150"/>
        <v>6</v>
      </c>
      <c r="O3032" s="87"/>
    </row>
    <row r="3033" spans="1:15" ht="15.75" hidden="1" x14ac:dyDescent="0.25">
      <c r="A3033" s="1" t="str">
        <f t="shared" si="149"/>
        <v>450964509942MASTER CCFOODWISHBOX</v>
      </c>
      <c r="B3033" s="154">
        <v>45096</v>
      </c>
      <c r="C3033" s="154">
        <v>45099</v>
      </c>
      <c r="D3033" s="3" t="s">
        <v>3560</v>
      </c>
      <c r="E3033" s="3">
        <v>-42</v>
      </c>
      <c r="F3033" s="3">
        <v>1</v>
      </c>
      <c r="G3033" s="3">
        <f t="shared" si="151"/>
        <v>42</v>
      </c>
      <c r="H3033" s="3" t="s">
        <v>291</v>
      </c>
      <c r="I3033" s="1" t="s">
        <v>10</v>
      </c>
      <c r="J3033" s="1" t="s">
        <v>1199</v>
      </c>
      <c r="K3033" s="1" t="s">
        <v>298</v>
      </c>
      <c r="L3033" s="1" t="s">
        <v>267</v>
      </c>
      <c r="M3033" s="1"/>
      <c r="N3033" s="1">
        <f t="shared" si="150"/>
        <v>6</v>
      </c>
      <c r="O3033" s="87"/>
    </row>
    <row r="3034" spans="1:15" ht="15.75" hidden="1" x14ac:dyDescent="0.25">
      <c r="A3034" s="1" t="str">
        <f t="shared" si="149"/>
        <v>450974510076MASTER CCFOODTALABAT</v>
      </c>
      <c r="B3034" s="154">
        <v>45097</v>
      </c>
      <c r="C3034" s="154">
        <v>45100</v>
      </c>
      <c r="D3034" s="3" t="s">
        <v>3561</v>
      </c>
      <c r="E3034" s="3">
        <v>-76</v>
      </c>
      <c r="F3034" s="3">
        <v>1</v>
      </c>
      <c r="G3034" s="3">
        <f t="shared" si="151"/>
        <v>76</v>
      </c>
      <c r="H3034" s="3" t="s">
        <v>291</v>
      </c>
      <c r="I3034" s="1" t="s">
        <v>10</v>
      </c>
      <c r="J3034" s="1" t="s">
        <v>865</v>
      </c>
      <c r="K3034" s="1" t="s">
        <v>298</v>
      </c>
      <c r="L3034" s="1" t="s">
        <v>267</v>
      </c>
      <c r="M3034" s="1"/>
      <c r="N3034" s="1">
        <f t="shared" si="150"/>
        <v>6</v>
      </c>
      <c r="O3034" s="87"/>
    </row>
    <row r="3035" spans="1:15" ht="15.75" hidden="1" x14ac:dyDescent="0.25">
      <c r="A3035" s="1" t="str">
        <f t="shared" si="149"/>
        <v>450974509910.5MASTER CCLAUNDRYAL RAYES</v>
      </c>
      <c r="B3035" s="154">
        <v>45097</v>
      </c>
      <c r="C3035" s="154">
        <v>45099</v>
      </c>
      <c r="D3035" s="3" t="s">
        <v>3562</v>
      </c>
      <c r="E3035" s="3">
        <v>-10.5</v>
      </c>
      <c r="F3035" s="3">
        <v>1</v>
      </c>
      <c r="G3035" s="3">
        <f t="shared" si="151"/>
        <v>10.5</v>
      </c>
      <c r="H3035" s="3" t="s">
        <v>291</v>
      </c>
      <c r="I3035" s="1" t="s">
        <v>3164</v>
      </c>
      <c r="J3035" s="1" t="s">
        <v>3165</v>
      </c>
      <c r="K3035" s="1" t="s">
        <v>298</v>
      </c>
      <c r="L3035" s="1" t="s">
        <v>267</v>
      </c>
      <c r="M3035" s="1"/>
      <c r="N3035" s="1">
        <f t="shared" si="150"/>
        <v>6</v>
      </c>
      <c r="O3035" s="87"/>
    </row>
    <row r="3036" spans="1:15" ht="15.75" hidden="1" x14ac:dyDescent="0.25">
      <c r="A3036" s="1" t="str">
        <f t="shared" si="149"/>
        <v>450974509928MASTER CCGROCERYLULU</v>
      </c>
      <c r="B3036" s="154">
        <v>45097</v>
      </c>
      <c r="C3036" s="154">
        <v>45099</v>
      </c>
      <c r="D3036" s="3" t="s">
        <v>3563</v>
      </c>
      <c r="E3036" s="3">
        <v>-28</v>
      </c>
      <c r="F3036" s="3">
        <v>1</v>
      </c>
      <c r="G3036" s="3">
        <f t="shared" si="151"/>
        <v>28</v>
      </c>
      <c r="H3036" s="3" t="s">
        <v>291</v>
      </c>
      <c r="I3036" s="1" t="s">
        <v>43</v>
      </c>
      <c r="J3036" s="1" t="s">
        <v>44</v>
      </c>
      <c r="K3036" s="1" t="s">
        <v>298</v>
      </c>
      <c r="L3036" s="1" t="s">
        <v>267</v>
      </c>
      <c r="M3036" s="1"/>
      <c r="N3036" s="1">
        <f t="shared" si="150"/>
        <v>6</v>
      </c>
      <c r="O3036" s="87"/>
    </row>
    <row r="3037" spans="1:15" ht="15.75" hidden="1" x14ac:dyDescent="0.25">
      <c r="A3037" s="1" t="str">
        <f t="shared" si="149"/>
        <v>4509745099118.81MASTER CCGROCERYLULU</v>
      </c>
      <c r="B3037" s="154">
        <v>45097</v>
      </c>
      <c r="C3037" s="154">
        <v>45099</v>
      </c>
      <c r="D3037" s="3" t="s">
        <v>3564</v>
      </c>
      <c r="E3037" s="3">
        <v>-118.81</v>
      </c>
      <c r="F3037" s="3">
        <v>1</v>
      </c>
      <c r="G3037" s="3">
        <f t="shared" si="151"/>
        <v>118.81</v>
      </c>
      <c r="H3037" s="3" t="s">
        <v>291</v>
      </c>
      <c r="I3037" s="1" t="s">
        <v>43</v>
      </c>
      <c r="J3037" s="1" t="s">
        <v>44</v>
      </c>
      <c r="K3037" s="1" t="s">
        <v>298</v>
      </c>
      <c r="L3037" s="1" t="s">
        <v>267</v>
      </c>
      <c r="M3037" s="1"/>
      <c r="N3037" s="1">
        <f t="shared" si="150"/>
        <v>6</v>
      </c>
      <c r="O3037" s="87"/>
    </row>
    <row r="3038" spans="1:15" ht="15.75" hidden="1" x14ac:dyDescent="0.25">
      <c r="A3038" s="1" t="str">
        <f t="shared" si="149"/>
        <v>450984510172MASTER CCGROCERYLULU</v>
      </c>
      <c r="B3038" s="154">
        <v>45098</v>
      </c>
      <c r="C3038" s="154">
        <v>45101</v>
      </c>
      <c r="D3038" s="3" t="s">
        <v>3565</v>
      </c>
      <c r="E3038" s="3">
        <v>-72</v>
      </c>
      <c r="F3038" s="3">
        <v>1</v>
      </c>
      <c r="G3038" s="3">
        <f t="shared" si="151"/>
        <v>72</v>
      </c>
      <c r="H3038" s="3" t="s">
        <v>291</v>
      </c>
      <c r="I3038" s="1" t="s">
        <v>43</v>
      </c>
      <c r="J3038" s="1" t="s">
        <v>44</v>
      </c>
      <c r="K3038" s="1" t="s">
        <v>298</v>
      </c>
      <c r="L3038" s="1" t="s">
        <v>267</v>
      </c>
      <c r="M3038" s="1"/>
      <c r="N3038" s="1">
        <f t="shared" si="150"/>
        <v>6</v>
      </c>
      <c r="O3038" s="87"/>
    </row>
    <row r="3039" spans="1:15" ht="15.75" hidden="1" x14ac:dyDescent="0.25">
      <c r="A3039" s="1" t="str">
        <f t="shared" si="149"/>
        <v>450984510025MASTER CCFOODCAFÉ/REST.</v>
      </c>
      <c r="B3039" s="154">
        <v>45098</v>
      </c>
      <c r="C3039" s="154">
        <v>45100</v>
      </c>
      <c r="D3039" s="3" t="s">
        <v>3566</v>
      </c>
      <c r="E3039" s="3">
        <v>-25</v>
      </c>
      <c r="F3039" s="3">
        <v>1</v>
      </c>
      <c r="G3039" s="3">
        <f t="shared" si="151"/>
        <v>25</v>
      </c>
      <c r="H3039" s="3" t="s">
        <v>291</v>
      </c>
      <c r="I3039" s="1" t="s">
        <v>10</v>
      </c>
      <c r="J3039" s="1" t="s">
        <v>11</v>
      </c>
      <c r="K3039" s="1" t="s">
        <v>298</v>
      </c>
      <c r="L3039" s="1" t="s">
        <v>267</v>
      </c>
      <c r="M3039" s="1"/>
      <c r="N3039" s="1">
        <f t="shared" si="150"/>
        <v>6</v>
      </c>
      <c r="O3039" s="87"/>
    </row>
    <row r="3040" spans="1:15" ht="15.75" hidden="1" x14ac:dyDescent="0.25">
      <c r="A3040" s="1" t="str">
        <f t="shared" si="149"/>
        <v>450994510219.91DINERSTRANSPORTUBER</v>
      </c>
      <c r="B3040" s="154">
        <v>45099</v>
      </c>
      <c r="C3040" s="154">
        <v>45102</v>
      </c>
      <c r="D3040" s="3" t="s">
        <v>3617</v>
      </c>
      <c r="E3040" s="3">
        <v>-19.91</v>
      </c>
      <c r="F3040" s="3">
        <v>1</v>
      </c>
      <c r="G3040" s="3">
        <f t="shared" si="151"/>
        <v>19.91</v>
      </c>
      <c r="H3040" s="3" t="s">
        <v>266</v>
      </c>
      <c r="I3040" s="1" t="s">
        <v>296</v>
      </c>
      <c r="J3040" s="1" t="s">
        <v>299</v>
      </c>
      <c r="K3040" s="1" t="s">
        <v>298</v>
      </c>
      <c r="L3040" s="1" t="s">
        <v>267</v>
      </c>
      <c r="M3040" s="1"/>
      <c r="N3040" s="1">
        <f t="shared" si="150"/>
        <v>6</v>
      </c>
      <c r="O3040" s="87"/>
    </row>
    <row r="3041" spans="1:15" ht="15.75" hidden="1" x14ac:dyDescent="0.25">
      <c r="A3041" s="1" t="str">
        <f t="shared" si="149"/>
        <v>450994510226.7DINERSTRANSPORTUBER</v>
      </c>
      <c r="B3041" s="154">
        <v>45099</v>
      </c>
      <c r="C3041" s="154">
        <v>45102</v>
      </c>
      <c r="D3041" s="3" t="s">
        <v>3618</v>
      </c>
      <c r="E3041" s="3">
        <v>-26.7</v>
      </c>
      <c r="F3041" s="3">
        <v>1</v>
      </c>
      <c r="G3041" s="3">
        <f t="shared" si="151"/>
        <v>26.7</v>
      </c>
      <c r="H3041" s="3" t="s">
        <v>266</v>
      </c>
      <c r="I3041" s="1" t="s">
        <v>296</v>
      </c>
      <c r="J3041" s="1" t="s">
        <v>299</v>
      </c>
      <c r="K3041" s="1" t="s">
        <v>298</v>
      </c>
      <c r="L3041" s="1" t="s">
        <v>267</v>
      </c>
      <c r="M3041" s="1"/>
      <c r="N3041" s="1">
        <f t="shared" si="150"/>
        <v>6</v>
      </c>
      <c r="O3041" s="87"/>
    </row>
    <row r="3042" spans="1:15" ht="15.75" hidden="1" x14ac:dyDescent="0.25">
      <c r="A3042" s="1" t="str">
        <f t="shared" si="149"/>
        <v>451004510437MASTER CCFOODTALABAT</v>
      </c>
      <c r="B3042" s="154">
        <v>45100</v>
      </c>
      <c r="C3042" s="154">
        <v>45104</v>
      </c>
      <c r="D3042" s="3" t="s">
        <v>3567</v>
      </c>
      <c r="E3042" s="3">
        <v>-37</v>
      </c>
      <c r="F3042" s="3">
        <v>1</v>
      </c>
      <c r="G3042" s="3">
        <f t="shared" si="151"/>
        <v>37</v>
      </c>
      <c r="H3042" s="3" t="s">
        <v>291</v>
      </c>
      <c r="I3042" s="1" t="s">
        <v>10</v>
      </c>
      <c r="J3042" s="1" t="s">
        <v>865</v>
      </c>
      <c r="K3042" s="1" t="s">
        <v>298</v>
      </c>
      <c r="L3042" s="1" t="s">
        <v>267</v>
      </c>
      <c r="M3042" s="1"/>
      <c r="N3042" s="1">
        <f t="shared" si="150"/>
        <v>6</v>
      </c>
      <c r="O3042" s="87"/>
    </row>
    <row r="3043" spans="1:15" ht="15.75" hidden="1" x14ac:dyDescent="0.25">
      <c r="A3043" s="1" t="str">
        <f t="shared" si="149"/>
        <v>451014510424MASTER CCFOODWISHBOX</v>
      </c>
      <c r="B3043" s="154">
        <v>45101</v>
      </c>
      <c r="C3043" s="154">
        <v>45104</v>
      </c>
      <c r="D3043" s="3" t="s">
        <v>3568</v>
      </c>
      <c r="E3043" s="3">
        <v>-24</v>
      </c>
      <c r="F3043" s="3">
        <v>1</v>
      </c>
      <c r="G3043" s="3">
        <f t="shared" si="151"/>
        <v>24</v>
      </c>
      <c r="H3043" s="3" t="s">
        <v>291</v>
      </c>
      <c r="I3043" s="1" t="s">
        <v>10</v>
      </c>
      <c r="J3043" s="1" t="s">
        <v>1199</v>
      </c>
      <c r="K3043" s="1" t="s">
        <v>298</v>
      </c>
      <c r="L3043" s="1" t="s">
        <v>267</v>
      </c>
      <c r="M3043" s="1"/>
      <c r="N3043" s="1">
        <f t="shared" si="150"/>
        <v>6</v>
      </c>
      <c r="O3043" s="87"/>
    </row>
    <row r="3044" spans="1:15" ht="15.75" hidden="1" x14ac:dyDescent="0.25">
      <c r="A3044" s="1" t="str">
        <f t="shared" si="149"/>
        <v>451024510221974CURRENTSALARYQATAR AIR</v>
      </c>
      <c r="B3044" s="154">
        <v>45102</v>
      </c>
      <c r="C3044" s="154">
        <v>45102</v>
      </c>
      <c r="D3044" s="3" t="s">
        <v>3512</v>
      </c>
      <c r="E3044" s="3">
        <v>21974</v>
      </c>
      <c r="F3044" s="3">
        <v>1</v>
      </c>
      <c r="G3044" s="3">
        <f t="shared" si="151"/>
        <v>21974</v>
      </c>
      <c r="H3044" s="3" t="s">
        <v>293</v>
      </c>
      <c r="I3044" s="1" t="s">
        <v>18</v>
      </c>
      <c r="J3044" s="1" t="s">
        <v>19</v>
      </c>
      <c r="K3044" s="1" t="s">
        <v>300</v>
      </c>
      <c r="L3044" s="1" t="s">
        <v>257</v>
      </c>
      <c r="M3044" s="1"/>
      <c r="N3044" s="1">
        <f t="shared" si="150"/>
        <v>6</v>
      </c>
      <c r="O3044" s="87"/>
    </row>
    <row r="3045" spans="1:15" ht="15.75" hidden="1" x14ac:dyDescent="0.25">
      <c r="A3045" s="1" t="str">
        <f t="shared" si="149"/>
        <v>451024510410MASTER CCFOODQATAR AIR</v>
      </c>
      <c r="B3045" s="154">
        <v>45102</v>
      </c>
      <c r="C3045" s="154">
        <v>45104</v>
      </c>
      <c r="D3045" s="3" t="s">
        <v>3569</v>
      </c>
      <c r="E3045" s="3">
        <v>-10</v>
      </c>
      <c r="F3045" s="3">
        <v>1</v>
      </c>
      <c r="G3045" s="3">
        <f t="shared" si="151"/>
        <v>10</v>
      </c>
      <c r="H3045" s="3" t="s">
        <v>291</v>
      </c>
      <c r="I3045" s="1" t="s">
        <v>10</v>
      </c>
      <c r="J3045" s="1" t="s">
        <v>19</v>
      </c>
      <c r="K3045" s="1" t="s">
        <v>298</v>
      </c>
      <c r="L3045" s="1" t="s">
        <v>267</v>
      </c>
      <c r="M3045" s="1"/>
      <c r="N3045" s="1">
        <f t="shared" si="150"/>
        <v>6</v>
      </c>
      <c r="O3045" s="87"/>
    </row>
    <row r="3046" spans="1:15" ht="15.75" hidden="1" x14ac:dyDescent="0.25">
      <c r="A3046" s="1" t="str">
        <f t="shared" si="149"/>
        <v>45102451049MASTER CCFOODQATAR AIR</v>
      </c>
      <c r="B3046" s="154">
        <v>45102</v>
      </c>
      <c r="C3046" s="154">
        <v>45104</v>
      </c>
      <c r="D3046" s="3" t="s">
        <v>3570</v>
      </c>
      <c r="E3046" s="3">
        <v>-9</v>
      </c>
      <c r="F3046" s="3">
        <v>1</v>
      </c>
      <c r="G3046" s="3">
        <f t="shared" si="151"/>
        <v>9</v>
      </c>
      <c r="H3046" s="3" t="s">
        <v>291</v>
      </c>
      <c r="I3046" s="1" t="s">
        <v>10</v>
      </c>
      <c r="J3046" s="1" t="s">
        <v>19</v>
      </c>
      <c r="K3046" s="1" t="s">
        <v>298</v>
      </c>
      <c r="L3046" s="1" t="s">
        <v>267</v>
      </c>
      <c r="M3046" s="1"/>
      <c r="N3046" s="1">
        <f t="shared" si="150"/>
        <v>6</v>
      </c>
      <c r="O3046" s="87"/>
    </row>
    <row r="3047" spans="1:15" ht="15.75" hidden="1" x14ac:dyDescent="0.25">
      <c r="A3047" s="1" t="str">
        <f t="shared" si="149"/>
        <v>4510245103117DINERSTELECOMOOREDOO</v>
      </c>
      <c r="B3047" s="154">
        <v>45102</v>
      </c>
      <c r="C3047" s="154">
        <v>45103</v>
      </c>
      <c r="D3047" s="3" t="s">
        <v>3619</v>
      </c>
      <c r="E3047" s="3">
        <v>-117</v>
      </c>
      <c r="F3047" s="3">
        <v>1</v>
      </c>
      <c r="G3047" s="3">
        <f t="shared" si="151"/>
        <v>117</v>
      </c>
      <c r="H3047" s="3" t="s">
        <v>266</v>
      </c>
      <c r="I3047" s="1" t="s">
        <v>58</v>
      </c>
      <c r="J3047" s="1" t="s">
        <v>59</v>
      </c>
      <c r="K3047" s="1" t="s">
        <v>298</v>
      </c>
      <c r="L3047" s="1" t="s">
        <v>267</v>
      </c>
      <c r="M3047" s="1"/>
      <c r="N3047" s="1">
        <f t="shared" si="150"/>
        <v>6</v>
      </c>
      <c r="O3047" s="87"/>
    </row>
    <row r="3048" spans="1:15" ht="15.75" hidden="1" x14ac:dyDescent="0.25">
      <c r="A3048" s="1" t="str">
        <f t="shared" si="149"/>
        <v>451034510745MASTER CCFOODQATAR AIR</v>
      </c>
      <c r="B3048" s="154">
        <v>45103</v>
      </c>
      <c r="C3048" s="154">
        <v>45107</v>
      </c>
      <c r="D3048" s="3" t="s">
        <v>3571</v>
      </c>
      <c r="E3048" s="3">
        <v>-45</v>
      </c>
      <c r="F3048" s="3">
        <v>1</v>
      </c>
      <c r="G3048" s="3">
        <f t="shared" si="151"/>
        <v>45</v>
      </c>
      <c r="H3048" s="3" t="s">
        <v>291</v>
      </c>
      <c r="I3048" s="1" t="s">
        <v>10</v>
      </c>
      <c r="J3048" s="1" t="s">
        <v>19</v>
      </c>
      <c r="K3048" s="1" t="s">
        <v>298</v>
      </c>
      <c r="L3048" s="1" t="s">
        <v>267</v>
      </c>
      <c r="M3048" s="1"/>
      <c r="N3048" s="1">
        <f t="shared" si="150"/>
        <v>6</v>
      </c>
      <c r="O3048" s="87"/>
    </row>
    <row r="3049" spans="1:15" ht="15.75" hidden="1" x14ac:dyDescent="0.25">
      <c r="A3049" s="1" t="str">
        <f t="shared" si="149"/>
        <v>451044510926.61DINERSTRANSPORTUBER</v>
      </c>
      <c r="B3049" s="154">
        <v>45104</v>
      </c>
      <c r="C3049" s="154">
        <v>45109</v>
      </c>
      <c r="D3049" s="3" t="s">
        <v>3620</v>
      </c>
      <c r="E3049" s="3">
        <v>-26.61</v>
      </c>
      <c r="F3049" s="3">
        <v>1</v>
      </c>
      <c r="G3049" s="3">
        <f t="shared" si="151"/>
        <v>26.61</v>
      </c>
      <c r="H3049" s="3" t="s">
        <v>266</v>
      </c>
      <c r="I3049" s="1" t="s">
        <v>296</v>
      </c>
      <c r="J3049" s="1" t="s">
        <v>299</v>
      </c>
      <c r="K3049" s="1" t="s">
        <v>298</v>
      </c>
      <c r="L3049" s="1" t="s">
        <v>267</v>
      </c>
      <c r="M3049" s="1"/>
      <c r="N3049" s="1">
        <f t="shared" si="150"/>
        <v>7</v>
      </c>
      <c r="O3049" s="87"/>
    </row>
    <row r="3050" spans="1:15" ht="15.75" hidden="1" x14ac:dyDescent="0.25">
      <c r="A3050" s="1" t="str">
        <f t="shared" si="149"/>
        <v>451044510920.36DINERSTRANSPORTUBER</v>
      </c>
      <c r="B3050" s="154">
        <v>45104</v>
      </c>
      <c r="C3050" s="154">
        <v>45109</v>
      </c>
      <c r="D3050" s="3" t="s">
        <v>3621</v>
      </c>
      <c r="E3050" s="3">
        <v>-20.36</v>
      </c>
      <c r="F3050" s="3">
        <v>1</v>
      </c>
      <c r="G3050" s="3">
        <f t="shared" si="151"/>
        <v>20.36</v>
      </c>
      <c r="H3050" s="3" t="s">
        <v>266</v>
      </c>
      <c r="I3050" s="1" t="s">
        <v>296</v>
      </c>
      <c r="J3050" s="1" t="s">
        <v>299</v>
      </c>
      <c r="K3050" s="1" t="s">
        <v>298</v>
      </c>
      <c r="L3050" s="1" t="s">
        <v>267</v>
      </c>
      <c r="M3050" s="1"/>
      <c r="N3050" s="1">
        <f t="shared" si="150"/>
        <v>7</v>
      </c>
      <c r="O3050" s="87"/>
    </row>
    <row r="3051" spans="1:15" ht="15.75" hidden="1" x14ac:dyDescent="0.25">
      <c r="A3051" s="1" t="str">
        <f t="shared" si="149"/>
        <v>451054510926.51DINERSTRANSPORTUBER</v>
      </c>
      <c r="B3051" s="154">
        <v>45105</v>
      </c>
      <c r="C3051" s="154">
        <v>45109</v>
      </c>
      <c r="D3051" s="3" t="s">
        <v>3622</v>
      </c>
      <c r="E3051" s="3">
        <v>-26.51</v>
      </c>
      <c r="F3051" s="3">
        <v>1</v>
      </c>
      <c r="G3051" s="3">
        <f t="shared" si="151"/>
        <v>26.51</v>
      </c>
      <c r="H3051" s="3" t="s">
        <v>266</v>
      </c>
      <c r="I3051" s="1" t="s">
        <v>296</v>
      </c>
      <c r="J3051" s="1" t="s">
        <v>299</v>
      </c>
      <c r="K3051" s="1" t="s">
        <v>298</v>
      </c>
      <c r="L3051" s="1" t="s">
        <v>267</v>
      </c>
      <c r="M3051" s="1"/>
      <c r="N3051" s="1">
        <f t="shared" si="150"/>
        <v>7</v>
      </c>
      <c r="O3051" s="87"/>
    </row>
    <row r="3052" spans="1:15" ht="15.75" hidden="1" x14ac:dyDescent="0.25">
      <c r="A3052" s="1" t="str">
        <f t="shared" si="149"/>
        <v>451054510919.41DINERSTRANSPORTUBER</v>
      </c>
      <c r="B3052" s="154">
        <v>45105</v>
      </c>
      <c r="C3052" s="154">
        <v>45109</v>
      </c>
      <c r="D3052" s="3" t="s">
        <v>3623</v>
      </c>
      <c r="E3052" s="3">
        <v>-19.41</v>
      </c>
      <c r="F3052" s="3">
        <v>1</v>
      </c>
      <c r="G3052" s="3">
        <f t="shared" si="151"/>
        <v>19.41</v>
      </c>
      <c r="H3052" s="3" t="s">
        <v>266</v>
      </c>
      <c r="I3052" s="1" t="s">
        <v>296</v>
      </c>
      <c r="J3052" s="1" t="s">
        <v>299</v>
      </c>
      <c r="K3052" s="1" t="s">
        <v>298</v>
      </c>
      <c r="L3052" s="1" t="s">
        <v>267</v>
      </c>
      <c r="M3052" s="1"/>
      <c r="N3052" s="1">
        <f t="shared" si="150"/>
        <v>7</v>
      </c>
      <c r="O3052" s="87"/>
    </row>
    <row r="3053" spans="1:15" ht="15.75" hidden="1" x14ac:dyDescent="0.25">
      <c r="A3053" s="1" t="str">
        <f t="shared" si="149"/>
        <v>45106451062196DINERSCC BILL PAYMENTBANK</v>
      </c>
      <c r="B3053" s="154">
        <v>45106</v>
      </c>
      <c r="C3053" s="154">
        <v>45106</v>
      </c>
      <c r="D3053" s="3" t="s">
        <v>80</v>
      </c>
      <c r="E3053" s="3">
        <v>2196</v>
      </c>
      <c r="F3053" s="3">
        <v>1</v>
      </c>
      <c r="G3053" s="3">
        <f t="shared" si="151"/>
        <v>2196</v>
      </c>
      <c r="H3053" s="3" t="s">
        <v>266</v>
      </c>
      <c r="I3053" s="1" t="s">
        <v>81</v>
      </c>
      <c r="J3053" s="1" t="s">
        <v>8</v>
      </c>
      <c r="K3053" s="1" t="s">
        <v>300</v>
      </c>
      <c r="L3053" s="1" t="s">
        <v>267</v>
      </c>
      <c r="M3053" s="1"/>
      <c r="N3053" s="1">
        <f t="shared" si="150"/>
        <v>6</v>
      </c>
      <c r="O3053" s="87"/>
    </row>
    <row r="3054" spans="1:15" ht="15.75" hidden="1" x14ac:dyDescent="0.25">
      <c r="A3054" s="1" t="str">
        <f t="shared" si="149"/>
        <v>451074510766.67CURRENTRENTVODAFONE</v>
      </c>
      <c r="B3054" s="154">
        <v>45107</v>
      </c>
      <c r="C3054" s="154">
        <v>45107</v>
      </c>
      <c r="D3054" s="3" t="s">
        <v>3513</v>
      </c>
      <c r="E3054" s="3">
        <v>-66.67</v>
      </c>
      <c r="F3054" s="3">
        <v>1</v>
      </c>
      <c r="G3054" s="3">
        <f t="shared" si="151"/>
        <v>66.67</v>
      </c>
      <c r="H3054" s="3" t="s">
        <v>293</v>
      </c>
      <c r="I3054" s="1" t="s">
        <v>83</v>
      </c>
      <c r="J3054" s="1" t="s">
        <v>78</v>
      </c>
      <c r="K3054" s="1" t="s">
        <v>298</v>
      </c>
      <c r="L3054" s="1" t="s">
        <v>257</v>
      </c>
      <c r="M3054" s="1"/>
      <c r="N3054" s="1">
        <f t="shared" si="150"/>
        <v>6</v>
      </c>
      <c r="O3054" s="87"/>
    </row>
    <row r="3055" spans="1:15" ht="15.75" hidden="1" x14ac:dyDescent="0.25">
      <c r="A3055" s="1" t="str">
        <f t="shared" si="149"/>
        <v>45107451072196CURRENTCC BILL PAYMENTBANK</v>
      </c>
      <c r="B3055" s="154">
        <v>45107</v>
      </c>
      <c r="C3055" s="154">
        <v>45107</v>
      </c>
      <c r="D3055" s="3" t="s">
        <v>3514</v>
      </c>
      <c r="E3055" s="3">
        <v>-2196</v>
      </c>
      <c r="F3055" s="3">
        <v>1</v>
      </c>
      <c r="G3055" s="3">
        <f t="shared" si="151"/>
        <v>2196</v>
      </c>
      <c r="H3055" s="3" t="s">
        <v>293</v>
      </c>
      <c r="I3055" s="1" t="s">
        <v>81</v>
      </c>
      <c r="J3055" s="1" t="s">
        <v>8</v>
      </c>
      <c r="K3055" s="1" t="s">
        <v>298</v>
      </c>
      <c r="L3055" s="1" t="s">
        <v>257</v>
      </c>
      <c r="M3055" s="1"/>
      <c r="N3055" s="1">
        <f t="shared" si="150"/>
        <v>6</v>
      </c>
      <c r="O3055" s="87"/>
    </row>
    <row r="3056" spans="1:15" ht="15.75" hidden="1" x14ac:dyDescent="0.25">
      <c r="A3056" s="1" t="str">
        <f t="shared" si="149"/>
        <v>45107451070CURRENTNANA</v>
      </c>
      <c r="B3056" s="154">
        <v>45107</v>
      </c>
      <c r="C3056" s="154">
        <v>45107</v>
      </c>
      <c r="D3056" s="3" t="s">
        <v>3515</v>
      </c>
      <c r="E3056" s="3">
        <v>365</v>
      </c>
      <c r="F3056" s="3">
        <v>0</v>
      </c>
      <c r="G3056" s="3">
        <f t="shared" si="151"/>
        <v>0</v>
      </c>
      <c r="H3056" s="3" t="s">
        <v>293</v>
      </c>
      <c r="I3056" s="1" t="s">
        <v>257</v>
      </c>
      <c r="J3056" s="1" t="s">
        <v>257</v>
      </c>
      <c r="K3056" s="1" t="s">
        <v>257</v>
      </c>
      <c r="L3056" s="1" t="s">
        <v>257</v>
      </c>
      <c r="M3056" s="1"/>
      <c r="N3056" s="1">
        <f t="shared" si="150"/>
        <v>6</v>
      </c>
      <c r="O3056" s="87"/>
    </row>
    <row r="3057" spans="1:15" ht="15.75" hidden="1" x14ac:dyDescent="0.25">
      <c r="A3057" s="1" t="str">
        <f t="shared" si="149"/>
        <v>45107451070CURRENTNANA</v>
      </c>
      <c r="B3057" s="154">
        <v>45107</v>
      </c>
      <c r="C3057" s="154">
        <v>45107</v>
      </c>
      <c r="D3057" s="3" t="s">
        <v>3516</v>
      </c>
      <c r="E3057" s="3">
        <v>-365</v>
      </c>
      <c r="F3057" s="3">
        <v>0</v>
      </c>
      <c r="G3057" s="3">
        <f t="shared" si="151"/>
        <v>0</v>
      </c>
      <c r="H3057" s="3" t="s">
        <v>293</v>
      </c>
      <c r="I3057" s="1" t="s">
        <v>257</v>
      </c>
      <c r="J3057" s="1" t="s">
        <v>257</v>
      </c>
      <c r="K3057" s="1" t="s">
        <v>257</v>
      </c>
      <c r="L3057" s="1" t="s">
        <v>257</v>
      </c>
      <c r="M3057" s="1"/>
      <c r="N3057" s="1">
        <f t="shared" si="150"/>
        <v>6</v>
      </c>
      <c r="O3057" s="87"/>
    </row>
    <row r="3058" spans="1:15" ht="15.75" hidden="1" x14ac:dyDescent="0.25">
      <c r="A3058" s="1" t="str">
        <f t="shared" si="149"/>
        <v>4510745111100MASTER CCSERVICEMOI</v>
      </c>
      <c r="B3058" s="154">
        <v>45107</v>
      </c>
      <c r="C3058" s="154">
        <v>45111</v>
      </c>
      <c r="D3058" s="3" t="s">
        <v>3572</v>
      </c>
      <c r="E3058" s="3">
        <v>-100</v>
      </c>
      <c r="F3058" s="3">
        <v>1</v>
      </c>
      <c r="G3058" s="3">
        <f t="shared" si="151"/>
        <v>100</v>
      </c>
      <c r="H3058" s="3" t="s">
        <v>291</v>
      </c>
      <c r="I3058" s="1" t="s">
        <v>7</v>
      </c>
      <c r="J3058" s="1" t="s">
        <v>1564</v>
      </c>
      <c r="K3058" s="1" t="s">
        <v>298</v>
      </c>
      <c r="L3058" s="1" t="s">
        <v>267</v>
      </c>
      <c r="M3058" s="1"/>
      <c r="N3058" s="1">
        <f t="shared" si="150"/>
        <v>7</v>
      </c>
      <c r="O3058" s="87"/>
    </row>
    <row r="3059" spans="1:15" ht="15.75" hidden="1" x14ac:dyDescent="0.25">
      <c r="A3059" s="1" t="str">
        <f t="shared" si="149"/>
        <v>45109451095020CURRENTTRANSFERINDIA</v>
      </c>
      <c r="B3059" s="154">
        <v>45109</v>
      </c>
      <c r="C3059" s="154">
        <v>45109</v>
      </c>
      <c r="D3059" s="3" t="s">
        <v>3517</v>
      </c>
      <c r="E3059" s="3">
        <v>-5020</v>
      </c>
      <c r="F3059" s="3">
        <v>1</v>
      </c>
      <c r="G3059" s="3">
        <f t="shared" si="151"/>
        <v>5020</v>
      </c>
      <c r="H3059" s="3" t="s">
        <v>293</v>
      </c>
      <c r="I3059" s="1" t="s">
        <v>22</v>
      </c>
      <c r="J3059" s="1" t="s">
        <v>23</v>
      </c>
      <c r="K3059" s="1" t="s">
        <v>298</v>
      </c>
      <c r="L3059" s="1" t="s">
        <v>257</v>
      </c>
      <c r="M3059" s="1"/>
      <c r="N3059" s="1">
        <f t="shared" si="150"/>
        <v>7</v>
      </c>
      <c r="O3059" s="87"/>
    </row>
    <row r="3060" spans="1:15" ht="15.75" hidden="1" x14ac:dyDescent="0.25">
      <c r="A3060" s="1" t="str">
        <f t="shared" si="149"/>
        <v>4510945109500CURRENTSAVINGARTI</v>
      </c>
      <c r="B3060" s="154">
        <v>45109</v>
      </c>
      <c r="C3060" s="154">
        <v>45109</v>
      </c>
      <c r="D3060" s="3" t="s">
        <v>2909</v>
      </c>
      <c r="E3060" s="3">
        <v>-500</v>
      </c>
      <c r="F3060" s="3">
        <v>1</v>
      </c>
      <c r="G3060" s="3">
        <f t="shared" si="151"/>
        <v>500</v>
      </c>
      <c r="H3060" s="3" t="s">
        <v>293</v>
      </c>
      <c r="I3060" s="1" t="s">
        <v>302</v>
      </c>
      <c r="J3060" s="1" t="s">
        <v>453</v>
      </c>
      <c r="K3060" s="1" t="s">
        <v>298</v>
      </c>
      <c r="L3060" s="1" t="s">
        <v>257</v>
      </c>
      <c r="M3060" s="1"/>
      <c r="N3060" s="1">
        <f t="shared" si="150"/>
        <v>7</v>
      </c>
      <c r="O3060" s="87"/>
    </row>
    <row r="3061" spans="1:15" ht="15.75" hidden="1" x14ac:dyDescent="0.25">
      <c r="A3061" s="1" t="str">
        <f t="shared" si="149"/>
        <v>45109451095020CURRENTTRANSFERINDIA</v>
      </c>
      <c r="B3061" s="154">
        <v>45109</v>
      </c>
      <c r="C3061" s="154">
        <v>45109</v>
      </c>
      <c r="D3061" s="3" t="s">
        <v>3774</v>
      </c>
      <c r="E3061" s="3">
        <v>-5020</v>
      </c>
      <c r="F3061" s="3">
        <v>1</v>
      </c>
      <c r="G3061" s="3">
        <f t="shared" si="151"/>
        <v>5020</v>
      </c>
      <c r="H3061" s="3" t="s">
        <v>293</v>
      </c>
      <c r="I3061" s="1" t="s">
        <v>22</v>
      </c>
      <c r="J3061" s="1" t="s">
        <v>23</v>
      </c>
      <c r="K3061" s="1" t="s">
        <v>298</v>
      </c>
      <c r="L3061" s="1" t="s">
        <v>257</v>
      </c>
      <c r="M3061" s="1"/>
      <c r="N3061" s="1">
        <f t="shared" si="150"/>
        <v>7</v>
      </c>
      <c r="O3061" s="87"/>
    </row>
    <row r="3062" spans="1:15" ht="15.75" hidden="1" x14ac:dyDescent="0.25">
      <c r="A3062" s="1" t="str">
        <f t="shared" si="149"/>
        <v>4510945109500CURRENTSAVINGARTI</v>
      </c>
      <c r="B3062" s="154">
        <v>45109</v>
      </c>
      <c r="C3062" s="154">
        <v>45109</v>
      </c>
      <c r="D3062" s="3" t="s">
        <v>2909</v>
      </c>
      <c r="E3062" s="3">
        <v>-500</v>
      </c>
      <c r="F3062" s="3">
        <v>1</v>
      </c>
      <c r="G3062" s="3">
        <f t="shared" si="151"/>
        <v>500</v>
      </c>
      <c r="H3062" s="3" t="s">
        <v>293</v>
      </c>
      <c r="I3062" s="1" t="s">
        <v>302</v>
      </c>
      <c r="J3062" s="1" t="s">
        <v>453</v>
      </c>
      <c r="K3062" s="1" t="s">
        <v>298</v>
      </c>
      <c r="L3062" s="1" t="s">
        <v>257</v>
      </c>
      <c r="M3062" s="1"/>
      <c r="N3062" s="1">
        <f t="shared" si="150"/>
        <v>7</v>
      </c>
      <c r="O3062" s="87"/>
    </row>
    <row r="3063" spans="1:15" ht="15.75" hidden="1" x14ac:dyDescent="0.25">
      <c r="A3063" s="1" t="str">
        <f t="shared" si="149"/>
        <v>45111451111000CURRENTSAVINGSELF</v>
      </c>
      <c r="B3063" s="154">
        <v>45111</v>
      </c>
      <c r="C3063" s="154">
        <v>45111</v>
      </c>
      <c r="D3063" s="3" t="s">
        <v>3518</v>
      </c>
      <c r="E3063" s="3">
        <v>-1000</v>
      </c>
      <c r="F3063" s="3">
        <v>1</v>
      </c>
      <c r="G3063" s="3">
        <f t="shared" si="151"/>
        <v>1000</v>
      </c>
      <c r="H3063" s="3" t="s">
        <v>293</v>
      </c>
      <c r="I3063" s="1" t="s">
        <v>302</v>
      </c>
      <c r="J3063" s="1" t="s">
        <v>14</v>
      </c>
      <c r="K3063" s="1" t="s">
        <v>298</v>
      </c>
      <c r="L3063" s="1" t="s">
        <v>257</v>
      </c>
      <c r="M3063" s="1"/>
      <c r="N3063" s="1">
        <f t="shared" si="150"/>
        <v>7</v>
      </c>
      <c r="O3063" s="87"/>
    </row>
    <row r="3064" spans="1:15" ht="15.75" hidden="1" x14ac:dyDescent="0.25">
      <c r="A3064" s="1" t="str">
        <f t="shared" si="149"/>
        <v>451154511824MASTER CCFOODWISHBOX</v>
      </c>
      <c r="B3064" s="154">
        <v>45115</v>
      </c>
      <c r="C3064" s="154">
        <v>45118</v>
      </c>
      <c r="D3064" s="3" t="s">
        <v>3573</v>
      </c>
      <c r="E3064" s="3">
        <v>-24</v>
      </c>
      <c r="F3064" s="3">
        <v>1</v>
      </c>
      <c r="G3064" s="3">
        <f t="shared" si="151"/>
        <v>24</v>
      </c>
      <c r="H3064" s="3" t="s">
        <v>291</v>
      </c>
      <c r="I3064" s="1" t="s">
        <v>10</v>
      </c>
      <c r="J3064" s="1" t="s">
        <v>1199</v>
      </c>
      <c r="K3064" s="1" t="s">
        <v>298</v>
      </c>
      <c r="L3064" s="1" t="s">
        <v>267</v>
      </c>
      <c r="M3064" s="1"/>
      <c r="N3064" s="1">
        <f t="shared" si="150"/>
        <v>7</v>
      </c>
      <c r="O3064" s="87"/>
    </row>
    <row r="3065" spans="1:15" ht="15.75" hidden="1" x14ac:dyDescent="0.25">
      <c r="A3065" s="1" t="str">
        <f t="shared" si="149"/>
        <v>451154511737.44MASTER CCGROCERYREDROSE</v>
      </c>
      <c r="B3065" s="154">
        <v>45115</v>
      </c>
      <c r="C3065" s="154">
        <v>45117</v>
      </c>
      <c r="D3065" s="3" t="s">
        <v>3574</v>
      </c>
      <c r="E3065" s="3">
        <v>-37.44</v>
      </c>
      <c r="F3065" s="3">
        <v>1</v>
      </c>
      <c r="G3065" s="3">
        <f t="shared" si="151"/>
        <v>37.44</v>
      </c>
      <c r="H3065" s="3" t="s">
        <v>291</v>
      </c>
      <c r="I3065" s="1" t="s">
        <v>43</v>
      </c>
      <c r="J3065" s="1" t="s">
        <v>4082</v>
      </c>
      <c r="K3065" s="1" t="s">
        <v>298</v>
      </c>
      <c r="L3065" s="1" t="s">
        <v>267</v>
      </c>
      <c r="M3065" s="1"/>
      <c r="N3065" s="1">
        <f t="shared" si="150"/>
        <v>7</v>
      </c>
      <c r="O3065" s="87"/>
    </row>
    <row r="3066" spans="1:15" ht="15.75" hidden="1" x14ac:dyDescent="0.25">
      <c r="A3066" s="1" t="str">
        <f t="shared" si="149"/>
        <v>451154511826.54DINERSTRANSPORTUBER</v>
      </c>
      <c r="B3066" s="154">
        <v>45115</v>
      </c>
      <c r="C3066" s="154">
        <v>45118</v>
      </c>
      <c r="D3066" s="3" t="s">
        <v>3624</v>
      </c>
      <c r="E3066" s="3">
        <v>-26.54</v>
      </c>
      <c r="F3066" s="3">
        <v>1</v>
      </c>
      <c r="G3066" s="3">
        <f t="shared" si="151"/>
        <v>26.54</v>
      </c>
      <c r="H3066" s="3" t="s">
        <v>266</v>
      </c>
      <c r="I3066" s="1" t="s">
        <v>296</v>
      </c>
      <c r="J3066" s="1" t="s">
        <v>299</v>
      </c>
      <c r="K3066" s="1" t="s">
        <v>298</v>
      </c>
      <c r="L3066" s="1" t="s">
        <v>267</v>
      </c>
      <c r="M3066" s="1"/>
      <c r="N3066" s="1">
        <f t="shared" si="150"/>
        <v>7</v>
      </c>
      <c r="O3066" s="87"/>
    </row>
    <row r="3067" spans="1:15" ht="15.75" hidden="1" x14ac:dyDescent="0.25">
      <c r="A3067" s="1" t="str">
        <f t="shared" si="149"/>
        <v>45116451165000CURRENTRENTBARWA</v>
      </c>
      <c r="B3067" s="154">
        <v>45116</v>
      </c>
      <c r="C3067" s="154">
        <v>45116</v>
      </c>
      <c r="D3067" s="3" t="s">
        <v>3519</v>
      </c>
      <c r="E3067" s="3">
        <v>-5000</v>
      </c>
      <c r="F3067" s="3">
        <v>1</v>
      </c>
      <c r="G3067" s="3">
        <f t="shared" si="151"/>
        <v>5000</v>
      </c>
      <c r="H3067" s="3" t="s">
        <v>293</v>
      </c>
      <c r="I3067" s="1" t="s">
        <v>83</v>
      </c>
      <c r="J3067" s="1" t="s">
        <v>3633</v>
      </c>
      <c r="K3067" s="1" t="s">
        <v>298</v>
      </c>
      <c r="L3067" s="1" t="s">
        <v>257</v>
      </c>
      <c r="M3067" s="1"/>
      <c r="N3067" s="1">
        <f t="shared" si="150"/>
        <v>7</v>
      </c>
      <c r="O3067" s="87"/>
    </row>
    <row r="3068" spans="1:15" ht="15.75" hidden="1" x14ac:dyDescent="0.25">
      <c r="A3068" s="1" t="str">
        <f t="shared" si="149"/>
        <v>45116451185MASTER CCFOODQATAR AIR</v>
      </c>
      <c r="B3068" s="154">
        <v>45116</v>
      </c>
      <c r="C3068" s="154">
        <v>45118</v>
      </c>
      <c r="D3068" s="3" t="s">
        <v>3575</v>
      </c>
      <c r="E3068" s="3">
        <v>-5</v>
      </c>
      <c r="F3068" s="3">
        <v>1</v>
      </c>
      <c r="G3068" s="3">
        <f t="shared" si="151"/>
        <v>5</v>
      </c>
      <c r="H3068" s="3" t="s">
        <v>291</v>
      </c>
      <c r="I3068" s="1" t="s">
        <v>10</v>
      </c>
      <c r="J3068" s="1" t="s">
        <v>19</v>
      </c>
      <c r="K3068" s="1" t="s">
        <v>298</v>
      </c>
      <c r="L3068" s="1" t="s">
        <v>267</v>
      </c>
      <c r="M3068" s="1"/>
      <c r="N3068" s="1">
        <f t="shared" si="150"/>
        <v>7</v>
      </c>
      <c r="O3068" s="87"/>
    </row>
    <row r="3069" spans="1:15" ht="15.75" hidden="1" x14ac:dyDescent="0.25">
      <c r="A3069" s="1" t="str">
        <f t="shared" si="149"/>
        <v>451164511819MASTER CCFOODPAPA JOHN'S</v>
      </c>
      <c r="B3069" s="154">
        <v>45116</v>
      </c>
      <c r="C3069" s="154">
        <v>45118</v>
      </c>
      <c r="D3069" s="3" t="s">
        <v>3576</v>
      </c>
      <c r="E3069" s="3">
        <v>-19</v>
      </c>
      <c r="F3069" s="3">
        <v>1</v>
      </c>
      <c r="G3069" s="3">
        <f t="shared" si="151"/>
        <v>19</v>
      </c>
      <c r="H3069" s="3" t="s">
        <v>291</v>
      </c>
      <c r="I3069" s="1" t="s">
        <v>10</v>
      </c>
      <c r="J3069" s="1" t="s">
        <v>1657</v>
      </c>
      <c r="K3069" s="1" t="s">
        <v>298</v>
      </c>
      <c r="L3069" s="1" t="s">
        <v>267</v>
      </c>
      <c r="M3069" s="1"/>
      <c r="N3069" s="1">
        <f t="shared" si="150"/>
        <v>7</v>
      </c>
      <c r="O3069" s="87"/>
    </row>
    <row r="3070" spans="1:15" ht="15.75" hidden="1" x14ac:dyDescent="0.25">
      <c r="A3070" s="1" t="str">
        <f t="shared" si="149"/>
        <v>451164511859MASTER CCSHOPPINGAL ANEES</v>
      </c>
      <c r="B3070" s="154">
        <v>45116</v>
      </c>
      <c r="C3070" s="154">
        <v>45118</v>
      </c>
      <c r="D3070" s="3" t="s">
        <v>3577</v>
      </c>
      <c r="E3070" s="3">
        <v>-59</v>
      </c>
      <c r="F3070" s="3">
        <v>1</v>
      </c>
      <c r="G3070" s="3">
        <f t="shared" si="151"/>
        <v>59</v>
      </c>
      <c r="H3070" s="3" t="s">
        <v>291</v>
      </c>
      <c r="I3070" s="1" t="s">
        <v>194</v>
      </c>
      <c r="J3070" s="1" t="s">
        <v>3297</v>
      </c>
      <c r="K3070" s="1" t="s">
        <v>298</v>
      </c>
      <c r="L3070" s="1" t="s">
        <v>267</v>
      </c>
      <c r="M3070" s="1"/>
      <c r="N3070" s="1">
        <f t="shared" si="150"/>
        <v>7</v>
      </c>
      <c r="O3070" s="87"/>
    </row>
    <row r="3071" spans="1:15" ht="15.75" hidden="1" x14ac:dyDescent="0.25">
      <c r="A3071" s="1" t="str">
        <f t="shared" si="149"/>
        <v>4511645117250MASTER CCRENTVODAFONE</v>
      </c>
      <c r="B3071" s="154">
        <v>45116</v>
      </c>
      <c r="C3071" s="154">
        <v>45117</v>
      </c>
      <c r="D3071" s="3" t="s">
        <v>3578</v>
      </c>
      <c r="E3071" s="3">
        <v>-250</v>
      </c>
      <c r="F3071" s="3">
        <v>1</v>
      </c>
      <c r="G3071" s="3">
        <f t="shared" si="151"/>
        <v>250</v>
      </c>
      <c r="H3071" s="3" t="s">
        <v>291</v>
      </c>
      <c r="I3071" s="1" t="s">
        <v>83</v>
      </c>
      <c r="J3071" s="1" t="s">
        <v>78</v>
      </c>
      <c r="K3071" s="1" t="s">
        <v>298</v>
      </c>
      <c r="L3071" s="1" t="s">
        <v>267</v>
      </c>
      <c r="M3071" s="1"/>
      <c r="N3071" s="1">
        <f t="shared" si="150"/>
        <v>7</v>
      </c>
      <c r="O3071" s="87"/>
    </row>
    <row r="3072" spans="1:15" ht="15.75" hidden="1" x14ac:dyDescent="0.25">
      <c r="A3072" s="1" t="str">
        <f t="shared" si="149"/>
        <v>451164511772DINERSRENTKAHRAMAA</v>
      </c>
      <c r="B3072" s="154">
        <v>45116</v>
      </c>
      <c r="C3072" s="154">
        <v>45117</v>
      </c>
      <c r="D3072" s="3" t="s">
        <v>3625</v>
      </c>
      <c r="E3072" s="3">
        <v>-72</v>
      </c>
      <c r="F3072" s="3">
        <v>1</v>
      </c>
      <c r="G3072" s="3">
        <f t="shared" si="151"/>
        <v>72</v>
      </c>
      <c r="H3072" s="3" t="s">
        <v>266</v>
      </c>
      <c r="I3072" s="1" t="s">
        <v>83</v>
      </c>
      <c r="J3072" s="1" t="s">
        <v>4113</v>
      </c>
      <c r="K3072" s="1" t="s">
        <v>298</v>
      </c>
      <c r="L3072" s="1" t="s">
        <v>267</v>
      </c>
      <c r="M3072" s="1"/>
      <c r="N3072" s="1">
        <f t="shared" si="150"/>
        <v>7</v>
      </c>
      <c r="O3072" s="87"/>
    </row>
    <row r="3073" spans="1:15" ht="15.75" hidden="1" x14ac:dyDescent="0.25">
      <c r="A3073" s="1" t="str">
        <f t="shared" si="149"/>
        <v>451174512048MASTER CCFOODTALABAT</v>
      </c>
      <c r="B3073" s="154">
        <v>45117</v>
      </c>
      <c r="C3073" s="154">
        <v>45120</v>
      </c>
      <c r="D3073" s="3" t="s">
        <v>3579</v>
      </c>
      <c r="E3073" s="3">
        <v>-48</v>
      </c>
      <c r="F3073" s="3">
        <v>1</v>
      </c>
      <c r="G3073" s="3">
        <f t="shared" si="151"/>
        <v>48</v>
      </c>
      <c r="H3073" s="3" t="s">
        <v>291</v>
      </c>
      <c r="I3073" s="1" t="s">
        <v>10</v>
      </c>
      <c r="J3073" s="1" t="s">
        <v>865</v>
      </c>
      <c r="K3073" s="1" t="s">
        <v>298</v>
      </c>
      <c r="L3073" s="1" t="s">
        <v>267</v>
      </c>
      <c r="M3073" s="1"/>
      <c r="N3073" s="1">
        <f t="shared" si="150"/>
        <v>7</v>
      </c>
      <c r="O3073" s="87"/>
    </row>
    <row r="3074" spans="1:15" ht="15.75" hidden="1" x14ac:dyDescent="0.25">
      <c r="A3074" s="1" t="str">
        <f t="shared" ref="A3074:A3137" si="152">B3074&amp;C3074&amp;G3074&amp;H3074&amp;I3074&amp;J3074</f>
        <v>451174511913MASTER CCFOODQATAR AIR</v>
      </c>
      <c r="B3074" s="154">
        <v>45117</v>
      </c>
      <c r="C3074" s="154">
        <v>45119</v>
      </c>
      <c r="D3074" s="3" t="s">
        <v>3580</v>
      </c>
      <c r="E3074" s="3">
        <v>-13</v>
      </c>
      <c r="F3074" s="3">
        <v>1</v>
      </c>
      <c r="G3074" s="3">
        <f t="shared" si="151"/>
        <v>13</v>
      </c>
      <c r="H3074" s="3" t="s">
        <v>291</v>
      </c>
      <c r="I3074" s="1" t="s">
        <v>10</v>
      </c>
      <c r="J3074" s="1" t="s">
        <v>19</v>
      </c>
      <c r="K3074" s="1" t="s">
        <v>298</v>
      </c>
      <c r="L3074" s="1" t="s">
        <v>267</v>
      </c>
      <c r="M3074" s="1"/>
      <c r="N3074" s="1">
        <f t="shared" ref="N3074:N3137" si="153">MONTH(C3074)</f>
        <v>7</v>
      </c>
      <c r="O3074" s="87"/>
    </row>
    <row r="3075" spans="1:15" ht="15.75" hidden="1" x14ac:dyDescent="0.25">
      <c r="A3075" s="1" t="str">
        <f t="shared" si="152"/>
        <v>451174511915MASTER CCFOODQATAR AIR</v>
      </c>
      <c r="B3075" s="154">
        <v>45117</v>
      </c>
      <c r="C3075" s="154">
        <v>45119</v>
      </c>
      <c r="D3075" s="3" t="s">
        <v>3581</v>
      </c>
      <c r="E3075" s="3">
        <v>-15</v>
      </c>
      <c r="F3075" s="3">
        <v>1</v>
      </c>
      <c r="G3075" s="3">
        <f t="shared" si="151"/>
        <v>15</v>
      </c>
      <c r="H3075" s="3" t="s">
        <v>291</v>
      </c>
      <c r="I3075" s="1" t="s">
        <v>10</v>
      </c>
      <c r="J3075" s="1" t="s">
        <v>19</v>
      </c>
      <c r="K3075" s="1" t="s">
        <v>298</v>
      </c>
      <c r="L3075" s="1" t="s">
        <v>267</v>
      </c>
      <c r="M3075" s="1"/>
      <c r="N3075" s="1">
        <f t="shared" si="153"/>
        <v>7</v>
      </c>
      <c r="O3075" s="87"/>
    </row>
    <row r="3076" spans="1:15" ht="15.75" hidden="1" x14ac:dyDescent="0.25">
      <c r="A3076" s="1" t="str">
        <f t="shared" si="152"/>
        <v>451184512012MASTER CCFOODQATAR AIR</v>
      </c>
      <c r="B3076" s="154">
        <v>45118</v>
      </c>
      <c r="C3076" s="154">
        <v>45120</v>
      </c>
      <c r="D3076" s="3" t="s">
        <v>3583</v>
      </c>
      <c r="E3076" s="3">
        <v>-12</v>
      </c>
      <c r="F3076" s="3">
        <v>1</v>
      </c>
      <c r="G3076" s="3">
        <f t="shared" si="151"/>
        <v>12</v>
      </c>
      <c r="H3076" s="3" t="s">
        <v>291</v>
      </c>
      <c r="I3076" s="1" t="s">
        <v>10</v>
      </c>
      <c r="J3076" s="1" t="s">
        <v>19</v>
      </c>
      <c r="K3076" s="1" t="s">
        <v>298</v>
      </c>
      <c r="L3076" s="1" t="s">
        <v>267</v>
      </c>
      <c r="M3076" s="1"/>
      <c r="N3076" s="1">
        <f t="shared" si="153"/>
        <v>7</v>
      </c>
      <c r="O3076" s="87"/>
    </row>
    <row r="3077" spans="1:15" ht="15.75" hidden="1" x14ac:dyDescent="0.25">
      <c r="A3077" s="1" t="str">
        <f t="shared" si="152"/>
        <v>451184512018MASTER CCFOODQATAR AIR</v>
      </c>
      <c r="B3077" s="154">
        <v>45118</v>
      </c>
      <c r="C3077" s="154">
        <v>45120</v>
      </c>
      <c r="D3077" s="3" t="s">
        <v>3582</v>
      </c>
      <c r="E3077" s="3">
        <v>-18</v>
      </c>
      <c r="F3077" s="3">
        <v>1</v>
      </c>
      <c r="G3077" s="3">
        <f t="shared" si="151"/>
        <v>18</v>
      </c>
      <c r="H3077" s="3" t="s">
        <v>291</v>
      </c>
      <c r="I3077" s="1" t="s">
        <v>10</v>
      </c>
      <c r="J3077" s="1" t="s">
        <v>19</v>
      </c>
      <c r="K3077" s="1" t="s">
        <v>298</v>
      </c>
      <c r="L3077" s="1" t="s">
        <v>267</v>
      </c>
      <c r="M3077" s="1"/>
      <c r="N3077" s="1">
        <f t="shared" si="153"/>
        <v>7</v>
      </c>
      <c r="O3077" s="87"/>
    </row>
    <row r="3078" spans="1:15" ht="15.75" hidden="1" x14ac:dyDescent="0.25">
      <c r="A3078" s="1" t="str">
        <f t="shared" si="152"/>
        <v>451194512344MASTER CCFOODTALABAT</v>
      </c>
      <c r="B3078" s="154">
        <v>45119</v>
      </c>
      <c r="C3078" s="154">
        <v>45123</v>
      </c>
      <c r="D3078" s="3" t="s">
        <v>3584</v>
      </c>
      <c r="E3078" s="3">
        <v>-44</v>
      </c>
      <c r="F3078" s="3">
        <v>1</v>
      </c>
      <c r="G3078" s="3">
        <f t="shared" si="151"/>
        <v>44</v>
      </c>
      <c r="H3078" s="3" t="s">
        <v>291</v>
      </c>
      <c r="I3078" s="1" t="s">
        <v>10</v>
      </c>
      <c r="J3078" s="1" t="s">
        <v>865</v>
      </c>
      <c r="K3078" s="1" t="s">
        <v>298</v>
      </c>
      <c r="L3078" s="1" t="s">
        <v>267</v>
      </c>
      <c r="M3078" s="1"/>
      <c r="N3078" s="1">
        <f t="shared" si="153"/>
        <v>7</v>
      </c>
      <c r="O3078" s="87"/>
    </row>
    <row r="3079" spans="1:15" ht="15.75" hidden="1" x14ac:dyDescent="0.25">
      <c r="A3079" s="1" t="str">
        <f t="shared" si="152"/>
        <v>451194512110MASTER CCFOODQATAR AIR</v>
      </c>
      <c r="B3079" s="154">
        <v>45119</v>
      </c>
      <c r="C3079" s="154">
        <v>45121</v>
      </c>
      <c r="D3079" s="3" t="s">
        <v>3586</v>
      </c>
      <c r="E3079" s="3">
        <v>-10</v>
      </c>
      <c r="F3079" s="3">
        <v>1</v>
      </c>
      <c r="G3079" s="3">
        <f t="shared" si="151"/>
        <v>10</v>
      </c>
      <c r="H3079" s="3" t="s">
        <v>291</v>
      </c>
      <c r="I3079" s="1" t="s">
        <v>10</v>
      </c>
      <c r="J3079" s="1" t="s">
        <v>19</v>
      </c>
      <c r="K3079" s="1" t="s">
        <v>298</v>
      </c>
      <c r="L3079" s="1" t="s">
        <v>267</v>
      </c>
      <c r="M3079" s="1"/>
      <c r="N3079" s="1">
        <f t="shared" si="153"/>
        <v>7</v>
      </c>
      <c r="O3079" s="87"/>
    </row>
    <row r="3080" spans="1:15" ht="15.75" hidden="1" x14ac:dyDescent="0.25">
      <c r="A3080" s="1" t="str">
        <f t="shared" si="152"/>
        <v>451194512122MASTER CCFOODQATAR AIR</v>
      </c>
      <c r="B3080" s="154">
        <v>45119</v>
      </c>
      <c r="C3080" s="154">
        <v>45121</v>
      </c>
      <c r="D3080" s="3" t="s">
        <v>3585</v>
      </c>
      <c r="E3080" s="3">
        <v>-22</v>
      </c>
      <c r="F3080" s="3">
        <v>1</v>
      </c>
      <c r="G3080" s="3">
        <f t="shared" si="151"/>
        <v>22</v>
      </c>
      <c r="H3080" s="3" t="s">
        <v>291</v>
      </c>
      <c r="I3080" s="1" t="s">
        <v>10</v>
      </c>
      <c r="J3080" s="1" t="s">
        <v>19</v>
      </c>
      <c r="K3080" s="1" t="s">
        <v>298</v>
      </c>
      <c r="L3080" s="1" t="s">
        <v>267</v>
      </c>
      <c r="M3080" s="1"/>
      <c r="N3080" s="1">
        <f t="shared" si="153"/>
        <v>7</v>
      </c>
      <c r="O3080" s="87"/>
    </row>
    <row r="3081" spans="1:15" ht="15.75" hidden="1" x14ac:dyDescent="0.25">
      <c r="A3081" s="1" t="str">
        <f t="shared" si="152"/>
        <v>451204512426MASTER CCFOODQATAR AIR</v>
      </c>
      <c r="B3081" s="154">
        <v>45120</v>
      </c>
      <c r="C3081" s="154">
        <v>45124</v>
      </c>
      <c r="D3081" s="3" t="s">
        <v>3588</v>
      </c>
      <c r="E3081" s="3">
        <v>-26</v>
      </c>
      <c r="F3081" s="3">
        <v>1</v>
      </c>
      <c r="G3081" s="3">
        <f t="shared" si="151"/>
        <v>26</v>
      </c>
      <c r="H3081" s="3" t="s">
        <v>291</v>
      </c>
      <c r="I3081" s="1" t="s">
        <v>10</v>
      </c>
      <c r="J3081" s="1" t="s">
        <v>19</v>
      </c>
      <c r="K3081" s="1" t="s">
        <v>298</v>
      </c>
      <c r="L3081" s="1" t="s">
        <v>267</v>
      </c>
      <c r="M3081" s="1"/>
      <c r="N3081" s="1">
        <f t="shared" si="153"/>
        <v>7</v>
      </c>
      <c r="O3081" s="87"/>
    </row>
    <row r="3082" spans="1:15" ht="15.75" hidden="1" x14ac:dyDescent="0.25">
      <c r="A3082" s="1" t="str">
        <f t="shared" si="152"/>
        <v>451204512422MASTER CCFOODQATAR AIR</v>
      </c>
      <c r="B3082" s="154">
        <v>45120</v>
      </c>
      <c r="C3082" s="154">
        <v>45124</v>
      </c>
      <c r="D3082" s="3" t="s">
        <v>3587</v>
      </c>
      <c r="E3082" s="3">
        <v>-22</v>
      </c>
      <c r="F3082" s="3">
        <v>1</v>
      </c>
      <c r="G3082" s="3">
        <f t="shared" si="151"/>
        <v>22</v>
      </c>
      <c r="H3082" s="3" t="s">
        <v>291</v>
      </c>
      <c r="I3082" s="1" t="s">
        <v>10</v>
      </c>
      <c r="J3082" s="1" t="s">
        <v>19</v>
      </c>
      <c r="K3082" s="1" t="s">
        <v>298</v>
      </c>
      <c r="L3082" s="1" t="s">
        <v>267</v>
      </c>
      <c r="M3082" s="1"/>
      <c r="N3082" s="1">
        <f t="shared" si="153"/>
        <v>7</v>
      </c>
      <c r="O3082" s="87"/>
    </row>
    <row r="3083" spans="1:15" ht="15.75" hidden="1" x14ac:dyDescent="0.25">
      <c r="A3083" s="1" t="str">
        <f t="shared" si="152"/>
        <v>451204512352MASTER CCFOODTALABAT</v>
      </c>
      <c r="B3083" s="154">
        <v>45120</v>
      </c>
      <c r="C3083" s="154">
        <v>45123</v>
      </c>
      <c r="D3083" s="3" t="s">
        <v>3589</v>
      </c>
      <c r="E3083" s="3">
        <v>-52</v>
      </c>
      <c r="F3083" s="3">
        <v>1</v>
      </c>
      <c r="G3083" s="3">
        <f t="shared" ref="G3083:G3146" si="154">ABS(E3083)*F3083</f>
        <v>52</v>
      </c>
      <c r="H3083" s="3" t="s">
        <v>291</v>
      </c>
      <c r="I3083" s="1" t="s">
        <v>10</v>
      </c>
      <c r="J3083" s="1" t="s">
        <v>865</v>
      </c>
      <c r="K3083" s="1" t="s">
        <v>298</v>
      </c>
      <c r="L3083" s="1" t="s">
        <v>267</v>
      </c>
      <c r="M3083" s="1"/>
      <c r="N3083" s="1">
        <f t="shared" si="153"/>
        <v>7</v>
      </c>
      <c r="O3083" s="87"/>
    </row>
    <row r="3084" spans="1:15" ht="15.75" hidden="1" x14ac:dyDescent="0.25">
      <c r="A3084" s="1" t="str">
        <f t="shared" si="152"/>
        <v>451204512126.5DINERSGROCERYTOTAL FRESH</v>
      </c>
      <c r="B3084" s="154">
        <v>45120</v>
      </c>
      <c r="C3084" s="154">
        <v>45121</v>
      </c>
      <c r="D3084" s="3" t="s">
        <v>3626</v>
      </c>
      <c r="E3084" s="3">
        <v>-26.5</v>
      </c>
      <c r="F3084" s="3">
        <v>1</v>
      </c>
      <c r="G3084" s="3">
        <f t="shared" si="154"/>
        <v>26.5</v>
      </c>
      <c r="H3084" s="3" t="s">
        <v>266</v>
      </c>
      <c r="I3084" s="1" t="s">
        <v>43</v>
      </c>
      <c r="J3084" s="1" t="s">
        <v>1394</v>
      </c>
      <c r="K3084" s="1" t="s">
        <v>298</v>
      </c>
      <c r="L3084" s="1" t="s">
        <v>267</v>
      </c>
      <c r="M3084" s="1"/>
      <c r="N3084" s="1">
        <f t="shared" si="153"/>
        <v>7</v>
      </c>
      <c r="O3084" s="87"/>
    </row>
    <row r="3085" spans="1:15" ht="15.75" hidden="1" x14ac:dyDescent="0.25">
      <c r="A3085" s="1" t="str">
        <f t="shared" si="152"/>
        <v>451214512437MASTER CCENTERTAINMENTNOVO</v>
      </c>
      <c r="B3085" s="154">
        <v>45121</v>
      </c>
      <c r="C3085" s="154">
        <v>45124</v>
      </c>
      <c r="D3085" s="3" t="s">
        <v>3590</v>
      </c>
      <c r="E3085" s="3">
        <v>-37</v>
      </c>
      <c r="F3085" s="3">
        <v>1</v>
      </c>
      <c r="G3085" s="3">
        <f t="shared" si="154"/>
        <v>37</v>
      </c>
      <c r="H3085" s="3" t="s">
        <v>291</v>
      </c>
      <c r="I3085" s="1" t="s">
        <v>2476</v>
      </c>
      <c r="J3085" s="1" t="s">
        <v>4112</v>
      </c>
      <c r="K3085" s="1" t="s">
        <v>298</v>
      </c>
      <c r="L3085" s="1" t="s">
        <v>267</v>
      </c>
      <c r="M3085" s="1"/>
      <c r="N3085" s="1">
        <f t="shared" si="153"/>
        <v>7</v>
      </c>
      <c r="O3085" s="87"/>
    </row>
    <row r="3086" spans="1:15" ht="15.75" hidden="1" x14ac:dyDescent="0.25">
      <c r="A3086" s="1" t="str">
        <f t="shared" si="152"/>
        <v>451214512228MASTER CCFOODCAFÉ/REST.</v>
      </c>
      <c r="B3086" s="154">
        <v>45121</v>
      </c>
      <c r="C3086" s="154">
        <v>45122</v>
      </c>
      <c r="D3086" s="3" t="s">
        <v>3591</v>
      </c>
      <c r="E3086" s="3">
        <v>-28</v>
      </c>
      <c r="F3086" s="3">
        <v>1</v>
      </c>
      <c r="G3086" s="3">
        <f t="shared" si="154"/>
        <v>28</v>
      </c>
      <c r="H3086" s="3" t="s">
        <v>291</v>
      </c>
      <c r="I3086" s="1" t="s">
        <v>10</v>
      </c>
      <c r="J3086" s="1" t="s">
        <v>11</v>
      </c>
      <c r="K3086" s="1" t="s">
        <v>298</v>
      </c>
      <c r="L3086" s="1" t="s">
        <v>267</v>
      </c>
      <c r="M3086" s="1"/>
      <c r="N3086" s="1">
        <f t="shared" si="153"/>
        <v>7</v>
      </c>
      <c r="O3086" s="87"/>
    </row>
    <row r="3087" spans="1:15" ht="15.75" hidden="1" x14ac:dyDescent="0.25">
      <c r="A3087" s="1" t="str">
        <f t="shared" si="152"/>
        <v>451224512535.21MASTER CCGROCERYINDIAN SUPER</v>
      </c>
      <c r="B3087" s="154">
        <v>45122</v>
      </c>
      <c r="C3087" s="154">
        <v>45125</v>
      </c>
      <c r="D3087" s="3" t="s">
        <v>3592</v>
      </c>
      <c r="E3087" s="3">
        <v>-35.21</v>
      </c>
      <c r="F3087" s="3">
        <v>1</v>
      </c>
      <c r="G3087" s="3">
        <f t="shared" si="154"/>
        <v>35.21</v>
      </c>
      <c r="H3087" s="3" t="s">
        <v>291</v>
      </c>
      <c r="I3087" s="1" t="s">
        <v>43</v>
      </c>
      <c r="J3087" s="1" t="s">
        <v>2273</v>
      </c>
      <c r="K3087" s="1" t="s">
        <v>298</v>
      </c>
      <c r="L3087" s="1" t="s">
        <v>267</v>
      </c>
      <c r="M3087" s="1"/>
      <c r="N3087" s="1">
        <f t="shared" si="153"/>
        <v>7</v>
      </c>
      <c r="O3087" s="87"/>
    </row>
    <row r="3088" spans="1:15" ht="15.75" hidden="1" x14ac:dyDescent="0.25">
      <c r="A3088" s="1" t="str">
        <f t="shared" si="152"/>
        <v>451224512498.01MASTER CCTRANSPORTWOQOD</v>
      </c>
      <c r="B3088" s="154">
        <v>45122</v>
      </c>
      <c r="C3088" s="154">
        <v>45124</v>
      </c>
      <c r="D3088" s="3" t="s">
        <v>3594</v>
      </c>
      <c r="E3088" s="3">
        <v>-98.01</v>
      </c>
      <c r="F3088" s="3">
        <v>1</v>
      </c>
      <c r="G3088" s="3">
        <f t="shared" si="154"/>
        <v>98.01</v>
      </c>
      <c r="H3088" s="3" t="s">
        <v>291</v>
      </c>
      <c r="I3088" s="1" t="s">
        <v>296</v>
      </c>
      <c r="J3088" s="1" t="s">
        <v>1942</v>
      </c>
      <c r="K3088" s="1" t="s">
        <v>298</v>
      </c>
      <c r="L3088" s="1" t="s">
        <v>267</v>
      </c>
      <c r="M3088" s="1"/>
      <c r="N3088" s="1">
        <f t="shared" si="153"/>
        <v>7</v>
      </c>
      <c r="O3088" s="87"/>
    </row>
    <row r="3089" spans="1:15" ht="15.75" hidden="1" x14ac:dyDescent="0.25">
      <c r="A3089" s="1" t="str">
        <f t="shared" si="152"/>
        <v>451224512435MASTER CCFOODWISHBOX</v>
      </c>
      <c r="B3089" s="154">
        <v>45122</v>
      </c>
      <c r="C3089" s="154">
        <v>45124</v>
      </c>
      <c r="D3089" s="3" t="s">
        <v>3593</v>
      </c>
      <c r="E3089" s="3">
        <v>-35</v>
      </c>
      <c r="F3089" s="3">
        <v>1</v>
      </c>
      <c r="G3089" s="3">
        <f t="shared" si="154"/>
        <v>35</v>
      </c>
      <c r="H3089" s="3" t="s">
        <v>291</v>
      </c>
      <c r="I3089" s="1" t="s">
        <v>10</v>
      </c>
      <c r="J3089" s="1" t="s">
        <v>1199</v>
      </c>
      <c r="K3089" s="1" t="s">
        <v>298</v>
      </c>
      <c r="L3089" s="1" t="s">
        <v>267</v>
      </c>
      <c r="M3089" s="1"/>
      <c r="N3089" s="1">
        <f t="shared" si="153"/>
        <v>7</v>
      </c>
      <c r="O3089" s="87"/>
    </row>
    <row r="3090" spans="1:15" ht="15.75" hidden="1" x14ac:dyDescent="0.25">
      <c r="A3090" s="1" t="str">
        <f t="shared" si="152"/>
        <v>451234512313600CURRENTEDUCATIONORYX</v>
      </c>
      <c r="B3090" s="154">
        <v>45123</v>
      </c>
      <c r="C3090" s="154">
        <v>45123</v>
      </c>
      <c r="D3090" s="3" t="s">
        <v>3520</v>
      </c>
      <c r="E3090" s="3">
        <v>-13600</v>
      </c>
      <c r="F3090" s="3">
        <v>1</v>
      </c>
      <c r="G3090" s="3">
        <f t="shared" si="154"/>
        <v>13600</v>
      </c>
      <c r="H3090" s="3" t="s">
        <v>293</v>
      </c>
      <c r="I3090" s="1" t="s">
        <v>543</v>
      </c>
      <c r="J3090" s="1" t="s">
        <v>2073</v>
      </c>
      <c r="K3090" s="1" t="s">
        <v>298</v>
      </c>
      <c r="L3090" s="1" t="s">
        <v>257</v>
      </c>
      <c r="M3090" s="1"/>
      <c r="N3090" s="1">
        <f t="shared" si="153"/>
        <v>7</v>
      </c>
      <c r="O3090" s="87"/>
    </row>
    <row r="3091" spans="1:15" ht="15.75" hidden="1" x14ac:dyDescent="0.25">
      <c r="A3091" s="1" t="str">
        <f t="shared" si="152"/>
        <v>4512345125989MASTER CCTRANSPORTQATAR AUTOMOBILES</v>
      </c>
      <c r="B3091" s="154">
        <v>45123</v>
      </c>
      <c r="C3091" s="154">
        <v>45125</v>
      </c>
      <c r="D3091" s="3" t="s">
        <v>3595</v>
      </c>
      <c r="E3091" s="3">
        <v>-989</v>
      </c>
      <c r="F3091" s="3">
        <v>1</v>
      </c>
      <c r="G3091" s="3">
        <f t="shared" si="154"/>
        <v>989</v>
      </c>
      <c r="H3091" s="3" t="s">
        <v>291</v>
      </c>
      <c r="I3091" s="1" t="s">
        <v>296</v>
      </c>
      <c r="J3091" s="1" t="s">
        <v>3632</v>
      </c>
      <c r="K3091" s="1" t="s">
        <v>298</v>
      </c>
      <c r="L3091" s="1" t="s">
        <v>267</v>
      </c>
      <c r="M3091" s="1"/>
      <c r="N3091" s="1">
        <f t="shared" si="153"/>
        <v>7</v>
      </c>
      <c r="O3091" s="87"/>
    </row>
    <row r="3092" spans="1:15" ht="15.75" hidden="1" x14ac:dyDescent="0.25">
      <c r="A3092" s="1" t="str">
        <f t="shared" si="152"/>
        <v>451234512418MASTER CCFOODCAFÉ/REST.</v>
      </c>
      <c r="B3092" s="154">
        <v>45123</v>
      </c>
      <c r="C3092" s="154">
        <v>45124</v>
      </c>
      <c r="D3092" s="3" t="s">
        <v>3596</v>
      </c>
      <c r="E3092" s="3">
        <v>-18</v>
      </c>
      <c r="F3092" s="3">
        <v>1</v>
      </c>
      <c r="G3092" s="3">
        <f t="shared" si="154"/>
        <v>18</v>
      </c>
      <c r="H3092" s="3" t="s">
        <v>291</v>
      </c>
      <c r="I3092" s="1" t="s">
        <v>10</v>
      </c>
      <c r="J3092" s="1" t="s">
        <v>11</v>
      </c>
      <c r="K3092" s="1" t="s">
        <v>298</v>
      </c>
      <c r="L3092" s="1" t="s">
        <v>267</v>
      </c>
      <c r="M3092" s="1"/>
      <c r="N3092" s="1">
        <f t="shared" si="153"/>
        <v>7</v>
      </c>
      <c r="O3092" s="87"/>
    </row>
    <row r="3093" spans="1:15" ht="15.75" hidden="1" x14ac:dyDescent="0.25">
      <c r="A3093" s="1" t="str">
        <f t="shared" si="152"/>
        <v>451234512517.5DINERSTRANSPORTUBER</v>
      </c>
      <c r="B3093" s="154">
        <v>45123</v>
      </c>
      <c r="C3093" s="154">
        <v>45125</v>
      </c>
      <c r="D3093" s="3" t="s">
        <v>3627</v>
      </c>
      <c r="E3093" s="3">
        <v>-17.5</v>
      </c>
      <c r="F3093" s="3">
        <v>1</v>
      </c>
      <c r="G3093" s="3">
        <f t="shared" si="154"/>
        <v>17.5</v>
      </c>
      <c r="H3093" s="3" t="s">
        <v>266</v>
      </c>
      <c r="I3093" s="1" t="s">
        <v>296</v>
      </c>
      <c r="J3093" s="1" t="s">
        <v>299</v>
      </c>
      <c r="K3093" s="1" t="s">
        <v>298</v>
      </c>
      <c r="L3093" s="1" t="s">
        <v>267</v>
      </c>
      <c r="M3093" s="1"/>
      <c r="N3093" s="1">
        <f t="shared" si="153"/>
        <v>7</v>
      </c>
      <c r="O3093" s="87"/>
    </row>
    <row r="3094" spans="1:15" ht="15.75" hidden="1" x14ac:dyDescent="0.25">
      <c r="A3094" s="1" t="str">
        <f t="shared" si="152"/>
        <v>451244512618MASTER CCFOODQATAR AIR</v>
      </c>
      <c r="B3094" s="154">
        <v>45124</v>
      </c>
      <c r="C3094" s="154">
        <v>45126</v>
      </c>
      <c r="D3094" s="3" t="s">
        <v>3597</v>
      </c>
      <c r="E3094" s="3">
        <v>-18</v>
      </c>
      <c r="F3094" s="3">
        <v>1</v>
      </c>
      <c r="G3094" s="3">
        <f t="shared" si="154"/>
        <v>18</v>
      </c>
      <c r="H3094" s="3" t="s">
        <v>291</v>
      </c>
      <c r="I3094" s="1" t="s">
        <v>10</v>
      </c>
      <c r="J3094" s="1" t="s">
        <v>19</v>
      </c>
      <c r="K3094" s="1" t="s">
        <v>298</v>
      </c>
      <c r="L3094" s="1" t="s">
        <v>267</v>
      </c>
      <c r="M3094" s="1"/>
      <c r="N3094" s="1">
        <f t="shared" si="153"/>
        <v>7</v>
      </c>
      <c r="O3094" s="87"/>
    </row>
    <row r="3095" spans="1:15" ht="15.75" hidden="1" x14ac:dyDescent="0.25">
      <c r="A3095" s="1" t="str">
        <f t="shared" si="152"/>
        <v>451244512619.59DINERSTRANSPORTUBER</v>
      </c>
      <c r="B3095" s="154">
        <v>45124</v>
      </c>
      <c r="C3095" s="154">
        <v>45126</v>
      </c>
      <c r="D3095" s="3" t="s">
        <v>3628</v>
      </c>
      <c r="E3095" s="3">
        <v>-19.59</v>
      </c>
      <c r="F3095" s="3">
        <v>1</v>
      </c>
      <c r="G3095" s="3">
        <f t="shared" si="154"/>
        <v>19.59</v>
      </c>
      <c r="H3095" s="3" t="s">
        <v>266</v>
      </c>
      <c r="I3095" s="1" t="s">
        <v>296</v>
      </c>
      <c r="J3095" s="1" t="s">
        <v>299</v>
      </c>
      <c r="K3095" s="1" t="s">
        <v>298</v>
      </c>
      <c r="L3095" s="1" t="s">
        <v>267</v>
      </c>
      <c r="M3095" s="1"/>
      <c r="N3095" s="1">
        <f t="shared" si="153"/>
        <v>7</v>
      </c>
      <c r="O3095" s="87"/>
    </row>
    <row r="3096" spans="1:15" ht="15.75" hidden="1" x14ac:dyDescent="0.25">
      <c r="A3096" s="1" t="str">
        <f t="shared" si="152"/>
        <v>45132451322200DINERSCC BILL PAYMENTBANK</v>
      </c>
      <c r="B3096" s="154">
        <v>45132</v>
      </c>
      <c r="C3096" s="154">
        <v>45132</v>
      </c>
      <c r="D3096" s="3" t="s">
        <v>80</v>
      </c>
      <c r="E3096" s="3">
        <v>2200</v>
      </c>
      <c r="F3096" s="3">
        <v>1</v>
      </c>
      <c r="G3096" s="3">
        <f t="shared" si="154"/>
        <v>2200</v>
      </c>
      <c r="H3096" s="3" t="s">
        <v>266</v>
      </c>
      <c r="I3096" s="1" t="s">
        <v>81</v>
      </c>
      <c r="J3096" s="1" t="s">
        <v>8</v>
      </c>
      <c r="K3096" s="1" t="s">
        <v>300</v>
      </c>
      <c r="L3096" s="1" t="s">
        <v>267</v>
      </c>
      <c r="M3096" s="1"/>
      <c r="N3096" s="1">
        <f t="shared" si="153"/>
        <v>7</v>
      </c>
      <c r="O3096" s="87"/>
    </row>
    <row r="3097" spans="1:15" ht="15.75" hidden="1" x14ac:dyDescent="0.25">
      <c r="A3097" s="1" t="str">
        <f t="shared" si="152"/>
        <v>45132451322200CURRENTCC BILL PAYMENTBANK</v>
      </c>
      <c r="B3097" s="154">
        <v>45132</v>
      </c>
      <c r="C3097" s="154">
        <v>45132</v>
      </c>
      <c r="D3097" s="3" t="s">
        <v>3521</v>
      </c>
      <c r="E3097" s="3">
        <v>-2200</v>
      </c>
      <c r="F3097" s="3">
        <v>1</v>
      </c>
      <c r="G3097" s="3">
        <f t="shared" si="154"/>
        <v>2200</v>
      </c>
      <c r="H3097" s="3" t="s">
        <v>293</v>
      </c>
      <c r="I3097" s="1" t="s">
        <v>81</v>
      </c>
      <c r="J3097" s="1" t="s">
        <v>8</v>
      </c>
      <c r="K3097" s="1" t="s">
        <v>298</v>
      </c>
      <c r="L3097" s="1" t="s">
        <v>257</v>
      </c>
      <c r="M3097" s="1"/>
      <c r="N3097" s="1">
        <f t="shared" si="153"/>
        <v>7</v>
      </c>
      <c r="O3097" s="87"/>
    </row>
    <row r="3098" spans="1:15" ht="15.75" hidden="1" x14ac:dyDescent="0.25">
      <c r="A3098" s="1" t="str">
        <f t="shared" si="152"/>
        <v>4513645138143MASTER CCFOODWISHBOX</v>
      </c>
      <c r="B3098" s="154">
        <v>45136</v>
      </c>
      <c r="C3098" s="154">
        <v>45138</v>
      </c>
      <c r="D3098" s="3" t="s">
        <v>3598</v>
      </c>
      <c r="E3098" s="3">
        <v>-143</v>
      </c>
      <c r="F3098" s="3">
        <v>1</v>
      </c>
      <c r="G3098" s="3">
        <f t="shared" si="154"/>
        <v>143</v>
      </c>
      <c r="H3098" s="3" t="s">
        <v>291</v>
      </c>
      <c r="I3098" s="1" t="s">
        <v>10</v>
      </c>
      <c r="J3098" s="1" t="s">
        <v>1199</v>
      </c>
      <c r="K3098" s="1" t="s">
        <v>298</v>
      </c>
      <c r="L3098" s="1" t="s">
        <v>267</v>
      </c>
      <c r="M3098" s="1"/>
      <c r="N3098" s="1">
        <f t="shared" si="153"/>
        <v>7</v>
      </c>
      <c r="O3098" s="87"/>
    </row>
    <row r="3099" spans="1:15" ht="15.75" hidden="1" x14ac:dyDescent="0.25">
      <c r="A3099" s="1" t="str">
        <f t="shared" si="152"/>
        <v>4513645136142DINERSCC BILL PAYMENTBANK</v>
      </c>
      <c r="B3099" s="154">
        <v>45136</v>
      </c>
      <c r="C3099" s="154">
        <v>45136</v>
      </c>
      <c r="D3099" s="3" t="s">
        <v>80</v>
      </c>
      <c r="E3099" s="3">
        <v>142</v>
      </c>
      <c r="F3099" s="3">
        <v>1</v>
      </c>
      <c r="G3099" s="3">
        <f t="shared" si="154"/>
        <v>142</v>
      </c>
      <c r="H3099" s="3" t="s">
        <v>266</v>
      </c>
      <c r="I3099" s="1" t="s">
        <v>81</v>
      </c>
      <c r="J3099" s="1" t="s">
        <v>8</v>
      </c>
      <c r="K3099" s="1" t="s">
        <v>300</v>
      </c>
      <c r="L3099" s="1" t="s">
        <v>267</v>
      </c>
      <c r="M3099" s="1"/>
      <c r="N3099" s="1">
        <f t="shared" si="153"/>
        <v>7</v>
      </c>
      <c r="O3099" s="87"/>
    </row>
    <row r="3100" spans="1:15" ht="15.75" hidden="1" x14ac:dyDescent="0.25">
      <c r="A3100" s="1" t="str">
        <f t="shared" si="152"/>
        <v>45137451379521CURRENTTRANSFERINDIA</v>
      </c>
      <c r="B3100" s="154">
        <v>45137</v>
      </c>
      <c r="C3100" s="154">
        <v>45137</v>
      </c>
      <c r="D3100" s="3" t="s">
        <v>3522</v>
      </c>
      <c r="E3100" s="3">
        <v>-9521</v>
      </c>
      <c r="F3100" s="3">
        <v>1</v>
      </c>
      <c r="G3100" s="3">
        <f t="shared" si="154"/>
        <v>9521</v>
      </c>
      <c r="H3100" s="3" t="s">
        <v>293</v>
      </c>
      <c r="I3100" s="1" t="s">
        <v>22</v>
      </c>
      <c r="J3100" s="1" t="s">
        <v>23</v>
      </c>
      <c r="K3100" s="1" t="s">
        <v>298</v>
      </c>
      <c r="L3100" s="1" t="s">
        <v>257</v>
      </c>
      <c r="M3100" s="1"/>
      <c r="N3100" s="1">
        <f t="shared" si="153"/>
        <v>7</v>
      </c>
      <c r="O3100" s="87"/>
    </row>
    <row r="3101" spans="1:15" ht="15.75" hidden="1" x14ac:dyDescent="0.25">
      <c r="A3101" s="1" t="str">
        <f t="shared" si="152"/>
        <v>451374513721CURRENTFOODQATAR AIR</v>
      </c>
      <c r="B3101" s="154">
        <v>45137</v>
      </c>
      <c r="C3101" s="154">
        <v>45137</v>
      </c>
      <c r="D3101" s="3" t="s">
        <v>3523</v>
      </c>
      <c r="E3101" s="3">
        <v>-21</v>
      </c>
      <c r="F3101" s="3">
        <v>1</v>
      </c>
      <c r="G3101" s="3">
        <f t="shared" si="154"/>
        <v>21</v>
      </c>
      <c r="H3101" s="3" t="s">
        <v>293</v>
      </c>
      <c r="I3101" s="1" t="s">
        <v>10</v>
      </c>
      <c r="J3101" s="1" t="s">
        <v>19</v>
      </c>
      <c r="K3101" s="1" t="s">
        <v>298</v>
      </c>
      <c r="L3101" s="1" t="s">
        <v>257</v>
      </c>
      <c r="M3101" s="1"/>
      <c r="N3101" s="1">
        <f t="shared" si="153"/>
        <v>7</v>
      </c>
      <c r="O3101" s="87"/>
    </row>
    <row r="3102" spans="1:15" ht="15.75" hidden="1" x14ac:dyDescent="0.25">
      <c r="A3102" s="1" t="str">
        <f t="shared" si="152"/>
        <v>45137451376CURRENTFOODQATAR AIR</v>
      </c>
      <c r="B3102" s="154">
        <v>45137</v>
      </c>
      <c r="C3102" s="154">
        <v>45137</v>
      </c>
      <c r="D3102" s="3" t="s">
        <v>3524</v>
      </c>
      <c r="E3102" s="3">
        <v>-6</v>
      </c>
      <c r="F3102" s="3">
        <v>1</v>
      </c>
      <c r="G3102" s="3">
        <f t="shared" si="154"/>
        <v>6</v>
      </c>
      <c r="H3102" s="3" t="s">
        <v>293</v>
      </c>
      <c r="I3102" s="1" t="s">
        <v>10</v>
      </c>
      <c r="J3102" s="1" t="s">
        <v>19</v>
      </c>
      <c r="K3102" s="1" t="s">
        <v>298</v>
      </c>
      <c r="L3102" s="1" t="s">
        <v>257</v>
      </c>
      <c r="M3102" s="1"/>
      <c r="N3102" s="1">
        <f t="shared" si="153"/>
        <v>7</v>
      </c>
      <c r="O3102" s="87"/>
    </row>
    <row r="3103" spans="1:15" ht="15.75" hidden="1" x14ac:dyDescent="0.25">
      <c r="A3103" s="1" t="str">
        <f t="shared" si="152"/>
        <v>45137451379521CURRENTTRANSFERINDIA</v>
      </c>
      <c r="B3103" s="154">
        <v>45137</v>
      </c>
      <c r="C3103" s="154">
        <v>45137</v>
      </c>
      <c r="D3103" s="3" t="s">
        <v>3771</v>
      </c>
      <c r="E3103" s="3">
        <v>-9521</v>
      </c>
      <c r="F3103" s="3">
        <v>1</v>
      </c>
      <c r="G3103" s="3">
        <f t="shared" si="154"/>
        <v>9521</v>
      </c>
      <c r="H3103" s="3" t="s">
        <v>293</v>
      </c>
      <c r="I3103" s="1" t="s">
        <v>22</v>
      </c>
      <c r="J3103" s="1" t="s">
        <v>23</v>
      </c>
      <c r="K3103" s="1" t="s">
        <v>298</v>
      </c>
      <c r="L3103" s="1" t="s">
        <v>257</v>
      </c>
      <c r="M3103" s="1"/>
      <c r="N3103" s="1">
        <f t="shared" si="153"/>
        <v>7</v>
      </c>
      <c r="O3103" s="87"/>
    </row>
    <row r="3104" spans="1:15" ht="15.75" hidden="1" x14ac:dyDescent="0.25">
      <c r="A3104" s="1" t="str">
        <f t="shared" si="152"/>
        <v>451374513721CURRENTFOODQATAR AIR</v>
      </c>
      <c r="B3104" s="154">
        <v>45137</v>
      </c>
      <c r="C3104" s="154">
        <v>45137</v>
      </c>
      <c r="D3104" s="3" t="s">
        <v>3772</v>
      </c>
      <c r="E3104" s="3">
        <v>-21</v>
      </c>
      <c r="F3104" s="3">
        <v>1</v>
      </c>
      <c r="G3104" s="3">
        <f t="shared" si="154"/>
        <v>21</v>
      </c>
      <c r="H3104" s="3" t="s">
        <v>293</v>
      </c>
      <c r="I3104" s="1" t="s">
        <v>10</v>
      </c>
      <c r="J3104" s="1" t="s">
        <v>19</v>
      </c>
      <c r="K3104" s="1" t="s">
        <v>298</v>
      </c>
      <c r="L3104" s="1" t="s">
        <v>257</v>
      </c>
      <c r="M3104" s="1"/>
      <c r="N3104" s="1">
        <f t="shared" si="153"/>
        <v>7</v>
      </c>
      <c r="O3104" s="87"/>
    </row>
    <row r="3105" spans="1:15" ht="15.75" hidden="1" x14ac:dyDescent="0.25">
      <c r="A3105" s="1" t="str">
        <f t="shared" si="152"/>
        <v>45137451376CURRENTFOODQATAR AIR</v>
      </c>
      <c r="B3105" s="154">
        <v>45137</v>
      </c>
      <c r="C3105" s="154">
        <v>45137</v>
      </c>
      <c r="D3105" s="3" t="s">
        <v>3773</v>
      </c>
      <c r="E3105" s="3">
        <v>-6</v>
      </c>
      <c r="F3105" s="3">
        <v>1</v>
      </c>
      <c r="G3105" s="3">
        <f t="shared" si="154"/>
        <v>6</v>
      </c>
      <c r="H3105" s="3" t="s">
        <v>293</v>
      </c>
      <c r="I3105" s="1" t="s">
        <v>10</v>
      </c>
      <c r="J3105" s="1" t="s">
        <v>19</v>
      </c>
      <c r="K3105" s="1" t="s">
        <v>298</v>
      </c>
      <c r="L3105" s="1" t="s">
        <v>257</v>
      </c>
      <c r="M3105" s="1"/>
      <c r="N3105" s="1">
        <f t="shared" si="153"/>
        <v>7</v>
      </c>
      <c r="O3105" s="87"/>
    </row>
    <row r="3106" spans="1:15" ht="15.75" hidden="1" x14ac:dyDescent="0.25">
      <c r="A3106" s="1" t="str">
        <f t="shared" si="152"/>
        <v>451374513740133CURRENTSALARYQATAR AIR</v>
      </c>
      <c r="B3106" s="154">
        <v>45137</v>
      </c>
      <c r="C3106" s="154">
        <v>45137</v>
      </c>
      <c r="D3106" s="3" t="s">
        <v>3525</v>
      </c>
      <c r="E3106" s="3">
        <v>40133</v>
      </c>
      <c r="F3106" s="3">
        <v>1</v>
      </c>
      <c r="G3106" s="3">
        <f t="shared" si="154"/>
        <v>40133</v>
      </c>
      <c r="H3106" s="3" t="s">
        <v>293</v>
      </c>
      <c r="I3106" s="1" t="s">
        <v>18</v>
      </c>
      <c r="J3106" s="1" t="s">
        <v>19</v>
      </c>
      <c r="K3106" s="1" t="s">
        <v>300</v>
      </c>
      <c r="L3106" s="1" t="s">
        <v>257</v>
      </c>
      <c r="M3106" s="1"/>
      <c r="N3106" s="1">
        <f t="shared" si="153"/>
        <v>7</v>
      </c>
      <c r="O3106" s="87"/>
    </row>
    <row r="3107" spans="1:15" ht="15.75" hidden="1" x14ac:dyDescent="0.25">
      <c r="A3107" s="1" t="str">
        <f t="shared" si="152"/>
        <v>4513745137142CURRENTCC BILL PAYMENTBANK</v>
      </c>
      <c r="B3107" s="154">
        <v>45137</v>
      </c>
      <c r="C3107" s="154">
        <v>45137</v>
      </c>
      <c r="D3107" s="3" t="s">
        <v>3526</v>
      </c>
      <c r="E3107" s="3">
        <v>-142</v>
      </c>
      <c r="F3107" s="3">
        <v>1</v>
      </c>
      <c r="G3107" s="3">
        <f t="shared" si="154"/>
        <v>142</v>
      </c>
      <c r="H3107" s="3" t="s">
        <v>293</v>
      </c>
      <c r="I3107" s="1" t="s">
        <v>81</v>
      </c>
      <c r="J3107" s="1" t="s">
        <v>8</v>
      </c>
      <c r="K3107" s="1" t="s">
        <v>298</v>
      </c>
      <c r="L3107" s="1" t="s">
        <v>257</v>
      </c>
      <c r="M3107" s="1"/>
      <c r="N3107" s="1">
        <f t="shared" si="153"/>
        <v>7</v>
      </c>
      <c r="O3107" s="87"/>
    </row>
    <row r="3108" spans="1:15" ht="15.75" hidden="1" x14ac:dyDescent="0.25">
      <c r="A3108" s="1" t="str">
        <f t="shared" si="152"/>
        <v>451374513835MASTER CCFOODWISHBOX</v>
      </c>
      <c r="B3108" s="154">
        <v>45137</v>
      </c>
      <c r="C3108" s="154">
        <v>45138</v>
      </c>
      <c r="D3108" s="3" t="s">
        <v>3599</v>
      </c>
      <c r="E3108" s="3">
        <v>-35</v>
      </c>
      <c r="F3108" s="3">
        <v>1</v>
      </c>
      <c r="G3108" s="3">
        <f t="shared" si="154"/>
        <v>35</v>
      </c>
      <c r="H3108" s="3" t="s">
        <v>291</v>
      </c>
      <c r="I3108" s="1" t="s">
        <v>10</v>
      </c>
      <c r="J3108" s="1" t="s">
        <v>1199</v>
      </c>
      <c r="K3108" s="1" t="s">
        <v>298</v>
      </c>
      <c r="L3108" s="1" t="s">
        <v>267</v>
      </c>
      <c r="M3108" s="1"/>
      <c r="N3108" s="1">
        <f t="shared" si="153"/>
        <v>7</v>
      </c>
      <c r="O3108" s="87"/>
    </row>
    <row r="3109" spans="1:15" ht="15.75" hidden="1" x14ac:dyDescent="0.25">
      <c r="A3109" s="1" t="str">
        <f t="shared" si="152"/>
        <v>451384513820000CURRENTSAVINGSELF</v>
      </c>
      <c r="B3109" s="154">
        <v>45138</v>
      </c>
      <c r="C3109" s="154">
        <v>45138</v>
      </c>
      <c r="D3109" s="3" t="s">
        <v>3527</v>
      </c>
      <c r="E3109" s="3">
        <v>-20000</v>
      </c>
      <c r="F3109" s="3">
        <v>1</v>
      </c>
      <c r="G3109" s="3">
        <f t="shared" si="154"/>
        <v>20000</v>
      </c>
      <c r="H3109" s="3" t="s">
        <v>293</v>
      </c>
      <c r="I3109" s="1" t="s">
        <v>302</v>
      </c>
      <c r="J3109" s="1" t="s">
        <v>14</v>
      </c>
      <c r="K3109" s="1" t="s">
        <v>298</v>
      </c>
      <c r="L3109" s="1" t="s">
        <v>257</v>
      </c>
      <c r="M3109" s="1"/>
      <c r="N3109" s="1">
        <f t="shared" si="153"/>
        <v>7</v>
      </c>
      <c r="O3109" s="87"/>
    </row>
    <row r="3110" spans="1:15" ht="15.75" hidden="1" x14ac:dyDescent="0.25">
      <c r="A3110" s="1" t="str">
        <f t="shared" si="152"/>
        <v>451384513847.39CURRENTGROCERYINDIAN SUPER</v>
      </c>
      <c r="B3110" s="154">
        <v>45138</v>
      </c>
      <c r="C3110" s="154">
        <v>45138</v>
      </c>
      <c r="D3110" s="3" t="s">
        <v>3528</v>
      </c>
      <c r="E3110" s="3">
        <v>-47.39</v>
      </c>
      <c r="F3110" s="3">
        <v>1</v>
      </c>
      <c r="G3110" s="3">
        <f t="shared" si="154"/>
        <v>47.39</v>
      </c>
      <c r="H3110" s="3" t="s">
        <v>293</v>
      </c>
      <c r="I3110" s="1" t="s">
        <v>43</v>
      </c>
      <c r="J3110" s="1" t="s">
        <v>2273</v>
      </c>
      <c r="K3110" s="1" t="s">
        <v>298</v>
      </c>
      <c r="L3110" s="1" t="s">
        <v>257</v>
      </c>
      <c r="M3110" s="1"/>
      <c r="N3110" s="1">
        <f t="shared" si="153"/>
        <v>7</v>
      </c>
      <c r="O3110" s="87"/>
    </row>
    <row r="3111" spans="1:15" ht="15.75" hidden="1" x14ac:dyDescent="0.25">
      <c r="A3111" s="1" t="str">
        <f t="shared" si="152"/>
        <v>4513845139119.17DINERSTELECOMOOREDOO</v>
      </c>
      <c r="B3111" s="154">
        <v>45138</v>
      </c>
      <c r="C3111" s="154">
        <v>45139</v>
      </c>
      <c r="D3111" s="3" t="s">
        <v>3629</v>
      </c>
      <c r="E3111" s="3">
        <v>-119.17</v>
      </c>
      <c r="F3111" s="3">
        <v>1</v>
      </c>
      <c r="G3111" s="3">
        <f t="shared" si="154"/>
        <v>119.17</v>
      </c>
      <c r="H3111" s="3" t="s">
        <v>266</v>
      </c>
      <c r="I3111" s="1" t="s">
        <v>58</v>
      </c>
      <c r="J3111" s="1" t="s">
        <v>59</v>
      </c>
      <c r="K3111" s="1" t="s">
        <v>298</v>
      </c>
      <c r="L3111" s="1" t="s">
        <v>267</v>
      </c>
      <c r="M3111" s="1"/>
      <c r="N3111" s="1">
        <f t="shared" si="153"/>
        <v>8</v>
      </c>
      <c r="O3111" s="87"/>
    </row>
    <row r="3112" spans="1:15" ht="15.75" hidden="1" x14ac:dyDescent="0.25">
      <c r="A3112" s="1" t="str">
        <f t="shared" si="152"/>
        <v>45138451380.22DINERSSERVICEBANK</v>
      </c>
      <c r="B3112" s="154">
        <v>45138</v>
      </c>
      <c r="C3112" s="154">
        <v>45138</v>
      </c>
      <c r="D3112" s="3" t="s">
        <v>1102</v>
      </c>
      <c r="E3112" s="3">
        <v>-0.22</v>
      </c>
      <c r="F3112" s="3">
        <v>1</v>
      </c>
      <c r="G3112" s="3">
        <f t="shared" si="154"/>
        <v>0.22</v>
      </c>
      <c r="H3112" s="3" t="s">
        <v>266</v>
      </c>
      <c r="I3112" s="1" t="s">
        <v>7</v>
      </c>
      <c r="J3112" s="1" t="s">
        <v>8</v>
      </c>
      <c r="K3112" s="1" t="s">
        <v>298</v>
      </c>
      <c r="L3112" s="1" t="s">
        <v>267</v>
      </c>
      <c r="M3112" s="1"/>
      <c r="N3112" s="1">
        <f t="shared" si="153"/>
        <v>7</v>
      </c>
      <c r="O3112" s="87"/>
    </row>
    <row r="3113" spans="1:15" ht="15.75" hidden="1" x14ac:dyDescent="0.25">
      <c r="A3113" s="1" t="str">
        <f t="shared" si="152"/>
        <v>4513945139500CURRENTSAVINGARTI</v>
      </c>
      <c r="B3113" s="154">
        <v>45139</v>
      </c>
      <c r="C3113" s="154">
        <v>45139</v>
      </c>
      <c r="D3113" s="3" t="s">
        <v>2909</v>
      </c>
      <c r="E3113" s="3">
        <v>-500</v>
      </c>
      <c r="F3113" s="3">
        <v>1</v>
      </c>
      <c r="G3113" s="3">
        <f t="shared" si="154"/>
        <v>500</v>
      </c>
      <c r="H3113" s="3" t="s">
        <v>293</v>
      </c>
      <c r="I3113" s="1" t="s">
        <v>302</v>
      </c>
      <c r="J3113" s="1" t="s">
        <v>453</v>
      </c>
      <c r="K3113" s="1" t="s">
        <v>298</v>
      </c>
      <c r="L3113" s="1" t="s">
        <v>257</v>
      </c>
      <c r="M3113" s="1"/>
      <c r="N3113" s="1">
        <f t="shared" si="153"/>
        <v>8</v>
      </c>
      <c r="O3113" s="87"/>
    </row>
    <row r="3114" spans="1:15" ht="15.75" hidden="1" x14ac:dyDescent="0.25">
      <c r="A3114" s="1" t="str">
        <f t="shared" si="152"/>
        <v>4513945139500CURRENTSAVINGARTI</v>
      </c>
      <c r="B3114" s="154">
        <v>45139</v>
      </c>
      <c r="C3114" s="154">
        <v>45139</v>
      </c>
      <c r="D3114" s="3" t="s">
        <v>2909</v>
      </c>
      <c r="E3114" s="3">
        <v>-500</v>
      </c>
      <c r="F3114" s="3">
        <v>1</v>
      </c>
      <c r="G3114" s="3">
        <f t="shared" si="154"/>
        <v>500</v>
      </c>
      <c r="H3114" s="3" t="s">
        <v>293</v>
      </c>
      <c r="I3114" s="1" t="s">
        <v>302</v>
      </c>
      <c r="J3114" s="1" t="s">
        <v>453</v>
      </c>
      <c r="K3114" s="1" t="s">
        <v>298</v>
      </c>
      <c r="L3114" s="1" t="s">
        <v>257</v>
      </c>
      <c r="M3114" s="1"/>
      <c r="N3114" s="1">
        <f t="shared" si="153"/>
        <v>8</v>
      </c>
      <c r="O3114" s="87"/>
    </row>
    <row r="3115" spans="1:15" ht="15.75" hidden="1" x14ac:dyDescent="0.25">
      <c r="A3115" s="1" t="str">
        <f t="shared" si="152"/>
        <v>4514145141500CURRENTWITHDRAWSELF</v>
      </c>
      <c r="B3115" s="154">
        <v>45141</v>
      </c>
      <c r="C3115" s="154">
        <v>45141</v>
      </c>
      <c r="D3115" s="3" t="s">
        <v>3530</v>
      </c>
      <c r="E3115" s="3">
        <v>-500</v>
      </c>
      <c r="F3115" s="3">
        <v>1</v>
      </c>
      <c r="G3115" s="3">
        <f t="shared" si="154"/>
        <v>500</v>
      </c>
      <c r="H3115" s="3" t="s">
        <v>293</v>
      </c>
      <c r="I3115" s="1" t="s">
        <v>13</v>
      </c>
      <c r="J3115" s="1" t="s">
        <v>14</v>
      </c>
      <c r="K3115" s="1" t="s">
        <v>298</v>
      </c>
      <c r="L3115" s="1" t="s">
        <v>257</v>
      </c>
      <c r="M3115" s="1"/>
      <c r="N3115" s="1">
        <f t="shared" si="153"/>
        <v>8</v>
      </c>
      <c r="O3115" s="87"/>
    </row>
    <row r="3116" spans="1:15" ht="15.75" hidden="1" x14ac:dyDescent="0.25">
      <c r="A3116" s="1" t="str">
        <f t="shared" si="152"/>
        <v>4514145141100CURRENTPERSONALAKSHIT</v>
      </c>
      <c r="B3116" s="154">
        <v>45141</v>
      </c>
      <c r="C3116" s="154">
        <v>45141</v>
      </c>
      <c r="D3116" s="3" t="s">
        <v>3529</v>
      </c>
      <c r="E3116" s="3">
        <v>100</v>
      </c>
      <c r="F3116" s="3">
        <v>1</v>
      </c>
      <c r="G3116" s="3">
        <f t="shared" si="154"/>
        <v>100</v>
      </c>
      <c r="H3116" s="3" t="s">
        <v>293</v>
      </c>
      <c r="I3116" s="1" t="s">
        <v>4087</v>
      </c>
      <c r="J3116" s="1" t="s">
        <v>879</v>
      </c>
      <c r="K3116" s="1" t="s">
        <v>300</v>
      </c>
      <c r="L3116" s="1" t="s">
        <v>257</v>
      </c>
      <c r="M3116" s="1"/>
      <c r="N3116" s="1">
        <f t="shared" si="153"/>
        <v>8</v>
      </c>
      <c r="O3116" s="87"/>
    </row>
    <row r="3117" spans="1:15" ht="15.75" hidden="1" x14ac:dyDescent="0.25">
      <c r="A3117" s="1" t="str">
        <f t="shared" si="152"/>
        <v>4514145141500CURRENTWITHDRAWSELF</v>
      </c>
      <c r="B3117" s="154">
        <v>45141</v>
      </c>
      <c r="C3117" s="154">
        <v>45141</v>
      </c>
      <c r="D3117" s="3" t="s">
        <v>3770</v>
      </c>
      <c r="E3117" s="3">
        <v>-500</v>
      </c>
      <c r="F3117" s="3">
        <v>1</v>
      </c>
      <c r="G3117" s="3">
        <f t="shared" si="154"/>
        <v>500</v>
      </c>
      <c r="H3117" s="3" t="s">
        <v>293</v>
      </c>
      <c r="I3117" s="1" t="s">
        <v>13</v>
      </c>
      <c r="J3117" s="1" t="s">
        <v>14</v>
      </c>
      <c r="K3117" s="1" t="s">
        <v>298</v>
      </c>
      <c r="L3117" s="1" t="s">
        <v>257</v>
      </c>
      <c r="M3117" s="1"/>
      <c r="N3117" s="1">
        <f t="shared" si="153"/>
        <v>8</v>
      </c>
      <c r="O3117" s="87"/>
    </row>
    <row r="3118" spans="1:15" ht="15.75" hidden="1" x14ac:dyDescent="0.25">
      <c r="A3118" s="1" t="str">
        <f t="shared" si="152"/>
        <v>451414514433MASTER CCGROCERYINDIAN SUPER</v>
      </c>
      <c r="B3118" s="154">
        <v>45141</v>
      </c>
      <c r="C3118" s="154">
        <v>45144</v>
      </c>
      <c r="D3118" s="3" t="s">
        <v>3602</v>
      </c>
      <c r="E3118" s="3">
        <v>-33</v>
      </c>
      <c r="F3118" s="3">
        <v>1</v>
      </c>
      <c r="G3118" s="3">
        <f t="shared" si="154"/>
        <v>33</v>
      </c>
      <c r="H3118" s="3" t="s">
        <v>291</v>
      </c>
      <c r="I3118" s="1" t="s">
        <v>43</v>
      </c>
      <c r="J3118" s="1" t="s">
        <v>2273</v>
      </c>
      <c r="K3118" s="1" t="s">
        <v>298</v>
      </c>
      <c r="L3118" s="1" t="s">
        <v>267</v>
      </c>
      <c r="M3118" s="1"/>
      <c r="N3118" s="1">
        <f t="shared" si="153"/>
        <v>8</v>
      </c>
      <c r="O3118" s="87"/>
    </row>
    <row r="3119" spans="1:15" ht="15.75" hidden="1" x14ac:dyDescent="0.25">
      <c r="A3119" s="1" t="str">
        <f t="shared" si="152"/>
        <v>451414514424MASTER CCFOODCAFÉ/REST.</v>
      </c>
      <c r="B3119" s="154">
        <v>45141</v>
      </c>
      <c r="C3119" s="154">
        <v>45144</v>
      </c>
      <c r="D3119" s="3" t="s">
        <v>3601</v>
      </c>
      <c r="E3119" s="3">
        <v>-24</v>
      </c>
      <c r="F3119" s="3">
        <v>1</v>
      </c>
      <c r="G3119" s="3">
        <f t="shared" si="154"/>
        <v>24</v>
      </c>
      <c r="H3119" s="3" t="s">
        <v>291</v>
      </c>
      <c r="I3119" s="1" t="s">
        <v>10</v>
      </c>
      <c r="J3119" s="1" t="s">
        <v>11</v>
      </c>
      <c r="K3119" s="1" t="s">
        <v>298</v>
      </c>
      <c r="L3119" s="1" t="s">
        <v>267</v>
      </c>
      <c r="M3119" s="1"/>
      <c r="N3119" s="1">
        <f t="shared" si="153"/>
        <v>8</v>
      </c>
      <c r="O3119" s="87"/>
    </row>
    <row r="3120" spans="1:15" ht="15.75" hidden="1" x14ac:dyDescent="0.25">
      <c r="A3120" s="1" t="str">
        <f t="shared" si="152"/>
        <v>451414514479MASTER CCFOODTALABAT</v>
      </c>
      <c r="B3120" s="154">
        <v>45141</v>
      </c>
      <c r="C3120" s="154">
        <v>45144</v>
      </c>
      <c r="D3120" s="3" t="s">
        <v>3600</v>
      </c>
      <c r="E3120" s="3">
        <v>-79</v>
      </c>
      <c r="F3120" s="3">
        <v>1</v>
      </c>
      <c r="G3120" s="3">
        <f t="shared" si="154"/>
        <v>79</v>
      </c>
      <c r="H3120" s="3" t="s">
        <v>291</v>
      </c>
      <c r="I3120" s="1" t="s">
        <v>10</v>
      </c>
      <c r="J3120" s="1" t="s">
        <v>865</v>
      </c>
      <c r="K3120" s="1" t="s">
        <v>298</v>
      </c>
      <c r="L3120" s="1" t="s">
        <v>267</v>
      </c>
      <c r="M3120" s="1"/>
      <c r="N3120" s="1">
        <f t="shared" si="153"/>
        <v>8</v>
      </c>
      <c r="O3120" s="87"/>
    </row>
    <row r="3121" spans="1:15" ht="15.75" hidden="1" x14ac:dyDescent="0.25">
      <c r="A3121" s="1" t="str">
        <f t="shared" si="152"/>
        <v>451424514530MASTER CCFOODTALABAT</v>
      </c>
      <c r="B3121" s="154">
        <v>45142</v>
      </c>
      <c r="C3121" s="154">
        <v>45145</v>
      </c>
      <c r="D3121" s="3" t="s">
        <v>3603</v>
      </c>
      <c r="E3121" s="3">
        <v>-30</v>
      </c>
      <c r="F3121" s="3">
        <v>1</v>
      </c>
      <c r="G3121" s="3">
        <f t="shared" si="154"/>
        <v>30</v>
      </c>
      <c r="H3121" s="3" t="s">
        <v>291</v>
      </c>
      <c r="I3121" s="1" t="s">
        <v>10</v>
      </c>
      <c r="J3121" s="1" t="s">
        <v>865</v>
      </c>
      <c r="K3121" s="1" t="s">
        <v>298</v>
      </c>
      <c r="L3121" s="1" t="s">
        <v>267</v>
      </c>
      <c r="M3121" s="1"/>
      <c r="N3121" s="1">
        <f t="shared" si="153"/>
        <v>8</v>
      </c>
      <c r="O3121" s="87"/>
    </row>
    <row r="3122" spans="1:15" ht="15.75" hidden="1" x14ac:dyDescent="0.25">
      <c r="A3122" s="1" t="str">
        <f t="shared" si="152"/>
        <v>4514245142250DINERSRENTVODAFONE</v>
      </c>
      <c r="B3122" s="154">
        <v>45142</v>
      </c>
      <c r="C3122" s="154">
        <v>45142</v>
      </c>
      <c r="D3122" s="3" t="s">
        <v>3630</v>
      </c>
      <c r="E3122" s="3">
        <v>-250</v>
      </c>
      <c r="F3122" s="3">
        <v>1</v>
      </c>
      <c r="G3122" s="3">
        <f t="shared" si="154"/>
        <v>250</v>
      </c>
      <c r="H3122" s="3" t="s">
        <v>266</v>
      </c>
      <c r="I3122" s="1" t="s">
        <v>83</v>
      </c>
      <c r="J3122" s="1" t="s">
        <v>78</v>
      </c>
      <c r="K3122" s="1" t="s">
        <v>298</v>
      </c>
      <c r="L3122" s="1" t="s">
        <v>267</v>
      </c>
      <c r="M3122" s="1"/>
      <c r="N3122" s="1">
        <f t="shared" si="153"/>
        <v>8</v>
      </c>
      <c r="O3122" s="87"/>
    </row>
    <row r="3123" spans="1:15" ht="15.75" hidden="1" x14ac:dyDescent="0.25">
      <c r="A3123" s="1" t="str">
        <f t="shared" si="152"/>
        <v>451424514254DINERSRENTKAHRAMAA</v>
      </c>
      <c r="B3123" s="154">
        <v>45142</v>
      </c>
      <c r="C3123" s="154">
        <v>45142</v>
      </c>
      <c r="D3123" s="3" t="s">
        <v>3631</v>
      </c>
      <c r="E3123" s="3">
        <v>-54</v>
      </c>
      <c r="F3123" s="3">
        <v>1</v>
      </c>
      <c r="G3123" s="3">
        <f t="shared" si="154"/>
        <v>54</v>
      </c>
      <c r="H3123" s="3" t="s">
        <v>266</v>
      </c>
      <c r="I3123" s="1" t="s">
        <v>83</v>
      </c>
      <c r="J3123" s="1" t="s">
        <v>4113</v>
      </c>
      <c r="K3123" s="1" t="s">
        <v>298</v>
      </c>
      <c r="L3123" s="1" t="s">
        <v>267</v>
      </c>
      <c r="M3123" s="1"/>
      <c r="N3123" s="1">
        <f t="shared" si="153"/>
        <v>8</v>
      </c>
      <c r="O3123" s="87"/>
    </row>
    <row r="3124" spans="1:15" ht="15.75" hidden="1" x14ac:dyDescent="0.25">
      <c r="A3124" s="1" t="str">
        <f t="shared" si="152"/>
        <v>451434514527MASTER CCFOODCAFÉ/REST.</v>
      </c>
      <c r="B3124" s="154">
        <v>45143</v>
      </c>
      <c r="C3124" s="154">
        <v>45145</v>
      </c>
      <c r="D3124" s="3" t="s">
        <v>3604</v>
      </c>
      <c r="E3124" s="3">
        <v>-27</v>
      </c>
      <c r="F3124" s="3">
        <v>1</v>
      </c>
      <c r="G3124" s="3">
        <f t="shared" si="154"/>
        <v>27</v>
      </c>
      <c r="H3124" s="3" t="s">
        <v>291</v>
      </c>
      <c r="I3124" s="1" t="s">
        <v>10</v>
      </c>
      <c r="J3124" s="1" t="s">
        <v>11</v>
      </c>
      <c r="K3124" s="1" t="s">
        <v>298</v>
      </c>
      <c r="L3124" s="1" t="s">
        <v>267</v>
      </c>
      <c r="M3124" s="1"/>
      <c r="N3124" s="1">
        <f t="shared" si="153"/>
        <v>8</v>
      </c>
      <c r="O3124" s="87"/>
    </row>
    <row r="3125" spans="1:15" ht="15.75" hidden="1" x14ac:dyDescent="0.25">
      <c r="A3125" s="1" t="str">
        <f t="shared" si="152"/>
        <v>451444514442CURRENTFOODTALABAT</v>
      </c>
      <c r="B3125" s="154">
        <v>45144</v>
      </c>
      <c r="C3125" s="154">
        <v>45144</v>
      </c>
      <c r="D3125" s="3" t="s">
        <v>3531</v>
      </c>
      <c r="E3125" s="3">
        <v>-42</v>
      </c>
      <c r="F3125" s="3">
        <v>1</v>
      </c>
      <c r="G3125" s="3">
        <f t="shared" si="154"/>
        <v>42</v>
      </c>
      <c r="H3125" s="3" t="s">
        <v>293</v>
      </c>
      <c r="I3125" s="1" t="s">
        <v>10</v>
      </c>
      <c r="J3125" s="1" t="s">
        <v>865</v>
      </c>
      <c r="K3125" s="1" t="s">
        <v>298</v>
      </c>
      <c r="L3125" s="1" t="s">
        <v>257</v>
      </c>
      <c r="M3125" s="1"/>
      <c r="N3125" s="1">
        <f t="shared" si="153"/>
        <v>8</v>
      </c>
      <c r="O3125" s="87"/>
    </row>
    <row r="3126" spans="1:15" ht="15.75" hidden="1" x14ac:dyDescent="0.25">
      <c r="A3126" s="1" t="str">
        <f t="shared" si="152"/>
        <v>451444514442CURRENTFOODTALABAT</v>
      </c>
      <c r="B3126" s="154">
        <v>45144</v>
      </c>
      <c r="C3126" s="154">
        <v>45144</v>
      </c>
      <c r="D3126" s="3" t="s">
        <v>3769</v>
      </c>
      <c r="E3126" s="3">
        <v>-42</v>
      </c>
      <c r="F3126" s="3">
        <v>1</v>
      </c>
      <c r="G3126" s="3">
        <f t="shared" si="154"/>
        <v>42</v>
      </c>
      <c r="H3126" s="3" t="s">
        <v>293</v>
      </c>
      <c r="I3126" s="1" t="s">
        <v>10</v>
      </c>
      <c r="J3126" s="1" t="s">
        <v>865</v>
      </c>
      <c r="K3126" s="1" t="s">
        <v>298</v>
      </c>
      <c r="L3126" s="1" t="s">
        <v>257</v>
      </c>
      <c r="M3126" s="1"/>
      <c r="N3126" s="1">
        <f t="shared" si="153"/>
        <v>8</v>
      </c>
      <c r="O3126" s="87"/>
    </row>
    <row r="3127" spans="1:15" ht="15.75" hidden="1" x14ac:dyDescent="0.25">
      <c r="A3127" s="1" t="str">
        <f t="shared" si="152"/>
        <v>45144451445000CURRENTRENTBARWA</v>
      </c>
      <c r="B3127" s="154">
        <v>45144</v>
      </c>
      <c r="C3127" s="154">
        <v>45144</v>
      </c>
      <c r="D3127" s="3" t="s">
        <v>3532</v>
      </c>
      <c r="E3127" s="3">
        <v>-5000</v>
      </c>
      <c r="F3127" s="3">
        <v>1</v>
      </c>
      <c r="G3127" s="3">
        <f t="shared" si="154"/>
        <v>5000</v>
      </c>
      <c r="H3127" s="3" t="s">
        <v>293</v>
      </c>
      <c r="I3127" s="1" t="s">
        <v>83</v>
      </c>
      <c r="J3127" s="1" t="s">
        <v>3633</v>
      </c>
      <c r="K3127" s="1" t="s">
        <v>298</v>
      </c>
      <c r="L3127" s="1" t="s">
        <v>257</v>
      </c>
      <c r="M3127" s="1"/>
      <c r="N3127" s="1">
        <f t="shared" si="153"/>
        <v>8</v>
      </c>
      <c r="O3127" s="87"/>
    </row>
    <row r="3128" spans="1:15" ht="15.75" hidden="1" x14ac:dyDescent="0.25">
      <c r="A3128" s="1" t="str">
        <f t="shared" si="152"/>
        <v>451444514754.08MASTER CCGROCERYINDIAN SUPER</v>
      </c>
      <c r="B3128" s="154">
        <v>45144</v>
      </c>
      <c r="C3128" s="154">
        <v>45147</v>
      </c>
      <c r="D3128" s="3" t="s">
        <v>3605</v>
      </c>
      <c r="E3128" s="3">
        <v>-54.08</v>
      </c>
      <c r="F3128" s="3">
        <v>1</v>
      </c>
      <c r="G3128" s="3">
        <f t="shared" si="154"/>
        <v>54.08</v>
      </c>
      <c r="H3128" s="3" t="s">
        <v>291</v>
      </c>
      <c r="I3128" s="1" t="s">
        <v>43</v>
      </c>
      <c r="J3128" s="1" t="s">
        <v>2273</v>
      </c>
      <c r="K3128" s="1" t="s">
        <v>298</v>
      </c>
      <c r="L3128" s="1" t="s">
        <v>267</v>
      </c>
      <c r="M3128" s="1"/>
      <c r="N3128" s="1">
        <f t="shared" si="153"/>
        <v>8</v>
      </c>
      <c r="O3128" s="87"/>
    </row>
    <row r="3129" spans="1:15" ht="15.75" hidden="1" x14ac:dyDescent="0.25">
      <c r="A3129" s="1" t="str">
        <f t="shared" si="152"/>
        <v>451444514618MASTER CCFOODCAFÉ/REST.</v>
      </c>
      <c r="B3129" s="154">
        <v>45144</v>
      </c>
      <c r="C3129" s="154">
        <v>45146</v>
      </c>
      <c r="D3129" s="3" t="s">
        <v>3606</v>
      </c>
      <c r="E3129" s="3">
        <v>-18</v>
      </c>
      <c r="F3129" s="3">
        <v>1</v>
      </c>
      <c r="G3129" s="3">
        <f t="shared" si="154"/>
        <v>18</v>
      </c>
      <c r="H3129" s="3" t="s">
        <v>291</v>
      </c>
      <c r="I3129" s="1" t="s">
        <v>10</v>
      </c>
      <c r="J3129" s="1" t="s">
        <v>11</v>
      </c>
      <c r="K3129" s="1" t="s">
        <v>298</v>
      </c>
      <c r="L3129" s="1" t="s">
        <v>267</v>
      </c>
      <c r="M3129" s="1"/>
      <c r="N3129" s="1">
        <f t="shared" si="153"/>
        <v>8</v>
      </c>
      <c r="O3129" s="87"/>
    </row>
    <row r="3130" spans="1:15" ht="15.75" hidden="1" x14ac:dyDescent="0.25">
      <c r="A3130" s="1" t="str">
        <f t="shared" si="152"/>
        <v>45146451489.3MASTER CCMEDICALNASEEM AL</v>
      </c>
      <c r="B3130" s="154">
        <v>45146</v>
      </c>
      <c r="C3130" s="154">
        <v>45148</v>
      </c>
      <c r="D3130" s="3" t="s">
        <v>3607</v>
      </c>
      <c r="E3130" s="3">
        <v>-9.3000000000000007</v>
      </c>
      <c r="F3130" s="3">
        <v>1</v>
      </c>
      <c r="G3130" s="3">
        <f t="shared" si="154"/>
        <v>9.3000000000000007</v>
      </c>
      <c r="H3130" s="3" t="s">
        <v>291</v>
      </c>
      <c r="I3130" s="1" t="s">
        <v>301</v>
      </c>
      <c r="J3130" s="1" t="s">
        <v>1000</v>
      </c>
      <c r="K3130" s="1" t="s">
        <v>298</v>
      </c>
      <c r="L3130" s="1" t="s">
        <v>267</v>
      </c>
      <c r="M3130" s="1"/>
      <c r="N3130" s="1">
        <f t="shared" si="153"/>
        <v>8</v>
      </c>
      <c r="O3130" s="87"/>
    </row>
    <row r="3131" spans="1:15" ht="15.75" hidden="1" x14ac:dyDescent="0.25">
      <c r="A3131" s="1" t="str">
        <f t="shared" si="152"/>
        <v>45147451479.29MASTER CCTRANSPORTUBER</v>
      </c>
      <c r="B3131" s="154">
        <v>45147</v>
      </c>
      <c r="C3131" s="154">
        <f>B3131</f>
        <v>45147</v>
      </c>
      <c r="D3131" s="3" t="s">
        <v>3609</v>
      </c>
      <c r="E3131" s="3">
        <v>-9.2899999999999991</v>
      </c>
      <c r="F3131" s="3">
        <v>1</v>
      </c>
      <c r="G3131" s="3">
        <f t="shared" si="154"/>
        <v>9.2899999999999991</v>
      </c>
      <c r="H3131" s="3" t="s">
        <v>291</v>
      </c>
      <c r="I3131" s="1" t="s">
        <v>296</v>
      </c>
      <c r="J3131" s="1" t="s">
        <v>299</v>
      </c>
      <c r="K3131" s="1" t="s">
        <v>298</v>
      </c>
      <c r="L3131" s="1" t="s">
        <v>267</v>
      </c>
      <c r="M3131" s="1"/>
      <c r="N3131" s="1">
        <f t="shared" si="153"/>
        <v>8</v>
      </c>
      <c r="O3131" s="87"/>
    </row>
    <row r="3132" spans="1:15" ht="15.75" hidden="1" x14ac:dyDescent="0.25">
      <c r="A3132" s="1" t="str">
        <f t="shared" si="152"/>
        <v>45147451478.8MASTER CCTRANSPORTUBER</v>
      </c>
      <c r="B3132" s="154">
        <v>45147</v>
      </c>
      <c r="C3132" s="154">
        <f>B3132</f>
        <v>45147</v>
      </c>
      <c r="D3132" s="3" t="s">
        <v>3610</v>
      </c>
      <c r="E3132" s="3">
        <v>-8.8000000000000007</v>
      </c>
      <c r="F3132" s="3">
        <v>1</v>
      </c>
      <c r="G3132" s="3">
        <f t="shared" si="154"/>
        <v>8.8000000000000007</v>
      </c>
      <c r="H3132" s="3" t="s">
        <v>291</v>
      </c>
      <c r="I3132" s="1" t="s">
        <v>296</v>
      </c>
      <c r="J3132" s="1" t="s">
        <v>299</v>
      </c>
      <c r="K3132" s="1" t="s">
        <v>298</v>
      </c>
      <c r="L3132" s="1" t="s">
        <v>267</v>
      </c>
      <c r="M3132" s="1"/>
      <c r="N3132" s="1">
        <f t="shared" si="153"/>
        <v>8</v>
      </c>
      <c r="O3132" s="87"/>
    </row>
    <row r="3133" spans="1:15" ht="15.75" hidden="1" x14ac:dyDescent="0.25">
      <c r="A3133" s="1" t="str">
        <f t="shared" si="152"/>
        <v>45147451478.8MASTER CCTRANSPORTUBER</v>
      </c>
      <c r="B3133" s="154">
        <v>45147</v>
      </c>
      <c r="C3133" s="154">
        <f>B3133</f>
        <v>45147</v>
      </c>
      <c r="D3133" s="3" t="s">
        <v>3611</v>
      </c>
      <c r="E3133" s="3">
        <v>-8.8000000000000007</v>
      </c>
      <c r="F3133" s="3">
        <v>1</v>
      </c>
      <c r="G3133" s="3">
        <f t="shared" si="154"/>
        <v>8.8000000000000007</v>
      </c>
      <c r="H3133" s="3" t="s">
        <v>291</v>
      </c>
      <c r="I3133" s="1" t="s">
        <v>296</v>
      </c>
      <c r="J3133" s="1" t="s">
        <v>299</v>
      </c>
      <c r="K3133" s="1" t="s">
        <v>298</v>
      </c>
      <c r="L3133" s="1" t="s">
        <v>267</v>
      </c>
      <c r="M3133" s="1"/>
      <c r="N3133" s="1">
        <f t="shared" si="153"/>
        <v>8</v>
      </c>
      <c r="O3133" s="87"/>
    </row>
    <row r="3134" spans="1:15" ht="15.75" hidden="1" x14ac:dyDescent="0.25">
      <c r="A3134" s="1" t="str">
        <f t="shared" si="152"/>
        <v>451474514732MASTER CCFOODWISHBOX</v>
      </c>
      <c r="B3134" s="154">
        <v>45147</v>
      </c>
      <c r="C3134" s="154">
        <f>B3134</f>
        <v>45147</v>
      </c>
      <c r="D3134" s="3" t="s">
        <v>3612</v>
      </c>
      <c r="E3134" s="3">
        <v>-32</v>
      </c>
      <c r="F3134" s="3">
        <v>1</v>
      </c>
      <c r="G3134" s="3">
        <f t="shared" si="154"/>
        <v>32</v>
      </c>
      <c r="H3134" s="3" t="s">
        <v>291</v>
      </c>
      <c r="I3134" s="1" t="s">
        <v>10</v>
      </c>
      <c r="J3134" s="1" t="s">
        <v>1199</v>
      </c>
      <c r="K3134" s="1" t="s">
        <v>298</v>
      </c>
      <c r="L3134" s="1" t="s">
        <v>267</v>
      </c>
      <c r="M3134" s="1"/>
      <c r="N3134" s="1">
        <f t="shared" si="153"/>
        <v>8</v>
      </c>
      <c r="O3134" s="87"/>
    </row>
    <row r="3135" spans="1:15" ht="15.75" hidden="1" x14ac:dyDescent="0.25">
      <c r="A3135" s="1" t="str">
        <f t="shared" si="152"/>
        <v>451474515024.29MASTER CCGROCERYMANGO</v>
      </c>
      <c r="B3135" s="154">
        <v>45147</v>
      </c>
      <c r="C3135" s="154">
        <v>45150</v>
      </c>
      <c r="D3135" s="3" t="s">
        <v>3608</v>
      </c>
      <c r="E3135" s="3">
        <v>-24.29</v>
      </c>
      <c r="F3135" s="3">
        <v>1</v>
      </c>
      <c r="G3135" s="3">
        <f t="shared" si="154"/>
        <v>24.29</v>
      </c>
      <c r="H3135" s="3" t="s">
        <v>291</v>
      </c>
      <c r="I3135" s="1" t="s">
        <v>43</v>
      </c>
      <c r="J3135" s="1" t="s">
        <v>3634</v>
      </c>
      <c r="K3135" s="1" t="s">
        <v>298</v>
      </c>
      <c r="L3135" s="1" t="s">
        <v>267</v>
      </c>
      <c r="M3135" s="1"/>
      <c r="N3135" s="1">
        <f t="shared" si="153"/>
        <v>8</v>
      </c>
      <c r="O3135" s="87"/>
    </row>
    <row r="3136" spans="1:15" ht="15.75" hidden="1" x14ac:dyDescent="0.25">
      <c r="A3136" s="1" t="str">
        <f t="shared" si="152"/>
        <v>45147451498.8MASTER CCTRANSPORTUBER</v>
      </c>
      <c r="B3136" s="154">
        <v>45147</v>
      </c>
      <c r="C3136" s="154">
        <v>45149</v>
      </c>
      <c r="D3136" s="3" t="s">
        <v>4052</v>
      </c>
      <c r="E3136" s="3">
        <v>-8.8000000000000007</v>
      </c>
      <c r="F3136" s="3">
        <v>1</v>
      </c>
      <c r="G3136" s="3">
        <f t="shared" si="154"/>
        <v>8.8000000000000007</v>
      </c>
      <c r="H3136" s="3" t="s">
        <v>291</v>
      </c>
      <c r="I3136" s="1" t="s">
        <v>296</v>
      </c>
      <c r="J3136" s="1" t="s">
        <v>299</v>
      </c>
      <c r="K3136" s="1" t="s">
        <v>298</v>
      </c>
      <c r="L3136" s="1" t="s">
        <v>267</v>
      </c>
      <c r="M3136" s="1"/>
      <c r="N3136" s="1">
        <f t="shared" si="153"/>
        <v>8</v>
      </c>
      <c r="O3136" s="87"/>
    </row>
    <row r="3137" spans="1:15" ht="15.75" hidden="1" x14ac:dyDescent="0.25">
      <c r="A3137" s="1" t="str">
        <f t="shared" si="152"/>
        <v>451474514932MASTER CCFOODWISHBOX</v>
      </c>
      <c r="B3137" s="154">
        <v>45147</v>
      </c>
      <c r="C3137" s="154">
        <v>45149</v>
      </c>
      <c r="D3137" s="3" t="s">
        <v>4053</v>
      </c>
      <c r="E3137" s="3">
        <v>-32</v>
      </c>
      <c r="F3137" s="3">
        <v>1</v>
      </c>
      <c r="G3137" s="3">
        <f t="shared" si="154"/>
        <v>32</v>
      </c>
      <c r="H3137" s="3" t="s">
        <v>291</v>
      </c>
      <c r="I3137" s="1" t="s">
        <v>10</v>
      </c>
      <c r="J3137" s="1" t="s">
        <v>1199</v>
      </c>
      <c r="K3137" s="1" t="s">
        <v>298</v>
      </c>
      <c r="L3137" s="1" t="s">
        <v>267</v>
      </c>
      <c r="M3137" s="1"/>
      <c r="N3137" s="1">
        <f t="shared" si="153"/>
        <v>8</v>
      </c>
      <c r="O3137" s="87"/>
    </row>
    <row r="3138" spans="1:15" ht="15.75" hidden="1" x14ac:dyDescent="0.25">
      <c r="A3138" s="1" t="str">
        <f t="shared" ref="A3138:A3201" si="155">B3138&amp;C3138&amp;G3138&amp;H3138&amp;I3138&amp;J3138</f>
        <v>45147451499.29MASTER CCTRANSPORTUBER</v>
      </c>
      <c r="B3138" s="154">
        <v>45147</v>
      </c>
      <c r="C3138" s="154">
        <v>45149</v>
      </c>
      <c r="D3138" s="3" t="s">
        <v>4054</v>
      </c>
      <c r="E3138" s="3">
        <v>-9.2899999999999991</v>
      </c>
      <c r="F3138" s="3">
        <v>1</v>
      </c>
      <c r="G3138" s="3">
        <f t="shared" si="154"/>
        <v>9.2899999999999991</v>
      </c>
      <c r="H3138" s="3" t="s">
        <v>291</v>
      </c>
      <c r="I3138" s="1" t="s">
        <v>296</v>
      </c>
      <c r="J3138" s="1" t="s">
        <v>299</v>
      </c>
      <c r="K3138" s="1" t="s">
        <v>298</v>
      </c>
      <c r="L3138" s="1" t="s">
        <v>267</v>
      </c>
      <c r="M3138" s="1"/>
      <c r="N3138" s="1">
        <f t="shared" ref="N3138:N3201" si="156">MONTH(C3138)</f>
        <v>8</v>
      </c>
      <c r="O3138" s="87"/>
    </row>
    <row r="3139" spans="1:15" ht="15.75" hidden="1" x14ac:dyDescent="0.25">
      <c r="A3139" s="1" t="str">
        <f t="shared" si="155"/>
        <v>45147451498.8MASTER CCTRANSPORTUBER</v>
      </c>
      <c r="B3139" s="154">
        <v>45147</v>
      </c>
      <c r="C3139" s="154">
        <v>45149</v>
      </c>
      <c r="D3139" s="3" t="s">
        <v>4055</v>
      </c>
      <c r="E3139" s="3">
        <v>-8.8000000000000007</v>
      </c>
      <c r="F3139" s="3">
        <v>1</v>
      </c>
      <c r="G3139" s="3">
        <f t="shared" si="154"/>
        <v>8.8000000000000007</v>
      </c>
      <c r="H3139" s="3" t="s">
        <v>291</v>
      </c>
      <c r="I3139" s="1" t="s">
        <v>296</v>
      </c>
      <c r="J3139" s="1" t="s">
        <v>299</v>
      </c>
      <c r="K3139" s="1" t="s">
        <v>298</v>
      </c>
      <c r="L3139" s="1" t="s">
        <v>267</v>
      </c>
      <c r="M3139" s="1"/>
      <c r="N3139" s="1">
        <f t="shared" si="156"/>
        <v>8</v>
      </c>
      <c r="O3139" s="87"/>
    </row>
    <row r="3140" spans="1:15" ht="15.75" hidden="1" x14ac:dyDescent="0.25">
      <c r="A3140" s="1" t="str">
        <f t="shared" si="155"/>
        <v>45147451485.2MASTER CCMEDICALNASEEM AL</v>
      </c>
      <c r="B3140" s="154">
        <v>45147</v>
      </c>
      <c r="C3140" s="154">
        <v>45148</v>
      </c>
      <c r="D3140" s="3" t="s">
        <v>3613</v>
      </c>
      <c r="E3140" s="3">
        <v>-5.2</v>
      </c>
      <c r="F3140" s="3">
        <v>1</v>
      </c>
      <c r="G3140" s="3">
        <f t="shared" si="154"/>
        <v>5.2</v>
      </c>
      <c r="H3140" s="3" t="s">
        <v>291</v>
      </c>
      <c r="I3140" s="1" t="s">
        <v>301</v>
      </c>
      <c r="J3140" s="1" t="s">
        <v>1000</v>
      </c>
      <c r="K3140" s="1" t="s">
        <v>298</v>
      </c>
      <c r="L3140" s="1" t="s">
        <v>267</v>
      </c>
      <c r="M3140" s="1"/>
      <c r="N3140" s="1">
        <f t="shared" si="156"/>
        <v>8</v>
      </c>
      <c r="O3140" s="87"/>
    </row>
    <row r="3141" spans="1:15" ht="15.75" hidden="1" x14ac:dyDescent="0.25">
      <c r="A3141" s="1" t="str">
        <f t="shared" si="155"/>
        <v>451484514833MASTER CCFOODWISHBOX</v>
      </c>
      <c r="B3141" s="154">
        <v>45148</v>
      </c>
      <c r="C3141" s="154">
        <f>B3141</f>
        <v>45148</v>
      </c>
      <c r="D3141" s="3" t="s">
        <v>3614</v>
      </c>
      <c r="E3141" s="3">
        <v>-33</v>
      </c>
      <c r="F3141" s="3">
        <v>1</v>
      </c>
      <c r="G3141" s="3">
        <f t="shared" si="154"/>
        <v>33</v>
      </c>
      <c r="H3141" s="3" t="s">
        <v>291</v>
      </c>
      <c r="I3141" s="1" t="s">
        <v>10</v>
      </c>
      <c r="J3141" s="1" t="s">
        <v>1199</v>
      </c>
      <c r="K3141" s="1" t="s">
        <v>298</v>
      </c>
      <c r="L3141" s="1" t="s">
        <v>267</v>
      </c>
      <c r="M3141" s="1"/>
      <c r="N3141" s="1">
        <f t="shared" si="156"/>
        <v>8</v>
      </c>
      <c r="O3141" s="87"/>
    </row>
    <row r="3142" spans="1:15" ht="15.75" hidden="1" x14ac:dyDescent="0.25">
      <c r="A3142" s="1" t="str">
        <f t="shared" si="155"/>
        <v>451484515033MASTER CCFOODWISHBOX</v>
      </c>
      <c r="B3142" s="154">
        <v>45148</v>
      </c>
      <c r="C3142" s="154">
        <v>45150</v>
      </c>
      <c r="D3142" s="3" t="s">
        <v>4051</v>
      </c>
      <c r="E3142" s="3">
        <v>-33</v>
      </c>
      <c r="F3142" s="3">
        <v>1</v>
      </c>
      <c r="G3142" s="3">
        <f t="shared" si="154"/>
        <v>33</v>
      </c>
      <c r="H3142" s="3" t="s">
        <v>291</v>
      </c>
      <c r="I3142" s="1" t="s">
        <v>10</v>
      </c>
      <c r="J3142" s="1" t="s">
        <v>1199</v>
      </c>
      <c r="K3142" s="1" t="s">
        <v>298</v>
      </c>
      <c r="L3142" s="1" t="s">
        <v>267</v>
      </c>
      <c r="M3142" s="1"/>
      <c r="N3142" s="1">
        <f t="shared" si="156"/>
        <v>8</v>
      </c>
      <c r="O3142" s="87"/>
    </row>
    <row r="3143" spans="1:15" ht="15.75" hidden="1" x14ac:dyDescent="0.25">
      <c r="A3143" s="1" t="str">
        <f t="shared" si="155"/>
        <v>4514945153120MASTER CCSHOPPINGRNB</v>
      </c>
      <c r="B3143" s="154">
        <v>45149</v>
      </c>
      <c r="C3143" s="154">
        <v>45153</v>
      </c>
      <c r="D3143" s="3" t="s">
        <v>4050</v>
      </c>
      <c r="E3143" s="3">
        <v>-120</v>
      </c>
      <c r="F3143" s="3">
        <v>1</v>
      </c>
      <c r="G3143" s="3">
        <f t="shared" si="154"/>
        <v>120</v>
      </c>
      <c r="H3143" s="3" t="s">
        <v>291</v>
      </c>
      <c r="I3143" s="1" t="s">
        <v>194</v>
      </c>
      <c r="J3143" s="1" t="s">
        <v>1658</v>
      </c>
      <c r="K3143" s="1" t="s">
        <v>298</v>
      </c>
      <c r="L3143" s="1" t="s">
        <v>267</v>
      </c>
      <c r="M3143" s="1"/>
      <c r="N3143" s="1">
        <f t="shared" si="156"/>
        <v>8</v>
      </c>
      <c r="O3143" s="87"/>
    </row>
    <row r="3144" spans="1:15" ht="15.75" hidden="1" x14ac:dyDescent="0.25">
      <c r="A3144" s="1" t="str">
        <f t="shared" si="155"/>
        <v>451504515342.25MASTER CCGROCERYLULU</v>
      </c>
      <c r="B3144" s="154">
        <v>45150</v>
      </c>
      <c r="C3144" s="154">
        <v>45153</v>
      </c>
      <c r="D3144" s="3" t="s">
        <v>4049</v>
      </c>
      <c r="E3144" s="3">
        <v>-42.25</v>
      </c>
      <c r="F3144" s="3">
        <v>1</v>
      </c>
      <c r="G3144" s="3">
        <f t="shared" si="154"/>
        <v>42.25</v>
      </c>
      <c r="H3144" s="3" t="s">
        <v>291</v>
      </c>
      <c r="I3144" s="1" t="s">
        <v>43</v>
      </c>
      <c r="J3144" s="1" t="s">
        <v>44</v>
      </c>
      <c r="K3144" s="1" t="s">
        <v>298</v>
      </c>
      <c r="L3144" s="1" t="s">
        <v>267</v>
      </c>
      <c r="M3144" s="1"/>
      <c r="N3144" s="1">
        <f t="shared" si="156"/>
        <v>8</v>
      </c>
      <c r="O3144" s="87"/>
    </row>
    <row r="3145" spans="1:15" ht="15.75" hidden="1" x14ac:dyDescent="0.25">
      <c r="A3145" s="1" t="str">
        <f t="shared" si="155"/>
        <v>451504515145DINERSGROCERYLULU</v>
      </c>
      <c r="B3145" s="154">
        <v>45150</v>
      </c>
      <c r="C3145" s="154">
        <v>45151</v>
      </c>
      <c r="D3145" s="3" t="s">
        <v>4079</v>
      </c>
      <c r="E3145" s="3">
        <v>-45</v>
      </c>
      <c r="F3145" s="3">
        <v>1</v>
      </c>
      <c r="G3145" s="3">
        <f t="shared" si="154"/>
        <v>45</v>
      </c>
      <c r="H3145" s="3" t="s">
        <v>266</v>
      </c>
      <c r="I3145" s="1" t="s">
        <v>43</v>
      </c>
      <c r="J3145" s="1" t="s">
        <v>44</v>
      </c>
      <c r="K3145" s="1" t="s">
        <v>298</v>
      </c>
      <c r="L3145" s="1" t="s">
        <v>267</v>
      </c>
      <c r="M3145" s="1"/>
      <c r="N3145" s="1">
        <f t="shared" si="156"/>
        <v>8</v>
      </c>
      <c r="O3145" s="87"/>
    </row>
    <row r="3146" spans="1:15" ht="15.75" hidden="1" x14ac:dyDescent="0.25">
      <c r="A3146" s="1" t="str">
        <f t="shared" si="155"/>
        <v>451504515130DINERSFOODCAFÉ/REST.</v>
      </c>
      <c r="B3146" s="154">
        <v>45150</v>
      </c>
      <c r="C3146" s="154">
        <v>45151</v>
      </c>
      <c r="D3146" s="3" t="s">
        <v>4080</v>
      </c>
      <c r="E3146" s="3">
        <v>-30</v>
      </c>
      <c r="F3146" s="3">
        <v>1</v>
      </c>
      <c r="G3146" s="3">
        <f t="shared" si="154"/>
        <v>30</v>
      </c>
      <c r="H3146" s="3" t="s">
        <v>266</v>
      </c>
      <c r="I3146" s="1" t="s">
        <v>10</v>
      </c>
      <c r="J3146" s="1" t="s">
        <v>11</v>
      </c>
      <c r="K3146" s="1" t="s">
        <v>298</v>
      </c>
      <c r="L3146" s="1" t="s">
        <v>267</v>
      </c>
      <c r="M3146" s="1"/>
      <c r="N3146" s="1">
        <f t="shared" si="156"/>
        <v>8</v>
      </c>
      <c r="O3146" s="87"/>
    </row>
    <row r="3147" spans="1:15" ht="15.75" hidden="1" x14ac:dyDescent="0.25">
      <c r="A3147" s="1" t="str">
        <f t="shared" si="155"/>
        <v>45151451519.45CURRENTTRANSPORTUBER</v>
      </c>
      <c r="B3147" s="154">
        <v>45151</v>
      </c>
      <c r="C3147" s="154">
        <v>45151</v>
      </c>
      <c r="D3147" s="3" t="s">
        <v>3768</v>
      </c>
      <c r="E3147" s="3">
        <v>-9.4499999999999993</v>
      </c>
      <c r="F3147" s="3">
        <v>1</v>
      </c>
      <c r="G3147" s="3">
        <f t="shared" ref="G3147:G3210" si="157">ABS(E3147)*F3147</f>
        <v>9.4499999999999993</v>
      </c>
      <c r="H3147" s="3" t="s">
        <v>293</v>
      </c>
      <c r="I3147" s="1" t="s">
        <v>296</v>
      </c>
      <c r="J3147" s="1" t="s">
        <v>299</v>
      </c>
      <c r="K3147" s="1" t="s">
        <v>298</v>
      </c>
      <c r="L3147" s="1" t="s">
        <v>257</v>
      </c>
      <c r="M3147" s="1"/>
      <c r="N3147" s="1">
        <f t="shared" si="156"/>
        <v>8</v>
      </c>
      <c r="O3147" s="87"/>
    </row>
    <row r="3148" spans="1:15" ht="15.75" hidden="1" x14ac:dyDescent="0.25">
      <c r="A3148" s="1" t="str">
        <f t="shared" si="155"/>
        <v>4515145153105MASTER CCTRANSPORTWOQOD</v>
      </c>
      <c r="B3148" s="154">
        <v>45151</v>
      </c>
      <c r="C3148" s="154">
        <v>45153</v>
      </c>
      <c r="D3148" s="3" t="s">
        <v>4048</v>
      </c>
      <c r="E3148" s="3">
        <v>-105</v>
      </c>
      <c r="F3148" s="3">
        <v>1</v>
      </c>
      <c r="G3148" s="3">
        <f t="shared" si="157"/>
        <v>105</v>
      </c>
      <c r="H3148" s="3" t="s">
        <v>291</v>
      </c>
      <c r="I3148" s="1" t="s">
        <v>296</v>
      </c>
      <c r="J3148" s="1" t="s">
        <v>1942</v>
      </c>
      <c r="K3148" s="1" t="s">
        <v>298</v>
      </c>
      <c r="L3148" s="1" t="s">
        <v>267</v>
      </c>
      <c r="M3148" s="1"/>
      <c r="N3148" s="1">
        <f t="shared" si="156"/>
        <v>8</v>
      </c>
      <c r="O3148" s="87"/>
    </row>
    <row r="3149" spans="1:15" ht="15.75" hidden="1" x14ac:dyDescent="0.25">
      <c r="A3149" s="1" t="str">
        <f t="shared" si="155"/>
        <v>451524515434MASTER CCFOODWISHBOX</v>
      </c>
      <c r="B3149" s="154">
        <v>45152</v>
      </c>
      <c r="C3149" s="154">
        <v>45154</v>
      </c>
      <c r="D3149" s="3" t="s">
        <v>4047</v>
      </c>
      <c r="E3149" s="3">
        <v>-34</v>
      </c>
      <c r="F3149" s="3">
        <v>1</v>
      </c>
      <c r="G3149" s="3">
        <f t="shared" si="157"/>
        <v>34</v>
      </c>
      <c r="H3149" s="3" t="s">
        <v>291</v>
      </c>
      <c r="I3149" s="1" t="s">
        <v>10</v>
      </c>
      <c r="J3149" s="1" t="s">
        <v>1199</v>
      </c>
      <c r="K3149" s="1" t="s">
        <v>298</v>
      </c>
      <c r="L3149" s="1" t="s">
        <v>267</v>
      </c>
      <c r="M3149" s="1"/>
      <c r="N3149" s="1">
        <f t="shared" si="156"/>
        <v>8</v>
      </c>
      <c r="O3149" s="87"/>
    </row>
    <row r="3150" spans="1:15" ht="15.75" hidden="1" x14ac:dyDescent="0.25">
      <c r="A3150" s="1" t="str">
        <f t="shared" si="155"/>
        <v>451534515333.96CURRENTCC BILL PAYMENTBANK</v>
      </c>
      <c r="B3150" s="154">
        <v>45153</v>
      </c>
      <c r="C3150" s="154">
        <v>45153</v>
      </c>
      <c r="D3150" s="3" t="s">
        <v>705</v>
      </c>
      <c r="E3150" s="3">
        <v>-33.96</v>
      </c>
      <c r="F3150" s="3">
        <v>1</v>
      </c>
      <c r="G3150" s="3">
        <f t="shared" si="157"/>
        <v>33.96</v>
      </c>
      <c r="H3150" s="3" t="s">
        <v>293</v>
      </c>
      <c r="I3150" s="1" t="s">
        <v>81</v>
      </c>
      <c r="J3150" s="1" t="s">
        <v>8</v>
      </c>
      <c r="K3150" s="1" t="s">
        <v>298</v>
      </c>
      <c r="L3150" s="1" t="s">
        <v>257</v>
      </c>
      <c r="M3150" s="1"/>
      <c r="N3150" s="1">
        <f t="shared" si="156"/>
        <v>8</v>
      </c>
      <c r="O3150" s="87"/>
    </row>
    <row r="3151" spans="1:15" ht="15.75" hidden="1" x14ac:dyDescent="0.25">
      <c r="A3151" s="1" t="str">
        <f t="shared" si="155"/>
        <v>451534515444.39DINERSGROCERYINDIAN SUPER</v>
      </c>
      <c r="B3151" s="154">
        <v>45153</v>
      </c>
      <c r="C3151" s="154">
        <v>45154</v>
      </c>
      <c r="D3151" s="3" t="s">
        <v>4078</v>
      </c>
      <c r="E3151" s="3">
        <v>-44.39</v>
      </c>
      <c r="F3151" s="3">
        <v>1</v>
      </c>
      <c r="G3151" s="3">
        <f t="shared" si="157"/>
        <v>44.39</v>
      </c>
      <c r="H3151" s="3" t="s">
        <v>266</v>
      </c>
      <c r="I3151" s="1" t="s">
        <v>43</v>
      </c>
      <c r="J3151" s="1" t="s">
        <v>2273</v>
      </c>
      <c r="K3151" s="1" t="s">
        <v>298</v>
      </c>
      <c r="L3151" s="1" t="s">
        <v>267</v>
      </c>
      <c r="M3151" s="1"/>
      <c r="N3151" s="1">
        <f t="shared" si="156"/>
        <v>8</v>
      </c>
      <c r="O3151" s="87"/>
    </row>
    <row r="3152" spans="1:15" ht="15.75" hidden="1" x14ac:dyDescent="0.25">
      <c r="A3152" s="1" t="str">
        <f t="shared" si="155"/>
        <v>451544515642MASTER CCFOODWISHBOX</v>
      </c>
      <c r="B3152" s="154">
        <v>45154</v>
      </c>
      <c r="C3152" s="154">
        <v>45156</v>
      </c>
      <c r="D3152" s="3" t="s">
        <v>4046</v>
      </c>
      <c r="E3152" s="3">
        <v>-42</v>
      </c>
      <c r="F3152" s="3">
        <v>1</v>
      </c>
      <c r="G3152" s="3">
        <f t="shared" si="157"/>
        <v>42</v>
      </c>
      <c r="H3152" s="3" t="s">
        <v>291</v>
      </c>
      <c r="I3152" s="1" t="s">
        <v>10</v>
      </c>
      <c r="J3152" s="1" t="s">
        <v>1199</v>
      </c>
      <c r="K3152" s="1" t="s">
        <v>298</v>
      </c>
      <c r="L3152" s="1" t="s">
        <v>267</v>
      </c>
      <c r="M3152" s="1"/>
      <c r="N3152" s="1">
        <f t="shared" si="156"/>
        <v>8</v>
      </c>
      <c r="O3152" s="87"/>
    </row>
    <row r="3153" spans="1:15" ht="15.75" hidden="1" x14ac:dyDescent="0.25">
      <c r="A3153" s="1" t="str">
        <f t="shared" si="155"/>
        <v>451554515812.51MASTER CCGROCERYMANGO</v>
      </c>
      <c r="B3153" s="154">
        <v>45155</v>
      </c>
      <c r="C3153" s="154">
        <v>45158</v>
      </c>
      <c r="D3153" s="3" t="s">
        <v>4044</v>
      </c>
      <c r="E3153" s="3">
        <v>-12.51</v>
      </c>
      <c r="F3153" s="3">
        <v>1</v>
      </c>
      <c r="G3153" s="3">
        <f t="shared" si="157"/>
        <v>12.51</v>
      </c>
      <c r="H3153" s="3" t="s">
        <v>291</v>
      </c>
      <c r="I3153" s="1" t="s">
        <v>43</v>
      </c>
      <c r="J3153" s="1" t="s">
        <v>3634</v>
      </c>
      <c r="K3153" s="1" t="s">
        <v>298</v>
      </c>
      <c r="L3153" s="1" t="s">
        <v>267</v>
      </c>
      <c r="M3153" s="1"/>
      <c r="N3153" s="1">
        <f t="shared" si="156"/>
        <v>8</v>
      </c>
      <c r="O3153" s="87"/>
    </row>
    <row r="3154" spans="1:15" ht="15.75" hidden="1" x14ac:dyDescent="0.25">
      <c r="A3154" s="1" t="str">
        <f t="shared" si="155"/>
        <v>451554515839MASTER CCFOODCAFÉ/REST.</v>
      </c>
      <c r="B3154" s="154">
        <v>45155</v>
      </c>
      <c r="C3154" s="154">
        <v>45158</v>
      </c>
      <c r="D3154" s="3" t="s">
        <v>4045</v>
      </c>
      <c r="E3154" s="3">
        <v>-39</v>
      </c>
      <c r="F3154" s="3">
        <v>1</v>
      </c>
      <c r="G3154" s="3">
        <f t="shared" si="157"/>
        <v>39</v>
      </c>
      <c r="H3154" s="3" t="s">
        <v>291</v>
      </c>
      <c r="I3154" s="1" t="s">
        <v>10</v>
      </c>
      <c r="J3154" s="1" t="s">
        <v>11</v>
      </c>
      <c r="K3154" s="1" t="s">
        <v>298</v>
      </c>
      <c r="L3154" s="1" t="s">
        <v>267</v>
      </c>
      <c r="M3154" s="1"/>
      <c r="N3154" s="1">
        <f t="shared" si="156"/>
        <v>8</v>
      </c>
      <c r="O3154" s="87"/>
    </row>
    <row r="3155" spans="1:15" ht="15.75" hidden="1" x14ac:dyDescent="0.25">
      <c r="A3155" s="1" t="str">
        <f t="shared" si="155"/>
        <v>451564516070MASTER CCFOODCAFÉ/REST.</v>
      </c>
      <c r="B3155" s="154">
        <v>45156</v>
      </c>
      <c r="C3155" s="154">
        <v>45160</v>
      </c>
      <c r="D3155" s="3" t="s">
        <v>4041</v>
      </c>
      <c r="E3155" s="3">
        <v>-70</v>
      </c>
      <c r="F3155" s="3">
        <v>1</v>
      </c>
      <c r="G3155" s="3">
        <f t="shared" si="157"/>
        <v>70</v>
      </c>
      <c r="H3155" s="3" t="s">
        <v>291</v>
      </c>
      <c r="I3155" s="1" t="s">
        <v>10</v>
      </c>
      <c r="J3155" s="1" t="s">
        <v>11</v>
      </c>
      <c r="K3155" s="1" t="s">
        <v>298</v>
      </c>
      <c r="L3155" s="1" t="s">
        <v>267</v>
      </c>
      <c r="M3155" s="1"/>
      <c r="N3155" s="1">
        <f t="shared" si="156"/>
        <v>8</v>
      </c>
      <c r="O3155" s="87"/>
    </row>
    <row r="3156" spans="1:15" ht="15.75" hidden="1" x14ac:dyDescent="0.25">
      <c r="A3156" s="1" t="str">
        <f t="shared" si="155"/>
        <v>451564515916.25MASTER CCGROCERYMANGO</v>
      </c>
      <c r="B3156" s="154">
        <v>45156</v>
      </c>
      <c r="C3156" s="154">
        <v>45159</v>
      </c>
      <c r="D3156" s="3" t="s">
        <v>4042</v>
      </c>
      <c r="E3156" s="3">
        <v>-16.25</v>
      </c>
      <c r="F3156" s="3">
        <v>1</v>
      </c>
      <c r="G3156" s="3">
        <f t="shared" si="157"/>
        <v>16.25</v>
      </c>
      <c r="H3156" s="3" t="s">
        <v>291</v>
      </c>
      <c r="I3156" s="1" t="s">
        <v>43</v>
      </c>
      <c r="J3156" s="1" t="s">
        <v>3634</v>
      </c>
      <c r="K3156" s="1" t="s">
        <v>298</v>
      </c>
      <c r="L3156" s="1" t="s">
        <v>267</v>
      </c>
      <c r="M3156" s="1"/>
      <c r="N3156" s="1">
        <f t="shared" si="156"/>
        <v>8</v>
      </c>
      <c r="O3156" s="87"/>
    </row>
    <row r="3157" spans="1:15" ht="15.75" hidden="1" x14ac:dyDescent="0.25">
      <c r="A3157" s="1" t="str">
        <f t="shared" si="155"/>
        <v>451564515814MASTER CCFOODCAFÉ/REST.</v>
      </c>
      <c r="B3157" s="154">
        <v>45156</v>
      </c>
      <c r="C3157" s="154">
        <v>45158</v>
      </c>
      <c r="D3157" s="3" t="s">
        <v>4043</v>
      </c>
      <c r="E3157" s="3">
        <v>-14</v>
      </c>
      <c r="F3157" s="3">
        <v>1</v>
      </c>
      <c r="G3157" s="3">
        <f t="shared" si="157"/>
        <v>14</v>
      </c>
      <c r="H3157" s="3" t="s">
        <v>291</v>
      </c>
      <c r="I3157" s="1" t="s">
        <v>10</v>
      </c>
      <c r="J3157" s="1" t="s">
        <v>11</v>
      </c>
      <c r="K3157" s="1" t="s">
        <v>298</v>
      </c>
      <c r="L3157" s="1" t="s">
        <v>267</v>
      </c>
      <c r="M3157" s="1"/>
      <c r="N3157" s="1">
        <f t="shared" si="156"/>
        <v>8</v>
      </c>
      <c r="O3157" s="87"/>
    </row>
    <row r="3158" spans="1:15" ht="15.75" hidden="1" x14ac:dyDescent="0.25">
      <c r="A3158" s="1" t="str">
        <f t="shared" si="155"/>
        <v>4515745158104DINERSTELECOMOOREDOO</v>
      </c>
      <c r="B3158" s="154">
        <v>45157</v>
      </c>
      <c r="C3158" s="154">
        <v>45158</v>
      </c>
      <c r="D3158" s="3" t="s">
        <v>4077</v>
      </c>
      <c r="E3158" s="3">
        <v>-104</v>
      </c>
      <c r="F3158" s="3">
        <v>1</v>
      </c>
      <c r="G3158" s="3">
        <f t="shared" si="157"/>
        <v>104</v>
      </c>
      <c r="H3158" s="3" t="s">
        <v>266</v>
      </c>
      <c r="I3158" s="1" t="s">
        <v>58</v>
      </c>
      <c r="J3158" s="1" t="s">
        <v>59</v>
      </c>
      <c r="K3158" s="1" t="s">
        <v>298</v>
      </c>
      <c r="L3158" s="1" t="s">
        <v>267</v>
      </c>
      <c r="M3158" s="1"/>
      <c r="N3158" s="1">
        <f t="shared" si="156"/>
        <v>8</v>
      </c>
      <c r="O3158" s="87"/>
    </row>
    <row r="3159" spans="1:15" ht="15.75" hidden="1" x14ac:dyDescent="0.25">
      <c r="A3159" s="1" t="str">
        <f t="shared" si="155"/>
        <v>45158451581000CURRENTWITHDRAWSELF</v>
      </c>
      <c r="B3159" s="154">
        <v>45158</v>
      </c>
      <c r="C3159" s="154">
        <v>45158</v>
      </c>
      <c r="D3159" s="3" t="s">
        <v>3762</v>
      </c>
      <c r="E3159" s="3">
        <v>-1000</v>
      </c>
      <c r="F3159" s="3">
        <v>1</v>
      </c>
      <c r="G3159" s="3">
        <f t="shared" si="157"/>
        <v>1000</v>
      </c>
      <c r="H3159" s="3" t="s">
        <v>293</v>
      </c>
      <c r="I3159" s="1" t="s">
        <v>13</v>
      </c>
      <c r="J3159" s="1" t="s">
        <v>14</v>
      </c>
      <c r="K3159" s="1" t="s">
        <v>298</v>
      </c>
      <c r="L3159" s="1" t="s">
        <v>257</v>
      </c>
      <c r="M3159" s="1"/>
      <c r="N3159" s="1">
        <f t="shared" si="156"/>
        <v>8</v>
      </c>
      <c r="O3159" s="87"/>
    </row>
    <row r="3160" spans="1:15" ht="15.75" hidden="1" x14ac:dyDescent="0.25">
      <c r="A3160" s="1" t="str">
        <f t="shared" si="155"/>
        <v>451584515821.64CURRENTTRANSPORTUBER</v>
      </c>
      <c r="B3160" s="154">
        <v>45158</v>
      </c>
      <c r="C3160" s="154">
        <v>45158</v>
      </c>
      <c r="D3160" s="3" t="s">
        <v>3763</v>
      </c>
      <c r="E3160" s="3">
        <v>-21.64</v>
      </c>
      <c r="F3160" s="3">
        <v>1</v>
      </c>
      <c r="G3160" s="3">
        <f t="shared" si="157"/>
        <v>21.64</v>
      </c>
      <c r="H3160" s="3" t="s">
        <v>293</v>
      </c>
      <c r="I3160" s="1" t="s">
        <v>296</v>
      </c>
      <c r="J3160" s="1" t="s">
        <v>299</v>
      </c>
      <c r="K3160" s="1" t="s">
        <v>298</v>
      </c>
      <c r="L3160" s="1" t="s">
        <v>257</v>
      </c>
      <c r="M3160" s="1"/>
      <c r="N3160" s="1">
        <f t="shared" si="156"/>
        <v>8</v>
      </c>
      <c r="O3160" s="87"/>
    </row>
    <row r="3161" spans="1:15" ht="15.75" hidden="1" x14ac:dyDescent="0.25">
      <c r="A3161" s="1" t="str">
        <f t="shared" si="155"/>
        <v>451584515820.98CURRENTTRANSPORTUBER</v>
      </c>
      <c r="B3161" s="154">
        <v>45158</v>
      </c>
      <c r="C3161" s="154">
        <v>45158</v>
      </c>
      <c r="D3161" s="3" t="s">
        <v>3764</v>
      </c>
      <c r="E3161" s="3">
        <v>-20.98</v>
      </c>
      <c r="F3161" s="3">
        <v>1</v>
      </c>
      <c r="G3161" s="3">
        <f t="shared" si="157"/>
        <v>20.98</v>
      </c>
      <c r="H3161" s="3" t="s">
        <v>293</v>
      </c>
      <c r="I3161" s="1" t="s">
        <v>296</v>
      </c>
      <c r="J3161" s="1" t="s">
        <v>299</v>
      </c>
      <c r="K3161" s="1" t="s">
        <v>298</v>
      </c>
      <c r="L3161" s="1" t="s">
        <v>257</v>
      </c>
      <c r="M3161" s="1"/>
      <c r="N3161" s="1">
        <f t="shared" si="156"/>
        <v>8</v>
      </c>
      <c r="O3161" s="87"/>
    </row>
    <row r="3162" spans="1:15" ht="15.75" hidden="1" x14ac:dyDescent="0.25">
      <c r="A3162" s="1" t="str">
        <f t="shared" si="155"/>
        <v>451584515821.89CURRENTTRANSPORTUBER</v>
      </c>
      <c r="B3162" s="154">
        <v>45158</v>
      </c>
      <c r="C3162" s="154">
        <v>45158</v>
      </c>
      <c r="D3162" s="3" t="s">
        <v>3765</v>
      </c>
      <c r="E3162" s="3">
        <v>-21.89</v>
      </c>
      <c r="F3162" s="3">
        <v>1</v>
      </c>
      <c r="G3162" s="3">
        <f t="shared" si="157"/>
        <v>21.89</v>
      </c>
      <c r="H3162" s="3" t="s">
        <v>293</v>
      </c>
      <c r="I3162" s="1" t="s">
        <v>296</v>
      </c>
      <c r="J3162" s="1" t="s">
        <v>299</v>
      </c>
      <c r="K3162" s="1" t="s">
        <v>298</v>
      </c>
      <c r="L3162" s="1" t="s">
        <v>257</v>
      </c>
      <c r="M3162" s="1"/>
      <c r="N3162" s="1">
        <f t="shared" si="156"/>
        <v>8</v>
      </c>
      <c r="O3162" s="87"/>
    </row>
    <row r="3163" spans="1:15" ht="15.75" hidden="1" x14ac:dyDescent="0.25">
      <c r="A3163" s="1" t="str">
        <f t="shared" si="155"/>
        <v>451584515821.79CURRENTTRANSPORTUBER</v>
      </c>
      <c r="B3163" s="154">
        <v>45158</v>
      </c>
      <c r="C3163" s="154">
        <v>45158</v>
      </c>
      <c r="D3163" s="3" t="s">
        <v>3766</v>
      </c>
      <c r="E3163" s="3">
        <v>-21.79</v>
      </c>
      <c r="F3163" s="3">
        <v>1</v>
      </c>
      <c r="G3163" s="3">
        <f t="shared" si="157"/>
        <v>21.79</v>
      </c>
      <c r="H3163" s="3" t="s">
        <v>293</v>
      </c>
      <c r="I3163" s="1" t="s">
        <v>296</v>
      </c>
      <c r="J3163" s="1" t="s">
        <v>299</v>
      </c>
      <c r="K3163" s="1" t="s">
        <v>298</v>
      </c>
      <c r="L3163" s="1" t="s">
        <v>257</v>
      </c>
      <c r="M3163" s="1"/>
      <c r="N3163" s="1">
        <f t="shared" si="156"/>
        <v>8</v>
      </c>
      <c r="O3163" s="87"/>
    </row>
    <row r="3164" spans="1:15" ht="15.75" hidden="1" x14ac:dyDescent="0.25">
      <c r="A3164" s="1" t="str">
        <f t="shared" si="155"/>
        <v>451584515816CURRENTTRANSPORTPARKING</v>
      </c>
      <c r="B3164" s="154">
        <v>45158</v>
      </c>
      <c r="C3164" s="154">
        <v>45158</v>
      </c>
      <c r="D3164" s="3" t="s">
        <v>3767</v>
      </c>
      <c r="E3164" s="3">
        <v>-16</v>
      </c>
      <c r="F3164" s="3">
        <v>1</v>
      </c>
      <c r="G3164" s="3">
        <f t="shared" si="157"/>
        <v>16</v>
      </c>
      <c r="H3164" s="3" t="s">
        <v>293</v>
      </c>
      <c r="I3164" s="1" t="s">
        <v>296</v>
      </c>
      <c r="J3164" s="1" t="s">
        <v>4102</v>
      </c>
      <c r="K3164" s="1" t="s">
        <v>298</v>
      </c>
      <c r="L3164" s="1" t="s">
        <v>257</v>
      </c>
      <c r="M3164" s="1"/>
      <c r="N3164" s="1">
        <f t="shared" si="156"/>
        <v>8</v>
      </c>
      <c r="O3164" s="87"/>
    </row>
    <row r="3165" spans="1:15" ht="15.75" hidden="1" x14ac:dyDescent="0.25">
      <c r="A3165" s="1" t="str">
        <f t="shared" si="155"/>
        <v>451584516010MASTER CCFOODCAFÉ/REST.</v>
      </c>
      <c r="B3165" s="154">
        <v>45158</v>
      </c>
      <c r="C3165" s="154">
        <v>45160</v>
      </c>
      <c r="D3165" s="3" t="s">
        <v>4039</v>
      </c>
      <c r="E3165" s="3">
        <v>-10</v>
      </c>
      <c r="F3165" s="3">
        <v>1</v>
      </c>
      <c r="G3165" s="3">
        <f t="shared" si="157"/>
        <v>10</v>
      </c>
      <c r="H3165" s="3" t="s">
        <v>291</v>
      </c>
      <c r="I3165" s="1" t="s">
        <v>10</v>
      </c>
      <c r="J3165" s="1" t="s">
        <v>11</v>
      </c>
      <c r="K3165" s="1" t="s">
        <v>298</v>
      </c>
      <c r="L3165" s="1" t="s">
        <v>267</v>
      </c>
      <c r="M3165" s="1"/>
      <c r="N3165" s="1">
        <f t="shared" si="156"/>
        <v>8</v>
      </c>
      <c r="O3165" s="87"/>
    </row>
    <row r="3166" spans="1:15" ht="15.75" hidden="1" x14ac:dyDescent="0.25">
      <c r="A3166" s="1" t="str">
        <f t="shared" si="155"/>
        <v>451584515925.85MASTER CCGROCERYLULU</v>
      </c>
      <c r="B3166" s="154">
        <v>45158</v>
      </c>
      <c r="C3166" s="154">
        <v>45159</v>
      </c>
      <c r="D3166" s="3" t="s">
        <v>4040</v>
      </c>
      <c r="E3166" s="3">
        <v>-25.85</v>
      </c>
      <c r="F3166" s="3">
        <v>1</v>
      </c>
      <c r="G3166" s="3">
        <f t="shared" si="157"/>
        <v>25.85</v>
      </c>
      <c r="H3166" s="3" t="s">
        <v>291</v>
      </c>
      <c r="I3166" s="1" t="s">
        <v>43</v>
      </c>
      <c r="J3166" s="1" t="s">
        <v>44</v>
      </c>
      <c r="K3166" s="1" t="s">
        <v>298</v>
      </c>
      <c r="L3166" s="1" t="s">
        <v>267</v>
      </c>
      <c r="M3166" s="1"/>
      <c r="N3166" s="1">
        <f t="shared" si="156"/>
        <v>8</v>
      </c>
      <c r="O3166" s="87"/>
    </row>
    <row r="3167" spans="1:15" ht="15.75" hidden="1" x14ac:dyDescent="0.25">
      <c r="A3167" s="1" t="str">
        <f t="shared" si="155"/>
        <v>45159451617MASTER CCFOODCAFÉ/REST.</v>
      </c>
      <c r="B3167" s="154">
        <v>45159</v>
      </c>
      <c r="C3167" s="154">
        <v>45161</v>
      </c>
      <c r="D3167" s="3" t="s">
        <v>4038</v>
      </c>
      <c r="E3167" s="3">
        <v>-7</v>
      </c>
      <c r="F3167" s="3">
        <v>1</v>
      </c>
      <c r="G3167" s="3">
        <f t="shared" si="157"/>
        <v>7</v>
      </c>
      <c r="H3167" s="3" t="s">
        <v>291</v>
      </c>
      <c r="I3167" s="1" t="s">
        <v>10</v>
      </c>
      <c r="J3167" s="1" t="s">
        <v>11</v>
      </c>
      <c r="K3167" s="1" t="s">
        <v>298</v>
      </c>
      <c r="L3167" s="1" t="s">
        <v>267</v>
      </c>
      <c r="M3167" s="1"/>
      <c r="N3167" s="1">
        <f t="shared" si="156"/>
        <v>8</v>
      </c>
      <c r="O3167" s="87"/>
    </row>
    <row r="3168" spans="1:15" ht="15.75" hidden="1" x14ac:dyDescent="0.25">
      <c r="A3168" s="1" t="str">
        <f t="shared" si="155"/>
        <v>451604516226MASTER CCFOODWISHBOX</v>
      </c>
      <c r="B3168" s="154">
        <v>45160</v>
      </c>
      <c r="C3168" s="154">
        <v>45162</v>
      </c>
      <c r="D3168" s="3" t="s">
        <v>4037</v>
      </c>
      <c r="E3168" s="3">
        <v>-26</v>
      </c>
      <c r="F3168" s="3">
        <v>1</v>
      </c>
      <c r="G3168" s="3">
        <f t="shared" si="157"/>
        <v>26</v>
      </c>
      <c r="H3168" s="3" t="s">
        <v>291</v>
      </c>
      <c r="I3168" s="1" t="s">
        <v>10</v>
      </c>
      <c r="J3168" s="1" t="s">
        <v>1199</v>
      </c>
      <c r="K3168" s="1" t="s">
        <v>298</v>
      </c>
      <c r="L3168" s="1" t="s">
        <v>267</v>
      </c>
      <c r="M3168" s="1"/>
      <c r="N3168" s="1">
        <f t="shared" si="156"/>
        <v>8</v>
      </c>
      <c r="O3168" s="87"/>
    </row>
    <row r="3169" spans="1:15" ht="15.75" hidden="1" x14ac:dyDescent="0.25">
      <c r="A3169" s="1" t="str">
        <f t="shared" si="155"/>
        <v>451624516577.45MASTER CCGROCERYINDIAN SUPER</v>
      </c>
      <c r="B3169" s="154">
        <v>45162</v>
      </c>
      <c r="C3169" s="154">
        <v>45165</v>
      </c>
      <c r="D3169" s="3" t="s">
        <v>4035</v>
      </c>
      <c r="E3169" s="3">
        <v>-77.45</v>
      </c>
      <c r="F3169" s="3">
        <v>1</v>
      </c>
      <c r="G3169" s="3">
        <f t="shared" si="157"/>
        <v>77.45</v>
      </c>
      <c r="H3169" s="3" t="s">
        <v>291</v>
      </c>
      <c r="I3169" s="1" t="s">
        <v>43</v>
      </c>
      <c r="J3169" s="1" t="s">
        <v>2273</v>
      </c>
      <c r="K3169" s="1" t="s">
        <v>298</v>
      </c>
      <c r="L3169" s="1" t="s">
        <v>267</v>
      </c>
      <c r="M3169" s="1"/>
      <c r="N3169" s="1">
        <f t="shared" si="156"/>
        <v>8</v>
      </c>
      <c r="O3169" s="87"/>
    </row>
    <row r="3170" spans="1:15" ht="15.75" hidden="1" x14ac:dyDescent="0.25">
      <c r="A3170" s="1" t="str">
        <f t="shared" si="155"/>
        <v>451624516560MASTER CCFOODTALABAT</v>
      </c>
      <c r="B3170" s="154">
        <v>45162</v>
      </c>
      <c r="C3170" s="154">
        <v>45165</v>
      </c>
      <c r="D3170" s="3" t="s">
        <v>4036</v>
      </c>
      <c r="E3170" s="3">
        <v>-60</v>
      </c>
      <c r="F3170" s="3">
        <v>1</v>
      </c>
      <c r="G3170" s="3">
        <f t="shared" si="157"/>
        <v>60</v>
      </c>
      <c r="H3170" s="3" t="s">
        <v>291</v>
      </c>
      <c r="I3170" s="1" t="s">
        <v>10</v>
      </c>
      <c r="J3170" s="1" t="s">
        <v>865</v>
      </c>
      <c r="K3170" s="1" t="s">
        <v>298</v>
      </c>
      <c r="L3170" s="1" t="s">
        <v>267</v>
      </c>
      <c r="M3170" s="1"/>
      <c r="N3170" s="1">
        <f t="shared" si="156"/>
        <v>8</v>
      </c>
      <c r="O3170" s="87"/>
    </row>
    <row r="3171" spans="1:15" ht="15.75" hidden="1" x14ac:dyDescent="0.25">
      <c r="A3171" s="1" t="str">
        <f t="shared" si="155"/>
        <v>451634516635MASTER CCFOODPAPA JOHN'S</v>
      </c>
      <c r="B3171" s="154">
        <v>45163</v>
      </c>
      <c r="C3171" s="154">
        <v>45166</v>
      </c>
      <c r="D3171" s="3" t="s">
        <v>4034</v>
      </c>
      <c r="E3171" s="3">
        <v>-35</v>
      </c>
      <c r="F3171" s="3">
        <v>1</v>
      </c>
      <c r="G3171" s="3">
        <f t="shared" si="157"/>
        <v>35</v>
      </c>
      <c r="H3171" s="3" t="s">
        <v>291</v>
      </c>
      <c r="I3171" s="1" t="s">
        <v>10</v>
      </c>
      <c r="J3171" s="1" t="s">
        <v>1657</v>
      </c>
      <c r="K3171" s="1" t="s">
        <v>298</v>
      </c>
      <c r="L3171" s="1" t="s">
        <v>267</v>
      </c>
      <c r="M3171" s="1"/>
      <c r="N3171" s="1">
        <f t="shared" si="156"/>
        <v>8</v>
      </c>
      <c r="O3171" s="87"/>
    </row>
    <row r="3172" spans="1:15" ht="15.75" hidden="1" x14ac:dyDescent="0.25">
      <c r="A3172" s="1" t="str">
        <f t="shared" si="155"/>
        <v>4516445167104MASTER CCTRANSPORTWOQOD</v>
      </c>
      <c r="B3172" s="154">
        <v>45164</v>
      </c>
      <c r="C3172" s="154">
        <v>45167</v>
      </c>
      <c r="D3172" s="3" t="s">
        <v>4033</v>
      </c>
      <c r="E3172" s="3">
        <v>-104</v>
      </c>
      <c r="F3172" s="3">
        <v>1</v>
      </c>
      <c r="G3172" s="3">
        <f t="shared" si="157"/>
        <v>104</v>
      </c>
      <c r="H3172" s="3" t="s">
        <v>291</v>
      </c>
      <c r="I3172" s="1" t="s">
        <v>296</v>
      </c>
      <c r="J3172" s="1" t="s">
        <v>1942</v>
      </c>
      <c r="K3172" s="1" t="s">
        <v>298</v>
      </c>
      <c r="L3172" s="1" t="s">
        <v>267</v>
      </c>
      <c r="M3172" s="1"/>
      <c r="N3172" s="1">
        <f t="shared" si="156"/>
        <v>8</v>
      </c>
      <c r="O3172" s="87"/>
    </row>
    <row r="3173" spans="1:15" ht="15.75" hidden="1" x14ac:dyDescent="0.25">
      <c r="A3173" s="1" t="str">
        <f t="shared" si="155"/>
        <v>451654516837MASTER CCFOODWISHBOX</v>
      </c>
      <c r="B3173" s="154">
        <v>45165</v>
      </c>
      <c r="C3173" s="154">
        <v>45168</v>
      </c>
      <c r="D3173" s="3" t="s">
        <v>4030</v>
      </c>
      <c r="E3173" s="3">
        <v>-37</v>
      </c>
      <c r="F3173" s="3">
        <v>1</v>
      </c>
      <c r="G3173" s="3">
        <f t="shared" si="157"/>
        <v>37</v>
      </c>
      <c r="H3173" s="3" t="s">
        <v>291</v>
      </c>
      <c r="I3173" s="1" t="s">
        <v>10</v>
      </c>
      <c r="J3173" s="1" t="s">
        <v>1199</v>
      </c>
      <c r="K3173" s="1" t="s">
        <v>298</v>
      </c>
      <c r="L3173" s="1" t="s">
        <v>267</v>
      </c>
      <c r="M3173" s="1"/>
      <c r="N3173" s="1">
        <f t="shared" si="156"/>
        <v>8</v>
      </c>
      <c r="O3173" s="87"/>
    </row>
    <row r="3174" spans="1:15" ht="15.75" hidden="1" x14ac:dyDescent="0.25">
      <c r="A3174" s="1" t="str">
        <f t="shared" si="155"/>
        <v>451654516710.5MASTER CCLAUNDRYAL RAYES</v>
      </c>
      <c r="B3174" s="154">
        <v>45165</v>
      </c>
      <c r="C3174" s="154">
        <v>45167</v>
      </c>
      <c r="D3174" s="3" t="s">
        <v>4031</v>
      </c>
      <c r="E3174" s="3">
        <v>-10.5</v>
      </c>
      <c r="F3174" s="3">
        <v>1</v>
      </c>
      <c r="G3174" s="3">
        <f t="shared" si="157"/>
        <v>10.5</v>
      </c>
      <c r="H3174" s="3" t="s">
        <v>291</v>
      </c>
      <c r="I3174" s="1" t="s">
        <v>3164</v>
      </c>
      <c r="J3174" s="1" t="s">
        <v>3165</v>
      </c>
      <c r="K3174" s="1" t="s">
        <v>298</v>
      </c>
      <c r="L3174" s="1" t="s">
        <v>267</v>
      </c>
      <c r="M3174" s="1"/>
      <c r="N3174" s="1">
        <f t="shared" si="156"/>
        <v>8</v>
      </c>
      <c r="O3174" s="87"/>
    </row>
    <row r="3175" spans="1:15" ht="15.75" hidden="1" x14ac:dyDescent="0.25">
      <c r="A3175" s="1" t="str">
        <f t="shared" si="155"/>
        <v>451654516750MASTER CCMEDICALHAMAD</v>
      </c>
      <c r="B3175" s="154">
        <v>45165</v>
      </c>
      <c r="C3175" s="154">
        <v>45167</v>
      </c>
      <c r="D3175" s="3" t="s">
        <v>4032</v>
      </c>
      <c r="E3175" s="3">
        <v>-50</v>
      </c>
      <c r="F3175" s="3">
        <v>1</v>
      </c>
      <c r="G3175" s="3">
        <f t="shared" si="157"/>
        <v>50</v>
      </c>
      <c r="H3175" s="3" t="s">
        <v>291</v>
      </c>
      <c r="I3175" s="1" t="s">
        <v>301</v>
      </c>
      <c r="J3175" s="1" t="s">
        <v>4083</v>
      </c>
      <c r="K3175" s="1" t="s">
        <v>298</v>
      </c>
      <c r="L3175" s="1" t="s">
        <v>267</v>
      </c>
      <c r="M3175" s="1"/>
      <c r="N3175" s="1">
        <f t="shared" si="156"/>
        <v>8</v>
      </c>
      <c r="O3175" s="87"/>
    </row>
    <row r="3176" spans="1:15" ht="15.75" hidden="1" x14ac:dyDescent="0.25">
      <c r="A3176" s="1" t="str">
        <f t="shared" si="155"/>
        <v>451674516737295CURRENTSALARYQATAR AIR</v>
      </c>
      <c r="B3176" s="154">
        <v>45167</v>
      </c>
      <c r="C3176" s="154">
        <v>45167</v>
      </c>
      <c r="D3176" s="3" t="s">
        <v>3761</v>
      </c>
      <c r="E3176" s="3">
        <v>37295</v>
      </c>
      <c r="F3176" s="3">
        <v>1</v>
      </c>
      <c r="G3176" s="3">
        <f t="shared" si="157"/>
        <v>37295</v>
      </c>
      <c r="H3176" s="3" t="s">
        <v>293</v>
      </c>
      <c r="I3176" s="1" t="s">
        <v>18</v>
      </c>
      <c r="J3176" s="1" t="s">
        <v>19</v>
      </c>
      <c r="K3176" s="1" t="s">
        <v>300</v>
      </c>
      <c r="L3176" s="1" t="s">
        <v>257</v>
      </c>
      <c r="M3176" s="1"/>
      <c r="N3176" s="1">
        <f t="shared" si="156"/>
        <v>8</v>
      </c>
      <c r="O3176" s="87"/>
    </row>
    <row r="3177" spans="1:15" ht="15.75" hidden="1" x14ac:dyDescent="0.25">
      <c r="A3177" s="1" t="str">
        <f t="shared" si="155"/>
        <v>4516745168675.25MASTER CCVISAUSA</v>
      </c>
      <c r="B3177" s="154">
        <v>45167</v>
      </c>
      <c r="C3177" s="154">
        <v>45168</v>
      </c>
      <c r="D3177" s="3" t="s">
        <v>4029</v>
      </c>
      <c r="E3177" s="3">
        <v>-675.25</v>
      </c>
      <c r="F3177" s="3">
        <v>1</v>
      </c>
      <c r="G3177" s="3">
        <f t="shared" si="157"/>
        <v>675.25</v>
      </c>
      <c r="H3177" s="3" t="s">
        <v>291</v>
      </c>
      <c r="I3177" s="1" t="s">
        <v>29</v>
      </c>
      <c r="J3177" s="1" t="s">
        <v>4111</v>
      </c>
      <c r="K3177" s="1" t="s">
        <v>298</v>
      </c>
      <c r="L3177" s="1" t="s">
        <v>267</v>
      </c>
      <c r="M3177" s="1"/>
      <c r="N3177" s="1">
        <f t="shared" si="156"/>
        <v>8</v>
      </c>
      <c r="O3177" s="87"/>
    </row>
    <row r="3178" spans="1:15" ht="15.75" hidden="1" x14ac:dyDescent="0.25">
      <c r="A3178" s="1" t="str">
        <f t="shared" si="155"/>
        <v>451674516844.01DINERSGROCERYINDIAN SUPER</v>
      </c>
      <c r="B3178" s="154">
        <v>45167</v>
      </c>
      <c r="C3178" s="154">
        <v>45168</v>
      </c>
      <c r="D3178" s="3" t="s">
        <v>4076</v>
      </c>
      <c r="E3178" s="3">
        <v>-44.01</v>
      </c>
      <c r="F3178" s="3">
        <v>1</v>
      </c>
      <c r="G3178" s="3">
        <f t="shared" si="157"/>
        <v>44.01</v>
      </c>
      <c r="H3178" s="3" t="s">
        <v>266</v>
      </c>
      <c r="I3178" s="1" t="s">
        <v>43</v>
      </c>
      <c r="J3178" s="1" t="s">
        <v>2273</v>
      </c>
      <c r="K3178" s="1" t="s">
        <v>298</v>
      </c>
      <c r="L3178" s="1" t="s">
        <v>267</v>
      </c>
      <c r="M3178" s="1"/>
      <c r="N3178" s="1">
        <f t="shared" si="156"/>
        <v>8</v>
      </c>
      <c r="O3178" s="87"/>
    </row>
    <row r="3179" spans="1:15" ht="15.75" hidden="1" x14ac:dyDescent="0.25">
      <c r="A3179" s="1" t="str">
        <f t="shared" si="155"/>
        <v>45168451682518CURRENTTRANSFERINDIA</v>
      </c>
      <c r="B3179" s="154">
        <v>45168</v>
      </c>
      <c r="C3179" s="154">
        <v>45168</v>
      </c>
      <c r="D3179" s="3" t="s">
        <v>3760</v>
      </c>
      <c r="E3179" s="3">
        <v>-2518</v>
      </c>
      <c r="F3179" s="3">
        <v>1</v>
      </c>
      <c r="G3179" s="3">
        <f t="shared" si="157"/>
        <v>2518</v>
      </c>
      <c r="H3179" s="3" t="s">
        <v>293</v>
      </c>
      <c r="I3179" s="1" t="s">
        <v>22</v>
      </c>
      <c r="J3179" s="1" t="s">
        <v>23</v>
      </c>
      <c r="K3179" s="1" t="s">
        <v>298</v>
      </c>
      <c r="L3179" s="1" t="s">
        <v>257</v>
      </c>
      <c r="M3179" s="1"/>
      <c r="N3179" s="1">
        <f t="shared" si="156"/>
        <v>8</v>
      </c>
      <c r="O3179" s="87"/>
    </row>
    <row r="3180" spans="1:15" ht="15.75" hidden="1" x14ac:dyDescent="0.25">
      <c r="A3180" s="1" t="str">
        <f t="shared" si="155"/>
        <v>451684517120MASTER CCFOODWISHBOX</v>
      </c>
      <c r="B3180" s="154">
        <v>45168</v>
      </c>
      <c r="C3180" s="154">
        <v>45171</v>
      </c>
      <c r="D3180" s="3" t="s">
        <v>4028</v>
      </c>
      <c r="E3180" s="3">
        <v>-20</v>
      </c>
      <c r="F3180" s="3">
        <v>1</v>
      </c>
      <c r="G3180" s="3">
        <f t="shared" si="157"/>
        <v>20</v>
      </c>
      <c r="H3180" s="3" t="s">
        <v>291</v>
      </c>
      <c r="I3180" s="1" t="s">
        <v>10</v>
      </c>
      <c r="J3180" s="1" t="s">
        <v>1199</v>
      </c>
      <c r="K3180" s="1" t="s">
        <v>298</v>
      </c>
      <c r="L3180" s="1" t="s">
        <v>267</v>
      </c>
      <c r="M3180" s="1"/>
      <c r="N3180" s="1">
        <f t="shared" si="156"/>
        <v>9</v>
      </c>
      <c r="O3180" s="87"/>
    </row>
    <row r="3181" spans="1:15" ht="15.75" hidden="1" x14ac:dyDescent="0.25">
      <c r="A3181" s="1" t="str">
        <f t="shared" si="155"/>
        <v>451694516917.55DINERSSERVICEBANK</v>
      </c>
      <c r="B3181" s="154">
        <v>45169</v>
      </c>
      <c r="C3181" s="154">
        <v>45169</v>
      </c>
      <c r="D3181" s="3" t="s">
        <v>1102</v>
      </c>
      <c r="E3181" s="3">
        <v>-17.55</v>
      </c>
      <c r="F3181" s="3">
        <v>1</v>
      </c>
      <c r="G3181" s="3">
        <f t="shared" si="157"/>
        <v>17.55</v>
      </c>
      <c r="H3181" s="3" t="s">
        <v>266</v>
      </c>
      <c r="I3181" s="1" t="s">
        <v>7</v>
      </c>
      <c r="J3181" s="1" t="s">
        <v>8</v>
      </c>
      <c r="K3181" s="1" t="s">
        <v>298</v>
      </c>
      <c r="L3181" s="1" t="s">
        <v>267</v>
      </c>
      <c r="M3181" s="1"/>
      <c r="N3181" s="1">
        <f t="shared" si="156"/>
        <v>8</v>
      </c>
      <c r="O3181" s="87"/>
    </row>
    <row r="3182" spans="1:15" ht="15.75" hidden="1" x14ac:dyDescent="0.25">
      <c r="A3182" s="1" t="str">
        <f t="shared" si="155"/>
        <v>451714517457.63MASTER CCHOTELKTM</v>
      </c>
      <c r="B3182" s="154">
        <v>45171</v>
      </c>
      <c r="C3182" s="154">
        <v>45174</v>
      </c>
      <c r="D3182" s="3" t="s">
        <v>4026</v>
      </c>
      <c r="E3182" s="3">
        <v>-57.63</v>
      </c>
      <c r="F3182" s="3">
        <v>1</v>
      </c>
      <c r="G3182" s="3">
        <f t="shared" si="157"/>
        <v>57.63</v>
      </c>
      <c r="H3182" s="3" t="s">
        <v>291</v>
      </c>
      <c r="I3182" s="1" t="s">
        <v>1128</v>
      </c>
      <c r="J3182" s="1" t="s">
        <v>4110</v>
      </c>
      <c r="K3182" s="1" t="s">
        <v>298</v>
      </c>
      <c r="L3182" s="1" t="s">
        <v>267</v>
      </c>
      <c r="M3182" s="1"/>
      <c r="N3182" s="1">
        <f t="shared" si="156"/>
        <v>9</v>
      </c>
      <c r="O3182" s="87"/>
    </row>
    <row r="3183" spans="1:15" ht="15.75" hidden="1" x14ac:dyDescent="0.25">
      <c r="A3183" s="1" t="str">
        <f t="shared" si="155"/>
        <v>451714517325MASTER CCFOODWISHBOX</v>
      </c>
      <c r="B3183" s="154">
        <v>45171</v>
      </c>
      <c r="C3183" s="154">
        <v>45173</v>
      </c>
      <c r="D3183" s="3" t="s">
        <v>4027</v>
      </c>
      <c r="E3183" s="3">
        <v>-25</v>
      </c>
      <c r="F3183" s="3">
        <v>1</v>
      </c>
      <c r="G3183" s="3">
        <f t="shared" si="157"/>
        <v>25</v>
      </c>
      <c r="H3183" s="3" t="s">
        <v>291</v>
      </c>
      <c r="I3183" s="1" t="s">
        <v>10</v>
      </c>
      <c r="J3183" s="1" t="s">
        <v>1199</v>
      </c>
      <c r="K3183" s="1" t="s">
        <v>298</v>
      </c>
      <c r="L3183" s="1" t="s">
        <v>267</v>
      </c>
      <c r="M3183" s="1"/>
      <c r="N3183" s="1">
        <f t="shared" si="156"/>
        <v>9</v>
      </c>
      <c r="O3183" s="87"/>
    </row>
    <row r="3184" spans="1:15" ht="15.75" hidden="1" x14ac:dyDescent="0.25">
      <c r="A3184" s="1" t="str">
        <f t="shared" si="155"/>
        <v>45171451712793.59DINERSCC BILL PAYMENTBANK</v>
      </c>
      <c r="B3184" s="154">
        <v>45171</v>
      </c>
      <c r="C3184" s="154">
        <v>45171</v>
      </c>
      <c r="D3184" s="3" t="s">
        <v>80</v>
      </c>
      <c r="E3184" s="3">
        <v>2793.59</v>
      </c>
      <c r="F3184" s="3">
        <v>1</v>
      </c>
      <c r="G3184" s="3">
        <f t="shared" si="157"/>
        <v>2793.59</v>
      </c>
      <c r="H3184" s="3" t="s">
        <v>266</v>
      </c>
      <c r="I3184" s="1" t="s">
        <v>81</v>
      </c>
      <c r="J3184" s="1" t="s">
        <v>8</v>
      </c>
      <c r="K3184" s="1" t="s">
        <v>300</v>
      </c>
      <c r="L3184" s="1" t="s">
        <v>267</v>
      </c>
      <c r="M3184" s="1"/>
      <c r="N3184" s="1">
        <f t="shared" si="156"/>
        <v>9</v>
      </c>
      <c r="O3184" s="87"/>
    </row>
    <row r="3185" spans="1:15" ht="15.75" hidden="1" x14ac:dyDescent="0.25">
      <c r="A3185" s="1" t="str">
        <f t="shared" si="155"/>
        <v>451724517219.88CURRENTTRANSPORTUBER</v>
      </c>
      <c r="B3185" s="154">
        <v>45172</v>
      </c>
      <c r="C3185" s="154">
        <v>45172</v>
      </c>
      <c r="D3185" s="3" t="s">
        <v>3758</v>
      </c>
      <c r="E3185" s="3">
        <v>-19.88</v>
      </c>
      <c r="F3185" s="3">
        <v>1</v>
      </c>
      <c r="G3185" s="3">
        <f t="shared" si="157"/>
        <v>19.88</v>
      </c>
      <c r="H3185" s="3" t="s">
        <v>293</v>
      </c>
      <c r="I3185" s="1" t="s">
        <v>296</v>
      </c>
      <c r="J3185" s="1" t="s">
        <v>299</v>
      </c>
      <c r="K3185" s="1" t="s">
        <v>298</v>
      </c>
      <c r="L3185" s="1" t="s">
        <v>257</v>
      </c>
      <c r="M3185" s="1"/>
      <c r="N3185" s="1">
        <f t="shared" si="156"/>
        <v>9</v>
      </c>
      <c r="O3185" s="87"/>
    </row>
    <row r="3186" spans="1:15" ht="15.75" hidden="1" x14ac:dyDescent="0.25">
      <c r="A3186" s="1" t="str">
        <f t="shared" si="155"/>
        <v>45172451722793.59CURRENTCC BILL PAYMENTBANK</v>
      </c>
      <c r="B3186" s="154">
        <v>45172</v>
      </c>
      <c r="C3186" s="154">
        <v>45172</v>
      </c>
      <c r="D3186" s="3" t="s">
        <v>3759</v>
      </c>
      <c r="E3186" s="3">
        <v>-2793.59</v>
      </c>
      <c r="F3186" s="3">
        <v>1</v>
      </c>
      <c r="G3186" s="3">
        <f t="shared" si="157"/>
        <v>2793.59</v>
      </c>
      <c r="H3186" s="3" t="s">
        <v>293</v>
      </c>
      <c r="I3186" s="1" t="s">
        <v>81</v>
      </c>
      <c r="J3186" s="1" t="s">
        <v>8</v>
      </c>
      <c r="K3186" s="1" t="s">
        <v>298</v>
      </c>
      <c r="L3186" s="1" t="s">
        <v>257</v>
      </c>
      <c r="M3186" s="1"/>
      <c r="N3186" s="1">
        <f t="shared" si="156"/>
        <v>9</v>
      </c>
      <c r="O3186" s="87"/>
    </row>
    <row r="3187" spans="1:15" ht="15.75" hidden="1" x14ac:dyDescent="0.25">
      <c r="A3187" s="1" t="str">
        <f t="shared" si="155"/>
        <v>4517245172500CURRENTSAVINGARTI</v>
      </c>
      <c r="B3187" s="154">
        <v>45172</v>
      </c>
      <c r="C3187" s="154">
        <v>45172</v>
      </c>
      <c r="D3187" s="3" t="s">
        <v>2909</v>
      </c>
      <c r="E3187" s="3">
        <v>-500</v>
      </c>
      <c r="F3187" s="3">
        <v>1</v>
      </c>
      <c r="G3187" s="3">
        <f t="shared" si="157"/>
        <v>500</v>
      </c>
      <c r="H3187" s="3" t="s">
        <v>293</v>
      </c>
      <c r="I3187" s="1" t="s">
        <v>302</v>
      </c>
      <c r="J3187" s="1" t="s">
        <v>453</v>
      </c>
      <c r="K3187" s="1" t="s">
        <v>298</v>
      </c>
      <c r="L3187" s="1" t="s">
        <v>257</v>
      </c>
      <c r="M3187" s="1"/>
      <c r="N3187" s="1">
        <f t="shared" si="156"/>
        <v>9</v>
      </c>
      <c r="O3187" s="87"/>
    </row>
    <row r="3188" spans="1:15" ht="15.75" hidden="1" x14ac:dyDescent="0.25">
      <c r="A3188" s="1" t="str">
        <f t="shared" si="155"/>
        <v>451724517585.48MASTER CCGROCERYINDIAN SUPER</v>
      </c>
      <c r="B3188" s="154">
        <v>45172</v>
      </c>
      <c r="C3188" s="154">
        <v>45175</v>
      </c>
      <c r="D3188" s="3" t="s">
        <v>4024</v>
      </c>
      <c r="E3188" s="3">
        <v>-85.48</v>
      </c>
      <c r="F3188" s="3">
        <v>1</v>
      </c>
      <c r="G3188" s="3">
        <f t="shared" si="157"/>
        <v>85.48</v>
      </c>
      <c r="H3188" s="3" t="s">
        <v>291</v>
      </c>
      <c r="I3188" s="1" t="s">
        <v>43</v>
      </c>
      <c r="J3188" s="1" t="s">
        <v>2273</v>
      </c>
      <c r="K3188" s="1" t="s">
        <v>298</v>
      </c>
      <c r="L3188" s="1" t="s">
        <v>267</v>
      </c>
      <c r="M3188" s="1"/>
      <c r="N3188" s="1">
        <f t="shared" si="156"/>
        <v>9</v>
      </c>
      <c r="O3188" s="87"/>
    </row>
    <row r="3189" spans="1:15" ht="15.75" hidden="1" x14ac:dyDescent="0.25">
      <c r="A3189" s="1" t="str">
        <f t="shared" si="155"/>
        <v>451724517560MASTER CCFOODTALABAT</v>
      </c>
      <c r="B3189" s="154">
        <v>45172</v>
      </c>
      <c r="C3189" s="154">
        <v>45175</v>
      </c>
      <c r="D3189" s="3" t="s">
        <v>4025</v>
      </c>
      <c r="E3189" s="3">
        <v>-60</v>
      </c>
      <c r="F3189" s="3">
        <v>1</v>
      </c>
      <c r="G3189" s="3">
        <f t="shared" si="157"/>
        <v>60</v>
      </c>
      <c r="H3189" s="3" t="s">
        <v>291</v>
      </c>
      <c r="I3189" s="1" t="s">
        <v>10</v>
      </c>
      <c r="J3189" s="1" t="s">
        <v>865</v>
      </c>
      <c r="K3189" s="1" t="s">
        <v>298</v>
      </c>
      <c r="L3189" s="1" t="s">
        <v>267</v>
      </c>
      <c r="M3189" s="1"/>
      <c r="N3189" s="1">
        <f t="shared" si="156"/>
        <v>9</v>
      </c>
      <c r="O3189" s="87"/>
    </row>
    <row r="3190" spans="1:15" ht="15.75" hidden="1" x14ac:dyDescent="0.25">
      <c r="A3190" s="1" t="str">
        <f t="shared" si="155"/>
        <v>451724517267DINERSRENTKAHRAMAA</v>
      </c>
      <c r="B3190" s="154">
        <v>45172</v>
      </c>
      <c r="C3190" s="154">
        <v>45172</v>
      </c>
      <c r="D3190" s="3" t="s">
        <v>4074</v>
      </c>
      <c r="E3190" s="3">
        <v>-67</v>
      </c>
      <c r="F3190" s="3">
        <v>1</v>
      </c>
      <c r="G3190" s="3">
        <f t="shared" si="157"/>
        <v>67</v>
      </c>
      <c r="H3190" s="3" t="s">
        <v>266</v>
      </c>
      <c r="I3190" s="1" t="s">
        <v>83</v>
      </c>
      <c r="J3190" s="1" t="s">
        <v>4113</v>
      </c>
      <c r="K3190" s="1" t="s">
        <v>298</v>
      </c>
      <c r="L3190" s="1" t="s">
        <v>267</v>
      </c>
      <c r="M3190" s="1"/>
      <c r="N3190" s="1">
        <f t="shared" si="156"/>
        <v>9</v>
      </c>
      <c r="O3190" s="87"/>
    </row>
    <row r="3191" spans="1:15" ht="15.75" hidden="1" x14ac:dyDescent="0.25">
      <c r="A3191" s="1" t="str">
        <f t="shared" si="155"/>
        <v>4517245172250DINERSRENTVODAFONE</v>
      </c>
      <c r="B3191" s="154">
        <v>45172</v>
      </c>
      <c r="C3191" s="154">
        <v>45172</v>
      </c>
      <c r="D3191" s="3" t="s">
        <v>4075</v>
      </c>
      <c r="E3191" s="3">
        <v>-250</v>
      </c>
      <c r="F3191" s="3">
        <v>1</v>
      </c>
      <c r="G3191" s="3">
        <f t="shared" si="157"/>
        <v>250</v>
      </c>
      <c r="H3191" s="3" t="s">
        <v>266</v>
      </c>
      <c r="I3191" s="1" t="s">
        <v>83</v>
      </c>
      <c r="J3191" s="1" t="s">
        <v>78</v>
      </c>
      <c r="K3191" s="1" t="s">
        <v>298</v>
      </c>
      <c r="L3191" s="1" t="s">
        <v>267</v>
      </c>
      <c r="M3191" s="1"/>
      <c r="N3191" s="1">
        <f t="shared" si="156"/>
        <v>9</v>
      </c>
      <c r="O3191" s="87"/>
    </row>
    <row r="3192" spans="1:15" ht="15.75" hidden="1" x14ac:dyDescent="0.25">
      <c r="A3192" s="1" t="str">
        <f t="shared" si="155"/>
        <v>451734517327.08CURRENTTRANSPORTUBER</v>
      </c>
      <c r="B3192" s="154">
        <v>45173</v>
      </c>
      <c r="C3192" s="154">
        <v>45173</v>
      </c>
      <c r="D3192" s="3" t="s">
        <v>3757</v>
      </c>
      <c r="E3192" s="3">
        <v>-27.08</v>
      </c>
      <c r="F3192" s="3">
        <v>1</v>
      </c>
      <c r="G3192" s="3">
        <f t="shared" si="157"/>
        <v>27.08</v>
      </c>
      <c r="H3192" s="3" t="s">
        <v>293</v>
      </c>
      <c r="I3192" s="1" t="s">
        <v>296</v>
      </c>
      <c r="J3192" s="1" t="s">
        <v>299</v>
      </c>
      <c r="K3192" s="1" t="s">
        <v>298</v>
      </c>
      <c r="L3192" s="1" t="s">
        <v>257</v>
      </c>
      <c r="M3192" s="1"/>
      <c r="N3192" s="1">
        <f t="shared" si="156"/>
        <v>9</v>
      </c>
      <c r="O3192" s="87"/>
    </row>
    <row r="3193" spans="1:15" ht="15.75" hidden="1" x14ac:dyDescent="0.25">
      <c r="A3193" s="1" t="str">
        <f t="shared" si="155"/>
        <v>4517445174279.25CURRENTPERSONALKHASIM</v>
      </c>
      <c r="B3193" s="154">
        <v>45174</v>
      </c>
      <c r="C3193" s="154">
        <v>45174</v>
      </c>
      <c r="D3193" s="3" t="s">
        <v>3755</v>
      </c>
      <c r="E3193" s="3">
        <v>279.25</v>
      </c>
      <c r="F3193" s="3">
        <v>1</v>
      </c>
      <c r="G3193" s="3">
        <f t="shared" si="157"/>
        <v>279.25</v>
      </c>
      <c r="H3193" s="3" t="s">
        <v>293</v>
      </c>
      <c r="I3193" s="1" t="s">
        <v>4087</v>
      </c>
      <c r="J3193" s="1" t="s">
        <v>4091</v>
      </c>
      <c r="K3193" s="1" t="s">
        <v>300</v>
      </c>
      <c r="L3193" s="1" t="s">
        <v>257</v>
      </c>
      <c r="M3193" s="1"/>
      <c r="N3193" s="1">
        <f t="shared" si="156"/>
        <v>9</v>
      </c>
      <c r="O3193" s="87"/>
    </row>
    <row r="3194" spans="1:15" ht="15.75" hidden="1" x14ac:dyDescent="0.25">
      <c r="A3194" s="1" t="str">
        <f t="shared" si="155"/>
        <v>45174451745000CURRENTRENTBARWA</v>
      </c>
      <c r="B3194" s="154">
        <v>45174</v>
      </c>
      <c r="C3194" s="154">
        <v>45174</v>
      </c>
      <c r="D3194" s="3" t="s">
        <v>3756</v>
      </c>
      <c r="E3194" s="3">
        <v>-5000</v>
      </c>
      <c r="F3194" s="3">
        <v>1</v>
      </c>
      <c r="G3194" s="3">
        <f t="shared" si="157"/>
        <v>5000</v>
      </c>
      <c r="H3194" s="3" t="s">
        <v>293</v>
      </c>
      <c r="I3194" s="1" t="s">
        <v>83</v>
      </c>
      <c r="J3194" s="1" t="s">
        <v>3633</v>
      </c>
      <c r="K3194" s="1" t="s">
        <v>298</v>
      </c>
      <c r="L3194" s="1" t="s">
        <v>257</v>
      </c>
      <c r="M3194" s="1"/>
      <c r="N3194" s="1">
        <f t="shared" si="156"/>
        <v>9</v>
      </c>
      <c r="O3194" s="87"/>
    </row>
    <row r="3195" spans="1:15" ht="15.75" hidden="1" x14ac:dyDescent="0.25">
      <c r="A3195" s="1" t="str">
        <f t="shared" si="155"/>
        <v>4517445176608MASTER CCFOODPAPA JOHN'S</v>
      </c>
      <c r="B3195" s="154">
        <v>45174</v>
      </c>
      <c r="C3195" s="154">
        <v>45176</v>
      </c>
      <c r="D3195" s="3" t="s">
        <v>4023</v>
      </c>
      <c r="E3195" s="3">
        <v>-608</v>
      </c>
      <c r="F3195" s="3">
        <v>1</v>
      </c>
      <c r="G3195" s="3">
        <f t="shared" si="157"/>
        <v>608</v>
      </c>
      <c r="H3195" s="3" t="s">
        <v>291</v>
      </c>
      <c r="I3195" s="1" t="s">
        <v>10</v>
      </c>
      <c r="J3195" s="1" t="s">
        <v>1657</v>
      </c>
      <c r="K3195" s="1" t="s">
        <v>298</v>
      </c>
      <c r="L3195" s="1" t="s">
        <v>267</v>
      </c>
      <c r="M3195" s="1"/>
      <c r="N3195" s="1">
        <f t="shared" si="156"/>
        <v>9</v>
      </c>
      <c r="O3195" s="87"/>
    </row>
    <row r="3196" spans="1:15" ht="15.75" hidden="1" x14ac:dyDescent="0.25">
      <c r="A3196" s="1" t="str">
        <f t="shared" si="155"/>
        <v>451754517827MASTER CCFOODWISHBOX</v>
      </c>
      <c r="B3196" s="154">
        <v>45175</v>
      </c>
      <c r="C3196" s="154">
        <v>45178</v>
      </c>
      <c r="D3196" s="3" t="s">
        <v>4022</v>
      </c>
      <c r="E3196" s="3">
        <v>-27</v>
      </c>
      <c r="F3196" s="3">
        <v>1</v>
      </c>
      <c r="G3196" s="3">
        <f t="shared" si="157"/>
        <v>27</v>
      </c>
      <c r="H3196" s="3" t="s">
        <v>291</v>
      </c>
      <c r="I3196" s="1" t="s">
        <v>10</v>
      </c>
      <c r="J3196" s="1" t="s">
        <v>1199</v>
      </c>
      <c r="K3196" s="1" t="s">
        <v>298</v>
      </c>
      <c r="L3196" s="1" t="s">
        <v>267</v>
      </c>
      <c r="M3196" s="1"/>
      <c r="N3196" s="1">
        <f t="shared" si="156"/>
        <v>9</v>
      </c>
      <c r="O3196" s="87"/>
    </row>
    <row r="3197" spans="1:15" ht="15.75" hidden="1" x14ac:dyDescent="0.25">
      <c r="A3197" s="1" t="str">
        <f t="shared" si="155"/>
        <v>451764517960.82MASTER CCGROCERYINDIAN SUPER</v>
      </c>
      <c r="B3197" s="154">
        <v>45176</v>
      </c>
      <c r="C3197" s="154">
        <v>45179</v>
      </c>
      <c r="D3197" s="3" t="s">
        <v>4021</v>
      </c>
      <c r="E3197" s="3">
        <v>-60.82</v>
      </c>
      <c r="F3197" s="3">
        <v>1</v>
      </c>
      <c r="G3197" s="3">
        <f t="shared" si="157"/>
        <v>60.82</v>
      </c>
      <c r="H3197" s="3" t="s">
        <v>291</v>
      </c>
      <c r="I3197" s="1" t="s">
        <v>43</v>
      </c>
      <c r="J3197" s="1" t="s">
        <v>2273</v>
      </c>
      <c r="K3197" s="1" t="s">
        <v>298</v>
      </c>
      <c r="L3197" s="1" t="s">
        <v>267</v>
      </c>
      <c r="M3197" s="1"/>
      <c r="N3197" s="1">
        <f t="shared" si="156"/>
        <v>9</v>
      </c>
      <c r="O3197" s="87"/>
    </row>
    <row r="3198" spans="1:15" ht="15.75" hidden="1" x14ac:dyDescent="0.25">
      <c r="A3198" s="1" t="str">
        <f t="shared" si="155"/>
        <v>451774517940MASTER CCFOODWISHBOX</v>
      </c>
      <c r="B3198" s="154">
        <v>45177</v>
      </c>
      <c r="C3198" s="154">
        <v>45179</v>
      </c>
      <c r="D3198" s="3" t="s">
        <v>4020</v>
      </c>
      <c r="E3198" s="3">
        <v>-40</v>
      </c>
      <c r="F3198" s="3">
        <v>1</v>
      </c>
      <c r="G3198" s="3">
        <f t="shared" si="157"/>
        <v>40</v>
      </c>
      <c r="H3198" s="3" t="s">
        <v>291</v>
      </c>
      <c r="I3198" s="1" t="s">
        <v>10</v>
      </c>
      <c r="J3198" s="1" t="s">
        <v>1199</v>
      </c>
      <c r="K3198" s="1" t="s">
        <v>298</v>
      </c>
      <c r="L3198" s="1" t="s">
        <v>267</v>
      </c>
      <c r="M3198" s="1"/>
      <c r="N3198" s="1">
        <f t="shared" si="156"/>
        <v>9</v>
      </c>
      <c r="O3198" s="87"/>
    </row>
    <row r="3199" spans="1:15" ht="15.75" hidden="1" x14ac:dyDescent="0.25">
      <c r="A3199" s="1" t="str">
        <f t="shared" si="155"/>
        <v>451784518126MASTER CCFOODTALABAT</v>
      </c>
      <c r="B3199" s="154">
        <v>45178</v>
      </c>
      <c r="C3199" s="154">
        <v>45181</v>
      </c>
      <c r="D3199" s="3" t="s">
        <v>4018</v>
      </c>
      <c r="E3199" s="3">
        <v>-26</v>
      </c>
      <c r="F3199" s="3">
        <v>1</v>
      </c>
      <c r="G3199" s="3">
        <f t="shared" si="157"/>
        <v>26</v>
      </c>
      <c r="H3199" s="3" t="s">
        <v>291</v>
      </c>
      <c r="I3199" s="1" t="s">
        <v>10</v>
      </c>
      <c r="J3199" s="1" t="s">
        <v>865</v>
      </c>
      <c r="K3199" s="1" t="s">
        <v>298</v>
      </c>
      <c r="L3199" s="1" t="s">
        <v>267</v>
      </c>
      <c r="M3199" s="1"/>
      <c r="N3199" s="1">
        <f t="shared" si="156"/>
        <v>9</v>
      </c>
      <c r="O3199" s="87"/>
    </row>
    <row r="3200" spans="1:15" ht="15.75" hidden="1" x14ac:dyDescent="0.25">
      <c r="A3200" s="1" t="str">
        <f t="shared" si="155"/>
        <v>451784518034MASTER CCFOODWISHBOX</v>
      </c>
      <c r="B3200" s="154">
        <v>45178</v>
      </c>
      <c r="C3200" s="154">
        <v>45180</v>
      </c>
      <c r="D3200" s="3" t="s">
        <v>4019</v>
      </c>
      <c r="E3200" s="3">
        <v>-34</v>
      </c>
      <c r="F3200" s="3">
        <v>1</v>
      </c>
      <c r="G3200" s="3">
        <f t="shared" si="157"/>
        <v>34</v>
      </c>
      <c r="H3200" s="3" t="s">
        <v>291</v>
      </c>
      <c r="I3200" s="1" t="s">
        <v>10</v>
      </c>
      <c r="J3200" s="1" t="s">
        <v>1199</v>
      </c>
      <c r="K3200" s="1" t="s">
        <v>298</v>
      </c>
      <c r="L3200" s="1" t="s">
        <v>267</v>
      </c>
      <c r="M3200" s="1"/>
      <c r="N3200" s="1">
        <f t="shared" si="156"/>
        <v>9</v>
      </c>
      <c r="O3200" s="87"/>
    </row>
    <row r="3201" spans="1:15" ht="15.75" hidden="1" x14ac:dyDescent="0.25">
      <c r="A3201" s="1" t="str">
        <f t="shared" si="155"/>
        <v>451794518254MASTER CCFOODTALABAT</v>
      </c>
      <c r="B3201" s="154">
        <v>45179</v>
      </c>
      <c r="C3201" s="154">
        <v>45182</v>
      </c>
      <c r="D3201" s="3" t="s">
        <v>4016</v>
      </c>
      <c r="E3201" s="3">
        <v>-54</v>
      </c>
      <c r="F3201" s="3">
        <v>1</v>
      </c>
      <c r="G3201" s="3">
        <f t="shared" si="157"/>
        <v>54</v>
      </c>
      <c r="H3201" s="3" t="s">
        <v>291</v>
      </c>
      <c r="I3201" s="1" t="s">
        <v>10</v>
      </c>
      <c r="J3201" s="1" t="s">
        <v>865</v>
      </c>
      <c r="K3201" s="1" t="s">
        <v>298</v>
      </c>
      <c r="L3201" s="1" t="s">
        <v>267</v>
      </c>
      <c r="M3201" s="1"/>
      <c r="N3201" s="1">
        <f t="shared" si="156"/>
        <v>9</v>
      </c>
      <c r="O3201" s="87"/>
    </row>
    <row r="3202" spans="1:15" ht="15.75" hidden="1" x14ac:dyDescent="0.25">
      <c r="A3202" s="1" t="str">
        <f t="shared" ref="A3202:A3265" si="158">B3202&amp;C3202&amp;G3202&amp;H3202&amp;I3202&amp;J3202</f>
        <v>451794518019.72MASTER CCGROCERYINDIAN SUPER</v>
      </c>
      <c r="B3202" s="154">
        <v>45179</v>
      </c>
      <c r="C3202" s="154">
        <v>45180</v>
      </c>
      <c r="D3202" s="3" t="s">
        <v>4017</v>
      </c>
      <c r="E3202" s="3">
        <v>-19.72</v>
      </c>
      <c r="F3202" s="3">
        <v>1</v>
      </c>
      <c r="G3202" s="3">
        <f t="shared" si="157"/>
        <v>19.72</v>
      </c>
      <c r="H3202" s="3" t="s">
        <v>291</v>
      </c>
      <c r="I3202" s="1" t="s">
        <v>43</v>
      </c>
      <c r="J3202" s="1" t="s">
        <v>2273</v>
      </c>
      <c r="K3202" s="1" t="s">
        <v>298</v>
      </c>
      <c r="L3202" s="1" t="s">
        <v>267</v>
      </c>
      <c r="M3202" s="1"/>
      <c r="N3202" s="1">
        <f t="shared" ref="N3202:N3265" si="159">MONTH(C3202)</f>
        <v>9</v>
      </c>
      <c r="O3202" s="87"/>
    </row>
    <row r="3203" spans="1:15" ht="15.75" hidden="1" x14ac:dyDescent="0.25">
      <c r="A3203" s="1" t="str">
        <f t="shared" si="158"/>
        <v>451814518125000CURRENTSAVINGSELF</v>
      </c>
      <c r="B3203" s="154">
        <v>45181</v>
      </c>
      <c r="C3203" s="154">
        <v>45181</v>
      </c>
      <c r="D3203" s="3" t="s">
        <v>3754</v>
      </c>
      <c r="E3203" s="3">
        <v>-25000</v>
      </c>
      <c r="F3203" s="3">
        <v>1</v>
      </c>
      <c r="G3203" s="3">
        <f t="shared" si="157"/>
        <v>25000</v>
      </c>
      <c r="H3203" s="3" t="s">
        <v>293</v>
      </c>
      <c r="I3203" s="1" t="s">
        <v>302</v>
      </c>
      <c r="J3203" s="1" t="s">
        <v>14</v>
      </c>
      <c r="K3203" s="1" t="s">
        <v>298</v>
      </c>
      <c r="L3203" s="1" t="s">
        <v>257</v>
      </c>
      <c r="M3203" s="1"/>
      <c r="N3203" s="1">
        <f t="shared" si="159"/>
        <v>9</v>
      </c>
      <c r="O3203" s="87"/>
    </row>
    <row r="3204" spans="1:15" ht="15.75" hidden="1" x14ac:dyDescent="0.25">
      <c r="A3204" s="1" t="str">
        <f t="shared" si="158"/>
        <v>451814518420MASTER CCFOODWISHBOX</v>
      </c>
      <c r="B3204" s="154">
        <v>45181</v>
      </c>
      <c r="C3204" s="154">
        <v>45184</v>
      </c>
      <c r="D3204" s="3" t="s">
        <v>4014</v>
      </c>
      <c r="E3204" s="3">
        <v>-20</v>
      </c>
      <c r="F3204" s="3">
        <v>1</v>
      </c>
      <c r="G3204" s="3">
        <f t="shared" si="157"/>
        <v>20</v>
      </c>
      <c r="H3204" s="3" t="s">
        <v>291</v>
      </c>
      <c r="I3204" s="1" t="s">
        <v>10</v>
      </c>
      <c r="J3204" s="1" t="s">
        <v>1199</v>
      </c>
      <c r="K3204" s="1" t="s">
        <v>298</v>
      </c>
      <c r="L3204" s="1" t="s">
        <v>267</v>
      </c>
      <c r="M3204" s="1"/>
      <c r="N3204" s="1">
        <f t="shared" si="159"/>
        <v>9</v>
      </c>
      <c r="O3204" s="87"/>
    </row>
    <row r="3205" spans="1:15" ht="15.75" hidden="1" x14ac:dyDescent="0.25">
      <c r="A3205" s="1" t="str">
        <f t="shared" si="158"/>
        <v>4518145182105.21MASTER CCTRANSPORTWOQOD</v>
      </c>
      <c r="B3205" s="154">
        <v>45181</v>
      </c>
      <c r="C3205" s="154">
        <v>45182</v>
      </c>
      <c r="D3205" s="3" t="s">
        <v>4015</v>
      </c>
      <c r="E3205" s="3">
        <v>-105.21</v>
      </c>
      <c r="F3205" s="3">
        <v>1</v>
      </c>
      <c r="G3205" s="3">
        <f t="shared" si="157"/>
        <v>105.21</v>
      </c>
      <c r="H3205" s="3" t="s">
        <v>291</v>
      </c>
      <c r="I3205" s="1" t="s">
        <v>296</v>
      </c>
      <c r="J3205" s="1" t="s">
        <v>1942</v>
      </c>
      <c r="K3205" s="1" t="s">
        <v>298</v>
      </c>
      <c r="L3205" s="1" t="s">
        <v>267</v>
      </c>
      <c r="M3205" s="1"/>
      <c r="N3205" s="1">
        <f t="shared" si="159"/>
        <v>9</v>
      </c>
      <c r="O3205" s="87"/>
    </row>
    <row r="3206" spans="1:15" ht="15.75" hidden="1" x14ac:dyDescent="0.25">
      <c r="A3206" s="1" t="str">
        <f t="shared" si="158"/>
        <v>451824518436MASTER CCFOODWISHBOX</v>
      </c>
      <c r="B3206" s="154">
        <v>45182</v>
      </c>
      <c r="C3206" s="154">
        <v>45184</v>
      </c>
      <c r="D3206" s="3" t="s">
        <v>4013</v>
      </c>
      <c r="E3206" s="3">
        <v>-36</v>
      </c>
      <c r="F3206" s="3">
        <v>1</v>
      </c>
      <c r="G3206" s="3">
        <f t="shared" si="157"/>
        <v>36</v>
      </c>
      <c r="H3206" s="3" t="s">
        <v>291</v>
      </c>
      <c r="I3206" s="1" t="s">
        <v>10</v>
      </c>
      <c r="J3206" s="1" t="s">
        <v>1199</v>
      </c>
      <c r="K3206" s="1" t="s">
        <v>298</v>
      </c>
      <c r="L3206" s="1" t="s">
        <v>267</v>
      </c>
      <c r="M3206" s="1"/>
      <c r="N3206" s="1">
        <f t="shared" si="159"/>
        <v>9</v>
      </c>
      <c r="O3206" s="87"/>
    </row>
    <row r="3207" spans="1:15" ht="15.75" hidden="1" x14ac:dyDescent="0.25">
      <c r="A3207" s="1" t="str">
        <f t="shared" si="158"/>
        <v>451834518630MASTER CCFOODWISHBOX</v>
      </c>
      <c r="B3207" s="154">
        <v>45183</v>
      </c>
      <c r="C3207" s="154">
        <v>45186</v>
      </c>
      <c r="D3207" s="3" t="s">
        <v>4010</v>
      </c>
      <c r="E3207" s="3">
        <v>-30</v>
      </c>
      <c r="F3207" s="3">
        <v>1</v>
      </c>
      <c r="G3207" s="3">
        <f t="shared" si="157"/>
        <v>30</v>
      </c>
      <c r="H3207" s="3" t="s">
        <v>291</v>
      </c>
      <c r="I3207" s="1" t="s">
        <v>10</v>
      </c>
      <c r="J3207" s="1" t="s">
        <v>1199</v>
      </c>
      <c r="K3207" s="1" t="s">
        <v>298</v>
      </c>
      <c r="L3207" s="1" t="s">
        <v>267</v>
      </c>
      <c r="M3207" s="1"/>
      <c r="N3207" s="1">
        <f t="shared" si="159"/>
        <v>9</v>
      </c>
      <c r="O3207" s="87"/>
    </row>
    <row r="3208" spans="1:15" ht="15.75" hidden="1" x14ac:dyDescent="0.25">
      <c r="A3208" s="1" t="str">
        <f t="shared" si="158"/>
        <v>451834518638.47MASTER CCGROCERYINDIAN SUPER</v>
      </c>
      <c r="B3208" s="154">
        <v>45183</v>
      </c>
      <c r="C3208" s="154">
        <v>45186</v>
      </c>
      <c r="D3208" s="3" t="s">
        <v>4011</v>
      </c>
      <c r="E3208" s="3">
        <v>-38.47</v>
      </c>
      <c r="F3208" s="3">
        <v>1</v>
      </c>
      <c r="G3208" s="3">
        <f t="shared" si="157"/>
        <v>38.47</v>
      </c>
      <c r="H3208" s="3" t="s">
        <v>291</v>
      </c>
      <c r="I3208" s="1" t="s">
        <v>43</v>
      </c>
      <c r="J3208" s="1" t="s">
        <v>2273</v>
      </c>
      <c r="K3208" s="1" t="s">
        <v>298</v>
      </c>
      <c r="L3208" s="1" t="s">
        <v>267</v>
      </c>
      <c r="M3208" s="1"/>
      <c r="N3208" s="1">
        <f t="shared" si="159"/>
        <v>9</v>
      </c>
      <c r="O3208" s="87"/>
    </row>
    <row r="3209" spans="1:15" ht="15.75" hidden="1" x14ac:dyDescent="0.25">
      <c r="A3209" s="1" t="str">
        <f t="shared" si="158"/>
        <v>451834518424MASTER CCFOODCAFÉ/REST.</v>
      </c>
      <c r="B3209" s="154">
        <v>45183</v>
      </c>
      <c r="C3209" s="154">
        <v>45184</v>
      </c>
      <c r="D3209" s="3" t="s">
        <v>4012</v>
      </c>
      <c r="E3209" s="3">
        <v>-24</v>
      </c>
      <c r="F3209" s="3">
        <v>1</v>
      </c>
      <c r="G3209" s="3">
        <f t="shared" si="157"/>
        <v>24</v>
      </c>
      <c r="H3209" s="3" t="s">
        <v>291</v>
      </c>
      <c r="I3209" s="1" t="s">
        <v>10</v>
      </c>
      <c r="J3209" s="1" t="s">
        <v>11</v>
      </c>
      <c r="K3209" s="1" t="s">
        <v>298</v>
      </c>
      <c r="L3209" s="1" t="s">
        <v>267</v>
      </c>
      <c r="M3209" s="1"/>
      <c r="N3209" s="1">
        <f t="shared" si="159"/>
        <v>9</v>
      </c>
      <c r="O3209" s="87"/>
    </row>
    <row r="3210" spans="1:15" ht="15.75" hidden="1" x14ac:dyDescent="0.25">
      <c r="A3210" s="1" t="str">
        <f t="shared" si="158"/>
        <v>451854518830.68MASTER CCGROCERYINDIAN SUPER</v>
      </c>
      <c r="B3210" s="154">
        <v>45185</v>
      </c>
      <c r="C3210" s="154">
        <v>45188</v>
      </c>
      <c r="D3210" s="3" t="s">
        <v>4006</v>
      </c>
      <c r="E3210" s="3">
        <v>-30.68</v>
      </c>
      <c r="F3210" s="3">
        <v>1</v>
      </c>
      <c r="G3210" s="3">
        <f t="shared" si="157"/>
        <v>30.68</v>
      </c>
      <c r="H3210" s="3" t="s">
        <v>291</v>
      </c>
      <c r="I3210" s="1" t="s">
        <v>43</v>
      </c>
      <c r="J3210" s="1" t="s">
        <v>2273</v>
      </c>
      <c r="K3210" s="1" t="s">
        <v>298</v>
      </c>
      <c r="L3210" s="1" t="s">
        <v>267</v>
      </c>
      <c r="M3210" s="1"/>
      <c r="N3210" s="1">
        <f t="shared" si="159"/>
        <v>9</v>
      </c>
      <c r="O3210" s="87"/>
    </row>
    <row r="3211" spans="1:15" ht="15.75" hidden="1" x14ac:dyDescent="0.25">
      <c r="A3211" s="1" t="str">
        <f t="shared" si="158"/>
        <v>451854518839MASTER CCFOODCAFÉ/REST.</v>
      </c>
      <c r="B3211" s="154">
        <v>45185</v>
      </c>
      <c r="C3211" s="154">
        <v>45188</v>
      </c>
      <c r="D3211" s="3" t="s">
        <v>4007</v>
      </c>
      <c r="E3211" s="3">
        <v>-39</v>
      </c>
      <c r="F3211" s="3">
        <v>1</v>
      </c>
      <c r="G3211" s="3">
        <f t="shared" ref="G3211:G3274" si="160">ABS(E3211)*F3211</f>
        <v>39</v>
      </c>
      <c r="H3211" s="3" t="s">
        <v>291</v>
      </c>
      <c r="I3211" s="1" t="s">
        <v>10</v>
      </c>
      <c r="J3211" s="1" t="s">
        <v>11</v>
      </c>
      <c r="K3211" s="1" t="s">
        <v>298</v>
      </c>
      <c r="L3211" s="1" t="s">
        <v>267</v>
      </c>
      <c r="M3211" s="1"/>
      <c r="N3211" s="1">
        <f t="shared" si="159"/>
        <v>9</v>
      </c>
      <c r="O3211" s="87"/>
    </row>
    <row r="3212" spans="1:15" ht="15.75" hidden="1" x14ac:dyDescent="0.25">
      <c r="A3212" s="1" t="str">
        <f t="shared" si="158"/>
        <v>451854518712MASTER CCLAUNDRYAL RAYES</v>
      </c>
      <c r="B3212" s="154">
        <v>45185</v>
      </c>
      <c r="C3212" s="154">
        <v>45187</v>
      </c>
      <c r="D3212" s="3" t="s">
        <v>4008</v>
      </c>
      <c r="E3212" s="3">
        <v>-12</v>
      </c>
      <c r="F3212" s="3">
        <v>1</v>
      </c>
      <c r="G3212" s="3">
        <f t="shared" si="160"/>
        <v>12</v>
      </c>
      <c r="H3212" s="3" t="s">
        <v>291</v>
      </c>
      <c r="I3212" s="1" t="s">
        <v>3164</v>
      </c>
      <c r="J3212" s="1" t="s">
        <v>3165</v>
      </c>
      <c r="K3212" s="1" t="s">
        <v>298</v>
      </c>
      <c r="L3212" s="1" t="s">
        <v>267</v>
      </c>
      <c r="M3212" s="1"/>
      <c r="N3212" s="1">
        <f t="shared" si="159"/>
        <v>9</v>
      </c>
      <c r="O3212" s="87"/>
    </row>
    <row r="3213" spans="1:15" ht="15.75" hidden="1" x14ac:dyDescent="0.25">
      <c r="A3213" s="1" t="str">
        <f t="shared" si="158"/>
        <v>451854518729MASTER CCFOODWISHBOX</v>
      </c>
      <c r="B3213" s="154">
        <v>45185</v>
      </c>
      <c r="C3213" s="154">
        <v>45187</v>
      </c>
      <c r="D3213" s="3" t="s">
        <v>4009</v>
      </c>
      <c r="E3213" s="3">
        <v>-29</v>
      </c>
      <c r="F3213" s="3">
        <v>1</v>
      </c>
      <c r="G3213" s="3">
        <f t="shared" si="160"/>
        <v>29</v>
      </c>
      <c r="H3213" s="3" t="s">
        <v>291</v>
      </c>
      <c r="I3213" s="1" t="s">
        <v>10</v>
      </c>
      <c r="J3213" s="1" t="s">
        <v>1199</v>
      </c>
      <c r="K3213" s="1" t="s">
        <v>298</v>
      </c>
      <c r="L3213" s="1" t="s">
        <v>267</v>
      </c>
      <c r="M3213" s="1"/>
      <c r="N3213" s="1">
        <f t="shared" si="159"/>
        <v>9</v>
      </c>
      <c r="O3213" s="87"/>
    </row>
    <row r="3214" spans="1:15" ht="15.75" hidden="1" x14ac:dyDescent="0.25">
      <c r="A3214" s="1" t="str">
        <f t="shared" si="158"/>
        <v>451864518620.06CURRENTTRANSPORTUBER</v>
      </c>
      <c r="B3214" s="154">
        <v>45186</v>
      </c>
      <c r="C3214" s="154">
        <v>45186</v>
      </c>
      <c r="D3214" s="3" t="s">
        <v>3752</v>
      </c>
      <c r="E3214" s="3">
        <v>-20.059999999999999</v>
      </c>
      <c r="F3214" s="3">
        <v>1</v>
      </c>
      <c r="G3214" s="3">
        <f t="shared" si="160"/>
        <v>20.059999999999999</v>
      </c>
      <c r="H3214" s="3" t="s">
        <v>293</v>
      </c>
      <c r="I3214" s="1" t="s">
        <v>296</v>
      </c>
      <c r="J3214" s="1" t="s">
        <v>299</v>
      </c>
      <c r="K3214" s="1" t="s">
        <v>298</v>
      </c>
      <c r="L3214" s="1" t="s">
        <v>257</v>
      </c>
      <c r="M3214" s="1"/>
      <c r="N3214" s="1">
        <f t="shared" si="159"/>
        <v>9</v>
      </c>
      <c r="O3214" s="87"/>
    </row>
    <row r="3215" spans="1:15" ht="15.75" hidden="1" x14ac:dyDescent="0.25">
      <c r="A3215" s="1" t="str">
        <f t="shared" si="158"/>
        <v>451864518626.31CURRENTTRANSPORTUBER</v>
      </c>
      <c r="B3215" s="154">
        <v>45186</v>
      </c>
      <c r="C3215" s="154">
        <v>45186</v>
      </c>
      <c r="D3215" s="3" t="s">
        <v>3753</v>
      </c>
      <c r="E3215" s="3">
        <v>-26.31</v>
      </c>
      <c r="F3215" s="3">
        <v>1</v>
      </c>
      <c r="G3215" s="3">
        <f t="shared" si="160"/>
        <v>26.31</v>
      </c>
      <c r="H3215" s="3" t="s">
        <v>293</v>
      </c>
      <c r="I3215" s="1" t="s">
        <v>296</v>
      </c>
      <c r="J3215" s="1" t="s">
        <v>299</v>
      </c>
      <c r="K3215" s="1" t="s">
        <v>298</v>
      </c>
      <c r="L3215" s="1" t="s">
        <v>257</v>
      </c>
      <c r="M3215" s="1"/>
      <c r="N3215" s="1">
        <f t="shared" si="159"/>
        <v>9</v>
      </c>
      <c r="O3215" s="87"/>
    </row>
    <row r="3216" spans="1:15" ht="15.75" hidden="1" x14ac:dyDescent="0.25">
      <c r="A3216" s="1" t="str">
        <f t="shared" si="158"/>
        <v>451864518934MASTER CCFOODTALABAT</v>
      </c>
      <c r="B3216" s="154">
        <v>45186</v>
      </c>
      <c r="C3216" s="154">
        <v>45189</v>
      </c>
      <c r="D3216" s="3" t="s">
        <v>4005</v>
      </c>
      <c r="E3216" s="3">
        <v>-34</v>
      </c>
      <c r="F3216" s="3">
        <v>1</v>
      </c>
      <c r="G3216" s="3">
        <f t="shared" si="160"/>
        <v>34</v>
      </c>
      <c r="H3216" s="3" t="s">
        <v>291</v>
      </c>
      <c r="I3216" s="1" t="s">
        <v>10</v>
      </c>
      <c r="J3216" s="1" t="s">
        <v>865</v>
      </c>
      <c r="K3216" s="1" t="s">
        <v>298</v>
      </c>
      <c r="L3216" s="1" t="s">
        <v>267</v>
      </c>
      <c r="M3216" s="1"/>
      <c r="N3216" s="1">
        <f t="shared" si="159"/>
        <v>9</v>
      </c>
      <c r="O3216" s="87"/>
    </row>
    <row r="3217" spans="1:15" ht="15.75" hidden="1" x14ac:dyDescent="0.25">
      <c r="A3217" s="1" t="str">
        <f t="shared" si="158"/>
        <v>451874518969MASTER CCFOODWISHBOX</v>
      </c>
      <c r="B3217" s="154">
        <v>45187</v>
      </c>
      <c r="C3217" s="154">
        <v>45189</v>
      </c>
      <c r="D3217" s="3" t="s">
        <v>4004</v>
      </c>
      <c r="E3217" s="3">
        <v>-69</v>
      </c>
      <c r="F3217" s="3">
        <v>1</v>
      </c>
      <c r="G3217" s="3">
        <f t="shared" si="160"/>
        <v>69</v>
      </c>
      <c r="H3217" s="3" t="s">
        <v>291</v>
      </c>
      <c r="I3217" s="1" t="s">
        <v>10</v>
      </c>
      <c r="J3217" s="1" t="s">
        <v>1199</v>
      </c>
      <c r="K3217" s="1" t="s">
        <v>298</v>
      </c>
      <c r="L3217" s="1" t="s">
        <v>267</v>
      </c>
      <c r="M3217" s="1"/>
      <c r="N3217" s="1">
        <f t="shared" si="159"/>
        <v>9</v>
      </c>
      <c r="O3217" s="87"/>
    </row>
    <row r="3218" spans="1:15" ht="15.75" hidden="1" x14ac:dyDescent="0.25">
      <c r="A3218" s="1" t="str">
        <f t="shared" si="158"/>
        <v>451884519032MASTER CCFOODWISHBOX</v>
      </c>
      <c r="B3218" s="154">
        <v>45188</v>
      </c>
      <c r="C3218" s="154">
        <v>45190</v>
      </c>
      <c r="D3218" s="3" t="s">
        <v>4003</v>
      </c>
      <c r="E3218" s="3">
        <v>-32</v>
      </c>
      <c r="F3218" s="3">
        <v>1</v>
      </c>
      <c r="G3218" s="3">
        <f t="shared" si="160"/>
        <v>32</v>
      </c>
      <c r="H3218" s="3" t="s">
        <v>291</v>
      </c>
      <c r="I3218" s="1" t="s">
        <v>10</v>
      </c>
      <c r="J3218" s="1" t="s">
        <v>1199</v>
      </c>
      <c r="K3218" s="1" t="s">
        <v>298</v>
      </c>
      <c r="L3218" s="1" t="s">
        <v>267</v>
      </c>
      <c r="M3218" s="1"/>
      <c r="N3218" s="1">
        <f t="shared" si="159"/>
        <v>9</v>
      </c>
      <c r="O3218" s="87"/>
    </row>
    <row r="3219" spans="1:15" ht="15.75" hidden="1" x14ac:dyDescent="0.25">
      <c r="A3219" s="1" t="str">
        <f t="shared" si="158"/>
        <v>451894519124.04MASTER CCTRANSPORTUBER</v>
      </c>
      <c r="B3219" s="154">
        <v>45189</v>
      </c>
      <c r="C3219" s="154">
        <v>45191</v>
      </c>
      <c r="D3219" s="3" t="s">
        <v>4002</v>
      </c>
      <c r="E3219" s="3">
        <v>-24.04</v>
      </c>
      <c r="F3219" s="3">
        <v>1</v>
      </c>
      <c r="G3219" s="3">
        <f t="shared" si="160"/>
        <v>24.04</v>
      </c>
      <c r="H3219" s="3" t="s">
        <v>291</v>
      </c>
      <c r="I3219" s="1" t="s">
        <v>296</v>
      </c>
      <c r="J3219" s="1" t="s">
        <v>299</v>
      </c>
      <c r="K3219" s="1" t="s">
        <v>298</v>
      </c>
      <c r="L3219" s="1" t="s">
        <v>267</v>
      </c>
      <c r="M3219" s="1"/>
      <c r="N3219" s="1">
        <f t="shared" si="159"/>
        <v>9</v>
      </c>
      <c r="O3219" s="87"/>
    </row>
    <row r="3220" spans="1:15" ht="15.75" hidden="1" x14ac:dyDescent="0.25">
      <c r="A3220" s="1" t="str">
        <f t="shared" si="158"/>
        <v>45190451924.94MASTER CCTRANSPORTUBER</v>
      </c>
      <c r="B3220" s="154">
        <v>45190</v>
      </c>
      <c r="C3220" s="154">
        <v>45192</v>
      </c>
      <c r="D3220" s="3" t="s">
        <v>4000</v>
      </c>
      <c r="E3220" s="3">
        <v>-4.9400000000000004</v>
      </c>
      <c r="F3220" s="3">
        <v>1</v>
      </c>
      <c r="G3220" s="3">
        <f t="shared" si="160"/>
        <v>4.9400000000000004</v>
      </c>
      <c r="H3220" s="3" t="s">
        <v>291</v>
      </c>
      <c r="I3220" s="1" t="s">
        <v>296</v>
      </c>
      <c r="J3220" s="1" t="s">
        <v>299</v>
      </c>
      <c r="K3220" s="1" t="s">
        <v>298</v>
      </c>
      <c r="L3220" s="1" t="s">
        <v>267</v>
      </c>
      <c r="M3220" s="1"/>
      <c r="N3220" s="1">
        <f t="shared" si="159"/>
        <v>9</v>
      </c>
      <c r="O3220" s="87"/>
    </row>
    <row r="3221" spans="1:15" ht="15.75" hidden="1" x14ac:dyDescent="0.25">
      <c r="A3221" s="1" t="str">
        <f t="shared" si="158"/>
        <v>451904519130.01MASTER CCTRANSPORTUBER</v>
      </c>
      <c r="B3221" s="154">
        <v>45190</v>
      </c>
      <c r="C3221" s="154">
        <v>45191</v>
      </c>
      <c r="D3221" s="3" t="s">
        <v>4001</v>
      </c>
      <c r="E3221" s="3">
        <v>-30.01</v>
      </c>
      <c r="F3221" s="3">
        <v>1</v>
      </c>
      <c r="G3221" s="3">
        <f t="shared" si="160"/>
        <v>30.01</v>
      </c>
      <c r="H3221" s="3" t="s">
        <v>291</v>
      </c>
      <c r="I3221" s="1" t="s">
        <v>296</v>
      </c>
      <c r="J3221" s="1" t="s">
        <v>299</v>
      </c>
      <c r="K3221" s="1" t="s">
        <v>298</v>
      </c>
      <c r="L3221" s="1" t="s">
        <v>267</v>
      </c>
      <c r="M3221" s="1"/>
      <c r="N3221" s="1">
        <f t="shared" si="159"/>
        <v>9</v>
      </c>
      <c r="O3221" s="87"/>
    </row>
    <row r="3222" spans="1:15" ht="15.75" hidden="1" x14ac:dyDescent="0.25">
      <c r="A3222" s="1" t="str">
        <f t="shared" si="158"/>
        <v>45191451924.41MASTER CCTRANSPORTUBER</v>
      </c>
      <c r="B3222" s="154">
        <v>45191</v>
      </c>
      <c r="C3222" s="154">
        <v>45192</v>
      </c>
      <c r="D3222" s="3" t="s">
        <v>3998</v>
      </c>
      <c r="E3222" s="3">
        <v>-4.41</v>
      </c>
      <c r="F3222" s="3">
        <v>1</v>
      </c>
      <c r="G3222" s="3">
        <f t="shared" si="160"/>
        <v>4.41</v>
      </c>
      <c r="H3222" s="3" t="s">
        <v>291</v>
      </c>
      <c r="I3222" s="1" t="s">
        <v>296</v>
      </c>
      <c r="J3222" s="1" t="s">
        <v>299</v>
      </c>
      <c r="K3222" s="1" t="s">
        <v>298</v>
      </c>
      <c r="L3222" s="1" t="s">
        <v>267</v>
      </c>
      <c r="M3222" s="1"/>
      <c r="N3222" s="1">
        <f t="shared" si="159"/>
        <v>9</v>
      </c>
      <c r="O3222" s="87"/>
    </row>
    <row r="3223" spans="1:15" ht="15.75" hidden="1" x14ac:dyDescent="0.25">
      <c r="A3223" s="1" t="str">
        <f t="shared" si="158"/>
        <v>45191451926.82MASTER CCTRANSPORTUBER</v>
      </c>
      <c r="B3223" s="154">
        <v>45191</v>
      </c>
      <c r="C3223" s="154">
        <v>45192</v>
      </c>
      <c r="D3223" s="3" t="s">
        <v>3999</v>
      </c>
      <c r="E3223" s="3">
        <v>-6.82</v>
      </c>
      <c r="F3223" s="3">
        <v>1</v>
      </c>
      <c r="G3223" s="3">
        <f t="shared" si="160"/>
        <v>6.82</v>
      </c>
      <c r="H3223" s="3" t="s">
        <v>291</v>
      </c>
      <c r="I3223" s="1" t="s">
        <v>296</v>
      </c>
      <c r="J3223" s="1" t="s">
        <v>299</v>
      </c>
      <c r="K3223" s="1" t="s">
        <v>298</v>
      </c>
      <c r="L3223" s="1" t="s">
        <v>267</v>
      </c>
      <c r="M3223" s="1"/>
      <c r="N3223" s="1">
        <f t="shared" si="159"/>
        <v>9</v>
      </c>
      <c r="O3223" s="87"/>
    </row>
    <row r="3224" spans="1:15" ht="15.75" hidden="1" x14ac:dyDescent="0.25">
      <c r="A3224" s="1" t="str">
        <f t="shared" si="158"/>
        <v>4519245194157.5MASTER CCGROCERYLULU</v>
      </c>
      <c r="B3224" s="154">
        <v>45192</v>
      </c>
      <c r="C3224" s="154">
        <v>45194</v>
      </c>
      <c r="D3224" s="3" t="s">
        <v>3995</v>
      </c>
      <c r="E3224" s="3">
        <v>-157.5</v>
      </c>
      <c r="F3224" s="3">
        <v>1</v>
      </c>
      <c r="G3224" s="3">
        <f t="shared" si="160"/>
        <v>157.5</v>
      </c>
      <c r="H3224" s="3" t="s">
        <v>291</v>
      </c>
      <c r="I3224" s="1" t="s">
        <v>43</v>
      </c>
      <c r="J3224" s="1" t="s">
        <v>44</v>
      </c>
      <c r="K3224" s="1" t="s">
        <v>298</v>
      </c>
      <c r="L3224" s="1" t="s">
        <v>267</v>
      </c>
      <c r="M3224" s="1"/>
      <c r="N3224" s="1">
        <f t="shared" si="159"/>
        <v>9</v>
      </c>
      <c r="O3224" s="87"/>
    </row>
    <row r="3225" spans="1:15" ht="15.75" hidden="1" x14ac:dyDescent="0.25">
      <c r="A3225" s="1" t="str">
        <f t="shared" si="158"/>
        <v>451924519449.5MASTER CCFOODWISHBOX</v>
      </c>
      <c r="B3225" s="154">
        <v>45192</v>
      </c>
      <c r="C3225" s="154">
        <v>45194</v>
      </c>
      <c r="D3225" s="3" t="s">
        <v>3996</v>
      </c>
      <c r="E3225" s="3">
        <v>-49.5</v>
      </c>
      <c r="F3225" s="3">
        <v>1</v>
      </c>
      <c r="G3225" s="3">
        <f t="shared" si="160"/>
        <v>49.5</v>
      </c>
      <c r="H3225" s="3" t="s">
        <v>291</v>
      </c>
      <c r="I3225" s="1" t="s">
        <v>10</v>
      </c>
      <c r="J3225" s="1" t="s">
        <v>1199</v>
      </c>
      <c r="K3225" s="1" t="s">
        <v>298</v>
      </c>
      <c r="L3225" s="1" t="s">
        <v>267</v>
      </c>
      <c r="M3225" s="1"/>
      <c r="N3225" s="1">
        <f t="shared" si="159"/>
        <v>9</v>
      </c>
      <c r="O3225" s="87"/>
    </row>
    <row r="3226" spans="1:15" ht="15.75" hidden="1" x14ac:dyDescent="0.25">
      <c r="A3226" s="1" t="str">
        <f t="shared" si="158"/>
        <v>451924519319.68MASTER CCTRANSPORTUBER</v>
      </c>
      <c r="B3226" s="154">
        <v>45192</v>
      </c>
      <c r="C3226" s="154">
        <v>45193</v>
      </c>
      <c r="D3226" s="3" t="s">
        <v>3997</v>
      </c>
      <c r="E3226" s="3">
        <v>-19.68</v>
      </c>
      <c r="F3226" s="3">
        <v>1</v>
      </c>
      <c r="G3226" s="3">
        <f t="shared" si="160"/>
        <v>19.68</v>
      </c>
      <c r="H3226" s="3" t="s">
        <v>291</v>
      </c>
      <c r="I3226" s="1" t="s">
        <v>296</v>
      </c>
      <c r="J3226" s="1" t="s">
        <v>299</v>
      </c>
      <c r="K3226" s="1" t="s">
        <v>298</v>
      </c>
      <c r="L3226" s="1" t="s">
        <v>267</v>
      </c>
      <c r="M3226" s="1"/>
      <c r="N3226" s="1">
        <f t="shared" si="159"/>
        <v>9</v>
      </c>
      <c r="O3226" s="87"/>
    </row>
    <row r="3227" spans="1:15" ht="15.75" hidden="1" x14ac:dyDescent="0.25">
      <c r="A3227" s="1" t="str">
        <f t="shared" si="158"/>
        <v>451934519319.92CURRENTTRANSPORTUBER</v>
      </c>
      <c r="B3227" s="154">
        <v>45193</v>
      </c>
      <c r="C3227" s="154">
        <v>45193</v>
      </c>
      <c r="D3227" s="3" t="s">
        <v>3750</v>
      </c>
      <c r="E3227" s="3">
        <v>-19.920000000000002</v>
      </c>
      <c r="F3227" s="3">
        <v>1</v>
      </c>
      <c r="G3227" s="3">
        <f t="shared" si="160"/>
        <v>19.920000000000002</v>
      </c>
      <c r="H3227" s="3" t="s">
        <v>293</v>
      </c>
      <c r="I3227" s="1" t="s">
        <v>296</v>
      </c>
      <c r="J3227" s="1" t="s">
        <v>299</v>
      </c>
      <c r="K3227" s="1" t="s">
        <v>298</v>
      </c>
      <c r="L3227" s="1" t="s">
        <v>257</v>
      </c>
      <c r="M3227" s="1"/>
      <c r="N3227" s="1">
        <f t="shared" si="159"/>
        <v>9</v>
      </c>
      <c r="O3227" s="87"/>
    </row>
    <row r="3228" spans="1:15" ht="15.75" hidden="1" x14ac:dyDescent="0.25">
      <c r="A3228" s="1" t="str">
        <f t="shared" si="158"/>
        <v>45193451931500CURRENTWITHDRAWSELF</v>
      </c>
      <c r="B3228" s="154">
        <v>45193</v>
      </c>
      <c r="C3228" s="154">
        <v>45193</v>
      </c>
      <c r="D3228" s="3" t="s">
        <v>3751</v>
      </c>
      <c r="E3228" s="3">
        <v>-1500</v>
      </c>
      <c r="F3228" s="3">
        <v>1</v>
      </c>
      <c r="G3228" s="3">
        <f t="shared" si="160"/>
        <v>1500</v>
      </c>
      <c r="H3228" s="3" t="s">
        <v>293</v>
      </c>
      <c r="I3228" s="1" t="s">
        <v>13</v>
      </c>
      <c r="J3228" s="1" t="s">
        <v>14</v>
      </c>
      <c r="K3228" s="1" t="s">
        <v>298</v>
      </c>
      <c r="L3228" s="1" t="s">
        <v>257</v>
      </c>
      <c r="M3228" s="1"/>
      <c r="N3228" s="1">
        <f t="shared" si="159"/>
        <v>9</v>
      </c>
      <c r="O3228" s="87"/>
    </row>
    <row r="3229" spans="1:15" ht="15.75" hidden="1" x14ac:dyDescent="0.25">
      <c r="A3229" s="1" t="str">
        <f t="shared" si="158"/>
        <v>4519345196125.59MASTER CCGROCERYINDIAN SUPER</v>
      </c>
      <c r="B3229" s="154">
        <v>45193</v>
      </c>
      <c r="C3229" s="154">
        <v>45196</v>
      </c>
      <c r="D3229" s="3" t="s">
        <v>3991</v>
      </c>
      <c r="E3229" s="3">
        <v>-125.59</v>
      </c>
      <c r="F3229" s="3">
        <v>1</v>
      </c>
      <c r="G3229" s="3">
        <f t="shared" si="160"/>
        <v>125.59</v>
      </c>
      <c r="H3229" s="3" t="s">
        <v>291</v>
      </c>
      <c r="I3229" s="1" t="s">
        <v>43</v>
      </c>
      <c r="J3229" s="1" t="s">
        <v>2273</v>
      </c>
      <c r="K3229" s="1" t="s">
        <v>298</v>
      </c>
      <c r="L3229" s="1" t="s">
        <v>267</v>
      </c>
      <c r="M3229" s="1"/>
      <c r="N3229" s="1">
        <f t="shared" si="159"/>
        <v>9</v>
      </c>
      <c r="O3229" s="87"/>
    </row>
    <row r="3230" spans="1:15" ht="15.75" hidden="1" x14ac:dyDescent="0.25">
      <c r="A3230" s="1" t="str">
        <f t="shared" si="158"/>
        <v>451934519645.68MASTER CCGROCERYINDIAN SUPER</v>
      </c>
      <c r="B3230" s="154">
        <v>45193</v>
      </c>
      <c r="C3230" s="154">
        <v>45196</v>
      </c>
      <c r="D3230" s="3" t="s">
        <v>3992</v>
      </c>
      <c r="E3230" s="3">
        <v>-45.68</v>
      </c>
      <c r="F3230" s="3">
        <v>1</v>
      </c>
      <c r="G3230" s="3">
        <f t="shared" si="160"/>
        <v>45.68</v>
      </c>
      <c r="H3230" s="3" t="s">
        <v>291</v>
      </c>
      <c r="I3230" s="1" t="s">
        <v>43</v>
      </c>
      <c r="J3230" s="1" t="s">
        <v>2273</v>
      </c>
      <c r="K3230" s="1" t="s">
        <v>298</v>
      </c>
      <c r="L3230" s="1" t="s">
        <v>267</v>
      </c>
      <c r="M3230" s="1"/>
      <c r="N3230" s="1">
        <f t="shared" si="159"/>
        <v>9</v>
      </c>
      <c r="O3230" s="87"/>
    </row>
    <row r="3231" spans="1:15" ht="15.75" hidden="1" x14ac:dyDescent="0.25">
      <c r="A3231" s="1" t="str">
        <f t="shared" si="158"/>
        <v>451934519530MASTER CCMEDICALHAMAD</v>
      </c>
      <c r="B3231" s="154">
        <v>45193</v>
      </c>
      <c r="C3231" s="154">
        <v>45195</v>
      </c>
      <c r="D3231" s="3" t="s">
        <v>3993</v>
      </c>
      <c r="E3231" s="3">
        <v>-30</v>
      </c>
      <c r="F3231" s="3">
        <v>1</v>
      </c>
      <c r="G3231" s="3">
        <f t="shared" si="160"/>
        <v>30</v>
      </c>
      <c r="H3231" s="3" t="s">
        <v>291</v>
      </c>
      <c r="I3231" s="1" t="s">
        <v>301</v>
      </c>
      <c r="J3231" s="1" t="s">
        <v>4083</v>
      </c>
      <c r="K3231" s="1" t="s">
        <v>298</v>
      </c>
      <c r="L3231" s="1" t="s">
        <v>267</v>
      </c>
      <c r="M3231" s="1"/>
      <c r="N3231" s="1">
        <f t="shared" si="159"/>
        <v>9</v>
      </c>
      <c r="O3231" s="87"/>
    </row>
    <row r="3232" spans="1:15" ht="15.75" hidden="1" x14ac:dyDescent="0.25">
      <c r="A3232" s="1" t="str">
        <f t="shared" si="158"/>
        <v>451934519519MASTER CCFOODQATAR AIR</v>
      </c>
      <c r="B3232" s="154">
        <v>45193</v>
      </c>
      <c r="C3232" s="154">
        <v>45195</v>
      </c>
      <c r="D3232" s="3" t="s">
        <v>3994</v>
      </c>
      <c r="E3232" s="3">
        <v>-19</v>
      </c>
      <c r="F3232" s="3">
        <v>1</v>
      </c>
      <c r="G3232" s="3">
        <f t="shared" si="160"/>
        <v>19</v>
      </c>
      <c r="H3232" s="3" t="s">
        <v>291</v>
      </c>
      <c r="I3232" s="1" t="s">
        <v>10</v>
      </c>
      <c r="J3232" s="1" t="s">
        <v>19</v>
      </c>
      <c r="K3232" s="1" t="s">
        <v>298</v>
      </c>
      <c r="L3232" s="1" t="s">
        <v>267</v>
      </c>
      <c r="M3232" s="1"/>
      <c r="N3232" s="1">
        <f t="shared" si="159"/>
        <v>9</v>
      </c>
      <c r="O3232" s="87"/>
    </row>
    <row r="3233" spans="1:15" ht="15.75" hidden="1" x14ac:dyDescent="0.25">
      <c r="A3233" s="1" t="str">
        <f t="shared" si="158"/>
        <v>4519445196510MASTER CCEDUCATIONNOBLE HOUSE</v>
      </c>
      <c r="B3233" s="154">
        <v>45194</v>
      </c>
      <c r="C3233" s="154">
        <v>45196</v>
      </c>
      <c r="D3233" s="3" t="s">
        <v>3990</v>
      </c>
      <c r="E3233" s="3">
        <v>-510</v>
      </c>
      <c r="F3233" s="3">
        <v>1</v>
      </c>
      <c r="G3233" s="3">
        <f t="shared" si="160"/>
        <v>510</v>
      </c>
      <c r="H3233" s="3" t="s">
        <v>291</v>
      </c>
      <c r="I3233" s="1" t="s">
        <v>543</v>
      </c>
      <c r="J3233" s="1" t="s">
        <v>4108</v>
      </c>
      <c r="K3233" s="1" t="s">
        <v>298</v>
      </c>
      <c r="L3233" s="1" t="s">
        <v>267</v>
      </c>
      <c r="M3233" s="1"/>
      <c r="N3233" s="1">
        <f t="shared" si="159"/>
        <v>9</v>
      </c>
      <c r="O3233" s="87"/>
    </row>
    <row r="3234" spans="1:15" ht="15.75" hidden="1" x14ac:dyDescent="0.25">
      <c r="A3234" s="1" t="str">
        <f t="shared" si="158"/>
        <v>451954519515.78CURRENTTRANSPORTUBER</v>
      </c>
      <c r="B3234" s="154">
        <v>45195</v>
      </c>
      <c r="C3234" s="154">
        <v>45195</v>
      </c>
      <c r="D3234" s="3" t="s">
        <v>3747</v>
      </c>
      <c r="E3234" s="3">
        <v>-15.78</v>
      </c>
      <c r="F3234" s="3">
        <v>1</v>
      </c>
      <c r="G3234" s="3">
        <f t="shared" si="160"/>
        <v>15.78</v>
      </c>
      <c r="H3234" s="3" t="s">
        <v>293</v>
      </c>
      <c r="I3234" s="1" t="s">
        <v>296</v>
      </c>
      <c r="J3234" s="1" t="s">
        <v>299</v>
      </c>
      <c r="K3234" s="1" t="s">
        <v>298</v>
      </c>
      <c r="L3234" s="1" t="s">
        <v>257</v>
      </c>
      <c r="M3234" s="1"/>
      <c r="N3234" s="1">
        <f t="shared" si="159"/>
        <v>9</v>
      </c>
      <c r="O3234" s="87"/>
    </row>
    <row r="3235" spans="1:15" ht="15.75" hidden="1" x14ac:dyDescent="0.25">
      <c r="A3235" s="1" t="str">
        <f t="shared" si="158"/>
        <v>451954519526.83CURRENTTRANSPORTUBER</v>
      </c>
      <c r="B3235" s="154">
        <v>45195</v>
      </c>
      <c r="C3235" s="154">
        <v>45195</v>
      </c>
      <c r="D3235" s="3" t="s">
        <v>3748</v>
      </c>
      <c r="E3235" s="3">
        <v>-26.83</v>
      </c>
      <c r="F3235" s="3">
        <v>1</v>
      </c>
      <c r="G3235" s="3">
        <f t="shared" si="160"/>
        <v>26.83</v>
      </c>
      <c r="H3235" s="3" t="s">
        <v>293</v>
      </c>
      <c r="I3235" s="1" t="s">
        <v>296</v>
      </c>
      <c r="J3235" s="1" t="s">
        <v>299</v>
      </c>
      <c r="K3235" s="1" t="s">
        <v>298</v>
      </c>
      <c r="L3235" s="1" t="s">
        <v>257</v>
      </c>
      <c r="M3235" s="1"/>
      <c r="N3235" s="1">
        <f t="shared" si="159"/>
        <v>9</v>
      </c>
      <c r="O3235" s="87"/>
    </row>
    <row r="3236" spans="1:15" ht="15.75" hidden="1" x14ac:dyDescent="0.25">
      <c r="A3236" s="1" t="str">
        <f t="shared" si="158"/>
        <v>451954519518.76CURRENTTRANSPORTUBER</v>
      </c>
      <c r="B3236" s="154">
        <v>45195</v>
      </c>
      <c r="C3236" s="154">
        <v>45195</v>
      </c>
      <c r="D3236" s="3" t="s">
        <v>3749</v>
      </c>
      <c r="E3236" s="3">
        <v>-18.760000000000002</v>
      </c>
      <c r="F3236" s="3">
        <v>1</v>
      </c>
      <c r="G3236" s="3">
        <f t="shared" si="160"/>
        <v>18.760000000000002</v>
      </c>
      <c r="H3236" s="3" t="s">
        <v>293</v>
      </c>
      <c r="I3236" s="1" t="s">
        <v>296</v>
      </c>
      <c r="J3236" s="1" t="s">
        <v>299</v>
      </c>
      <c r="K3236" s="1" t="s">
        <v>298</v>
      </c>
      <c r="L3236" s="1" t="s">
        <v>257</v>
      </c>
      <c r="M3236" s="1"/>
      <c r="N3236" s="1">
        <f t="shared" si="159"/>
        <v>9</v>
      </c>
      <c r="O3236" s="87"/>
    </row>
    <row r="3237" spans="1:15" ht="15.75" hidden="1" x14ac:dyDescent="0.25">
      <c r="A3237" s="1" t="str">
        <f t="shared" si="158"/>
        <v>451954519758.76MASTER CCGROCERYREDROSE</v>
      </c>
      <c r="B3237" s="154">
        <v>45195</v>
      </c>
      <c r="C3237" s="154">
        <v>45197</v>
      </c>
      <c r="D3237" s="3" t="s">
        <v>3988</v>
      </c>
      <c r="E3237" s="3">
        <v>-58.76</v>
      </c>
      <c r="F3237" s="3">
        <v>1</v>
      </c>
      <c r="G3237" s="3">
        <f t="shared" si="160"/>
        <v>58.76</v>
      </c>
      <c r="H3237" s="3" t="s">
        <v>291</v>
      </c>
      <c r="I3237" s="1" t="s">
        <v>43</v>
      </c>
      <c r="J3237" s="1" t="s">
        <v>4082</v>
      </c>
      <c r="K3237" s="1" t="s">
        <v>298</v>
      </c>
      <c r="L3237" s="1" t="s">
        <v>267</v>
      </c>
      <c r="M3237" s="1"/>
      <c r="N3237" s="1">
        <f t="shared" si="159"/>
        <v>9</v>
      </c>
      <c r="O3237" s="87"/>
    </row>
    <row r="3238" spans="1:15" ht="15.75" hidden="1" x14ac:dyDescent="0.25">
      <c r="A3238" s="1" t="str">
        <f t="shared" si="158"/>
        <v>4519545197100MASTER CCSERVICEMOI</v>
      </c>
      <c r="B3238" s="154">
        <v>45195</v>
      </c>
      <c r="C3238" s="154">
        <v>45197</v>
      </c>
      <c r="D3238" s="3" t="s">
        <v>3989</v>
      </c>
      <c r="E3238" s="3">
        <v>-100</v>
      </c>
      <c r="F3238" s="3">
        <v>1</v>
      </c>
      <c r="G3238" s="3">
        <f t="shared" si="160"/>
        <v>100</v>
      </c>
      <c r="H3238" s="3" t="s">
        <v>291</v>
      </c>
      <c r="I3238" s="1" t="s">
        <v>7</v>
      </c>
      <c r="J3238" s="1" t="s">
        <v>1564</v>
      </c>
      <c r="K3238" s="1" t="s">
        <v>298</v>
      </c>
      <c r="L3238" s="1" t="s">
        <v>267</v>
      </c>
      <c r="M3238" s="1"/>
      <c r="N3238" s="1">
        <f t="shared" si="159"/>
        <v>9</v>
      </c>
      <c r="O3238" s="87"/>
    </row>
    <row r="3239" spans="1:15" ht="15.75" hidden="1" x14ac:dyDescent="0.25">
      <c r="A3239" s="1" t="str">
        <f t="shared" si="158"/>
        <v>451954519610DINERSTELECOMOOREDOO</v>
      </c>
      <c r="B3239" s="154">
        <v>45195</v>
      </c>
      <c r="C3239" s="154">
        <v>45196</v>
      </c>
      <c r="D3239" s="3" t="s">
        <v>4073</v>
      </c>
      <c r="E3239" s="3">
        <v>-10</v>
      </c>
      <c r="F3239" s="3">
        <v>1</v>
      </c>
      <c r="G3239" s="3">
        <f t="shared" si="160"/>
        <v>10</v>
      </c>
      <c r="H3239" s="3" t="s">
        <v>266</v>
      </c>
      <c r="I3239" s="1" t="s">
        <v>58</v>
      </c>
      <c r="J3239" s="1" t="s">
        <v>59</v>
      </c>
      <c r="K3239" s="1" t="s">
        <v>298</v>
      </c>
      <c r="L3239" s="1" t="s">
        <v>267</v>
      </c>
      <c r="M3239" s="1"/>
      <c r="N3239" s="1">
        <f t="shared" si="159"/>
        <v>9</v>
      </c>
      <c r="O3239" s="87"/>
    </row>
    <row r="3240" spans="1:15" ht="15.75" hidden="1" x14ac:dyDescent="0.25">
      <c r="A3240" s="1" t="str">
        <f t="shared" si="158"/>
        <v>451964519631162CURRENTSALARYQATAR AIR</v>
      </c>
      <c r="B3240" s="154">
        <v>45196</v>
      </c>
      <c r="C3240" s="154">
        <v>45196</v>
      </c>
      <c r="D3240" s="3" t="s">
        <v>3746</v>
      </c>
      <c r="E3240" s="3">
        <v>31162</v>
      </c>
      <c r="F3240" s="3">
        <v>1</v>
      </c>
      <c r="G3240" s="3">
        <f t="shared" si="160"/>
        <v>31162</v>
      </c>
      <c r="H3240" s="3" t="s">
        <v>293</v>
      </c>
      <c r="I3240" s="1" t="s">
        <v>18</v>
      </c>
      <c r="J3240" s="1" t="s">
        <v>19</v>
      </c>
      <c r="K3240" s="1" t="s">
        <v>300</v>
      </c>
      <c r="L3240" s="1" t="s">
        <v>257</v>
      </c>
      <c r="M3240" s="1"/>
      <c r="N3240" s="1">
        <f t="shared" si="159"/>
        <v>9</v>
      </c>
      <c r="O3240" s="87"/>
    </row>
    <row r="3241" spans="1:15" ht="15.75" hidden="1" x14ac:dyDescent="0.25">
      <c r="A3241" s="1" t="str">
        <f t="shared" si="158"/>
        <v>45196451985MASTER CCFOODQATAR AIR</v>
      </c>
      <c r="B3241" s="154">
        <v>45196</v>
      </c>
      <c r="C3241" s="154">
        <v>45198</v>
      </c>
      <c r="D3241" s="3" t="s">
        <v>3987</v>
      </c>
      <c r="E3241" s="3">
        <v>-5</v>
      </c>
      <c r="F3241" s="3">
        <v>1</v>
      </c>
      <c r="G3241" s="3">
        <f t="shared" si="160"/>
        <v>5</v>
      </c>
      <c r="H3241" s="3" t="s">
        <v>291</v>
      </c>
      <c r="I3241" s="1" t="s">
        <v>10</v>
      </c>
      <c r="J3241" s="1" t="s">
        <v>19</v>
      </c>
      <c r="K3241" s="1" t="s">
        <v>298</v>
      </c>
      <c r="L3241" s="1" t="s">
        <v>267</v>
      </c>
      <c r="M3241" s="1"/>
      <c r="N3241" s="1">
        <f t="shared" si="159"/>
        <v>9</v>
      </c>
      <c r="O3241" s="87"/>
    </row>
    <row r="3242" spans="1:15" ht="15.75" hidden="1" x14ac:dyDescent="0.25">
      <c r="A3242" s="1" t="str">
        <f t="shared" si="158"/>
        <v>45197451973090CURRENTCC BILL PAYMENTBANK</v>
      </c>
      <c r="B3242" s="154">
        <v>45197</v>
      </c>
      <c r="C3242" s="154">
        <v>45197</v>
      </c>
      <c r="D3242" s="3" t="s">
        <v>3745</v>
      </c>
      <c r="E3242" s="3">
        <v>-3090</v>
      </c>
      <c r="F3242" s="3">
        <v>1</v>
      </c>
      <c r="G3242" s="3">
        <f t="shared" si="160"/>
        <v>3090</v>
      </c>
      <c r="H3242" s="3" t="s">
        <v>293</v>
      </c>
      <c r="I3242" s="1" t="s">
        <v>81</v>
      </c>
      <c r="J3242" s="1" t="s">
        <v>8</v>
      </c>
      <c r="K3242" s="1" t="s">
        <v>298</v>
      </c>
      <c r="L3242" s="1" t="s">
        <v>257</v>
      </c>
      <c r="M3242" s="1"/>
      <c r="N3242" s="1">
        <f t="shared" si="159"/>
        <v>9</v>
      </c>
      <c r="O3242" s="87"/>
    </row>
    <row r="3243" spans="1:15" ht="15.75" hidden="1" x14ac:dyDescent="0.25">
      <c r="A3243" s="1" t="str">
        <f t="shared" si="158"/>
        <v>45197451973090DINERSCC BILL PAYMENTBANK</v>
      </c>
      <c r="B3243" s="154">
        <v>45197</v>
      </c>
      <c r="C3243" s="154">
        <v>45197</v>
      </c>
      <c r="D3243" s="3" t="s">
        <v>80</v>
      </c>
      <c r="E3243" s="3">
        <v>3090</v>
      </c>
      <c r="F3243" s="3">
        <v>1</v>
      </c>
      <c r="G3243" s="3">
        <f t="shared" si="160"/>
        <v>3090</v>
      </c>
      <c r="H3243" s="3" t="s">
        <v>266</v>
      </c>
      <c r="I3243" s="1" t="s">
        <v>81</v>
      </c>
      <c r="J3243" s="1" t="s">
        <v>8</v>
      </c>
      <c r="K3243" s="1" t="s">
        <v>300</v>
      </c>
      <c r="L3243" s="1" t="s">
        <v>267</v>
      </c>
      <c r="M3243" s="1"/>
      <c r="N3243" s="1">
        <f t="shared" si="159"/>
        <v>9</v>
      </c>
      <c r="O3243" s="87"/>
    </row>
    <row r="3244" spans="1:15" ht="15.75" hidden="1" x14ac:dyDescent="0.25">
      <c r="A3244" s="1" t="str">
        <f t="shared" si="158"/>
        <v>451984519924.2MASTER CCTRANSPORTUBER</v>
      </c>
      <c r="B3244" s="154">
        <v>45198</v>
      </c>
      <c r="C3244" s="154">
        <v>45199</v>
      </c>
      <c r="D3244" s="3" t="s">
        <v>3986</v>
      </c>
      <c r="E3244" s="3">
        <v>-24.2</v>
      </c>
      <c r="F3244" s="3">
        <v>1</v>
      </c>
      <c r="G3244" s="3">
        <f t="shared" si="160"/>
        <v>24.2</v>
      </c>
      <c r="H3244" s="3" t="s">
        <v>291</v>
      </c>
      <c r="I3244" s="1" t="s">
        <v>296</v>
      </c>
      <c r="J3244" s="1" t="s">
        <v>299</v>
      </c>
      <c r="K3244" s="1" t="s">
        <v>298</v>
      </c>
      <c r="L3244" s="1" t="s">
        <v>267</v>
      </c>
      <c r="M3244" s="1"/>
      <c r="N3244" s="1">
        <f t="shared" si="159"/>
        <v>9</v>
      </c>
      <c r="O3244" s="87"/>
    </row>
    <row r="3245" spans="1:15" ht="15.75" hidden="1" x14ac:dyDescent="0.25">
      <c r="A3245" s="1" t="str">
        <f t="shared" si="158"/>
        <v>451984519830DINERSCC BILL PAYMENTBANK</v>
      </c>
      <c r="B3245" s="154">
        <v>45198</v>
      </c>
      <c r="C3245" s="154">
        <v>45198</v>
      </c>
      <c r="D3245" s="3" t="s">
        <v>80</v>
      </c>
      <c r="E3245" s="3">
        <v>30</v>
      </c>
      <c r="F3245" s="3">
        <v>1</v>
      </c>
      <c r="G3245" s="3">
        <f t="shared" si="160"/>
        <v>30</v>
      </c>
      <c r="H3245" s="3" t="s">
        <v>266</v>
      </c>
      <c r="I3245" s="1" t="s">
        <v>81</v>
      </c>
      <c r="J3245" s="1" t="s">
        <v>8</v>
      </c>
      <c r="K3245" s="1" t="s">
        <v>300</v>
      </c>
      <c r="L3245" s="1" t="s">
        <v>267</v>
      </c>
      <c r="M3245" s="1"/>
      <c r="N3245" s="1">
        <f t="shared" si="159"/>
        <v>9</v>
      </c>
      <c r="O3245" s="87"/>
    </row>
    <row r="3246" spans="1:15" ht="15.75" hidden="1" x14ac:dyDescent="0.25">
      <c r="A3246" s="1" t="str">
        <f t="shared" si="158"/>
        <v>4519945199106.25CURRENTGROCERYCARREFOUR</v>
      </c>
      <c r="B3246" s="154">
        <v>45199</v>
      </c>
      <c r="C3246" s="154">
        <v>45199</v>
      </c>
      <c r="D3246" s="3" t="s">
        <v>3741</v>
      </c>
      <c r="E3246" s="3">
        <v>-106.25</v>
      </c>
      <c r="F3246" s="3">
        <v>1</v>
      </c>
      <c r="G3246" s="3">
        <f t="shared" si="160"/>
        <v>106.25</v>
      </c>
      <c r="H3246" s="3" t="s">
        <v>293</v>
      </c>
      <c r="I3246" s="1" t="s">
        <v>43</v>
      </c>
      <c r="J3246" s="1" t="s">
        <v>67</v>
      </c>
      <c r="K3246" s="1" t="s">
        <v>298</v>
      </c>
      <c r="L3246" s="1" t="s">
        <v>257</v>
      </c>
      <c r="M3246" s="1"/>
      <c r="N3246" s="1">
        <f t="shared" si="159"/>
        <v>9</v>
      </c>
      <c r="O3246" s="87"/>
    </row>
    <row r="3247" spans="1:15" ht="15.75" hidden="1" x14ac:dyDescent="0.25">
      <c r="A3247" s="1" t="str">
        <f t="shared" si="158"/>
        <v>4519945199287CURRENTSHOPPINGAPPAREL INTERNATIONAL</v>
      </c>
      <c r="B3247" s="154">
        <v>45199</v>
      </c>
      <c r="C3247" s="154">
        <v>45199</v>
      </c>
      <c r="D3247" s="3" t="s">
        <v>3742</v>
      </c>
      <c r="E3247" s="3">
        <v>-287</v>
      </c>
      <c r="F3247" s="3">
        <v>1</v>
      </c>
      <c r="G3247" s="3">
        <f t="shared" si="160"/>
        <v>287</v>
      </c>
      <c r="H3247" s="3" t="s">
        <v>293</v>
      </c>
      <c r="I3247" s="1" t="s">
        <v>194</v>
      </c>
      <c r="J3247" s="1" t="s">
        <v>4092</v>
      </c>
      <c r="K3247" s="1" t="s">
        <v>298</v>
      </c>
      <c r="L3247" s="1" t="s">
        <v>257</v>
      </c>
      <c r="M3247" s="1"/>
      <c r="N3247" s="1">
        <f t="shared" si="159"/>
        <v>9</v>
      </c>
      <c r="O3247" s="87"/>
    </row>
    <row r="3248" spans="1:15" ht="15.75" hidden="1" x14ac:dyDescent="0.25">
      <c r="A3248" s="1" t="str">
        <f t="shared" si="158"/>
        <v>451994519965.9CURRENTTRANSPORTUBER</v>
      </c>
      <c r="B3248" s="154">
        <v>45199</v>
      </c>
      <c r="C3248" s="154">
        <v>45199</v>
      </c>
      <c r="D3248" s="3" t="s">
        <v>3743</v>
      </c>
      <c r="E3248" s="3">
        <v>-65.900000000000006</v>
      </c>
      <c r="F3248" s="3">
        <v>1</v>
      </c>
      <c r="G3248" s="3">
        <f t="shared" si="160"/>
        <v>65.900000000000006</v>
      </c>
      <c r="H3248" s="3" t="s">
        <v>293</v>
      </c>
      <c r="I3248" s="1" t="s">
        <v>296</v>
      </c>
      <c r="J3248" s="1" t="s">
        <v>299</v>
      </c>
      <c r="K3248" s="1" t="s">
        <v>298</v>
      </c>
      <c r="L3248" s="1" t="s">
        <v>257</v>
      </c>
      <c r="M3248" s="1"/>
      <c r="N3248" s="1">
        <f t="shared" si="159"/>
        <v>9</v>
      </c>
      <c r="O3248" s="87"/>
    </row>
    <row r="3249" spans="1:15" ht="15.75" hidden="1" x14ac:dyDescent="0.25">
      <c r="A3249" s="1" t="str">
        <f t="shared" si="158"/>
        <v>451994519930CURRENTCC BILL PAYMENTBANK</v>
      </c>
      <c r="B3249" s="154">
        <v>45199</v>
      </c>
      <c r="C3249" s="154">
        <v>45199</v>
      </c>
      <c r="D3249" s="3" t="s">
        <v>3744</v>
      </c>
      <c r="E3249" s="3">
        <v>-30</v>
      </c>
      <c r="F3249" s="3">
        <v>1</v>
      </c>
      <c r="G3249" s="3">
        <f t="shared" si="160"/>
        <v>30</v>
      </c>
      <c r="H3249" s="3" t="s">
        <v>293</v>
      </c>
      <c r="I3249" s="1" t="s">
        <v>81</v>
      </c>
      <c r="J3249" s="1" t="s">
        <v>8</v>
      </c>
      <c r="K3249" s="1" t="s">
        <v>298</v>
      </c>
      <c r="L3249" s="1" t="s">
        <v>257</v>
      </c>
      <c r="M3249" s="1"/>
      <c r="N3249" s="1">
        <f t="shared" si="159"/>
        <v>9</v>
      </c>
      <c r="O3249" s="87"/>
    </row>
    <row r="3250" spans="1:15" ht="15.75" hidden="1" x14ac:dyDescent="0.25">
      <c r="A3250" s="1" t="str">
        <f t="shared" si="158"/>
        <v>452004520019.98CURRENTTRANSPORTUBER</v>
      </c>
      <c r="B3250" s="154">
        <v>45200</v>
      </c>
      <c r="C3250" s="154">
        <v>45200</v>
      </c>
      <c r="D3250" s="3" t="s">
        <v>3740</v>
      </c>
      <c r="E3250" s="3">
        <v>-19.98</v>
      </c>
      <c r="F3250" s="3">
        <v>1</v>
      </c>
      <c r="G3250" s="3">
        <f t="shared" si="160"/>
        <v>19.98</v>
      </c>
      <c r="H3250" s="3" t="s">
        <v>293</v>
      </c>
      <c r="I3250" s="1" t="s">
        <v>296</v>
      </c>
      <c r="J3250" s="1" t="s">
        <v>299</v>
      </c>
      <c r="K3250" s="1" t="s">
        <v>298</v>
      </c>
      <c r="L3250" s="1" t="s">
        <v>257</v>
      </c>
      <c r="M3250" s="1"/>
      <c r="N3250" s="1">
        <f t="shared" si="159"/>
        <v>10</v>
      </c>
      <c r="O3250" s="87"/>
    </row>
    <row r="3251" spans="1:15" ht="15.75" hidden="1" x14ac:dyDescent="0.25">
      <c r="A3251" s="1" t="str">
        <f t="shared" si="158"/>
        <v>4520045200500CURRENTSAVINGARTI</v>
      </c>
      <c r="B3251" s="154">
        <v>45200</v>
      </c>
      <c r="C3251" s="154">
        <v>45200</v>
      </c>
      <c r="D3251" s="3" t="s">
        <v>2909</v>
      </c>
      <c r="E3251" s="3">
        <v>-500</v>
      </c>
      <c r="F3251" s="3">
        <v>1</v>
      </c>
      <c r="G3251" s="3">
        <f t="shared" si="160"/>
        <v>500</v>
      </c>
      <c r="H3251" s="3" t="s">
        <v>293</v>
      </c>
      <c r="I3251" s="1" t="s">
        <v>302</v>
      </c>
      <c r="J3251" s="1" t="s">
        <v>453</v>
      </c>
      <c r="K3251" s="1" t="s">
        <v>298</v>
      </c>
      <c r="L3251" s="1" t="s">
        <v>257</v>
      </c>
      <c r="M3251" s="1"/>
      <c r="N3251" s="1">
        <f t="shared" si="159"/>
        <v>10</v>
      </c>
      <c r="O3251" s="87"/>
    </row>
    <row r="3252" spans="1:15" ht="15.75" hidden="1" x14ac:dyDescent="0.25">
      <c r="A3252" s="1" t="str">
        <f t="shared" si="158"/>
        <v>452004520390MASTER CCFOODCAFÉ/REST.</v>
      </c>
      <c r="B3252" s="154">
        <v>45200</v>
      </c>
      <c r="C3252" s="154">
        <v>45203</v>
      </c>
      <c r="D3252" s="3" t="s">
        <v>3982</v>
      </c>
      <c r="E3252" s="3">
        <v>-90</v>
      </c>
      <c r="F3252" s="3">
        <v>1</v>
      </c>
      <c r="G3252" s="3">
        <f t="shared" si="160"/>
        <v>90</v>
      </c>
      <c r="H3252" s="3" t="s">
        <v>291</v>
      </c>
      <c r="I3252" s="1" t="s">
        <v>10</v>
      </c>
      <c r="J3252" s="1" t="s">
        <v>11</v>
      </c>
      <c r="K3252" s="1" t="s">
        <v>298</v>
      </c>
      <c r="L3252" s="1" t="s">
        <v>267</v>
      </c>
      <c r="M3252" s="1"/>
      <c r="N3252" s="1">
        <f t="shared" si="159"/>
        <v>10</v>
      </c>
      <c r="O3252" s="87"/>
    </row>
    <row r="3253" spans="1:15" ht="15.75" hidden="1" x14ac:dyDescent="0.25">
      <c r="A3253" s="1" t="str">
        <f t="shared" si="158"/>
        <v>452004520258MASTER CCGROCERYLULU</v>
      </c>
      <c r="B3253" s="154">
        <v>45200</v>
      </c>
      <c r="C3253" s="154">
        <v>45202</v>
      </c>
      <c r="D3253" s="3" t="s">
        <v>3983</v>
      </c>
      <c r="E3253" s="3">
        <v>-58</v>
      </c>
      <c r="F3253" s="3">
        <v>1</v>
      </c>
      <c r="G3253" s="3">
        <f t="shared" si="160"/>
        <v>58</v>
      </c>
      <c r="H3253" s="3" t="s">
        <v>291</v>
      </c>
      <c r="I3253" s="1" t="s">
        <v>43</v>
      </c>
      <c r="J3253" s="1" t="s">
        <v>44</v>
      </c>
      <c r="K3253" s="1" t="s">
        <v>298</v>
      </c>
      <c r="L3253" s="1" t="s">
        <v>267</v>
      </c>
      <c r="M3253" s="1"/>
      <c r="N3253" s="1">
        <f t="shared" si="159"/>
        <v>10</v>
      </c>
      <c r="O3253" s="87"/>
    </row>
    <row r="3254" spans="1:15" ht="15.75" hidden="1" x14ac:dyDescent="0.25">
      <c r="A3254" s="1" t="str">
        <f t="shared" si="158"/>
        <v>4520045202144.71MASTER CCGROCERYLULU</v>
      </c>
      <c r="B3254" s="154">
        <v>45200</v>
      </c>
      <c r="C3254" s="154">
        <v>45202</v>
      </c>
      <c r="D3254" s="3" t="s">
        <v>3984</v>
      </c>
      <c r="E3254" s="3">
        <v>-144.71</v>
      </c>
      <c r="F3254" s="3">
        <v>1</v>
      </c>
      <c r="G3254" s="3">
        <f t="shared" si="160"/>
        <v>144.71</v>
      </c>
      <c r="H3254" s="3" t="s">
        <v>291</v>
      </c>
      <c r="I3254" s="1" t="s">
        <v>43</v>
      </c>
      <c r="J3254" s="1" t="s">
        <v>44</v>
      </c>
      <c r="K3254" s="1" t="s">
        <v>298</v>
      </c>
      <c r="L3254" s="1" t="s">
        <v>267</v>
      </c>
      <c r="M3254" s="1"/>
      <c r="N3254" s="1">
        <f t="shared" si="159"/>
        <v>10</v>
      </c>
      <c r="O3254" s="87"/>
    </row>
    <row r="3255" spans="1:15" ht="15.75" hidden="1" x14ac:dyDescent="0.25">
      <c r="A3255" s="1" t="str">
        <f t="shared" si="158"/>
        <v>4520045201108.86MASTER CCTRANSPORTWOQOD</v>
      </c>
      <c r="B3255" s="154">
        <v>45200</v>
      </c>
      <c r="C3255" s="154">
        <v>45201</v>
      </c>
      <c r="D3255" s="3" t="s">
        <v>3985</v>
      </c>
      <c r="E3255" s="3">
        <v>-108.86</v>
      </c>
      <c r="F3255" s="3">
        <v>1</v>
      </c>
      <c r="G3255" s="3">
        <f t="shared" si="160"/>
        <v>108.86</v>
      </c>
      <c r="H3255" s="3" t="s">
        <v>291</v>
      </c>
      <c r="I3255" s="1" t="s">
        <v>296</v>
      </c>
      <c r="J3255" s="1" t="s">
        <v>1942</v>
      </c>
      <c r="K3255" s="1" t="s">
        <v>298</v>
      </c>
      <c r="L3255" s="1" t="s">
        <v>267</v>
      </c>
      <c r="M3255" s="1"/>
      <c r="N3255" s="1">
        <f t="shared" si="159"/>
        <v>10</v>
      </c>
      <c r="O3255" s="87"/>
    </row>
    <row r="3256" spans="1:15" ht="15.75" hidden="1" x14ac:dyDescent="0.25">
      <c r="A3256" s="1" t="str">
        <f t="shared" si="158"/>
        <v>45201452047MASTER CCFOODCAFÉ/REST.</v>
      </c>
      <c r="B3256" s="154">
        <v>45201</v>
      </c>
      <c r="C3256" s="154">
        <v>45204</v>
      </c>
      <c r="D3256" s="3" t="s">
        <v>3978</v>
      </c>
      <c r="E3256" s="3">
        <v>-7</v>
      </c>
      <c r="F3256" s="3">
        <v>1</v>
      </c>
      <c r="G3256" s="3">
        <f t="shared" si="160"/>
        <v>7</v>
      </c>
      <c r="H3256" s="3" t="s">
        <v>291</v>
      </c>
      <c r="I3256" s="1" t="s">
        <v>10</v>
      </c>
      <c r="J3256" s="1" t="s">
        <v>11</v>
      </c>
      <c r="K3256" s="1" t="s">
        <v>298</v>
      </c>
      <c r="L3256" s="1" t="s">
        <v>267</v>
      </c>
      <c r="M3256" s="1"/>
      <c r="N3256" s="1">
        <f t="shared" si="159"/>
        <v>10</v>
      </c>
      <c r="O3256" s="87"/>
    </row>
    <row r="3257" spans="1:15" ht="15.75" hidden="1" x14ac:dyDescent="0.25">
      <c r="A3257" s="1" t="str">
        <f t="shared" si="158"/>
        <v>452014520435MASTER CCFOODCAFÉ/REST.</v>
      </c>
      <c r="B3257" s="154">
        <v>45201</v>
      </c>
      <c r="C3257" s="154">
        <v>45204</v>
      </c>
      <c r="D3257" s="3" t="s">
        <v>3979</v>
      </c>
      <c r="E3257" s="3">
        <v>-35</v>
      </c>
      <c r="F3257" s="3">
        <v>1</v>
      </c>
      <c r="G3257" s="3">
        <f t="shared" si="160"/>
        <v>35</v>
      </c>
      <c r="H3257" s="3" t="s">
        <v>291</v>
      </c>
      <c r="I3257" s="1" t="s">
        <v>10</v>
      </c>
      <c r="J3257" s="1" t="s">
        <v>11</v>
      </c>
      <c r="K3257" s="1" t="s">
        <v>298</v>
      </c>
      <c r="L3257" s="1" t="s">
        <v>267</v>
      </c>
      <c r="M3257" s="1"/>
      <c r="N3257" s="1">
        <f t="shared" si="159"/>
        <v>10</v>
      </c>
      <c r="O3257" s="87"/>
    </row>
    <row r="3258" spans="1:15" ht="15.75" hidden="1" x14ac:dyDescent="0.25">
      <c r="A3258" s="1" t="str">
        <f t="shared" si="158"/>
        <v>452014520439MASTER CCFOODCAFÉ/REST.</v>
      </c>
      <c r="B3258" s="154">
        <v>45201</v>
      </c>
      <c r="C3258" s="154">
        <v>45204</v>
      </c>
      <c r="D3258" s="3" t="s">
        <v>3980</v>
      </c>
      <c r="E3258" s="3">
        <v>-39</v>
      </c>
      <c r="F3258" s="3">
        <v>1</v>
      </c>
      <c r="G3258" s="3">
        <f t="shared" si="160"/>
        <v>39</v>
      </c>
      <c r="H3258" s="3" t="s">
        <v>291</v>
      </c>
      <c r="I3258" s="1" t="s">
        <v>10</v>
      </c>
      <c r="J3258" s="1" t="s">
        <v>11</v>
      </c>
      <c r="K3258" s="1" t="s">
        <v>298</v>
      </c>
      <c r="L3258" s="1" t="s">
        <v>267</v>
      </c>
      <c r="M3258" s="1"/>
      <c r="N3258" s="1">
        <f t="shared" si="159"/>
        <v>10</v>
      </c>
      <c r="O3258" s="87"/>
    </row>
    <row r="3259" spans="1:15" ht="15.75" hidden="1" x14ac:dyDescent="0.25">
      <c r="A3259" s="1" t="str">
        <f t="shared" si="158"/>
        <v>452014520344MASTER CCGROCERYLULU</v>
      </c>
      <c r="B3259" s="154">
        <v>45201</v>
      </c>
      <c r="C3259" s="154">
        <v>45203</v>
      </c>
      <c r="D3259" s="3" t="s">
        <v>3981</v>
      </c>
      <c r="E3259" s="3">
        <v>-44</v>
      </c>
      <c r="F3259" s="3">
        <v>1</v>
      </c>
      <c r="G3259" s="3">
        <f t="shared" si="160"/>
        <v>44</v>
      </c>
      <c r="H3259" s="3" t="s">
        <v>291</v>
      </c>
      <c r="I3259" s="1" t="s">
        <v>43</v>
      </c>
      <c r="J3259" s="1" t="s">
        <v>44</v>
      </c>
      <c r="K3259" s="1" t="s">
        <v>298</v>
      </c>
      <c r="L3259" s="1" t="s">
        <v>267</v>
      </c>
      <c r="M3259" s="1"/>
      <c r="N3259" s="1">
        <f t="shared" si="159"/>
        <v>10</v>
      </c>
      <c r="O3259" s="87"/>
    </row>
    <row r="3260" spans="1:15" ht="15.75" hidden="1" x14ac:dyDescent="0.25">
      <c r="A3260" s="1" t="str">
        <f t="shared" si="158"/>
        <v>45202452022518CURRENTTRANSFERINDIA</v>
      </c>
      <c r="B3260" s="154">
        <v>45202</v>
      </c>
      <c r="C3260" s="154">
        <v>45202</v>
      </c>
      <c r="D3260" s="3" t="s">
        <v>3734</v>
      </c>
      <c r="E3260" s="3">
        <v>-2518</v>
      </c>
      <c r="F3260" s="3">
        <v>1</v>
      </c>
      <c r="G3260" s="3">
        <f t="shared" si="160"/>
        <v>2518</v>
      </c>
      <c r="H3260" s="3" t="s">
        <v>293</v>
      </c>
      <c r="I3260" s="1" t="s">
        <v>22</v>
      </c>
      <c r="J3260" s="1" t="s">
        <v>23</v>
      </c>
      <c r="K3260" s="1" t="s">
        <v>298</v>
      </c>
      <c r="L3260" s="1" t="s">
        <v>257</v>
      </c>
      <c r="M3260" s="1"/>
      <c r="N3260" s="1">
        <f t="shared" si="159"/>
        <v>10</v>
      </c>
      <c r="O3260" s="87"/>
    </row>
    <row r="3261" spans="1:15" ht="15.75" hidden="1" x14ac:dyDescent="0.25">
      <c r="A3261" s="1" t="str">
        <f t="shared" si="158"/>
        <v>45202452022518CURRENTTRANSFERINDIA</v>
      </c>
      <c r="B3261" s="154">
        <v>45202</v>
      </c>
      <c r="C3261" s="154">
        <v>45202</v>
      </c>
      <c r="D3261" s="3" t="s">
        <v>3735</v>
      </c>
      <c r="E3261" s="3">
        <v>-2518</v>
      </c>
      <c r="F3261" s="3">
        <v>1</v>
      </c>
      <c r="G3261" s="3">
        <f t="shared" si="160"/>
        <v>2518</v>
      </c>
      <c r="H3261" s="3" t="s">
        <v>293</v>
      </c>
      <c r="I3261" s="1" t="s">
        <v>22</v>
      </c>
      <c r="J3261" s="1" t="s">
        <v>23</v>
      </c>
      <c r="K3261" s="1" t="s">
        <v>298</v>
      </c>
      <c r="L3261" s="1" t="s">
        <v>257</v>
      </c>
      <c r="M3261" s="1"/>
      <c r="N3261" s="1">
        <f t="shared" si="159"/>
        <v>10</v>
      </c>
      <c r="O3261" s="87"/>
    </row>
    <row r="3262" spans="1:15" ht="15.75" hidden="1" x14ac:dyDescent="0.25">
      <c r="A3262" s="1" t="str">
        <f t="shared" si="158"/>
        <v>452024520226.75CURRENTTRANSPORTUBER</v>
      </c>
      <c r="B3262" s="154">
        <v>45202</v>
      </c>
      <c r="C3262" s="154">
        <v>45202</v>
      </c>
      <c r="D3262" s="3" t="s">
        <v>3736</v>
      </c>
      <c r="E3262" s="3">
        <v>-26.75</v>
      </c>
      <c r="F3262" s="3">
        <v>1</v>
      </c>
      <c r="G3262" s="3">
        <f t="shared" si="160"/>
        <v>26.75</v>
      </c>
      <c r="H3262" s="3" t="s">
        <v>293</v>
      </c>
      <c r="I3262" s="1" t="s">
        <v>296</v>
      </c>
      <c r="J3262" s="1" t="s">
        <v>299</v>
      </c>
      <c r="K3262" s="1" t="s">
        <v>298</v>
      </c>
      <c r="L3262" s="1" t="s">
        <v>257</v>
      </c>
      <c r="M3262" s="1"/>
      <c r="N3262" s="1">
        <f t="shared" si="159"/>
        <v>10</v>
      </c>
      <c r="O3262" s="87"/>
    </row>
    <row r="3263" spans="1:15" ht="15.75" hidden="1" x14ac:dyDescent="0.25">
      <c r="A3263" s="1" t="str">
        <f t="shared" si="158"/>
        <v>452024520220000CURRENTSAVINGSELF</v>
      </c>
      <c r="B3263" s="154">
        <v>45202</v>
      </c>
      <c r="C3263" s="154">
        <v>45202</v>
      </c>
      <c r="D3263" s="3" t="s">
        <v>3737</v>
      </c>
      <c r="E3263" s="3">
        <v>-20000</v>
      </c>
      <c r="F3263" s="3">
        <v>1</v>
      </c>
      <c r="G3263" s="3">
        <f t="shared" si="160"/>
        <v>20000</v>
      </c>
      <c r="H3263" s="3" t="s">
        <v>293</v>
      </c>
      <c r="I3263" s="1" t="s">
        <v>302</v>
      </c>
      <c r="J3263" s="1" t="s">
        <v>14</v>
      </c>
      <c r="K3263" s="1" t="s">
        <v>298</v>
      </c>
      <c r="L3263" s="1" t="s">
        <v>257</v>
      </c>
      <c r="M3263" s="1"/>
      <c r="N3263" s="1">
        <f t="shared" si="159"/>
        <v>10</v>
      </c>
      <c r="O3263" s="87"/>
    </row>
    <row r="3264" spans="1:15" ht="15.75" hidden="1" x14ac:dyDescent="0.25">
      <c r="A3264" s="1" t="str">
        <f t="shared" si="158"/>
        <v>452024520258CURRENTFOODTALABAT</v>
      </c>
      <c r="B3264" s="154">
        <v>45202</v>
      </c>
      <c r="C3264" s="154">
        <v>45202</v>
      </c>
      <c r="D3264" s="3" t="s">
        <v>3738</v>
      </c>
      <c r="E3264" s="3">
        <v>-58</v>
      </c>
      <c r="F3264" s="3">
        <v>1</v>
      </c>
      <c r="G3264" s="3">
        <f t="shared" si="160"/>
        <v>58</v>
      </c>
      <c r="H3264" s="3" t="s">
        <v>293</v>
      </c>
      <c r="I3264" s="1" t="s">
        <v>10</v>
      </c>
      <c r="J3264" s="1" t="s">
        <v>865</v>
      </c>
      <c r="K3264" s="1" t="s">
        <v>298</v>
      </c>
      <c r="L3264" s="1" t="s">
        <v>257</v>
      </c>
      <c r="M3264" s="1"/>
      <c r="N3264" s="1">
        <f t="shared" si="159"/>
        <v>10</v>
      </c>
      <c r="O3264" s="87"/>
    </row>
    <row r="3265" spans="1:15" ht="15.75" hidden="1" x14ac:dyDescent="0.25">
      <c r="A3265" s="1" t="str">
        <f t="shared" si="158"/>
        <v>452024520245CURRENTFOODTALABAT</v>
      </c>
      <c r="B3265" s="154">
        <v>45202</v>
      </c>
      <c r="C3265" s="154">
        <v>45202</v>
      </c>
      <c r="D3265" s="3" t="s">
        <v>3739</v>
      </c>
      <c r="E3265" s="3">
        <v>-45</v>
      </c>
      <c r="F3265" s="3">
        <v>1</v>
      </c>
      <c r="G3265" s="3">
        <f t="shared" si="160"/>
        <v>45</v>
      </c>
      <c r="H3265" s="3" t="s">
        <v>293</v>
      </c>
      <c r="I3265" s="1" t="s">
        <v>10</v>
      </c>
      <c r="J3265" s="1" t="s">
        <v>865</v>
      </c>
      <c r="K3265" s="1" t="s">
        <v>298</v>
      </c>
      <c r="L3265" s="1" t="s">
        <v>257</v>
      </c>
      <c r="M3265" s="1"/>
      <c r="N3265" s="1">
        <f t="shared" si="159"/>
        <v>10</v>
      </c>
      <c r="O3265" s="87"/>
    </row>
    <row r="3266" spans="1:15" ht="15.75" hidden="1" x14ac:dyDescent="0.25">
      <c r="A3266" s="1" t="str">
        <f t="shared" ref="A3266:A3329" si="161">B3266&amp;C3266&amp;G3266&amp;H3266&amp;I3266&amp;J3266</f>
        <v>4520245204187MASTER CCSHOPPINGBBW</v>
      </c>
      <c r="B3266" s="154">
        <v>45202</v>
      </c>
      <c r="C3266" s="154">
        <v>45204</v>
      </c>
      <c r="D3266" s="3" t="s">
        <v>3976</v>
      </c>
      <c r="E3266" s="3">
        <v>-187</v>
      </c>
      <c r="F3266" s="3">
        <v>1</v>
      </c>
      <c r="G3266" s="3">
        <f t="shared" si="160"/>
        <v>187</v>
      </c>
      <c r="H3266" s="3" t="s">
        <v>291</v>
      </c>
      <c r="I3266" s="1" t="s">
        <v>194</v>
      </c>
      <c r="J3266" s="1" t="s">
        <v>4109</v>
      </c>
      <c r="K3266" s="1" t="s">
        <v>298</v>
      </c>
      <c r="L3266" s="1" t="s">
        <v>267</v>
      </c>
      <c r="M3266" s="1"/>
      <c r="N3266" s="1">
        <f t="shared" ref="N3266:N3329" si="162">MONTH(C3266)</f>
        <v>10</v>
      </c>
      <c r="O3266" s="87"/>
    </row>
    <row r="3267" spans="1:15" ht="15.75" hidden="1" x14ac:dyDescent="0.25">
      <c r="A3267" s="1" t="str">
        <f t="shared" si="161"/>
        <v>452024520427MASTER CCFOODQATAR AIR</v>
      </c>
      <c r="B3267" s="154">
        <v>45202</v>
      </c>
      <c r="C3267" s="154">
        <v>45204</v>
      </c>
      <c r="D3267" s="3" t="s">
        <v>3977</v>
      </c>
      <c r="E3267" s="3">
        <v>-27</v>
      </c>
      <c r="F3267" s="3">
        <v>1</v>
      </c>
      <c r="G3267" s="3">
        <f t="shared" si="160"/>
        <v>27</v>
      </c>
      <c r="H3267" s="3" t="s">
        <v>291</v>
      </c>
      <c r="I3267" s="1" t="s">
        <v>10</v>
      </c>
      <c r="J3267" s="1" t="s">
        <v>19</v>
      </c>
      <c r="K3267" s="1" t="s">
        <v>298</v>
      </c>
      <c r="L3267" s="1" t="s">
        <v>267</v>
      </c>
      <c r="M3267" s="1"/>
      <c r="N3267" s="1">
        <f t="shared" si="162"/>
        <v>10</v>
      </c>
      <c r="O3267" s="87"/>
    </row>
    <row r="3268" spans="1:15" ht="15.75" hidden="1" x14ac:dyDescent="0.25">
      <c r="A3268" s="1" t="str">
        <f t="shared" si="161"/>
        <v>4520245203104DINERSTELECOMOOREDOO</v>
      </c>
      <c r="B3268" s="154">
        <v>45202</v>
      </c>
      <c r="C3268" s="154">
        <v>45203</v>
      </c>
      <c r="D3268" s="3" t="s">
        <v>4070</v>
      </c>
      <c r="E3268" s="3">
        <v>-104</v>
      </c>
      <c r="F3268" s="3">
        <v>1</v>
      </c>
      <c r="G3268" s="3">
        <f t="shared" si="160"/>
        <v>104</v>
      </c>
      <c r="H3268" s="3" t="s">
        <v>266</v>
      </c>
      <c r="I3268" s="1" t="s">
        <v>58</v>
      </c>
      <c r="J3268" s="1" t="s">
        <v>59</v>
      </c>
      <c r="K3268" s="1" t="s">
        <v>298</v>
      </c>
      <c r="L3268" s="1" t="s">
        <v>267</v>
      </c>
      <c r="M3268" s="1"/>
      <c r="N3268" s="1">
        <f t="shared" si="162"/>
        <v>10</v>
      </c>
      <c r="O3268" s="87"/>
    </row>
    <row r="3269" spans="1:15" ht="15.75" hidden="1" x14ac:dyDescent="0.25">
      <c r="A3269" s="1" t="str">
        <f t="shared" si="161"/>
        <v>4520245202250DINERSRENTVODAFONE</v>
      </c>
      <c r="B3269" s="154">
        <v>45202</v>
      </c>
      <c r="C3269" s="154">
        <v>45202</v>
      </c>
      <c r="D3269" s="3" t="s">
        <v>4071</v>
      </c>
      <c r="E3269" s="3">
        <v>-250</v>
      </c>
      <c r="F3269" s="3">
        <v>1</v>
      </c>
      <c r="G3269" s="3">
        <f t="shared" si="160"/>
        <v>250</v>
      </c>
      <c r="H3269" s="3" t="s">
        <v>266</v>
      </c>
      <c r="I3269" s="1" t="s">
        <v>83</v>
      </c>
      <c r="J3269" s="1" t="s">
        <v>78</v>
      </c>
      <c r="K3269" s="1" t="s">
        <v>298</v>
      </c>
      <c r="L3269" s="1" t="s">
        <v>267</v>
      </c>
      <c r="M3269" s="1"/>
      <c r="N3269" s="1">
        <f t="shared" si="162"/>
        <v>10</v>
      </c>
      <c r="O3269" s="87"/>
    </row>
    <row r="3270" spans="1:15" ht="15.75" hidden="1" x14ac:dyDescent="0.25">
      <c r="A3270" s="1" t="str">
        <f t="shared" si="161"/>
        <v>452024520282DINERSRENTKAHRAMAA</v>
      </c>
      <c r="B3270" s="154">
        <v>45202</v>
      </c>
      <c r="C3270" s="154">
        <v>45202</v>
      </c>
      <c r="D3270" s="3" t="s">
        <v>4072</v>
      </c>
      <c r="E3270" s="3">
        <v>-82</v>
      </c>
      <c r="F3270" s="3">
        <v>1</v>
      </c>
      <c r="G3270" s="3">
        <f t="shared" si="160"/>
        <v>82</v>
      </c>
      <c r="H3270" s="3" t="s">
        <v>266</v>
      </c>
      <c r="I3270" s="1" t="s">
        <v>83</v>
      </c>
      <c r="J3270" s="1" t="s">
        <v>4113</v>
      </c>
      <c r="K3270" s="1" t="s">
        <v>298</v>
      </c>
      <c r="L3270" s="1" t="s">
        <v>267</v>
      </c>
      <c r="M3270" s="1"/>
      <c r="N3270" s="1">
        <f t="shared" si="162"/>
        <v>10</v>
      </c>
      <c r="O3270" s="87"/>
    </row>
    <row r="3271" spans="1:15" ht="15.75" hidden="1" x14ac:dyDescent="0.25">
      <c r="A3271" s="1" t="str">
        <f t="shared" si="161"/>
        <v>45204452045000CURRENTRENTBARWA</v>
      </c>
      <c r="B3271" s="154">
        <v>45204</v>
      </c>
      <c r="C3271" s="154">
        <v>45204</v>
      </c>
      <c r="D3271" s="3" t="s">
        <v>3733</v>
      </c>
      <c r="E3271" s="3">
        <v>-5000</v>
      </c>
      <c r="F3271" s="3">
        <v>1</v>
      </c>
      <c r="G3271" s="3">
        <f t="shared" si="160"/>
        <v>5000</v>
      </c>
      <c r="H3271" s="3" t="s">
        <v>293</v>
      </c>
      <c r="I3271" s="1" t="s">
        <v>83</v>
      </c>
      <c r="J3271" s="1" t="s">
        <v>3633</v>
      </c>
      <c r="K3271" s="1" t="s">
        <v>298</v>
      </c>
      <c r="L3271" s="1" t="s">
        <v>257</v>
      </c>
      <c r="M3271" s="1"/>
      <c r="N3271" s="1">
        <f t="shared" si="162"/>
        <v>10</v>
      </c>
      <c r="O3271" s="87"/>
    </row>
    <row r="3272" spans="1:15" ht="15.75" hidden="1" x14ac:dyDescent="0.25">
      <c r="A3272" s="1" t="str">
        <f t="shared" si="161"/>
        <v>4520445207112MASTER CCGROCERYSAFARI</v>
      </c>
      <c r="B3272" s="154">
        <v>45204</v>
      </c>
      <c r="C3272" s="154">
        <v>45207</v>
      </c>
      <c r="D3272" s="3" t="s">
        <v>3974</v>
      </c>
      <c r="E3272" s="3">
        <v>-112</v>
      </c>
      <c r="F3272" s="3">
        <v>1</v>
      </c>
      <c r="G3272" s="3">
        <f t="shared" si="160"/>
        <v>112</v>
      </c>
      <c r="H3272" s="3" t="s">
        <v>291</v>
      </c>
      <c r="I3272" s="1" t="s">
        <v>43</v>
      </c>
      <c r="J3272" s="1" t="s">
        <v>3498</v>
      </c>
      <c r="K3272" s="1" t="s">
        <v>298</v>
      </c>
      <c r="L3272" s="1" t="s">
        <v>267</v>
      </c>
      <c r="M3272" s="1"/>
      <c r="N3272" s="1">
        <f t="shared" si="162"/>
        <v>10</v>
      </c>
      <c r="O3272" s="87"/>
    </row>
    <row r="3273" spans="1:15" ht="15.75" hidden="1" x14ac:dyDescent="0.25">
      <c r="A3273" s="1" t="str">
        <f t="shared" si="161"/>
        <v>4520445205199.99MASTER CCENTERTAINMENTDISNEY</v>
      </c>
      <c r="B3273" s="154">
        <v>45204</v>
      </c>
      <c r="C3273" s="154">
        <v>45205</v>
      </c>
      <c r="D3273" s="3" t="s">
        <v>3975</v>
      </c>
      <c r="E3273" s="3">
        <v>-199.99</v>
      </c>
      <c r="F3273" s="3">
        <v>1</v>
      </c>
      <c r="G3273" s="3">
        <f t="shared" si="160"/>
        <v>199.99</v>
      </c>
      <c r="H3273" s="3" t="s">
        <v>291</v>
      </c>
      <c r="I3273" s="1" t="s">
        <v>2476</v>
      </c>
      <c r="J3273" s="1" t="s">
        <v>2477</v>
      </c>
      <c r="K3273" s="1" t="s">
        <v>298</v>
      </c>
      <c r="L3273" s="1" t="s">
        <v>267</v>
      </c>
      <c r="M3273" s="1"/>
      <c r="N3273" s="1">
        <f t="shared" si="162"/>
        <v>10</v>
      </c>
      <c r="O3273" s="87"/>
    </row>
    <row r="3274" spans="1:15" ht="15.75" hidden="1" x14ac:dyDescent="0.25">
      <c r="A3274" s="1" t="str">
        <f t="shared" si="161"/>
        <v>452054520837MASTER CCFOODWISHBOX</v>
      </c>
      <c r="B3274" s="154">
        <v>45205</v>
      </c>
      <c r="C3274" s="154">
        <v>45208</v>
      </c>
      <c r="D3274" s="3" t="s">
        <v>3969</v>
      </c>
      <c r="E3274" s="3">
        <v>-37</v>
      </c>
      <c r="F3274" s="3">
        <v>1</v>
      </c>
      <c r="G3274" s="3">
        <f t="shared" si="160"/>
        <v>37</v>
      </c>
      <c r="H3274" s="3" t="s">
        <v>291</v>
      </c>
      <c r="I3274" s="1" t="s">
        <v>10</v>
      </c>
      <c r="J3274" s="1" t="s">
        <v>1199</v>
      </c>
      <c r="K3274" s="1" t="s">
        <v>298</v>
      </c>
      <c r="L3274" s="1" t="s">
        <v>267</v>
      </c>
      <c r="M3274" s="1"/>
      <c r="N3274" s="1">
        <f t="shared" si="162"/>
        <v>10</v>
      </c>
      <c r="O3274" s="87"/>
    </row>
    <row r="3275" spans="1:15" ht="15.75" hidden="1" x14ac:dyDescent="0.25">
      <c r="A3275" s="1" t="str">
        <f t="shared" si="161"/>
        <v>452054520818MASTER CCGROCERYMANGO</v>
      </c>
      <c r="B3275" s="154">
        <v>45205</v>
      </c>
      <c r="C3275" s="154">
        <v>45208</v>
      </c>
      <c r="D3275" s="3" t="s">
        <v>3970</v>
      </c>
      <c r="E3275" s="3">
        <v>-18</v>
      </c>
      <c r="F3275" s="3">
        <v>1</v>
      </c>
      <c r="G3275" s="3">
        <f t="shared" ref="G3275:G3338" si="163">ABS(E3275)*F3275</f>
        <v>18</v>
      </c>
      <c r="H3275" s="3" t="s">
        <v>291</v>
      </c>
      <c r="I3275" s="1" t="s">
        <v>43</v>
      </c>
      <c r="J3275" s="1" t="s">
        <v>3634</v>
      </c>
      <c r="K3275" s="1" t="s">
        <v>298</v>
      </c>
      <c r="L3275" s="1" t="s">
        <v>267</v>
      </c>
      <c r="M3275" s="1"/>
      <c r="N3275" s="1">
        <f t="shared" si="162"/>
        <v>10</v>
      </c>
      <c r="O3275" s="87"/>
    </row>
    <row r="3276" spans="1:15" ht="15.75" hidden="1" x14ac:dyDescent="0.25">
      <c r="A3276" s="1" t="str">
        <f t="shared" si="161"/>
        <v>452054520847MASTER CCFOODTALABAT</v>
      </c>
      <c r="B3276" s="154">
        <v>45205</v>
      </c>
      <c r="C3276" s="154">
        <v>45208</v>
      </c>
      <c r="D3276" s="3" t="s">
        <v>3971</v>
      </c>
      <c r="E3276" s="3">
        <v>-47</v>
      </c>
      <c r="F3276" s="3">
        <v>1</v>
      </c>
      <c r="G3276" s="3">
        <f t="shared" si="163"/>
        <v>47</v>
      </c>
      <c r="H3276" s="3" t="s">
        <v>291</v>
      </c>
      <c r="I3276" s="1" t="s">
        <v>10</v>
      </c>
      <c r="J3276" s="1" t="s">
        <v>865</v>
      </c>
      <c r="K3276" s="1" t="s">
        <v>298</v>
      </c>
      <c r="L3276" s="1" t="s">
        <v>267</v>
      </c>
      <c r="M3276" s="1"/>
      <c r="N3276" s="1">
        <f t="shared" si="162"/>
        <v>10</v>
      </c>
      <c r="O3276" s="87"/>
    </row>
    <row r="3277" spans="1:15" ht="15.75" hidden="1" x14ac:dyDescent="0.25">
      <c r="A3277" s="1" t="str">
        <f t="shared" si="161"/>
        <v>45205452079MASTER CCFOODCAFÉ/REST.</v>
      </c>
      <c r="B3277" s="154">
        <v>45205</v>
      </c>
      <c r="C3277" s="154">
        <v>45207</v>
      </c>
      <c r="D3277" s="3" t="s">
        <v>3972</v>
      </c>
      <c r="E3277" s="3">
        <v>-9</v>
      </c>
      <c r="F3277" s="3">
        <v>1</v>
      </c>
      <c r="G3277" s="3">
        <f t="shared" si="163"/>
        <v>9</v>
      </c>
      <c r="H3277" s="3" t="s">
        <v>291</v>
      </c>
      <c r="I3277" s="1" t="s">
        <v>10</v>
      </c>
      <c r="J3277" s="1" t="s">
        <v>11</v>
      </c>
      <c r="K3277" s="1" t="s">
        <v>298</v>
      </c>
      <c r="L3277" s="1" t="s">
        <v>267</v>
      </c>
      <c r="M3277" s="1"/>
      <c r="N3277" s="1">
        <f t="shared" si="162"/>
        <v>10</v>
      </c>
      <c r="O3277" s="87"/>
    </row>
    <row r="3278" spans="1:15" ht="15.75" hidden="1" x14ac:dyDescent="0.25">
      <c r="A3278" s="1" t="str">
        <f t="shared" si="161"/>
        <v>452054520723.57MASTER CCGROCERYREDROSE</v>
      </c>
      <c r="B3278" s="154">
        <v>45205</v>
      </c>
      <c r="C3278" s="154">
        <v>45207</v>
      </c>
      <c r="D3278" s="3" t="s">
        <v>3973</v>
      </c>
      <c r="E3278" s="3">
        <v>-23.57</v>
      </c>
      <c r="F3278" s="3">
        <v>1</v>
      </c>
      <c r="G3278" s="3">
        <f t="shared" si="163"/>
        <v>23.57</v>
      </c>
      <c r="H3278" s="3" t="s">
        <v>291</v>
      </c>
      <c r="I3278" s="1" t="s">
        <v>43</v>
      </c>
      <c r="J3278" s="1" t="s">
        <v>4082</v>
      </c>
      <c r="K3278" s="1" t="s">
        <v>298</v>
      </c>
      <c r="L3278" s="1" t="s">
        <v>267</v>
      </c>
      <c r="M3278" s="1"/>
      <c r="N3278" s="1">
        <f t="shared" si="162"/>
        <v>10</v>
      </c>
      <c r="O3278" s="87"/>
    </row>
    <row r="3279" spans="1:15" ht="15.75" hidden="1" x14ac:dyDescent="0.25">
      <c r="A3279" s="1" t="str">
        <f t="shared" si="161"/>
        <v>4520645209158.05MASTER CCGROCERYINDIAN SUPER</v>
      </c>
      <c r="B3279" s="154">
        <v>45206</v>
      </c>
      <c r="C3279" s="154">
        <v>45209</v>
      </c>
      <c r="D3279" s="3" t="s">
        <v>3968</v>
      </c>
      <c r="E3279" s="3">
        <v>-158.05000000000001</v>
      </c>
      <c r="F3279" s="3">
        <v>1</v>
      </c>
      <c r="G3279" s="3">
        <f t="shared" si="163"/>
        <v>158.05000000000001</v>
      </c>
      <c r="H3279" s="3" t="s">
        <v>291</v>
      </c>
      <c r="I3279" s="1" t="s">
        <v>43</v>
      </c>
      <c r="J3279" s="1" t="s">
        <v>2273</v>
      </c>
      <c r="K3279" s="1" t="s">
        <v>298</v>
      </c>
      <c r="L3279" s="1" t="s">
        <v>267</v>
      </c>
      <c r="M3279" s="1"/>
      <c r="N3279" s="1">
        <f t="shared" si="162"/>
        <v>10</v>
      </c>
      <c r="O3279" s="87"/>
    </row>
    <row r="3280" spans="1:15" ht="15.75" hidden="1" x14ac:dyDescent="0.25">
      <c r="A3280" s="1" t="str">
        <f t="shared" si="161"/>
        <v>452074520776.5CURRENTFOODTALABAT</v>
      </c>
      <c r="B3280" s="154">
        <v>45207</v>
      </c>
      <c r="C3280" s="154">
        <v>45207</v>
      </c>
      <c r="D3280" s="3" t="s">
        <v>3732</v>
      </c>
      <c r="E3280" s="3">
        <v>-76.5</v>
      </c>
      <c r="F3280" s="3">
        <v>1</v>
      </c>
      <c r="G3280" s="3">
        <f t="shared" si="163"/>
        <v>76.5</v>
      </c>
      <c r="H3280" s="3" t="s">
        <v>293</v>
      </c>
      <c r="I3280" s="1" t="s">
        <v>10</v>
      </c>
      <c r="J3280" s="1" t="s">
        <v>865</v>
      </c>
      <c r="K3280" s="1" t="s">
        <v>298</v>
      </c>
      <c r="L3280" s="1" t="s">
        <v>257</v>
      </c>
      <c r="M3280" s="1"/>
      <c r="N3280" s="1">
        <f t="shared" si="162"/>
        <v>10</v>
      </c>
      <c r="O3280" s="87"/>
    </row>
    <row r="3281" spans="1:15" ht="15.75" hidden="1" x14ac:dyDescent="0.25">
      <c r="A3281" s="1" t="str">
        <f t="shared" si="161"/>
        <v>452074520953MASTER CCFOODWISHBOX</v>
      </c>
      <c r="B3281" s="154">
        <v>45207</v>
      </c>
      <c r="C3281" s="154">
        <v>45209</v>
      </c>
      <c r="D3281" s="3" t="s">
        <v>3967</v>
      </c>
      <c r="E3281" s="3">
        <v>-53</v>
      </c>
      <c r="F3281" s="3">
        <v>1</v>
      </c>
      <c r="G3281" s="3">
        <f t="shared" si="163"/>
        <v>53</v>
      </c>
      <c r="H3281" s="3" t="s">
        <v>291</v>
      </c>
      <c r="I3281" s="1" t="s">
        <v>10</v>
      </c>
      <c r="J3281" s="1" t="s">
        <v>1199</v>
      </c>
      <c r="K3281" s="1" t="s">
        <v>298</v>
      </c>
      <c r="L3281" s="1" t="s">
        <v>267</v>
      </c>
      <c r="M3281" s="1"/>
      <c r="N3281" s="1">
        <f t="shared" si="162"/>
        <v>10</v>
      </c>
      <c r="O3281" s="87"/>
    </row>
    <row r="3282" spans="1:15" ht="15.75" hidden="1" x14ac:dyDescent="0.25">
      <c r="A3282" s="1" t="str">
        <f t="shared" si="161"/>
        <v>452084521155MASTER CCFOODTALABAT</v>
      </c>
      <c r="B3282" s="154">
        <v>45208</v>
      </c>
      <c r="C3282" s="154">
        <v>45211</v>
      </c>
      <c r="D3282" s="3" t="s">
        <v>3966</v>
      </c>
      <c r="E3282" s="3">
        <v>-55</v>
      </c>
      <c r="F3282" s="3">
        <v>1</v>
      </c>
      <c r="G3282" s="3">
        <f t="shared" si="163"/>
        <v>55</v>
      </c>
      <c r="H3282" s="3" t="s">
        <v>291</v>
      </c>
      <c r="I3282" s="1" t="s">
        <v>10</v>
      </c>
      <c r="J3282" s="1" t="s">
        <v>865</v>
      </c>
      <c r="K3282" s="1" t="s">
        <v>298</v>
      </c>
      <c r="L3282" s="1" t="s">
        <v>267</v>
      </c>
      <c r="M3282" s="1"/>
      <c r="N3282" s="1">
        <f t="shared" si="162"/>
        <v>10</v>
      </c>
      <c r="O3282" s="87"/>
    </row>
    <row r="3283" spans="1:15" ht="15.75" hidden="1" x14ac:dyDescent="0.25">
      <c r="A3283" s="1" t="str">
        <f t="shared" si="161"/>
        <v>452114521437MASTER CCFOODTALABAT</v>
      </c>
      <c r="B3283" s="154">
        <v>45211</v>
      </c>
      <c r="C3283" s="154">
        <v>45214</v>
      </c>
      <c r="D3283" s="3" t="s">
        <v>3964</v>
      </c>
      <c r="E3283" s="3">
        <v>-37</v>
      </c>
      <c r="F3283" s="3">
        <v>1</v>
      </c>
      <c r="G3283" s="3">
        <f t="shared" si="163"/>
        <v>37</v>
      </c>
      <c r="H3283" s="3" t="s">
        <v>291</v>
      </c>
      <c r="I3283" s="1" t="s">
        <v>10</v>
      </c>
      <c r="J3283" s="1" t="s">
        <v>865</v>
      </c>
      <c r="K3283" s="1" t="s">
        <v>298</v>
      </c>
      <c r="L3283" s="1" t="s">
        <v>267</v>
      </c>
      <c r="M3283" s="1"/>
      <c r="N3283" s="1">
        <f t="shared" si="162"/>
        <v>10</v>
      </c>
      <c r="O3283" s="87"/>
    </row>
    <row r="3284" spans="1:15" ht="15.75" hidden="1" x14ac:dyDescent="0.25">
      <c r="A3284" s="1" t="str">
        <f t="shared" si="161"/>
        <v>452114521320MASTER CCGROCERYREDROSE</v>
      </c>
      <c r="B3284" s="154">
        <v>45211</v>
      </c>
      <c r="C3284" s="154">
        <v>45213</v>
      </c>
      <c r="D3284" s="3" t="s">
        <v>3965</v>
      </c>
      <c r="E3284" s="3">
        <v>-20</v>
      </c>
      <c r="F3284" s="3">
        <v>1</v>
      </c>
      <c r="G3284" s="3">
        <f t="shared" si="163"/>
        <v>20</v>
      </c>
      <c r="H3284" s="3" t="s">
        <v>291</v>
      </c>
      <c r="I3284" s="1" t="s">
        <v>43</v>
      </c>
      <c r="J3284" s="1" t="s">
        <v>4082</v>
      </c>
      <c r="K3284" s="1" t="s">
        <v>298</v>
      </c>
      <c r="L3284" s="1" t="s">
        <v>267</v>
      </c>
      <c r="M3284" s="1"/>
      <c r="N3284" s="1">
        <f t="shared" si="162"/>
        <v>10</v>
      </c>
      <c r="O3284" s="87"/>
    </row>
    <row r="3285" spans="1:15" ht="15.75" hidden="1" x14ac:dyDescent="0.25">
      <c r="A3285" s="1" t="str">
        <f t="shared" si="161"/>
        <v>452124521526MASTER CCFOODCAFÉ/REST.</v>
      </c>
      <c r="B3285" s="154">
        <v>45212</v>
      </c>
      <c r="C3285" s="154">
        <v>45215</v>
      </c>
      <c r="D3285" s="3" t="s">
        <v>3961</v>
      </c>
      <c r="E3285" s="3">
        <v>-26</v>
      </c>
      <c r="F3285" s="3">
        <v>1</v>
      </c>
      <c r="G3285" s="3">
        <f t="shared" si="163"/>
        <v>26</v>
      </c>
      <c r="H3285" s="3" t="s">
        <v>291</v>
      </c>
      <c r="I3285" s="1" t="s">
        <v>10</v>
      </c>
      <c r="J3285" s="1" t="s">
        <v>11</v>
      </c>
      <c r="K3285" s="1" t="s">
        <v>298</v>
      </c>
      <c r="L3285" s="1" t="s">
        <v>267</v>
      </c>
      <c r="M3285" s="1"/>
      <c r="N3285" s="1">
        <f t="shared" si="162"/>
        <v>10</v>
      </c>
      <c r="O3285" s="87"/>
    </row>
    <row r="3286" spans="1:15" ht="15.75" hidden="1" x14ac:dyDescent="0.25">
      <c r="A3286" s="1" t="str">
        <f t="shared" si="161"/>
        <v>452124521577MASTER CCFOODCAFÉ/REST.</v>
      </c>
      <c r="B3286" s="154">
        <v>45212</v>
      </c>
      <c r="C3286" s="154">
        <v>45215</v>
      </c>
      <c r="D3286" s="3" t="s">
        <v>3962</v>
      </c>
      <c r="E3286" s="3">
        <v>-77</v>
      </c>
      <c r="F3286" s="3">
        <v>1</v>
      </c>
      <c r="G3286" s="3">
        <f t="shared" si="163"/>
        <v>77</v>
      </c>
      <c r="H3286" s="3" t="s">
        <v>291</v>
      </c>
      <c r="I3286" s="1" t="s">
        <v>10</v>
      </c>
      <c r="J3286" s="1" t="s">
        <v>11</v>
      </c>
      <c r="K3286" s="1" t="s">
        <v>298</v>
      </c>
      <c r="L3286" s="1" t="s">
        <v>267</v>
      </c>
      <c r="M3286" s="1"/>
      <c r="N3286" s="1">
        <f t="shared" si="162"/>
        <v>10</v>
      </c>
      <c r="O3286" s="87"/>
    </row>
    <row r="3287" spans="1:15" ht="15.75" hidden="1" x14ac:dyDescent="0.25">
      <c r="A3287" s="1" t="str">
        <f t="shared" si="161"/>
        <v>45212452146.5MASTER CCGROCERYREDROSE</v>
      </c>
      <c r="B3287" s="154">
        <v>45212</v>
      </c>
      <c r="C3287" s="154">
        <v>45214</v>
      </c>
      <c r="D3287" s="3" t="s">
        <v>3963</v>
      </c>
      <c r="E3287" s="3">
        <v>-6.5</v>
      </c>
      <c r="F3287" s="3">
        <v>1</v>
      </c>
      <c r="G3287" s="3">
        <f t="shared" si="163"/>
        <v>6.5</v>
      </c>
      <c r="H3287" s="3" t="s">
        <v>291</v>
      </c>
      <c r="I3287" s="1" t="s">
        <v>43</v>
      </c>
      <c r="J3287" s="1" t="s">
        <v>4082</v>
      </c>
      <c r="K3287" s="1" t="s">
        <v>298</v>
      </c>
      <c r="L3287" s="1" t="s">
        <v>267</v>
      </c>
      <c r="M3287" s="1"/>
      <c r="N3287" s="1">
        <f t="shared" si="162"/>
        <v>10</v>
      </c>
      <c r="O3287" s="87"/>
    </row>
    <row r="3288" spans="1:15" ht="15.75" hidden="1" x14ac:dyDescent="0.25">
      <c r="A3288" s="1" t="str">
        <f t="shared" si="161"/>
        <v>4521345216138.13MASTER CCGROCERYINDIAN SUPER</v>
      </c>
      <c r="B3288" s="154">
        <v>45213</v>
      </c>
      <c r="C3288" s="154">
        <v>45216</v>
      </c>
      <c r="D3288" s="3" t="s">
        <v>3956</v>
      </c>
      <c r="E3288" s="3">
        <v>-138.13</v>
      </c>
      <c r="F3288" s="3">
        <v>1</v>
      </c>
      <c r="G3288" s="3">
        <f t="shared" si="163"/>
        <v>138.13</v>
      </c>
      <c r="H3288" s="3" t="s">
        <v>291</v>
      </c>
      <c r="I3288" s="1" t="s">
        <v>43</v>
      </c>
      <c r="J3288" s="1" t="s">
        <v>2273</v>
      </c>
      <c r="K3288" s="1" t="s">
        <v>298</v>
      </c>
      <c r="L3288" s="1" t="s">
        <v>267</v>
      </c>
      <c r="M3288" s="1"/>
      <c r="N3288" s="1">
        <f t="shared" si="162"/>
        <v>10</v>
      </c>
      <c r="O3288" s="87"/>
    </row>
    <row r="3289" spans="1:15" ht="15.75" hidden="1" x14ac:dyDescent="0.25">
      <c r="A3289" s="1" t="str">
        <f t="shared" si="161"/>
        <v>4521345216101MASTER CCTRANSPORTWOQOD</v>
      </c>
      <c r="B3289" s="154">
        <v>45213</v>
      </c>
      <c r="C3289" s="154">
        <v>45216</v>
      </c>
      <c r="D3289" s="3" t="s">
        <v>3957</v>
      </c>
      <c r="E3289" s="3">
        <v>-101</v>
      </c>
      <c r="F3289" s="3">
        <v>1</v>
      </c>
      <c r="G3289" s="3">
        <f t="shared" si="163"/>
        <v>101</v>
      </c>
      <c r="H3289" s="3" t="s">
        <v>291</v>
      </c>
      <c r="I3289" s="1" t="s">
        <v>296</v>
      </c>
      <c r="J3289" s="1" t="s">
        <v>1942</v>
      </c>
      <c r="K3289" s="1" t="s">
        <v>298</v>
      </c>
      <c r="L3289" s="1" t="s">
        <v>267</v>
      </c>
      <c r="M3289" s="1"/>
      <c r="N3289" s="1">
        <f t="shared" si="162"/>
        <v>10</v>
      </c>
      <c r="O3289" s="87"/>
    </row>
    <row r="3290" spans="1:15" ht="15.75" hidden="1" x14ac:dyDescent="0.25">
      <c r="A3290" s="1" t="str">
        <f t="shared" si="161"/>
        <v>452134521587MASTER CCTRAVELVFS</v>
      </c>
      <c r="B3290" s="154">
        <v>45213</v>
      </c>
      <c r="C3290" s="154">
        <v>45215</v>
      </c>
      <c r="D3290" s="3" t="s">
        <v>3958</v>
      </c>
      <c r="E3290" s="3">
        <v>-87</v>
      </c>
      <c r="F3290" s="3">
        <v>1</v>
      </c>
      <c r="G3290" s="3">
        <f t="shared" si="163"/>
        <v>87</v>
      </c>
      <c r="H3290" s="3" t="s">
        <v>291</v>
      </c>
      <c r="I3290" s="1" t="s">
        <v>393</v>
      </c>
      <c r="J3290" s="1" t="s">
        <v>4106</v>
      </c>
      <c r="K3290" s="1" t="s">
        <v>298</v>
      </c>
      <c r="L3290" s="1" t="s">
        <v>267</v>
      </c>
      <c r="M3290" s="1"/>
      <c r="N3290" s="1">
        <f t="shared" si="162"/>
        <v>10</v>
      </c>
      <c r="O3290" s="87"/>
    </row>
    <row r="3291" spans="1:15" ht="15.75" hidden="1" x14ac:dyDescent="0.25">
      <c r="A3291" s="1" t="str">
        <f t="shared" si="161"/>
        <v>452134521581MASTER CCFOODWISHBOX</v>
      </c>
      <c r="B3291" s="154">
        <v>45213</v>
      </c>
      <c r="C3291" s="154">
        <v>45215</v>
      </c>
      <c r="D3291" s="3" t="s">
        <v>3959</v>
      </c>
      <c r="E3291" s="3">
        <v>-81</v>
      </c>
      <c r="F3291" s="3">
        <v>1</v>
      </c>
      <c r="G3291" s="3">
        <f t="shared" si="163"/>
        <v>81</v>
      </c>
      <c r="H3291" s="3" t="s">
        <v>291</v>
      </c>
      <c r="I3291" s="1" t="s">
        <v>10</v>
      </c>
      <c r="J3291" s="1" t="s">
        <v>1199</v>
      </c>
      <c r="K3291" s="1" t="s">
        <v>298</v>
      </c>
      <c r="L3291" s="1" t="s">
        <v>267</v>
      </c>
      <c r="M3291" s="1"/>
      <c r="N3291" s="1">
        <f t="shared" si="162"/>
        <v>10</v>
      </c>
      <c r="O3291" s="87"/>
    </row>
    <row r="3292" spans="1:15" ht="15.75" hidden="1" x14ac:dyDescent="0.25">
      <c r="A3292" s="1" t="str">
        <f t="shared" si="161"/>
        <v>452134521422MASTER CCFOODCAFÉ/REST.</v>
      </c>
      <c r="B3292" s="154">
        <v>45213</v>
      </c>
      <c r="C3292" s="154">
        <v>45214</v>
      </c>
      <c r="D3292" s="3" t="s">
        <v>3960</v>
      </c>
      <c r="E3292" s="3">
        <v>-22</v>
      </c>
      <c r="F3292" s="3">
        <v>1</v>
      </c>
      <c r="G3292" s="3">
        <f t="shared" si="163"/>
        <v>22</v>
      </c>
      <c r="H3292" s="3" t="s">
        <v>291</v>
      </c>
      <c r="I3292" s="1" t="s">
        <v>10</v>
      </c>
      <c r="J3292" s="1" t="s">
        <v>11</v>
      </c>
      <c r="K3292" s="1" t="s">
        <v>298</v>
      </c>
      <c r="L3292" s="1" t="s">
        <v>267</v>
      </c>
      <c r="M3292" s="1"/>
      <c r="N3292" s="1">
        <f t="shared" si="162"/>
        <v>10</v>
      </c>
      <c r="O3292" s="87"/>
    </row>
    <row r="3293" spans="1:15" ht="15.75" hidden="1" x14ac:dyDescent="0.25">
      <c r="A3293" s="1" t="str">
        <f t="shared" si="161"/>
        <v>4521345215500DINERSSHOPPINGSIGNET</v>
      </c>
      <c r="B3293" s="154">
        <v>45213</v>
      </c>
      <c r="C3293" s="154">
        <v>45215</v>
      </c>
      <c r="D3293" s="3" t="s">
        <v>4069</v>
      </c>
      <c r="E3293" s="3">
        <v>-500</v>
      </c>
      <c r="F3293" s="3">
        <v>1</v>
      </c>
      <c r="G3293" s="3">
        <f t="shared" si="163"/>
        <v>500</v>
      </c>
      <c r="H3293" s="3" t="s">
        <v>266</v>
      </c>
      <c r="I3293" s="1" t="s">
        <v>194</v>
      </c>
      <c r="J3293" s="1" t="s">
        <v>4105</v>
      </c>
      <c r="K3293" s="1" t="s">
        <v>298</v>
      </c>
      <c r="L3293" s="1" t="s">
        <v>267</v>
      </c>
      <c r="M3293" s="1"/>
      <c r="N3293" s="1">
        <f t="shared" si="162"/>
        <v>10</v>
      </c>
      <c r="O3293" s="87"/>
    </row>
    <row r="3294" spans="1:15" ht="15.75" hidden="1" x14ac:dyDescent="0.25">
      <c r="A3294" s="1" t="str">
        <f t="shared" si="161"/>
        <v>4521445214180CURRENTPLANTSFLORANZA</v>
      </c>
      <c r="B3294" s="154">
        <v>45214</v>
      </c>
      <c r="C3294" s="154">
        <v>45214</v>
      </c>
      <c r="D3294" s="3" t="s">
        <v>3731</v>
      </c>
      <c r="E3294" s="3">
        <v>-180</v>
      </c>
      <c r="F3294" s="3">
        <v>1</v>
      </c>
      <c r="G3294" s="3">
        <f t="shared" si="163"/>
        <v>180</v>
      </c>
      <c r="H3294" s="3" t="s">
        <v>293</v>
      </c>
      <c r="I3294" s="1" t="s">
        <v>4100</v>
      </c>
      <c r="J3294" s="1" t="s">
        <v>4101</v>
      </c>
      <c r="K3294" s="1" t="s">
        <v>298</v>
      </c>
      <c r="L3294" s="1" t="s">
        <v>257</v>
      </c>
      <c r="M3294" s="1"/>
      <c r="N3294" s="1">
        <f t="shared" si="162"/>
        <v>10</v>
      </c>
      <c r="O3294" s="87"/>
    </row>
    <row r="3295" spans="1:15" ht="15.75" hidden="1" x14ac:dyDescent="0.25">
      <c r="A3295" s="1" t="str">
        <f t="shared" si="161"/>
        <v>452144521752.59MASTER CCGROCERYINDIAN SUPER</v>
      </c>
      <c r="B3295" s="154">
        <v>45214</v>
      </c>
      <c r="C3295" s="154">
        <v>45217</v>
      </c>
      <c r="D3295" s="3" t="s">
        <v>3955</v>
      </c>
      <c r="E3295" s="3">
        <v>-52.59</v>
      </c>
      <c r="F3295" s="3">
        <v>1</v>
      </c>
      <c r="G3295" s="3">
        <f t="shared" si="163"/>
        <v>52.59</v>
      </c>
      <c r="H3295" s="3" t="s">
        <v>291</v>
      </c>
      <c r="I3295" s="1" t="s">
        <v>43</v>
      </c>
      <c r="J3295" s="1" t="s">
        <v>2273</v>
      </c>
      <c r="K3295" s="1" t="s">
        <v>298</v>
      </c>
      <c r="L3295" s="1" t="s">
        <v>267</v>
      </c>
      <c r="M3295" s="1"/>
      <c r="N3295" s="1">
        <f t="shared" si="162"/>
        <v>10</v>
      </c>
      <c r="O3295" s="87"/>
    </row>
    <row r="3296" spans="1:15" ht="15.75" hidden="1" x14ac:dyDescent="0.25">
      <c r="A3296" s="1" t="str">
        <f t="shared" si="161"/>
        <v>452154521730MASTER CCFOODWISHBOX</v>
      </c>
      <c r="B3296" s="154">
        <v>45215</v>
      </c>
      <c r="C3296" s="154">
        <v>45217</v>
      </c>
      <c r="D3296" s="3" t="s">
        <v>3952</v>
      </c>
      <c r="E3296" s="3">
        <v>-30</v>
      </c>
      <c r="F3296" s="3">
        <v>1</v>
      </c>
      <c r="G3296" s="3">
        <f t="shared" si="163"/>
        <v>30</v>
      </c>
      <c r="H3296" s="3" t="s">
        <v>291</v>
      </c>
      <c r="I3296" s="1" t="s">
        <v>10</v>
      </c>
      <c r="J3296" s="1" t="s">
        <v>1199</v>
      </c>
      <c r="K3296" s="1" t="s">
        <v>298</v>
      </c>
      <c r="L3296" s="1" t="s">
        <v>267</v>
      </c>
      <c r="M3296" s="1"/>
      <c r="N3296" s="1">
        <f t="shared" si="162"/>
        <v>10</v>
      </c>
      <c r="O3296" s="87"/>
    </row>
    <row r="3297" spans="1:15" ht="15.75" hidden="1" x14ac:dyDescent="0.25">
      <c r="A3297" s="1" t="str">
        <f t="shared" si="161"/>
        <v>4521545217320MASTER CCEDUCATIONNOBLE HOUSE</v>
      </c>
      <c r="B3297" s="154">
        <v>45215</v>
      </c>
      <c r="C3297" s="154">
        <v>45217</v>
      </c>
      <c r="D3297" s="3" t="s">
        <v>3953</v>
      </c>
      <c r="E3297" s="3">
        <v>-320</v>
      </c>
      <c r="F3297" s="3">
        <v>1</v>
      </c>
      <c r="G3297" s="3">
        <f t="shared" si="163"/>
        <v>320</v>
      </c>
      <c r="H3297" s="3" t="s">
        <v>291</v>
      </c>
      <c r="I3297" s="1" t="s">
        <v>543</v>
      </c>
      <c r="J3297" s="1" t="s">
        <v>4108</v>
      </c>
      <c r="K3297" s="1" t="s">
        <v>298</v>
      </c>
      <c r="L3297" s="1" t="s">
        <v>267</v>
      </c>
      <c r="M3297" s="1"/>
      <c r="N3297" s="1">
        <f t="shared" si="162"/>
        <v>10</v>
      </c>
      <c r="O3297" s="87"/>
    </row>
    <row r="3298" spans="1:15" ht="15.75" hidden="1" x14ac:dyDescent="0.25">
      <c r="A3298" s="1" t="str">
        <f t="shared" si="161"/>
        <v>452154521749MASTER CCFOODCAFÉ/REST.</v>
      </c>
      <c r="B3298" s="154">
        <v>45215</v>
      </c>
      <c r="C3298" s="154">
        <v>45217</v>
      </c>
      <c r="D3298" s="3" t="s">
        <v>3954</v>
      </c>
      <c r="E3298" s="3">
        <v>-49</v>
      </c>
      <c r="F3298" s="3">
        <v>1</v>
      </c>
      <c r="G3298" s="3">
        <f t="shared" si="163"/>
        <v>49</v>
      </c>
      <c r="H3298" s="3" t="s">
        <v>291</v>
      </c>
      <c r="I3298" s="1" t="s">
        <v>10</v>
      </c>
      <c r="J3298" s="1" t="s">
        <v>11</v>
      </c>
      <c r="K3298" s="1" t="s">
        <v>298</v>
      </c>
      <c r="L3298" s="1" t="s">
        <v>267</v>
      </c>
      <c r="M3298" s="1"/>
      <c r="N3298" s="1">
        <f t="shared" si="162"/>
        <v>10</v>
      </c>
      <c r="O3298" s="87"/>
    </row>
    <row r="3299" spans="1:15" ht="15.75" hidden="1" x14ac:dyDescent="0.25">
      <c r="A3299" s="1" t="str">
        <f t="shared" si="161"/>
        <v>452164521847MASTER CCFOODCAFÉ/REST.</v>
      </c>
      <c r="B3299" s="154">
        <v>45216</v>
      </c>
      <c r="C3299" s="154">
        <v>45218</v>
      </c>
      <c r="D3299" s="3" t="s">
        <v>3951</v>
      </c>
      <c r="E3299" s="3">
        <v>-47</v>
      </c>
      <c r="F3299" s="3">
        <v>1</v>
      </c>
      <c r="G3299" s="3">
        <f t="shared" si="163"/>
        <v>47</v>
      </c>
      <c r="H3299" s="3" t="s">
        <v>291</v>
      </c>
      <c r="I3299" s="1" t="s">
        <v>10</v>
      </c>
      <c r="J3299" s="1" t="s">
        <v>11</v>
      </c>
      <c r="K3299" s="1" t="s">
        <v>298</v>
      </c>
      <c r="L3299" s="1" t="s">
        <v>267</v>
      </c>
      <c r="M3299" s="1"/>
      <c r="N3299" s="1">
        <f t="shared" si="162"/>
        <v>10</v>
      </c>
      <c r="O3299" s="87"/>
    </row>
    <row r="3300" spans="1:15" ht="15.75" hidden="1" x14ac:dyDescent="0.25">
      <c r="A3300" s="1" t="str">
        <f t="shared" si="161"/>
        <v>452174522130MASTER CCFOODTALABAT</v>
      </c>
      <c r="B3300" s="154">
        <v>45217</v>
      </c>
      <c r="C3300" s="154">
        <v>45221</v>
      </c>
      <c r="D3300" s="3" t="s">
        <v>3950</v>
      </c>
      <c r="E3300" s="3">
        <v>-30</v>
      </c>
      <c r="F3300" s="3">
        <v>1</v>
      </c>
      <c r="G3300" s="3">
        <f t="shared" si="163"/>
        <v>30</v>
      </c>
      <c r="H3300" s="3" t="s">
        <v>291</v>
      </c>
      <c r="I3300" s="1" t="s">
        <v>10</v>
      </c>
      <c r="J3300" s="1" t="s">
        <v>865</v>
      </c>
      <c r="K3300" s="1" t="s">
        <v>298</v>
      </c>
      <c r="L3300" s="1" t="s">
        <v>267</v>
      </c>
      <c r="M3300" s="1"/>
      <c r="N3300" s="1">
        <f t="shared" si="162"/>
        <v>10</v>
      </c>
      <c r="O3300" s="87"/>
    </row>
    <row r="3301" spans="1:15" ht="15.75" hidden="1" x14ac:dyDescent="0.25">
      <c r="A3301" s="1" t="str">
        <f t="shared" si="161"/>
        <v>452184521811.03CURRENTTRANSPORTUBER</v>
      </c>
      <c r="B3301" s="154">
        <v>45218</v>
      </c>
      <c r="C3301" s="154">
        <v>45218</v>
      </c>
      <c r="D3301" s="3" t="s">
        <v>3728</v>
      </c>
      <c r="E3301" s="3">
        <v>-11.03</v>
      </c>
      <c r="F3301" s="3">
        <v>1</v>
      </c>
      <c r="G3301" s="3">
        <f t="shared" si="163"/>
        <v>11.03</v>
      </c>
      <c r="H3301" s="3" t="s">
        <v>293</v>
      </c>
      <c r="I3301" s="1" t="s">
        <v>296</v>
      </c>
      <c r="J3301" s="1" t="s">
        <v>299</v>
      </c>
      <c r="K3301" s="1" t="s">
        <v>298</v>
      </c>
      <c r="L3301" s="1" t="s">
        <v>257</v>
      </c>
      <c r="M3301" s="1"/>
      <c r="N3301" s="1">
        <f t="shared" si="162"/>
        <v>10</v>
      </c>
      <c r="O3301" s="87"/>
    </row>
    <row r="3302" spans="1:15" ht="15.75" hidden="1" x14ac:dyDescent="0.25">
      <c r="A3302" s="1" t="str">
        <f t="shared" si="161"/>
        <v>45218452189.15CURRENTTRANSPORTUBER</v>
      </c>
      <c r="B3302" s="154">
        <v>45218</v>
      </c>
      <c r="C3302" s="154">
        <v>45218</v>
      </c>
      <c r="D3302" s="3" t="s">
        <v>3729</v>
      </c>
      <c r="E3302" s="3">
        <v>-9.15</v>
      </c>
      <c r="F3302" s="3">
        <v>1</v>
      </c>
      <c r="G3302" s="3">
        <f t="shared" si="163"/>
        <v>9.15</v>
      </c>
      <c r="H3302" s="3" t="s">
        <v>293</v>
      </c>
      <c r="I3302" s="1" t="s">
        <v>296</v>
      </c>
      <c r="J3302" s="1" t="s">
        <v>299</v>
      </c>
      <c r="K3302" s="1" t="s">
        <v>298</v>
      </c>
      <c r="L3302" s="1" t="s">
        <v>257</v>
      </c>
      <c r="M3302" s="1"/>
      <c r="N3302" s="1">
        <f t="shared" si="162"/>
        <v>10</v>
      </c>
      <c r="O3302" s="87"/>
    </row>
    <row r="3303" spans="1:15" ht="15.75" hidden="1" x14ac:dyDescent="0.25">
      <c r="A3303" s="1" t="str">
        <f t="shared" si="161"/>
        <v>45218452181000CURRENTWITHDRAWSELF</v>
      </c>
      <c r="B3303" s="154">
        <v>45218</v>
      </c>
      <c r="C3303" s="154">
        <v>45218</v>
      </c>
      <c r="D3303" s="3" t="s">
        <v>3730</v>
      </c>
      <c r="E3303" s="3">
        <v>-1000</v>
      </c>
      <c r="F3303" s="3">
        <v>1</v>
      </c>
      <c r="G3303" s="3">
        <f t="shared" si="163"/>
        <v>1000</v>
      </c>
      <c r="H3303" s="3" t="s">
        <v>293</v>
      </c>
      <c r="I3303" s="1" t="s">
        <v>13</v>
      </c>
      <c r="J3303" s="1" t="s">
        <v>14</v>
      </c>
      <c r="K3303" s="1" t="s">
        <v>298</v>
      </c>
      <c r="L3303" s="1" t="s">
        <v>257</v>
      </c>
      <c r="M3303" s="1"/>
      <c r="N3303" s="1">
        <f t="shared" si="162"/>
        <v>10</v>
      </c>
      <c r="O3303" s="87"/>
    </row>
    <row r="3304" spans="1:15" ht="15.75" hidden="1" x14ac:dyDescent="0.25">
      <c r="A3304" s="1" t="str">
        <f t="shared" si="161"/>
        <v>452184522133MASTER CCFOODWISHBOX</v>
      </c>
      <c r="B3304" s="154">
        <v>45218</v>
      </c>
      <c r="C3304" s="154">
        <v>45221</v>
      </c>
      <c r="D3304" s="3" t="s">
        <v>3948</v>
      </c>
      <c r="E3304" s="3">
        <v>-33</v>
      </c>
      <c r="F3304" s="3">
        <v>1</v>
      </c>
      <c r="G3304" s="3">
        <f t="shared" si="163"/>
        <v>33</v>
      </c>
      <c r="H3304" s="3" t="s">
        <v>291</v>
      </c>
      <c r="I3304" s="1" t="s">
        <v>10</v>
      </c>
      <c r="J3304" s="1" t="s">
        <v>1199</v>
      </c>
      <c r="K3304" s="1" t="s">
        <v>298</v>
      </c>
      <c r="L3304" s="1" t="s">
        <v>267</v>
      </c>
      <c r="M3304" s="1"/>
      <c r="N3304" s="1">
        <f t="shared" si="162"/>
        <v>10</v>
      </c>
      <c r="O3304" s="87"/>
    </row>
    <row r="3305" spans="1:15" ht="15.75" hidden="1" x14ac:dyDescent="0.25">
      <c r="A3305" s="1" t="str">
        <f t="shared" si="161"/>
        <v>452184522110MASTER CCFOODCAFÉ/REST.</v>
      </c>
      <c r="B3305" s="154">
        <v>45218</v>
      </c>
      <c r="C3305" s="154">
        <v>45221</v>
      </c>
      <c r="D3305" s="3" t="s">
        <v>3949</v>
      </c>
      <c r="E3305" s="3">
        <v>-10</v>
      </c>
      <c r="F3305" s="3">
        <v>1</v>
      </c>
      <c r="G3305" s="3">
        <f t="shared" si="163"/>
        <v>10</v>
      </c>
      <c r="H3305" s="3" t="s">
        <v>291</v>
      </c>
      <c r="I3305" s="1" t="s">
        <v>10</v>
      </c>
      <c r="J3305" s="1" t="s">
        <v>11</v>
      </c>
      <c r="K3305" s="1" t="s">
        <v>298</v>
      </c>
      <c r="L3305" s="1" t="s">
        <v>267</v>
      </c>
      <c r="M3305" s="1"/>
      <c r="N3305" s="1">
        <f t="shared" si="162"/>
        <v>10</v>
      </c>
      <c r="O3305" s="87"/>
    </row>
    <row r="3306" spans="1:15" ht="15.75" hidden="1" x14ac:dyDescent="0.25">
      <c r="A3306" s="1" t="str">
        <f t="shared" si="161"/>
        <v>4521945223165MASTER CCTELECOMOOREDOO</v>
      </c>
      <c r="B3306" s="154">
        <v>45219</v>
      </c>
      <c r="C3306" s="154">
        <v>45223</v>
      </c>
      <c r="D3306" s="3" t="s">
        <v>3947</v>
      </c>
      <c r="E3306" s="3">
        <v>-165</v>
      </c>
      <c r="F3306" s="3">
        <v>1</v>
      </c>
      <c r="G3306" s="3">
        <f t="shared" si="163"/>
        <v>165</v>
      </c>
      <c r="H3306" s="3" t="s">
        <v>291</v>
      </c>
      <c r="I3306" s="1" t="s">
        <v>58</v>
      </c>
      <c r="J3306" s="1" t="s">
        <v>59</v>
      </c>
      <c r="K3306" s="1" t="s">
        <v>298</v>
      </c>
      <c r="L3306" s="1" t="s">
        <v>267</v>
      </c>
      <c r="M3306" s="1"/>
      <c r="N3306" s="1">
        <f t="shared" si="162"/>
        <v>10</v>
      </c>
      <c r="O3306" s="87"/>
    </row>
    <row r="3307" spans="1:15" ht="15.75" hidden="1" x14ac:dyDescent="0.25">
      <c r="A3307" s="1" t="str">
        <f t="shared" si="161"/>
        <v>4521945220561DINERSFOODREDISSON</v>
      </c>
      <c r="B3307" s="154">
        <v>45219</v>
      </c>
      <c r="C3307" s="154">
        <v>45220</v>
      </c>
      <c r="D3307" s="3" t="s">
        <v>4067</v>
      </c>
      <c r="E3307" s="3">
        <v>-561</v>
      </c>
      <c r="F3307" s="3">
        <v>1</v>
      </c>
      <c r="G3307" s="3">
        <f t="shared" si="163"/>
        <v>561</v>
      </c>
      <c r="H3307" s="3" t="s">
        <v>266</v>
      </c>
      <c r="I3307" s="1" t="s">
        <v>10</v>
      </c>
      <c r="J3307" s="1" t="s">
        <v>4114</v>
      </c>
      <c r="K3307" s="1" t="s">
        <v>298</v>
      </c>
      <c r="L3307" s="1" t="s">
        <v>267</v>
      </c>
      <c r="M3307" s="1"/>
      <c r="N3307" s="1">
        <f t="shared" si="162"/>
        <v>10</v>
      </c>
      <c r="O3307" s="87"/>
    </row>
    <row r="3308" spans="1:15" ht="15.75" hidden="1" x14ac:dyDescent="0.25">
      <c r="A3308" s="1" t="str">
        <f t="shared" si="161"/>
        <v>4521945220541DINERSFOODREDISSON</v>
      </c>
      <c r="B3308" s="154">
        <v>45219</v>
      </c>
      <c r="C3308" s="154">
        <v>45220</v>
      </c>
      <c r="D3308" s="3" t="s">
        <v>4068</v>
      </c>
      <c r="E3308" s="3">
        <v>-541</v>
      </c>
      <c r="F3308" s="3">
        <v>1</v>
      </c>
      <c r="G3308" s="3">
        <f t="shared" si="163"/>
        <v>541</v>
      </c>
      <c r="H3308" s="3" t="s">
        <v>266</v>
      </c>
      <c r="I3308" s="1" t="s">
        <v>10</v>
      </c>
      <c r="J3308" s="1" t="s">
        <v>4114</v>
      </c>
      <c r="K3308" s="1" t="s">
        <v>298</v>
      </c>
      <c r="L3308" s="1" t="s">
        <v>267</v>
      </c>
      <c r="M3308" s="1"/>
      <c r="N3308" s="1">
        <f t="shared" si="162"/>
        <v>10</v>
      </c>
      <c r="O3308" s="87"/>
    </row>
    <row r="3309" spans="1:15" ht="15.75" hidden="1" x14ac:dyDescent="0.25">
      <c r="A3309" s="1" t="str">
        <f t="shared" si="161"/>
        <v>452204522332MASTER CCFOODWISHBOX</v>
      </c>
      <c r="B3309" s="154">
        <v>45220</v>
      </c>
      <c r="C3309" s="154">
        <v>45223</v>
      </c>
      <c r="D3309" s="3" t="s">
        <v>3943</v>
      </c>
      <c r="E3309" s="3">
        <v>-32</v>
      </c>
      <c r="F3309" s="3">
        <v>1</v>
      </c>
      <c r="G3309" s="3">
        <f t="shared" si="163"/>
        <v>32</v>
      </c>
      <c r="H3309" s="3" t="s">
        <v>291</v>
      </c>
      <c r="I3309" s="1" t="s">
        <v>10</v>
      </c>
      <c r="J3309" s="1" t="s">
        <v>1199</v>
      </c>
      <c r="K3309" s="1" t="s">
        <v>298</v>
      </c>
      <c r="L3309" s="1" t="s">
        <v>267</v>
      </c>
      <c r="M3309" s="1"/>
      <c r="N3309" s="1">
        <f t="shared" si="162"/>
        <v>10</v>
      </c>
      <c r="O3309" s="87"/>
    </row>
    <row r="3310" spans="1:15" ht="15.75" hidden="1" x14ac:dyDescent="0.25">
      <c r="A3310" s="1" t="str">
        <f t="shared" si="161"/>
        <v>4522045223363.6MASTER CCSHOPPINGRNB</v>
      </c>
      <c r="B3310" s="154">
        <v>45220</v>
      </c>
      <c r="C3310" s="154">
        <v>45223</v>
      </c>
      <c r="D3310" s="3" t="s">
        <v>3944</v>
      </c>
      <c r="E3310" s="3">
        <v>-363.6</v>
      </c>
      <c r="F3310" s="3">
        <v>1</v>
      </c>
      <c r="G3310" s="3">
        <f t="shared" si="163"/>
        <v>363.6</v>
      </c>
      <c r="H3310" s="3" t="s">
        <v>291</v>
      </c>
      <c r="I3310" s="1" t="s">
        <v>194</v>
      </c>
      <c r="J3310" s="1" t="s">
        <v>1658</v>
      </c>
      <c r="K3310" s="1" t="s">
        <v>298</v>
      </c>
      <c r="L3310" s="1" t="s">
        <v>267</v>
      </c>
      <c r="M3310" s="1"/>
      <c r="N3310" s="1">
        <f t="shared" si="162"/>
        <v>10</v>
      </c>
      <c r="O3310" s="87"/>
    </row>
    <row r="3311" spans="1:15" ht="15.75" hidden="1" x14ac:dyDescent="0.25">
      <c r="A3311" s="1" t="str">
        <f t="shared" si="161"/>
        <v>452204522350MASTER CCENTERTAINMENTFUNVILLE</v>
      </c>
      <c r="B3311" s="154">
        <v>45220</v>
      </c>
      <c r="C3311" s="154">
        <v>45223</v>
      </c>
      <c r="D3311" s="3" t="s">
        <v>3945</v>
      </c>
      <c r="E3311" s="3">
        <v>-50</v>
      </c>
      <c r="F3311" s="3">
        <v>1</v>
      </c>
      <c r="G3311" s="3">
        <f t="shared" si="163"/>
        <v>50</v>
      </c>
      <c r="H3311" s="3" t="s">
        <v>291</v>
      </c>
      <c r="I3311" s="1" t="s">
        <v>2476</v>
      </c>
      <c r="J3311" s="1" t="s">
        <v>4107</v>
      </c>
      <c r="K3311" s="1" t="s">
        <v>298</v>
      </c>
      <c r="L3311" s="1" t="s">
        <v>267</v>
      </c>
      <c r="M3311" s="1"/>
      <c r="N3311" s="1">
        <f t="shared" si="162"/>
        <v>10</v>
      </c>
      <c r="O3311" s="87"/>
    </row>
    <row r="3312" spans="1:15" ht="15.75" hidden="1" x14ac:dyDescent="0.25">
      <c r="A3312" s="1" t="str">
        <f t="shared" si="161"/>
        <v>4522045223192.25MASTER CCGROCERYCARREFOUR</v>
      </c>
      <c r="B3312" s="154">
        <v>45220</v>
      </c>
      <c r="C3312" s="154">
        <v>45223</v>
      </c>
      <c r="D3312" s="3" t="s">
        <v>3946</v>
      </c>
      <c r="E3312" s="3">
        <v>-192.25</v>
      </c>
      <c r="F3312" s="3">
        <v>1</v>
      </c>
      <c r="G3312" s="3">
        <f t="shared" si="163"/>
        <v>192.25</v>
      </c>
      <c r="H3312" s="3" t="s">
        <v>291</v>
      </c>
      <c r="I3312" s="1" t="s">
        <v>43</v>
      </c>
      <c r="J3312" s="1" t="s">
        <v>67</v>
      </c>
      <c r="K3312" s="1" t="s">
        <v>298</v>
      </c>
      <c r="L3312" s="1" t="s">
        <v>267</v>
      </c>
      <c r="M3312" s="1"/>
      <c r="N3312" s="1">
        <f t="shared" si="162"/>
        <v>10</v>
      </c>
      <c r="O3312" s="87"/>
    </row>
    <row r="3313" spans="1:15" ht="15.75" hidden="1" x14ac:dyDescent="0.25">
      <c r="A3313" s="1" t="str">
        <f t="shared" si="161"/>
        <v>4522145221600CURRENTWITHDRAWSELF</v>
      </c>
      <c r="B3313" s="154">
        <v>45221</v>
      </c>
      <c r="C3313" s="154">
        <v>45221</v>
      </c>
      <c r="D3313" s="3" t="s">
        <v>3726</v>
      </c>
      <c r="E3313" s="3">
        <v>-600</v>
      </c>
      <c r="F3313" s="3">
        <v>1</v>
      </c>
      <c r="G3313" s="3">
        <f t="shared" si="163"/>
        <v>600</v>
      </c>
      <c r="H3313" s="3" t="s">
        <v>293</v>
      </c>
      <c r="I3313" s="1" t="s">
        <v>13</v>
      </c>
      <c r="J3313" s="1" t="s">
        <v>14</v>
      </c>
      <c r="K3313" s="1" t="s">
        <v>298</v>
      </c>
      <c r="L3313" s="1" t="s">
        <v>257</v>
      </c>
      <c r="M3313" s="1"/>
      <c r="N3313" s="1">
        <f t="shared" si="162"/>
        <v>10</v>
      </c>
      <c r="O3313" s="87"/>
    </row>
    <row r="3314" spans="1:15" ht="15.75" hidden="1" x14ac:dyDescent="0.25">
      <c r="A3314" s="1" t="str">
        <f t="shared" si="161"/>
        <v>452214522160CURRENTENTERTAINMENTKHASIM</v>
      </c>
      <c r="B3314" s="154">
        <v>45221</v>
      </c>
      <c r="C3314" s="154">
        <v>45221</v>
      </c>
      <c r="D3314" s="3" t="s">
        <v>3727</v>
      </c>
      <c r="E3314" s="3">
        <v>60</v>
      </c>
      <c r="F3314" s="3">
        <v>1</v>
      </c>
      <c r="G3314" s="3">
        <f t="shared" si="163"/>
        <v>60</v>
      </c>
      <c r="H3314" s="3" t="s">
        <v>293</v>
      </c>
      <c r="I3314" s="1" t="s">
        <v>2476</v>
      </c>
      <c r="J3314" s="1" t="s">
        <v>4091</v>
      </c>
      <c r="K3314" s="1" t="s">
        <v>298</v>
      </c>
      <c r="L3314" s="1" t="s">
        <v>257</v>
      </c>
      <c r="M3314" s="1"/>
      <c r="N3314" s="1">
        <f t="shared" si="162"/>
        <v>10</v>
      </c>
      <c r="O3314" s="87"/>
    </row>
    <row r="3315" spans="1:15" ht="15.75" hidden="1" x14ac:dyDescent="0.25">
      <c r="A3315" s="1" t="str">
        <f t="shared" si="161"/>
        <v>452214522387MASTER CCTRAVELVFS</v>
      </c>
      <c r="B3315" s="154">
        <v>45221</v>
      </c>
      <c r="C3315" s="154">
        <v>45223</v>
      </c>
      <c r="D3315" s="3" t="s">
        <v>3941</v>
      </c>
      <c r="E3315" s="3">
        <v>-87</v>
      </c>
      <c r="F3315" s="3">
        <v>1</v>
      </c>
      <c r="G3315" s="3">
        <f t="shared" si="163"/>
        <v>87</v>
      </c>
      <c r="H3315" s="3" t="s">
        <v>291</v>
      </c>
      <c r="I3315" s="1" t="s">
        <v>393</v>
      </c>
      <c r="J3315" s="1" t="s">
        <v>4106</v>
      </c>
      <c r="K3315" s="1" t="s">
        <v>298</v>
      </c>
      <c r="L3315" s="1" t="s">
        <v>267</v>
      </c>
      <c r="M3315" s="1"/>
      <c r="N3315" s="1">
        <f t="shared" si="162"/>
        <v>10</v>
      </c>
      <c r="O3315" s="87"/>
    </row>
    <row r="3316" spans="1:15" ht="15.75" hidden="1" x14ac:dyDescent="0.25">
      <c r="A3316" s="1" t="str">
        <f t="shared" si="161"/>
        <v>452214522324MASTER CCFOODQATAR AIR</v>
      </c>
      <c r="B3316" s="154">
        <v>45221</v>
      </c>
      <c r="C3316" s="154">
        <v>45223</v>
      </c>
      <c r="D3316" s="3" t="s">
        <v>3942</v>
      </c>
      <c r="E3316" s="3">
        <v>-24</v>
      </c>
      <c r="F3316" s="3">
        <v>1</v>
      </c>
      <c r="G3316" s="3">
        <f t="shared" si="163"/>
        <v>24</v>
      </c>
      <c r="H3316" s="3" t="s">
        <v>291</v>
      </c>
      <c r="I3316" s="1" t="s">
        <v>10</v>
      </c>
      <c r="J3316" s="1" t="s">
        <v>19</v>
      </c>
      <c r="K3316" s="1" t="s">
        <v>298</v>
      </c>
      <c r="L3316" s="1" t="s">
        <v>267</v>
      </c>
      <c r="M3316" s="1"/>
      <c r="N3316" s="1">
        <f t="shared" si="162"/>
        <v>10</v>
      </c>
      <c r="O3316" s="87"/>
    </row>
    <row r="3317" spans="1:15" ht="15.75" hidden="1" x14ac:dyDescent="0.25">
      <c r="A3317" s="1" t="str">
        <f t="shared" si="161"/>
        <v>45223452259.01MASTER CCTRANSPORTUBER</v>
      </c>
      <c r="B3317" s="154">
        <v>45223</v>
      </c>
      <c r="C3317" s="154">
        <v>45225</v>
      </c>
      <c r="D3317" s="3" t="s">
        <v>3937</v>
      </c>
      <c r="E3317" s="3">
        <v>-9.01</v>
      </c>
      <c r="F3317" s="3">
        <v>1</v>
      </c>
      <c r="G3317" s="3">
        <f t="shared" si="163"/>
        <v>9.01</v>
      </c>
      <c r="H3317" s="3" t="s">
        <v>291</v>
      </c>
      <c r="I3317" s="1" t="s">
        <v>296</v>
      </c>
      <c r="J3317" s="1" t="s">
        <v>299</v>
      </c>
      <c r="K3317" s="1" t="s">
        <v>298</v>
      </c>
      <c r="L3317" s="1" t="s">
        <v>267</v>
      </c>
      <c r="M3317" s="1"/>
      <c r="N3317" s="1">
        <f t="shared" si="162"/>
        <v>10</v>
      </c>
      <c r="O3317" s="87"/>
    </row>
    <row r="3318" spans="1:15" ht="15.75" hidden="1" x14ac:dyDescent="0.25">
      <c r="A3318" s="1" t="str">
        <f t="shared" si="161"/>
        <v>452234522511.14MASTER CCTRANSPORTUBER</v>
      </c>
      <c r="B3318" s="154">
        <v>45223</v>
      </c>
      <c r="C3318" s="154">
        <v>45225</v>
      </c>
      <c r="D3318" s="3" t="s">
        <v>3938</v>
      </c>
      <c r="E3318" s="3">
        <v>-11.14</v>
      </c>
      <c r="F3318" s="3">
        <v>1</v>
      </c>
      <c r="G3318" s="3">
        <f t="shared" si="163"/>
        <v>11.14</v>
      </c>
      <c r="H3318" s="3" t="s">
        <v>291</v>
      </c>
      <c r="I3318" s="1" t="s">
        <v>296</v>
      </c>
      <c r="J3318" s="1" t="s">
        <v>299</v>
      </c>
      <c r="K3318" s="1" t="s">
        <v>298</v>
      </c>
      <c r="L3318" s="1" t="s">
        <v>267</v>
      </c>
      <c r="M3318" s="1"/>
      <c r="N3318" s="1">
        <f t="shared" si="162"/>
        <v>10</v>
      </c>
      <c r="O3318" s="87"/>
    </row>
    <row r="3319" spans="1:15" ht="15.75" hidden="1" x14ac:dyDescent="0.25">
      <c r="A3319" s="1" t="str">
        <f t="shared" si="161"/>
        <v>45223452258.8MASTER CCTRANSPORTUBER</v>
      </c>
      <c r="B3319" s="154">
        <v>45223</v>
      </c>
      <c r="C3319" s="154">
        <v>45225</v>
      </c>
      <c r="D3319" s="3" t="s">
        <v>3939</v>
      </c>
      <c r="E3319" s="3">
        <v>-8.8000000000000007</v>
      </c>
      <c r="F3319" s="3">
        <v>1</v>
      </c>
      <c r="G3319" s="3">
        <f t="shared" si="163"/>
        <v>8.8000000000000007</v>
      </c>
      <c r="H3319" s="3" t="s">
        <v>291</v>
      </c>
      <c r="I3319" s="1" t="s">
        <v>296</v>
      </c>
      <c r="J3319" s="1" t="s">
        <v>299</v>
      </c>
      <c r="K3319" s="1" t="s">
        <v>298</v>
      </c>
      <c r="L3319" s="1" t="s">
        <v>267</v>
      </c>
      <c r="M3319" s="1"/>
      <c r="N3319" s="1">
        <f t="shared" si="162"/>
        <v>10</v>
      </c>
      <c r="O3319" s="87"/>
    </row>
    <row r="3320" spans="1:15" ht="15.75" hidden="1" x14ac:dyDescent="0.25">
      <c r="A3320" s="1" t="str">
        <f t="shared" si="161"/>
        <v>4522345224308MASTER CCTRAVELVFS</v>
      </c>
      <c r="B3320" s="154">
        <v>45223</v>
      </c>
      <c r="C3320" s="154">
        <v>45224</v>
      </c>
      <c r="D3320" s="3" t="s">
        <v>3940</v>
      </c>
      <c r="E3320" s="3">
        <v>-308</v>
      </c>
      <c r="F3320" s="3">
        <v>1</v>
      </c>
      <c r="G3320" s="3">
        <f t="shared" si="163"/>
        <v>308</v>
      </c>
      <c r="H3320" s="3" t="s">
        <v>291</v>
      </c>
      <c r="I3320" s="1" t="s">
        <v>393</v>
      </c>
      <c r="J3320" s="1" t="s">
        <v>4106</v>
      </c>
      <c r="K3320" s="1" t="s">
        <v>298</v>
      </c>
      <c r="L3320" s="1" t="s">
        <v>267</v>
      </c>
      <c r="M3320" s="1"/>
      <c r="N3320" s="1">
        <f t="shared" si="162"/>
        <v>10</v>
      </c>
      <c r="O3320" s="87"/>
    </row>
    <row r="3321" spans="1:15" ht="15.75" hidden="1" x14ac:dyDescent="0.25">
      <c r="A3321" s="1" t="str">
        <f t="shared" si="161"/>
        <v>4522445228500MASTER CCSHOPPINGSIGNET</v>
      </c>
      <c r="B3321" s="154">
        <v>45224</v>
      </c>
      <c r="C3321" s="154">
        <v>45228</v>
      </c>
      <c r="D3321" s="3" t="s">
        <v>3934</v>
      </c>
      <c r="E3321" s="3">
        <v>-500</v>
      </c>
      <c r="F3321" s="3">
        <v>1</v>
      </c>
      <c r="G3321" s="3">
        <f t="shared" si="163"/>
        <v>500</v>
      </c>
      <c r="H3321" s="3" t="s">
        <v>291</v>
      </c>
      <c r="I3321" s="1" t="s">
        <v>194</v>
      </c>
      <c r="J3321" s="1" t="s">
        <v>4105</v>
      </c>
      <c r="K3321" s="1" t="s">
        <v>298</v>
      </c>
      <c r="L3321" s="1" t="s">
        <v>267</v>
      </c>
      <c r="M3321" s="1"/>
      <c r="N3321" s="1">
        <f t="shared" si="162"/>
        <v>10</v>
      </c>
      <c r="O3321" s="87"/>
    </row>
    <row r="3322" spans="1:15" ht="15.75" hidden="1" x14ac:dyDescent="0.25">
      <c r="A3322" s="1" t="str">
        <f t="shared" si="161"/>
        <v>452244522620.59MASTER CCTRANSPORTUBER</v>
      </c>
      <c r="B3322" s="154">
        <v>45224</v>
      </c>
      <c r="C3322" s="154">
        <v>45226</v>
      </c>
      <c r="D3322" s="3" t="s">
        <v>3935</v>
      </c>
      <c r="E3322" s="3">
        <v>-20.59</v>
      </c>
      <c r="F3322" s="3">
        <v>1</v>
      </c>
      <c r="G3322" s="3">
        <f t="shared" si="163"/>
        <v>20.59</v>
      </c>
      <c r="H3322" s="3" t="s">
        <v>291</v>
      </c>
      <c r="I3322" s="1" t="s">
        <v>296</v>
      </c>
      <c r="J3322" s="1" t="s">
        <v>299</v>
      </c>
      <c r="K3322" s="1" t="s">
        <v>298</v>
      </c>
      <c r="L3322" s="1" t="s">
        <v>267</v>
      </c>
      <c r="M3322" s="1"/>
      <c r="N3322" s="1">
        <f t="shared" si="162"/>
        <v>10</v>
      </c>
      <c r="O3322" s="87"/>
    </row>
    <row r="3323" spans="1:15" ht="15.75" hidden="1" x14ac:dyDescent="0.25">
      <c r="A3323" s="1" t="str">
        <f t="shared" si="161"/>
        <v>452244522618.16MASTER CCTRANSPORTUBER</v>
      </c>
      <c r="B3323" s="154">
        <v>45224</v>
      </c>
      <c r="C3323" s="154">
        <v>45226</v>
      </c>
      <c r="D3323" s="3" t="s">
        <v>3936</v>
      </c>
      <c r="E3323" s="3">
        <v>-18.16</v>
      </c>
      <c r="F3323" s="3">
        <v>1</v>
      </c>
      <c r="G3323" s="3">
        <f t="shared" si="163"/>
        <v>18.16</v>
      </c>
      <c r="H3323" s="3" t="s">
        <v>291</v>
      </c>
      <c r="I3323" s="1" t="s">
        <v>296</v>
      </c>
      <c r="J3323" s="1" t="s">
        <v>299</v>
      </c>
      <c r="K3323" s="1" t="s">
        <v>298</v>
      </c>
      <c r="L3323" s="1" t="s">
        <v>267</v>
      </c>
      <c r="M3323" s="1"/>
      <c r="N3323" s="1">
        <f t="shared" si="162"/>
        <v>10</v>
      </c>
      <c r="O3323" s="87"/>
    </row>
    <row r="3324" spans="1:15" ht="15.75" hidden="1" x14ac:dyDescent="0.25">
      <c r="A3324" s="1" t="str">
        <f t="shared" si="161"/>
        <v>45225452305MASTER CCFOODQATAR AIR</v>
      </c>
      <c r="B3324" s="154">
        <v>45225</v>
      </c>
      <c r="C3324" s="154">
        <v>45230</v>
      </c>
      <c r="D3324" s="3" t="s">
        <v>3933</v>
      </c>
      <c r="E3324" s="3">
        <v>-5</v>
      </c>
      <c r="F3324" s="3">
        <v>1</v>
      </c>
      <c r="G3324" s="3">
        <f t="shared" si="163"/>
        <v>5</v>
      </c>
      <c r="H3324" s="3" t="s">
        <v>291</v>
      </c>
      <c r="I3324" s="1" t="s">
        <v>10</v>
      </c>
      <c r="J3324" s="1" t="s">
        <v>19</v>
      </c>
      <c r="K3324" s="1" t="s">
        <v>298</v>
      </c>
      <c r="L3324" s="1" t="s">
        <v>267</v>
      </c>
      <c r="M3324" s="1"/>
      <c r="N3324" s="1">
        <f t="shared" si="162"/>
        <v>10</v>
      </c>
      <c r="O3324" s="87"/>
    </row>
    <row r="3325" spans="1:15" ht="15.75" hidden="1" x14ac:dyDescent="0.25">
      <c r="A3325" s="1" t="str">
        <f t="shared" si="161"/>
        <v>4522645229116MASTER CCFOODTALABAT</v>
      </c>
      <c r="B3325" s="154">
        <v>45226</v>
      </c>
      <c r="C3325" s="154">
        <v>45229</v>
      </c>
      <c r="D3325" s="3" t="s">
        <v>3931</v>
      </c>
      <c r="E3325" s="3">
        <v>-116</v>
      </c>
      <c r="F3325" s="3">
        <v>1</v>
      </c>
      <c r="G3325" s="3">
        <f t="shared" si="163"/>
        <v>116</v>
      </c>
      <c r="H3325" s="3" t="s">
        <v>291</v>
      </c>
      <c r="I3325" s="1" t="s">
        <v>10</v>
      </c>
      <c r="J3325" s="1" t="s">
        <v>865</v>
      </c>
      <c r="K3325" s="1" t="s">
        <v>298</v>
      </c>
      <c r="L3325" s="1" t="s">
        <v>267</v>
      </c>
      <c r="M3325" s="1"/>
      <c r="N3325" s="1">
        <f t="shared" si="162"/>
        <v>10</v>
      </c>
      <c r="O3325" s="87"/>
    </row>
    <row r="3326" spans="1:15" ht="15.75" hidden="1" x14ac:dyDescent="0.25">
      <c r="A3326" s="1" t="str">
        <f t="shared" si="161"/>
        <v>452264522812.5MASTER CCGROCERYREDROSE</v>
      </c>
      <c r="B3326" s="154">
        <v>45226</v>
      </c>
      <c r="C3326" s="154">
        <v>45228</v>
      </c>
      <c r="D3326" s="3" t="s">
        <v>3932</v>
      </c>
      <c r="E3326" s="3">
        <v>-12.5</v>
      </c>
      <c r="F3326" s="3">
        <v>1</v>
      </c>
      <c r="G3326" s="3">
        <f t="shared" si="163"/>
        <v>12.5</v>
      </c>
      <c r="H3326" s="3" t="s">
        <v>291</v>
      </c>
      <c r="I3326" s="1" t="s">
        <v>43</v>
      </c>
      <c r="J3326" s="1" t="s">
        <v>4082</v>
      </c>
      <c r="K3326" s="1" t="s">
        <v>298</v>
      </c>
      <c r="L3326" s="1" t="s">
        <v>267</v>
      </c>
      <c r="M3326" s="1"/>
      <c r="N3326" s="1">
        <f t="shared" si="162"/>
        <v>10</v>
      </c>
      <c r="O3326" s="87"/>
    </row>
    <row r="3327" spans="1:15" ht="15.75" hidden="1" x14ac:dyDescent="0.25">
      <c r="A3327" s="1" t="str">
        <f t="shared" si="161"/>
        <v>4522645227381DINERSGROCERYLULU</v>
      </c>
      <c r="B3327" s="154">
        <v>45226</v>
      </c>
      <c r="C3327" s="154">
        <v>45227</v>
      </c>
      <c r="D3327" s="3" t="s">
        <v>4065</v>
      </c>
      <c r="E3327" s="3">
        <v>-381</v>
      </c>
      <c r="F3327" s="3">
        <v>1</v>
      </c>
      <c r="G3327" s="3">
        <f t="shared" si="163"/>
        <v>381</v>
      </c>
      <c r="H3327" s="3" t="s">
        <v>266</v>
      </c>
      <c r="I3327" s="1" t="s">
        <v>43</v>
      </c>
      <c r="J3327" s="1" t="s">
        <v>44</v>
      </c>
      <c r="K3327" s="1" t="s">
        <v>298</v>
      </c>
      <c r="L3327" s="1" t="s">
        <v>267</v>
      </c>
      <c r="M3327" s="1"/>
      <c r="N3327" s="1">
        <f t="shared" si="162"/>
        <v>10</v>
      </c>
      <c r="O3327" s="87"/>
    </row>
    <row r="3328" spans="1:15" ht="15.75" hidden="1" x14ac:dyDescent="0.25">
      <c r="A3328" s="1" t="str">
        <f t="shared" si="161"/>
        <v>4522645227418.59DINERSGROCERYLULU</v>
      </c>
      <c r="B3328" s="154">
        <v>45226</v>
      </c>
      <c r="C3328" s="154">
        <v>45227</v>
      </c>
      <c r="D3328" s="3" t="s">
        <v>4066</v>
      </c>
      <c r="E3328" s="3">
        <v>-418.59</v>
      </c>
      <c r="F3328" s="3">
        <v>1</v>
      </c>
      <c r="G3328" s="3">
        <f t="shared" si="163"/>
        <v>418.59</v>
      </c>
      <c r="H3328" s="3" t="s">
        <v>266</v>
      </c>
      <c r="I3328" s="1" t="s">
        <v>43</v>
      </c>
      <c r="J3328" s="1" t="s">
        <v>44</v>
      </c>
      <c r="K3328" s="1" t="s">
        <v>298</v>
      </c>
      <c r="L3328" s="1" t="s">
        <v>267</v>
      </c>
      <c r="M3328" s="1"/>
      <c r="N3328" s="1">
        <f t="shared" si="162"/>
        <v>10</v>
      </c>
      <c r="O3328" s="87"/>
    </row>
    <row r="3329" spans="1:15" ht="15.75" hidden="1" x14ac:dyDescent="0.25">
      <c r="A3329" s="1" t="str">
        <f t="shared" si="161"/>
        <v>452274523010MASTER CCTELECOMOOREDOO</v>
      </c>
      <c r="B3329" s="154">
        <v>45227</v>
      </c>
      <c r="C3329" s="154">
        <v>45230</v>
      </c>
      <c r="D3329" s="3" t="s">
        <v>3927</v>
      </c>
      <c r="E3329" s="3">
        <v>-10</v>
      </c>
      <c r="F3329" s="3">
        <v>1</v>
      </c>
      <c r="G3329" s="3">
        <f t="shared" si="163"/>
        <v>10</v>
      </c>
      <c r="H3329" s="3" t="s">
        <v>291</v>
      </c>
      <c r="I3329" s="1" t="s">
        <v>58</v>
      </c>
      <c r="J3329" s="1" t="s">
        <v>59</v>
      </c>
      <c r="K3329" s="1" t="s">
        <v>298</v>
      </c>
      <c r="L3329" s="1" t="s">
        <v>267</v>
      </c>
      <c r="M3329" s="1"/>
      <c r="N3329" s="1">
        <f t="shared" si="162"/>
        <v>10</v>
      </c>
      <c r="O3329" s="87"/>
    </row>
    <row r="3330" spans="1:15" ht="15.75" hidden="1" x14ac:dyDescent="0.25">
      <c r="A3330" s="1" t="str">
        <f t="shared" ref="A3330:A3393" si="164">B3330&amp;C3330&amp;G3330&amp;H3330&amp;I3330&amp;J3330</f>
        <v>452274523060MASTER CCTELECOMOOREDOO</v>
      </c>
      <c r="B3330" s="154">
        <v>45227</v>
      </c>
      <c r="C3330" s="154">
        <v>45230</v>
      </c>
      <c r="D3330" s="3" t="s">
        <v>3928</v>
      </c>
      <c r="E3330" s="3">
        <v>-60</v>
      </c>
      <c r="F3330" s="3">
        <v>1</v>
      </c>
      <c r="G3330" s="3">
        <f t="shared" si="163"/>
        <v>60</v>
      </c>
      <c r="H3330" s="3" t="s">
        <v>291</v>
      </c>
      <c r="I3330" s="1" t="s">
        <v>58</v>
      </c>
      <c r="J3330" s="1" t="s">
        <v>59</v>
      </c>
      <c r="K3330" s="1" t="s">
        <v>298</v>
      </c>
      <c r="L3330" s="1" t="s">
        <v>267</v>
      </c>
      <c r="M3330" s="1"/>
      <c r="N3330" s="1">
        <f t="shared" ref="N3330:N3393" si="165">MONTH(C3330)</f>
        <v>10</v>
      </c>
      <c r="O3330" s="87"/>
    </row>
    <row r="3331" spans="1:15" ht="15.75" hidden="1" x14ac:dyDescent="0.25">
      <c r="A3331" s="1" t="str">
        <f t="shared" si="164"/>
        <v>452274522931.7MASTER CCGROCERYREDROSE</v>
      </c>
      <c r="B3331" s="154">
        <v>45227</v>
      </c>
      <c r="C3331" s="154">
        <v>45229</v>
      </c>
      <c r="D3331" s="3" t="s">
        <v>3929</v>
      </c>
      <c r="E3331" s="3">
        <v>-31.7</v>
      </c>
      <c r="F3331" s="3">
        <v>1</v>
      </c>
      <c r="G3331" s="3">
        <f t="shared" si="163"/>
        <v>31.7</v>
      </c>
      <c r="H3331" s="3" t="s">
        <v>291</v>
      </c>
      <c r="I3331" s="1" t="s">
        <v>43</v>
      </c>
      <c r="J3331" s="1" t="s">
        <v>4082</v>
      </c>
      <c r="K3331" s="1" t="s">
        <v>298</v>
      </c>
      <c r="L3331" s="1" t="s">
        <v>267</v>
      </c>
      <c r="M3331" s="1"/>
      <c r="N3331" s="1">
        <f t="shared" si="165"/>
        <v>10</v>
      </c>
      <c r="O3331" s="87"/>
    </row>
    <row r="3332" spans="1:15" ht="15.75" hidden="1" x14ac:dyDescent="0.25">
      <c r="A3332" s="1" t="str">
        <f t="shared" si="164"/>
        <v>452274522895.03MASTER CCTRANSPORTWOQOD</v>
      </c>
      <c r="B3332" s="154">
        <v>45227</v>
      </c>
      <c r="C3332" s="154">
        <v>45228</v>
      </c>
      <c r="D3332" s="3" t="s">
        <v>3930</v>
      </c>
      <c r="E3332" s="3">
        <v>-95.03</v>
      </c>
      <c r="F3332" s="3">
        <v>1</v>
      </c>
      <c r="G3332" s="3">
        <f t="shared" si="163"/>
        <v>95.03</v>
      </c>
      <c r="H3332" s="3" t="s">
        <v>291</v>
      </c>
      <c r="I3332" s="1" t="s">
        <v>296</v>
      </c>
      <c r="J3332" s="1" t="s">
        <v>1942</v>
      </c>
      <c r="K3332" s="1" t="s">
        <v>298</v>
      </c>
      <c r="L3332" s="1" t="s">
        <v>267</v>
      </c>
      <c r="M3332" s="1"/>
      <c r="N3332" s="1">
        <f t="shared" si="165"/>
        <v>10</v>
      </c>
      <c r="O3332" s="87"/>
    </row>
    <row r="3333" spans="1:15" ht="15.75" hidden="1" x14ac:dyDescent="0.25">
      <c r="A3333" s="1" t="str">
        <f t="shared" si="164"/>
        <v>452284522865CURRENTFOODTALABAT</v>
      </c>
      <c r="B3333" s="154">
        <v>45228</v>
      </c>
      <c r="C3333" s="154">
        <v>45228</v>
      </c>
      <c r="D3333" s="3" t="s">
        <v>3724</v>
      </c>
      <c r="E3333" s="3">
        <v>-65</v>
      </c>
      <c r="F3333" s="3">
        <v>1</v>
      </c>
      <c r="G3333" s="3">
        <f t="shared" si="163"/>
        <v>65</v>
      </c>
      <c r="H3333" s="3" t="s">
        <v>293</v>
      </c>
      <c r="I3333" s="1" t="s">
        <v>10</v>
      </c>
      <c r="J3333" s="1" t="s">
        <v>865</v>
      </c>
      <c r="K3333" s="1" t="s">
        <v>298</v>
      </c>
      <c r="L3333" s="1" t="s">
        <v>257</v>
      </c>
      <c r="M3333" s="1"/>
      <c r="N3333" s="1">
        <f t="shared" si="165"/>
        <v>10</v>
      </c>
      <c r="O3333" s="87"/>
    </row>
    <row r="3334" spans="1:15" ht="15.75" hidden="1" x14ac:dyDescent="0.25">
      <c r="A3334" s="1" t="str">
        <f t="shared" si="164"/>
        <v>4522845228143.75CURRENTGROCERYLULU</v>
      </c>
      <c r="B3334" s="154">
        <v>45228</v>
      </c>
      <c r="C3334" s="154">
        <v>45228</v>
      </c>
      <c r="D3334" s="3" t="s">
        <v>3725</v>
      </c>
      <c r="E3334" s="3">
        <v>-143.75</v>
      </c>
      <c r="F3334" s="3">
        <v>1</v>
      </c>
      <c r="G3334" s="3">
        <f t="shared" si="163"/>
        <v>143.75</v>
      </c>
      <c r="H3334" s="3" t="s">
        <v>293</v>
      </c>
      <c r="I3334" s="1" t="s">
        <v>43</v>
      </c>
      <c r="J3334" s="1" t="s">
        <v>44</v>
      </c>
      <c r="K3334" s="1" t="s">
        <v>298</v>
      </c>
      <c r="L3334" s="1" t="s">
        <v>257</v>
      </c>
      <c r="M3334" s="1"/>
      <c r="N3334" s="1">
        <f t="shared" si="165"/>
        <v>10</v>
      </c>
      <c r="O3334" s="87"/>
    </row>
    <row r="3335" spans="1:15" ht="15.75" hidden="1" x14ac:dyDescent="0.25">
      <c r="A3335" s="1" t="str">
        <f t="shared" si="164"/>
        <v>452284523068MASTER CCFOODTALABAT</v>
      </c>
      <c r="B3335" s="154">
        <v>45228</v>
      </c>
      <c r="C3335" s="154">
        <v>45230</v>
      </c>
      <c r="D3335" s="3" t="s">
        <v>3922</v>
      </c>
      <c r="E3335" s="3">
        <v>-68</v>
      </c>
      <c r="F3335" s="3">
        <v>1</v>
      </c>
      <c r="G3335" s="3">
        <f t="shared" si="163"/>
        <v>68</v>
      </c>
      <c r="H3335" s="3" t="s">
        <v>291</v>
      </c>
      <c r="I3335" s="1" t="s">
        <v>10</v>
      </c>
      <c r="J3335" s="1" t="s">
        <v>865</v>
      </c>
      <c r="K3335" s="1" t="s">
        <v>298</v>
      </c>
      <c r="L3335" s="1" t="s">
        <v>267</v>
      </c>
      <c r="M3335" s="1"/>
      <c r="N3335" s="1">
        <f t="shared" si="165"/>
        <v>10</v>
      </c>
      <c r="O3335" s="87"/>
    </row>
    <row r="3336" spans="1:15" ht="15.75" hidden="1" x14ac:dyDescent="0.25">
      <c r="A3336" s="1" t="str">
        <f t="shared" si="164"/>
        <v>452284523027.2MASTER CCMEDICALASTER</v>
      </c>
      <c r="B3336" s="154">
        <v>45228</v>
      </c>
      <c r="C3336" s="154">
        <v>45230</v>
      </c>
      <c r="D3336" s="3" t="s">
        <v>3923</v>
      </c>
      <c r="E3336" s="3">
        <v>-27.2</v>
      </c>
      <c r="F3336" s="3">
        <v>1</v>
      </c>
      <c r="G3336" s="3">
        <f t="shared" si="163"/>
        <v>27.2</v>
      </c>
      <c r="H3336" s="3" t="s">
        <v>291</v>
      </c>
      <c r="I3336" s="1" t="s">
        <v>301</v>
      </c>
      <c r="J3336" s="1" t="s">
        <v>303</v>
      </c>
      <c r="K3336" s="1" t="s">
        <v>298</v>
      </c>
      <c r="L3336" s="1" t="s">
        <v>267</v>
      </c>
      <c r="M3336" s="1"/>
      <c r="N3336" s="1">
        <f t="shared" si="165"/>
        <v>10</v>
      </c>
      <c r="O3336" s="87"/>
    </row>
    <row r="3337" spans="1:15" ht="15.75" hidden="1" x14ac:dyDescent="0.25">
      <c r="A3337" s="1" t="str">
        <f t="shared" si="164"/>
        <v>452284523019.5MASTER CCMEDICALASTER</v>
      </c>
      <c r="B3337" s="154">
        <v>45228</v>
      </c>
      <c r="C3337" s="154">
        <v>45230</v>
      </c>
      <c r="D3337" s="3" t="s">
        <v>3924</v>
      </c>
      <c r="E3337" s="3">
        <v>-19.5</v>
      </c>
      <c r="F3337" s="3">
        <v>1</v>
      </c>
      <c r="G3337" s="3">
        <f t="shared" si="163"/>
        <v>19.5</v>
      </c>
      <c r="H3337" s="3" t="s">
        <v>291</v>
      </c>
      <c r="I3337" s="1" t="s">
        <v>301</v>
      </c>
      <c r="J3337" s="1" t="s">
        <v>303</v>
      </c>
      <c r="K3337" s="1" t="s">
        <v>298</v>
      </c>
      <c r="L3337" s="1" t="s">
        <v>267</v>
      </c>
      <c r="M3337" s="1"/>
      <c r="N3337" s="1">
        <f t="shared" si="165"/>
        <v>10</v>
      </c>
      <c r="O3337" s="87"/>
    </row>
    <row r="3338" spans="1:15" ht="15.75" hidden="1" x14ac:dyDescent="0.25">
      <c r="A3338" s="1" t="str">
        <f t="shared" si="164"/>
        <v>452284522919.5MASTER CCMEDICALASTER</v>
      </c>
      <c r="B3338" s="154">
        <v>45228</v>
      </c>
      <c r="C3338" s="154">
        <v>45229</v>
      </c>
      <c r="D3338" s="3" t="s">
        <v>3925</v>
      </c>
      <c r="E3338" s="3">
        <v>-19.5</v>
      </c>
      <c r="F3338" s="3">
        <v>1</v>
      </c>
      <c r="G3338" s="3">
        <f t="shared" si="163"/>
        <v>19.5</v>
      </c>
      <c r="H3338" s="3" t="s">
        <v>291</v>
      </c>
      <c r="I3338" s="1" t="s">
        <v>301</v>
      </c>
      <c r="J3338" s="1" t="s">
        <v>303</v>
      </c>
      <c r="K3338" s="1" t="s">
        <v>298</v>
      </c>
      <c r="L3338" s="1" t="s">
        <v>267</v>
      </c>
      <c r="M3338" s="1"/>
      <c r="N3338" s="1">
        <f t="shared" si="165"/>
        <v>10</v>
      </c>
      <c r="O3338" s="87"/>
    </row>
    <row r="3339" spans="1:15" ht="15.75" hidden="1" x14ac:dyDescent="0.25">
      <c r="A3339" s="1" t="str">
        <f t="shared" si="164"/>
        <v>452284522945.5MASTER CCMEDICALASTER</v>
      </c>
      <c r="B3339" s="154">
        <v>45228</v>
      </c>
      <c r="C3339" s="154">
        <v>45229</v>
      </c>
      <c r="D3339" s="3" t="s">
        <v>3926</v>
      </c>
      <c r="E3339" s="3">
        <v>-45.5</v>
      </c>
      <c r="F3339" s="3">
        <v>1</v>
      </c>
      <c r="G3339" s="3">
        <f t="shared" ref="G3339:G3402" si="166">ABS(E3339)*F3339</f>
        <v>45.5</v>
      </c>
      <c r="H3339" s="3" t="s">
        <v>291</v>
      </c>
      <c r="I3339" s="1" t="s">
        <v>301</v>
      </c>
      <c r="J3339" s="1" t="s">
        <v>303</v>
      </c>
      <c r="K3339" s="1" t="s">
        <v>298</v>
      </c>
      <c r="L3339" s="1" t="s">
        <v>267</v>
      </c>
      <c r="M3339" s="1"/>
      <c r="N3339" s="1">
        <f t="shared" si="165"/>
        <v>10</v>
      </c>
      <c r="O3339" s="87"/>
    </row>
    <row r="3340" spans="1:15" ht="15.75" hidden="1" x14ac:dyDescent="0.25">
      <c r="A3340" s="1" t="str">
        <f t="shared" si="164"/>
        <v>452294522915.5CURRENTGROCERYMANGO</v>
      </c>
      <c r="B3340" s="154">
        <v>45229</v>
      </c>
      <c r="C3340" s="154">
        <v>45229</v>
      </c>
      <c r="D3340" s="3" t="s">
        <v>3720</v>
      </c>
      <c r="E3340" s="3">
        <v>-15.5</v>
      </c>
      <c r="F3340" s="3">
        <v>1</v>
      </c>
      <c r="G3340" s="3">
        <f t="shared" si="166"/>
        <v>15.5</v>
      </c>
      <c r="H3340" s="3" t="s">
        <v>293</v>
      </c>
      <c r="I3340" s="1" t="s">
        <v>43</v>
      </c>
      <c r="J3340" s="1" t="s">
        <v>3634</v>
      </c>
      <c r="K3340" s="1" t="s">
        <v>298</v>
      </c>
      <c r="L3340" s="1" t="s">
        <v>257</v>
      </c>
      <c r="M3340" s="1"/>
      <c r="N3340" s="1">
        <f t="shared" si="165"/>
        <v>10</v>
      </c>
      <c r="O3340" s="87"/>
    </row>
    <row r="3341" spans="1:15" ht="15.75" hidden="1" x14ac:dyDescent="0.25">
      <c r="A3341" s="1" t="str">
        <f t="shared" si="164"/>
        <v>4522945229134.16CURRENTGROCERYINDIAN SUPER</v>
      </c>
      <c r="B3341" s="154">
        <v>45229</v>
      </c>
      <c r="C3341" s="154">
        <v>45229</v>
      </c>
      <c r="D3341" s="3" t="s">
        <v>3721</v>
      </c>
      <c r="E3341" s="3">
        <v>-134.16</v>
      </c>
      <c r="F3341" s="3">
        <v>1</v>
      </c>
      <c r="G3341" s="3">
        <f t="shared" si="166"/>
        <v>134.16</v>
      </c>
      <c r="H3341" s="3" t="s">
        <v>293</v>
      </c>
      <c r="I3341" s="1" t="s">
        <v>43</v>
      </c>
      <c r="J3341" s="1" t="s">
        <v>2273</v>
      </c>
      <c r="K3341" s="1" t="s">
        <v>298</v>
      </c>
      <c r="L3341" s="1" t="s">
        <v>257</v>
      </c>
      <c r="M3341" s="1"/>
      <c r="N3341" s="1">
        <f t="shared" si="165"/>
        <v>10</v>
      </c>
      <c r="O3341" s="87"/>
    </row>
    <row r="3342" spans="1:15" ht="15.75" hidden="1" x14ac:dyDescent="0.25">
      <c r="A3342" s="1" t="str">
        <f t="shared" si="164"/>
        <v>452294522919CURRENTSHOPPINGINDIAN SUPER</v>
      </c>
      <c r="B3342" s="154">
        <v>45229</v>
      </c>
      <c r="C3342" s="154">
        <v>45229</v>
      </c>
      <c r="D3342" s="3" t="s">
        <v>3722</v>
      </c>
      <c r="E3342" s="3">
        <v>-19</v>
      </c>
      <c r="F3342" s="3">
        <v>1</v>
      </c>
      <c r="G3342" s="3">
        <f t="shared" si="166"/>
        <v>19</v>
      </c>
      <c r="H3342" s="3" t="s">
        <v>293</v>
      </c>
      <c r="I3342" s="1" t="s">
        <v>194</v>
      </c>
      <c r="J3342" s="1" t="s">
        <v>2273</v>
      </c>
      <c r="K3342" s="1" t="s">
        <v>298</v>
      </c>
      <c r="L3342" s="1" t="s">
        <v>257</v>
      </c>
      <c r="M3342" s="1"/>
      <c r="N3342" s="1">
        <f t="shared" si="165"/>
        <v>10</v>
      </c>
      <c r="O3342" s="87"/>
    </row>
    <row r="3343" spans="1:15" ht="15.75" hidden="1" x14ac:dyDescent="0.25">
      <c r="A3343" s="1" t="str">
        <f t="shared" si="164"/>
        <v>452294522931197CURRENTSALARYQATAR AIR</v>
      </c>
      <c r="B3343" s="154">
        <v>45229</v>
      </c>
      <c r="C3343" s="154">
        <v>45229</v>
      </c>
      <c r="D3343" s="3" t="s">
        <v>3723</v>
      </c>
      <c r="E3343" s="3">
        <v>31197</v>
      </c>
      <c r="F3343" s="3">
        <v>1</v>
      </c>
      <c r="G3343" s="3">
        <f t="shared" si="166"/>
        <v>31197</v>
      </c>
      <c r="H3343" s="3" t="s">
        <v>293</v>
      </c>
      <c r="I3343" s="1" t="s">
        <v>18</v>
      </c>
      <c r="J3343" s="1" t="s">
        <v>19</v>
      </c>
      <c r="K3343" s="1" t="s">
        <v>300</v>
      </c>
      <c r="L3343" s="1" t="s">
        <v>257</v>
      </c>
      <c r="M3343" s="1"/>
      <c r="N3343" s="1">
        <f t="shared" si="165"/>
        <v>10</v>
      </c>
      <c r="O3343" s="87"/>
    </row>
    <row r="3344" spans="1:15" ht="15.75" hidden="1" x14ac:dyDescent="0.25">
      <c r="A3344" s="1" t="str">
        <f t="shared" si="164"/>
        <v>4523045230125CURRENTFOODPAPA JOHN'S</v>
      </c>
      <c r="B3344" s="154">
        <v>45230</v>
      </c>
      <c r="C3344" s="154">
        <v>45230</v>
      </c>
      <c r="D3344" s="3" t="s">
        <v>3717</v>
      </c>
      <c r="E3344" s="3">
        <v>-125</v>
      </c>
      <c r="F3344" s="3">
        <v>1</v>
      </c>
      <c r="G3344" s="3">
        <f t="shared" si="166"/>
        <v>125</v>
      </c>
      <c r="H3344" s="3" t="s">
        <v>293</v>
      </c>
      <c r="I3344" s="1" t="s">
        <v>10</v>
      </c>
      <c r="J3344" s="1" t="s">
        <v>1657</v>
      </c>
      <c r="K3344" s="1" t="s">
        <v>298</v>
      </c>
      <c r="L3344" s="1" t="s">
        <v>257</v>
      </c>
      <c r="M3344" s="1"/>
      <c r="N3344" s="1">
        <f t="shared" si="165"/>
        <v>10</v>
      </c>
      <c r="O3344" s="87"/>
    </row>
    <row r="3345" spans="1:15" ht="15.75" hidden="1" x14ac:dyDescent="0.25">
      <c r="A3345" s="1" t="str">
        <f t="shared" si="164"/>
        <v>45230452301000CURRENTWITHDRAWSELF</v>
      </c>
      <c r="B3345" s="154">
        <v>45230</v>
      </c>
      <c r="C3345" s="154">
        <v>45230</v>
      </c>
      <c r="D3345" s="3" t="s">
        <v>3718</v>
      </c>
      <c r="E3345" s="3">
        <v>-1000</v>
      </c>
      <c r="F3345" s="3">
        <v>1</v>
      </c>
      <c r="G3345" s="3">
        <f t="shared" si="166"/>
        <v>1000</v>
      </c>
      <c r="H3345" s="3" t="s">
        <v>293</v>
      </c>
      <c r="I3345" s="1" t="s">
        <v>13</v>
      </c>
      <c r="J3345" s="1" t="s">
        <v>14</v>
      </c>
      <c r="K3345" s="1" t="s">
        <v>298</v>
      </c>
      <c r="L3345" s="1" t="s">
        <v>257</v>
      </c>
      <c r="M3345" s="1"/>
      <c r="N3345" s="1">
        <f t="shared" si="165"/>
        <v>10</v>
      </c>
      <c r="O3345" s="87"/>
    </row>
    <row r="3346" spans="1:15" ht="15.75" hidden="1" x14ac:dyDescent="0.25">
      <c r="A3346" s="1" t="str">
        <f t="shared" si="164"/>
        <v>45230452307720CURRENTCC BILL PAYMENTBANK</v>
      </c>
      <c r="B3346" s="154">
        <v>45230</v>
      </c>
      <c r="C3346" s="154">
        <v>45230</v>
      </c>
      <c r="D3346" s="3" t="s">
        <v>3719</v>
      </c>
      <c r="E3346" s="3">
        <v>-7720</v>
      </c>
      <c r="F3346" s="3">
        <v>1</v>
      </c>
      <c r="G3346" s="3">
        <f t="shared" si="166"/>
        <v>7720</v>
      </c>
      <c r="H3346" s="3" t="s">
        <v>293</v>
      </c>
      <c r="I3346" s="1" t="s">
        <v>81</v>
      </c>
      <c r="J3346" s="1" t="s">
        <v>8</v>
      </c>
      <c r="K3346" s="1" t="s">
        <v>298</v>
      </c>
      <c r="L3346" s="1" t="s">
        <v>257</v>
      </c>
      <c r="M3346" s="1"/>
      <c r="N3346" s="1">
        <f t="shared" si="165"/>
        <v>10</v>
      </c>
      <c r="O3346" s="87"/>
    </row>
    <row r="3347" spans="1:15" ht="15.75" hidden="1" x14ac:dyDescent="0.25">
      <c r="A3347" s="1" t="str">
        <f t="shared" si="164"/>
        <v>45230452307720DINERSCC BILL PAYMENTBANK</v>
      </c>
      <c r="B3347" s="154">
        <v>45230</v>
      </c>
      <c r="C3347" s="154">
        <v>45230</v>
      </c>
      <c r="D3347" s="3" t="s">
        <v>80</v>
      </c>
      <c r="E3347" s="3">
        <v>7720</v>
      </c>
      <c r="F3347" s="3">
        <v>1</v>
      </c>
      <c r="G3347" s="3">
        <f t="shared" si="166"/>
        <v>7720</v>
      </c>
      <c r="H3347" s="3" t="s">
        <v>266</v>
      </c>
      <c r="I3347" s="1" t="s">
        <v>81</v>
      </c>
      <c r="J3347" s="1" t="s">
        <v>8</v>
      </c>
      <c r="K3347" s="1" t="s">
        <v>300</v>
      </c>
      <c r="L3347" s="1" t="s">
        <v>267</v>
      </c>
      <c r="M3347" s="1"/>
      <c r="N3347" s="1">
        <f t="shared" si="165"/>
        <v>10</v>
      </c>
      <c r="O3347" s="87"/>
    </row>
    <row r="3348" spans="1:15" ht="15.75" hidden="1" x14ac:dyDescent="0.25">
      <c r="A3348" s="1" t="str">
        <f t="shared" si="164"/>
        <v>45231452316599CURRENTSALARYQATAR AIR</v>
      </c>
      <c r="B3348" s="154">
        <v>45231</v>
      </c>
      <c r="C3348" s="154">
        <v>45231</v>
      </c>
      <c r="D3348" s="3" t="s">
        <v>3716</v>
      </c>
      <c r="E3348" s="3">
        <v>6599</v>
      </c>
      <c r="F3348" s="3">
        <v>1</v>
      </c>
      <c r="G3348" s="3">
        <f t="shared" si="166"/>
        <v>6599</v>
      </c>
      <c r="H3348" s="3" t="s">
        <v>293</v>
      </c>
      <c r="I3348" s="1" t="s">
        <v>18</v>
      </c>
      <c r="J3348" s="1" t="s">
        <v>19</v>
      </c>
      <c r="K3348" s="1" t="s">
        <v>300</v>
      </c>
      <c r="L3348" s="1" t="s">
        <v>257</v>
      </c>
      <c r="M3348" s="1"/>
      <c r="N3348" s="1">
        <f t="shared" si="165"/>
        <v>11</v>
      </c>
      <c r="O3348" s="87"/>
    </row>
    <row r="3349" spans="1:15" ht="15.75" hidden="1" x14ac:dyDescent="0.25">
      <c r="A3349" s="1" t="str">
        <f t="shared" si="164"/>
        <v>4523145231500CURRENTSAVINGARTI</v>
      </c>
      <c r="B3349" s="154">
        <v>45231</v>
      </c>
      <c r="C3349" s="154">
        <v>45231</v>
      </c>
      <c r="D3349" s="3" t="s">
        <v>2909</v>
      </c>
      <c r="E3349" s="3">
        <v>-500</v>
      </c>
      <c r="F3349" s="3">
        <v>1</v>
      </c>
      <c r="G3349" s="3">
        <f t="shared" si="166"/>
        <v>500</v>
      </c>
      <c r="H3349" s="3" t="s">
        <v>293</v>
      </c>
      <c r="I3349" s="1" t="s">
        <v>302</v>
      </c>
      <c r="J3349" s="1" t="s">
        <v>453</v>
      </c>
      <c r="K3349" s="1" t="s">
        <v>298</v>
      </c>
      <c r="L3349" s="1" t="s">
        <v>257</v>
      </c>
      <c r="M3349" s="1"/>
      <c r="N3349" s="1">
        <f t="shared" si="165"/>
        <v>11</v>
      </c>
      <c r="O3349" s="87"/>
    </row>
    <row r="3350" spans="1:15" ht="15.75" hidden="1" x14ac:dyDescent="0.25">
      <c r="A3350" s="1" t="str">
        <f t="shared" si="164"/>
        <v>452314523532MASTER CCFOODTALABAT</v>
      </c>
      <c r="B3350" s="154">
        <v>45231</v>
      </c>
      <c r="C3350" s="154">
        <v>45235</v>
      </c>
      <c r="D3350" s="3" t="s">
        <v>3919</v>
      </c>
      <c r="E3350" s="3">
        <v>-32</v>
      </c>
      <c r="F3350" s="3">
        <v>1</v>
      </c>
      <c r="G3350" s="3">
        <f t="shared" si="166"/>
        <v>32</v>
      </c>
      <c r="H3350" s="3" t="s">
        <v>291</v>
      </c>
      <c r="I3350" s="1" t="s">
        <v>10</v>
      </c>
      <c r="J3350" s="1" t="s">
        <v>865</v>
      </c>
      <c r="K3350" s="1" t="s">
        <v>298</v>
      </c>
      <c r="L3350" s="1" t="s">
        <v>267</v>
      </c>
      <c r="M3350" s="1"/>
      <c r="N3350" s="1">
        <f t="shared" si="165"/>
        <v>11</v>
      </c>
      <c r="O3350" s="87"/>
    </row>
    <row r="3351" spans="1:15" ht="15.75" hidden="1" x14ac:dyDescent="0.25">
      <c r="A3351" s="1" t="str">
        <f t="shared" si="164"/>
        <v>4523145234202MASTER CCFOODCAFÉ/REST.</v>
      </c>
      <c r="B3351" s="154">
        <v>45231</v>
      </c>
      <c r="C3351" s="154">
        <v>45234</v>
      </c>
      <c r="D3351" s="3" t="s">
        <v>3920</v>
      </c>
      <c r="E3351" s="3">
        <v>-202</v>
      </c>
      <c r="F3351" s="3">
        <v>1</v>
      </c>
      <c r="G3351" s="3">
        <f t="shared" si="166"/>
        <v>202</v>
      </c>
      <c r="H3351" s="3" t="s">
        <v>291</v>
      </c>
      <c r="I3351" s="1" t="s">
        <v>10</v>
      </c>
      <c r="J3351" s="1" t="s">
        <v>11</v>
      </c>
      <c r="K3351" s="1" t="s">
        <v>298</v>
      </c>
      <c r="L3351" s="1" t="s">
        <v>267</v>
      </c>
      <c r="M3351" s="1"/>
      <c r="N3351" s="1">
        <f t="shared" si="165"/>
        <v>11</v>
      </c>
      <c r="O3351" s="87"/>
    </row>
    <row r="3352" spans="1:15" ht="15.75" hidden="1" x14ac:dyDescent="0.25">
      <c r="A3352" s="1" t="str">
        <f t="shared" si="164"/>
        <v>452314523310MASTER CCFOODQATAR AIR</v>
      </c>
      <c r="B3352" s="154">
        <v>45231</v>
      </c>
      <c r="C3352" s="154">
        <v>45233</v>
      </c>
      <c r="D3352" s="3" t="s">
        <v>3921</v>
      </c>
      <c r="E3352" s="3">
        <v>-10</v>
      </c>
      <c r="F3352" s="3">
        <v>1</v>
      </c>
      <c r="G3352" s="3">
        <f t="shared" si="166"/>
        <v>10</v>
      </c>
      <c r="H3352" s="3" t="s">
        <v>291</v>
      </c>
      <c r="I3352" s="1" t="s">
        <v>10</v>
      </c>
      <c r="J3352" s="1" t="s">
        <v>19</v>
      </c>
      <c r="K3352" s="1" t="s">
        <v>298</v>
      </c>
      <c r="L3352" s="1" t="s">
        <v>267</v>
      </c>
      <c r="M3352" s="1"/>
      <c r="N3352" s="1">
        <f t="shared" si="165"/>
        <v>11</v>
      </c>
      <c r="O3352" s="87"/>
    </row>
    <row r="3353" spans="1:15" ht="15.75" hidden="1" x14ac:dyDescent="0.25">
      <c r="A3353" s="1" t="str">
        <f t="shared" si="164"/>
        <v>452324523531MASTER CCFOODTALABAT</v>
      </c>
      <c r="B3353" s="154">
        <v>45232</v>
      </c>
      <c r="C3353" s="154">
        <v>45235</v>
      </c>
      <c r="D3353" s="3" t="s">
        <v>3915</v>
      </c>
      <c r="E3353" s="3">
        <v>-31</v>
      </c>
      <c r="F3353" s="3">
        <v>1</v>
      </c>
      <c r="G3353" s="3">
        <f t="shared" si="166"/>
        <v>31</v>
      </c>
      <c r="H3353" s="3" t="s">
        <v>291</v>
      </c>
      <c r="I3353" s="1" t="s">
        <v>10</v>
      </c>
      <c r="J3353" s="1" t="s">
        <v>865</v>
      </c>
      <c r="K3353" s="1" t="s">
        <v>298</v>
      </c>
      <c r="L3353" s="1" t="s">
        <v>267</v>
      </c>
      <c r="M3353" s="1"/>
      <c r="N3353" s="1">
        <f t="shared" si="165"/>
        <v>11</v>
      </c>
      <c r="O3353" s="87"/>
    </row>
    <row r="3354" spans="1:15" ht="15.75" hidden="1" x14ac:dyDescent="0.25">
      <c r="A3354" s="1" t="str">
        <f t="shared" si="164"/>
        <v>452324523418.51MASTER CCTRANSPORTUBER</v>
      </c>
      <c r="B3354" s="154">
        <v>45232</v>
      </c>
      <c r="C3354" s="154">
        <v>45234</v>
      </c>
      <c r="D3354" s="3" t="s">
        <v>3916</v>
      </c>
      <c r="E3354" s="3">
        <v>-18.510000000000002</v>
      </c>
      <c r="F3354" s="3">
        <v>1</v>
      </c>
      <c r="G3354" s="3">
        <f t="shared" si="166"/>
        <v>18.510000000000002</v>
      </c>
      <c r="H3354" s="3" t="s">
        <v>291</v>
      </c>
      <c r="I3354" s="1" t="s">
        <v>296</v>
      </c>
      <c r="J3354" s="1" t="s">
        <v>299</v>
      </c>
      <c r="K3354" s="1" t="s">
        <v>298</v>
      </c>
      <c r="L3354" s="1" t="s">
        <v>267</v>
      </c>
      <c r="M3354" s="1"/>
      <c r="N3354" s="1">
        <f t="shared" si="165"/>
        <v>11</v>
      </c>
      <c r="O3354" s="87"/>
    </row>
    <row r="3355" spans="1:15" ht="15.75" hidden="1" x14ac:dyDescent="0.25">
      <c r="A3355" s="1" t="str">
        <f t="shared" si="164"/>
        <v>452324523412MASTER CCLAUNDRYAL RAYES</v>
      </c>
      <c r="B3355" s="154">
        <v>45232</v>
      </c>
      <c r="C3355" s="154">
        <v>45234</v>
      </c>
      <c r="D3355" s="3" t="s">
        <v>3917</v>
      </c>
      <c r="E3355" s="3">
        <v>-12</v>
      </c>
      <c r="F3355" s="3">
        <v>1</v>
      </c>
      <c r="G3355" s="3">
        <f t="shared" si="166"/>
        <v>12</v>
      </c>
      <c r="H3355" s="3" t="s">
        <v>291</v>
      </c>
      <c r="I3355" s="1" t="s">
        <v>3164</v>
      </c>
      <c r="J3355" s="1" t="s">
        <v>3165</v>
      </c>
      <c r="K3355" s="1" t="s">
        <v>298</v>
      </c>
      <c r="L3355" s="1" t="s">
        <v>267</v>
      </c>
      <c r="M3355" s="1"/>
      <c r="N3355" s="1">
        <f t="shared" si="165"/>
        <v>11</v>
      </c>
      <c r="O3355" s="87"/>
    </row>
    <row r="3356" spans="1:15" ht="15.75" hidden="1" x14ac:dyDescent="0.25">
      <c r="A3356" s="1" t="str">
        <f t="shared" si="164"/>
        <v>4523245233207.18MASTER CCGROCERYLULU</v>
      </c>
      <c r="B3356" s="154">
        <v>45232</v>
      </c>
      <c r="C3356" s="154">
        <v>45233</v>
      </c>
      <c r="D3356" s="3" t="s">
        <v>3918</v>
      </c>
      <c r="E3356" s="3">
        <v>-207.18</v>
      </c>
      <c r="F3356" s="3">
        <v>1</v>
      </c>
      <c r="G3356" s="3">
        <f t="shared" si="166"/>
        <v>207.18</v>
      </c>
      <c r="H3356" s="3" t="s">
        <v>291</v>
      </c>
      <c r="I3356" s="1" t="s">
        <v>43</v>
      </c>
      <c r="J3356" s="1" t="s">
        <v>44</v>
      </c>
      <c r="K3356" s="1" t="s">
        <v>298</v>
      </c>
      <c r="L3356" s="1" t="s">
        <v>267</v>
      </c>
      <c r="M3356" s="1"/>
      <c r="N3356" s="1">
        <f t="shared" si="165"/>
        <v>11</v>
      </c>
      <c r="O3356" s="87"/>
    </row>
    <row r="3357" spans="1:15" ht="15.75" hidden="1" x14ac:dyDescent="0.25">
      <c r="A3357" s="1" t="str">
        <f t="shared" si="164"/>
        <v>452334523674MASTER CCFOODTALABAT</v>
      </c>
      <c r="B3357" s="154">
        <v>45233</v>
      </c>
      <c r="C3357" s="154">
        <v>45236</v>
      </c>
      <c r="D3357" s="3" t="s">
        <v>3913</v>
      </c>
      <c r="E3357" s="3">
        <v>-74</v>
      </c>
      <c r="F3357" s="3">
        <v>1</v>
      </c>
      <c r="G3357" s="3">
        <f t="shared" si="166"/>
        <v>74</v>
      </c>
      <c r="H3357" s="3" t="s">
        <v>291</v>
      </c>
      <c r="I3357" s="1" t="s">
        <v>10</v>
      </c>
      <c r="J3357" s="1" t="s">
        <v>865</v>
      </c>
      <c r="K3357" s="1" t="s">
        <v>298</v>
      </c>
      <c r="L3357" s="1" t="s">
        <v>267</v>
      </c>
      <c r="M3357" s="1"/>
      <c r="N3357" s="1">
        <f t="shared" si="165"/>
        <v>11</v>
      </c>
      <c r="O3357" s="87"/>
    </row>
    <row r="3358" spans="1:15" ht="15.75" hidden="1" x14ac:dyDescent="0.25">
      <c r="A3358" s="1" t="str">
        <f t="shared" si="164"/>
        <v>452334523661MASTER CCFOODTALABAT</v>
      </c>
      <c r="B3358" s="154">
        <v>45233</v>
      </c>
      <c r="C3358" s="154">
        <v>45236</v>
      </c>
      <c r="D3358" s="3" t="s">
        <v>3914</v>
      </c>
      <c r="E3358" s="3">
        <v>-61</v>
      </c>
      <c r="F3358" s="3">
        <v>1</v>
      </c>
      <c r="G3358" s="3">
        <f t="shared" si="166"/>
        <v>61</v>
      </c>
      <c r="H3358" s="3" t="s">
        <v>291</v>
      </c>
      <c r="I3358" s="1" t="s">
        <v>10</v>
      </c>
      <c r="J3358" s="1" t="s">
        <v>865</v>
      </c>
      <c r="K3358" s="1" t="s">
        <v>298</v>
      </c>
      <c r="L3358" s="1" t="s">
        <v>267</v>
      </c>
      <c r="M3358" s="1"/>
      <c r="N3358" s="1">
        <f t="shared" si="165"/>
        <v>11</v>
      </c>
      <c r="O3358" s="87"/>
    </row>
    <row r="3359" spans="1:15" ht="15.75" hidden="1" x14ac:dyDescent="0.25">
      <c r="A3359" s="1" t="str">
        <f t="shared" si="164"/>
        <v>452344523724.13MASTER CCTRANSPORTUBER</v>
      </c>
      <c r="B3359" s="154">
        <v>45234</v>
      </c>
      <c r="C3359" s="154">
        <v>45237</v>
      </c>
      <c r="D3359" s="3" t="s">
        <v>3911</v>
      </c>
      <c r="E3359" s="3">
        <v>-24.13</v>
      </c>
      <c r="F3359" s="3">
        <v>1</v>
      </c>
      <c r="G3359" s="3">
        <f t="shared" si="166"/>
        <v>24.13</v>
      </c>
      <c r="H3359" s="3" t="s">
        <v>291</v>
      </c>
      <c r="I3359" s="1" t="s">
        <v>296</v>
      </c>
      <c r="J3359" s="1" t="s">
        <v>299</v>
      </c>
      <c r="K3359" s="1" t="s">
        <v>298</v>
      </c>
      <c r="L3359" s="1" t="s">
        <v>267</v>
      </c>
      <c r="M3359" s="1"/>
      <c r="N3359" s="1">
        <f t="shared" si="165"/>
        <v>11</v>
      </c>
      <c r="O3359" s="87"/>
    </row>
    <row r="3360" spans="1:15" ht="15.75" hidden="1" x14ac:dyDescent="0.25">
      <c r="A3360" s="1" t="str">
        <f t="shared" si="164"/>
        <v>452344523784.5MASTER CCGROCERYCARREFOUR</v>
      </c>
      <c r="B3360" s="154">
        <v>45234</v>
      </c>
      <c r="C3360" s="154">
        <v>45237</v>
      </c>
      <c r="D3360" s="3" t="s">
        <v>3912</v>
      </c>
      <c r="E3360" s="3">
        <v>-84.5</v>
      </c>
      <c r="F3360" s="3">
        <v>1</v>
      </c>
      <c r="G3360" s="3">
        <f t="shared" si="166"/>
        <v>84.5</v>
      </c>
      <c r="H3360" s="3" t="s">
        <v>291</v>
      </c>
      <c r="I3360" s="1" t="s">
        <v>43</v>
      </c>
      <c r="J3360" s="1" t="s">
        <v>67</v>
      </c>
      <c r="K3360" s="1" t="s">
        <v>298</v>
      </c>
      <c r="L3360" s="1" t="s">
        <v>267</v>
      </c>
      <c r="M3360" s="1"/>
      <c r="N3360" s="1">
        <f t="shared" si="165"/>
        <v>11</v>
      </c>
      <c r="O3360" s="87"/>
    </row>
    <row r="3361" spans="1:15" ht="15.75" hidden="1" x14ac:dyDescent="0.25">
      <c r="A3361" s="1" t="str">
        <f t="shared" si="164"/>
        <v>45235452355000CURRENTRENTBARWA</v>
      </c>
      <c r="B3361" s="154">
        <v>45235</v>
      </c>
      <c r="C3361" s="154">
        <v>45235</v>
      </c>
      <c r="D3361" s="3" t="s">
        <v>3714</v>
      </c>
      <c r="E3361" s="3">
        <v>-5000</v>
      </c>
      <c r="F3361" s="3">
        <v>1</v>
      </c>
      <c r="G3361" s="3">
        <f t="shared" si="166"/>
        <v>5000</v>
      </c>
      <c r="H3361" s="3" t="s">
        <v>293</v>
      </c>
      <c r="I3361" s="1" t="s">
        <v>83</v>
      </c>
      <c r="J3361" s="1" t="s">
        <v>3633</v>
      </c>
      <c r="K3361" s="1" t="s">
        <v>298</v>
      </c>
      <c r="L3361" s="1" t="s">
        <v>257</v>
      </c>
      <c r="M3361" s="1"/>
      <c r="N3361" s="1">
        <f t="shared" si="165"/>
        <v>11</v>
      </c>
      <c r="O3361" s="87"/>
    </row>
    <row r="3362" spans="1:15" ht="15.75" hidden="1" x14ac:dyDescent="0.25">
      <c r="A3362" s="1" t="str">
        <f t="shared" si="164"/>
        <v>4523545235570CURRENTOTHERSAURABH</v>
      </c>
      <c r="B3362" s="154">
        <v>45235</v>
      </c>
      <c r="C3362" s="154">
        <v>45235</v>
      </c>
      <c r="D3362" s="3" t="s">
        <v>3715</v>
      </c>
      <c r="E3362" s="3">
        <v>570</v>
      </c>
      <c r="F3362" s="3">
        <v>1</v>
      </c>
      <c r="G3362" s="3">
        <f t="shared" si="166"/>
        <v>570</v>
      </c>
      <c r="H3362" s="3" t="s">
        <v>293</v>
      </c>
      <c r="I3362" s="1" t="s">
        <v>1285</v>
      </c>
      <c r="J3362" s="1" t="s">
        <v>4086</v>
      </c>
      <c r="K3362" s="1" t="s">
        <v>300</v>
      </c>
      <c r="L3362" s="1" t="s">
        <v>257</v>
      </c>
      <c r="M3362" s="1"/>
      <c r="N3362" s="1">
        <f t="shared" si="165"/>
        <v>11</v>
      </c>
      <c r="O3362" s="87"/>
    </row>
    <row r="3363" spans="1:15" ht="15.75" hidden="1" x14ac:dyDescent="0.25">
      <c r="A3363" s="1" t="str">
        <f t="shared" si="164"/>
        <v>4523545237200MASTER CCMEDICALHEALTH CENTER</v>
      </c>
      <c r="B3363" s="154">
        <v>45235</v>
      </c>
      <c r="C3363" s="154">
        <v>45237</v>
      </c>
      <c r="D3363" s="3" t="s">
        <v>3910</v>
      </c>
      <c r="E3363" s="3">
        <v>-200</v>
      </c>
      <c r="F3363" s="3">
        <v>1</v>
      </c>
      <c r="G3363" s="3">
        <f t="shared" si="166"/>
        <v>200</v>
      </c>
      <c r="H3363" s="3" t="s">
        <v>291</v>
      </c>
      <c r="I3363" s="1" t="s">
        <v>301</v>
      </c>
      <c r="J3363" s="1" t="s">
        <v>159</v>
      </c>
      <c r="K3363" s="1" t="s">
        <v>298</v>
      </c>
      <c r="L3363" s="1" t="s">
        <v>267</v>
      </c>
      <c r="M3363" s="1"/>
      <c r="N3363" s="1">
        <f t="shared" si="165"/>
        <v>11</v>
      </c>
      <c r="O3363" s="87"/>
    </row>
    <row r="3364" spans="1:15" ht="15.75" hidden="1" x14ac:dyDescent="0.25">
      <c r="A3364" s="1" t="str">
        <f t="shared" si="164"/>
        <v>452364523825.3MASTER CCFOODCAFÉ/REST.</v>
      </c>
      <c r="B3364" s="154">
        <v>45236</v>
      </c>
      <c r="C3364" s="154">
        <v>45238</v>
      </c>
      <c r="D3364" s="3" t="s">
        <v>3905</v>
      </c>
      <c r="E3364" s="3">
        <v>-25.3</v>
      </c>
      <c r="F3364" s="3">
        <v>1</v>
      </c>
      <c r="G3364" s="3">
        <f t="shared" si="166"/>
        <v>25.3</v>
      </c>
      <c r="H3364" s="3" t="s">
        <v>291</v>
      </c>
      <c r="I3364" s="1" t="s">
        <v>10</v>
      </c>
      <c r="J3364" s="1" t="s">
        <v>11</v>
      </c>
      <c r="K3364" s="1" t="s">
        <v>298</v>
      </c>
      <c r="L3364" s="1" t="s">
        <v>267</v>
      </c>
      <c r="M3364" s="1"/>
      <c r="N3364" s="1">
        <f t="shared" si="165"/>
        <v>11</v>
      </c>
      <c r="O3364" s="87"/>
    </row>
    <row r="3365" spans="1:15" ht="15.75" hidden="1" x14ac:dyDescent="0.25">
      <c r="A3365" s="1" t="str">
        <f t="shared" si="164"/>
        <v>452364523857.09MASTER CCFOODCAFÉ/REST.</v>
      </c>
      <c r="B3365" s="154">
        <v>45236</v>
      </c>
      <c r="C3365" s="154">
        <v>45238</v>
      </c>
      <c r="D3365" s="3" t="s">
        <v>3906</v>
      </c>
      <c r="E3365" s="3">
        <v>-57.09</v>
      </c>
      <c r="F3365" s="3">
        <v>1</v>
      </c>
      <c r="G3365" s="3">
        <f t="shared" si="166"/>
        <v>57.09</v>
      </c>
      <c r="H3365" s="3" t="s">
        <v>291</v>
      </c>
      <c r="I3365" s="1" t="s">
        <v>10</v>
      </c>
      <c r="J3365" s="1" t="s">
        <v>11</v>
      </c>
      <c r="K3365" s="1" t="s">
        <v>298</v>
      </c>
      <c r="L3365" s="1" t="s">
        <v>267</v>
      </c>
      <c r="M3365" s="1"/>
      <c r="N3365" s="1">
        <f t="shared" si="165"/>
        <v>11</v>
      </c>
      <c r="O3365" s="87"/>
    </row>
    <row r="3366" spans="1:15" ht="15.75" hidden="1" x14ac:dyDescent="0.25">
      <c r="A3366" s="1" t="str">
        <f t="shared" si="164"/>
        <v>452364523810MASTER CCTELECOMOOREDOO</v>
      </c>
      <c r="B3366" s="154">
        <v>45236</v>
      </c>
      <c r="C3366" s="154">
        <v>45238</v>
      </c>
      <c r="D3366" s="3" t="s">
        <v>3907</v>
      </c>
      <c r="E3366" s="3">
        <v>-10</v>
      </c>
      <c r="F3366" s="3">
        <v>1</v>
      </c>
      <c r="G3366" s="3">
        <f t="shared" si="166"/>
        <v>10</v>
      </c>
      <c r="H3366" s="3" t="s">
        <v>291</v>
      </c>
      <c r="I3366" s="1" t="s">
        <v>58</v>
      </c>
      <c r="J3366" s="1" t="s">
        <v>59</v>
      </c>
      <c r="K3366" s="1" t="s">
        <v>298</v>
      </c>
      <c r="L3366" s="1" t="s">
        <v>267</v>
      </c>
      <c r="M3366" s="1"/>
      <c r="N3366" s="1">
        <f t="shared" si="165"/>
        <v>11</v>
      </c>
      <c r="O3366" s="87"/>
    </row>
    <row r="3367" spans="1:15" ht="15.75" hidden="1" x14ac:dyDescent="0.25">
      <c r="A3367" s="1" t="str">
        <f t="shared" si="164"/>
        <v>452364523860MASTER CCTELECOMOOREDOO</v>
      </c>
      <c r="B3367" s="154">
        <v>45236</v>
      </c>
      <c r="C3367" s="154">
        <v>45238</v>
      </c>
      <c r="D3367" s="3" t="s">
        <v>3908</v>
      </c>
      <c r="E3367" s="3">
        <v>-60</v>
      </c>
      <c r="F3367" s="3">
        <v>1</v>
      </c>
      <c r="G3367" s="3">
        <f t="shared" si="166"/>
        <v>60</v>
      </c>
      <c r="H3367" s="3" t="s">
        <v>291</v>
      </c>
      <c r="I3367" s="1" t="s">
        <v>58</v>
      </c>
      <c r="J3367" s="1" t="s">
        <v>59</v>
      </c>
      <c r="K3367" s="1" t="s">
        <v>298</v>
      </c>
      <c r="L3367" s="1" t="s">
        <v>267</v>
      </c>
      <c r="M3367" s="1"/>
      <c r="N3367" s="1">
        <f t="shared" si="165"/>
        <v>11</v>
      </c>
      <c r="O3367" s="87"/>
    </row>
    <row r="3368" spans="1:15" ht="15.75" hidden="1" x14ac:dyDescent="0.25">
      <c r="A3368" s="1" t="str">
        <f t="shared" si="164"/>
        <v>4523645237181.41MASTER CCFOODCAFÉ/REST.</v>
      </c>
      <c r="B3368" s="154">
        <v>45236</v>
      </c>
      <c r="C3368" s="154">
        <v>45237</v>
      </c>
      <c r="D3368" s="3" t="s">
        <v>3909</v>
      </c>
      <c r="E3368" s="3">
        <v>-181.41</v>
      </c>
      <c r="F3368" s="3">
        <v>1</v>
      </c>
      <c r="G3368" s="3">
        <f t="shared" si="166"/>
        <v>181.41</v>
      </c>
      <c r="H3368" s="3" t="s">
        <v>291</v>
      </c>
      <c r="I3368" s="1" t="s">
        <v>10</v>
      </c>
      <c r="J3368" s="1" t="s">
        <v>11</v>
      </c>
      <c r="K3368" s="1" t="s">
        <v>298</v>
      </c>
      <c r="L3368" s="1" t="s">
        <v>267</v>
      </c>
      <c r="M3368" s="1"/>
      <c r="N3368" s="1">
        <f t="shared" si="165"/>
        <v>11</v>
      </c>
      <c r="O3368" s="87"/>
    </row>
    <row r="3369" spans="1:15" ht="15.75" hidden="1" x14ac:dyDescent="0.25">
      <c r="A3369" s="1" t="str">
        <f t="shared" si="164"/>
        <v>452364523684DINERSRENTKAHRAMAA</v>
      </c>
      <c r="B3369" s="154">
        <v>45236</v>
      </c>
      <c r="C3369" s="154">
        <v>45236</v>
      </c>
      <c r="D3369" s="3" t="s">
        <v>4064</v>
      </c>
      <c r="E3369" s="3">
        <v>-84</v>
      </c>
      <c r="F3369" s="3">
        <v>1</v>
      </c>
      <c r="G3369" s="3">
        <f t="shared" si="166"/>
        <v>84</v>
      </c>
      <c r="H3369" s="3" t="s">
        <v>266</v>
      </c>
      <c r="I3369" s="1" t="s">
        <v>83</v>
      </c>
      <c r="J3369" s="1" t="s">
        <v>4113</v>
      </c>
      <c r="K3369" s="1" t="s">
        <v>298</v>
      </c>
      <c r="L3369" s="1" t="s">
        <v>267</v>
      </c>
      <c r="M3369" s="1"/>
      <c r="N3369" s="1">
        <f t="shared" si="165"/>
        <v>11</v>
      </c>
      <c r="O3369" s="87"/>
    </row>
    <row r="3370" spans="1:15" ht="15.75" hidden="1" x14ac:dyDescent="0.25">
      <c r="A3370" s="1" t="str">
        <f t="shared" si="164"/>
        <v>452374523911.52MASTER CCFOODCAFÉ/REST.</v>
      </c>
      <c r="B3370" s="154">
        <v>45237</v>
      </c>
      <c r="C3370" s="154">
        <v>45239</v>
      </c>
      <c r="D3370" s="3" t="s">
        <v>3904</v>
      </c>
      <c r="E3370" s="3">
        <v>-11.52</v>
      </c>
      <c r="F3370" s="3">
        <v>1</v>
      </c>
      <c r="G3370" s="3">
        <f t="shared" si="166"/>
        <v>11.52</v>
      </c>
      <c r="H3370" s="3" t="s">
        <v>291</v>
      </c>
      <c r="I3370" s="1" t="s">
        <v>10</v>
      </c>
      <c r="J3370" s="1" t="s">
        <v>11</v>
      </c>
      <c r="K3370" s="1" t="s">
        <v>298</v>
      </c>
      <c r="L3370" s="1" t="s">
        <v>267</v>
      </c>
      <c r="M3370" s="1"/>
      <c r="N3370" s="1">
        <f t="shared" si="165"/>
        <v>11</v>
      </c>
      <c r="O3370" s="87"/>
    </row>
    <row r="3371" spans="1:15" ht="15.75" hidden="1" x14ac:dyDescent="0.25">
      <c r="A3371" s="1" t="str">
        <f t="shared" si="164"/>
        <v>452384524024.1MASTER CCFOODCAFÉ/REST.</v>
      </c>
      <c r="B3371" s="154">
        <v>45238</v>
      </c>
      <c r="C3371" s="154">
        <v>45240</v>
      </c>
      <c r="D3371" s="3" t="s">
        <v>3903</v>
      </c>
      <c r="E3371" s="3">
        <v>-24.1</v>
      </c>
      <c r="F3371" s="3">
        <v>1</v>
      </c>
      <c r="G3371" s="3">
        <f t="shared" si="166"/>
        <v>24.1</v>
      </c>
      <c r="H3371" s="3" t="s">
        <v>291</v>
      </c>
      <c r="I3371" s="1" t="s">
        <v>10</v>
      </c>
      <c r="J3371" s="1" t="s">
        <v>11</v>
      </c>
      <c r="K3371" s="1" t="s">
        <v>298</v>
      </c>
      <c r="L3371" s="1" t="s">
        <v>267</v>
      </c>
      <c r="M3371" s="1"/>
      <c r="N3371" s="1">
        <f t="shared" si="165"/>
        <v>11</v>
      </c>
      <c r="O3371" s="87"/>
    </row>
    <row r="3372" spans="1:15" ht="15.75" hidden="1" x14ac:dyDescent="0.25">
      <c r="A3372" s="1" t="str">
        <f t="shared" si="164"/>
        <v>4523945242321.25MASTER CCFOODCAFÉ/REST.</v>
      </c>
      <c r="B3372" s="154">
        <v>45239</v>
      </c>
      <c r="C3372" s="154">
        <v>45242</v>
      </c>
      <c r="D3372" s="3" t="s">
        <v>3897</v>
      </c>
      <c r="E3372" s="3">
        <v>-321.25</v>
      </c>
      <c r="F3372" s="3">
        <v>1</v>
      </c>
      <c r="G3372" s="3">
        <f t="shared" si="166"/>
        <v>321.25</v>
      </c>
      <c r="H3372" s="3" t="s">
        <v>291</v>
      </c>
      <c r="I3372" s="1" t="s">
        <v>10</v>
      </c>
      <c r="J3372" s="1" t="s">
        <v>11</v>
      </c>
      <c r="K3372" s="1" t="s">
        <v>298</v>
      </c>
      <c r="L3372" s="1" t="s">
        <v>267</v>
      </c>
      <c r="M3372" s="1"/>
      <c r="N3372" s="1">
        <f t="shared" si="165"/>
        <v>11</v>
      </c>
      <c r="O3372" s="87"/>
    </row>
    <row r="3373" spans="1:15" ht="15.75" hidden="1" x14ac:dyDescent="0.25">
      <c r="A3373" s="1" t="str">
        <f t="shared" si="164"/>
        <v>452394524151.14MASTER CCFOODCAFÉ/REST.</v>
      </c>
      <c r="B3373" s="154">
        <v>45239</v>
      </c>
      <c r="C3373" s="154">
        <v>45241</v>
      </c>
      <c r="D3373" s="3" t="s">
        <v>3898</v>
      </c>
      <c r="E3373" s="3">
        <v>-51.14</v>
      </c>
      <c r="F3373" s="3">
        <v>1</v>
      </c>
      <c r="G3373" s="3">
        <f t="shared" si="166"/>
        <v>51.14</v>
      </c>
      <c r="H3373" s="3" t="s">
        <v>291</v>
      </c>
      <c r="I3373" s="1" t="s">
        <v>10</v>
      </c>
      <c r="J3373" s="1" t="s">
        <v>11</v>
      </c>
      <c r="K3373" s="1" t="s">
        <v>298</v>
      </c>
      <c r="L3373" s="1" t="s">
        <v>267</v>
      </c>
      <c r="M3373" s="1"/>
      <c r="N3373" s="1">
        <f t="shared" si="165"/>
        <v>11</v>
      </c>
      <c r="O3373" s="87"/>
    </row>
    <row r="3374" spans="1:15" ht="15.75" hidden="1" x14ac:dyDescent="0.25">
      <c r="A3374" s="1" t="str">
        <f t="shared" si="164"/>
        <v>45239452415.83MASTER CCSHOPPINGWALMART</v>
      </c>
      <c r="B3374" s="154">
        <v>45239</v>
      </c>
      <c r="C3374" s="154">
        <v>45241</v>
      </c>
      <c r="D3374" s="3" t="s">
        <v>3899</v>
      </c>
      <c r="E3374" s="3">
        <v>-5.83</v>
      </c>
      <c r="F3374" s="3">
        <v>1</v>
      </c>
      <c r="G3374" s="3">
        <f t="shared" si="166"/>
        <v>5.83</v>
      </c>
      <c r="H3374" s="3" t="s">
        <v>291</v>
      </c>
      <c r="I3374" s="1" t="s">
        <v>194</v>
      </c>
      <c r="J3374" s="1" t="s">
        <v>4098</v>
      </c>
      <c r="K3374" s="1" t="s">
        <v>298</v>
      </c>
      <c r="L3374" s="1" t="s">
        <v>267</v>
      </c>
      <c r="M3374" s="1"/>
      <c r="N3374" s="1">
        <f t="shared" si="165"/>
        <v>11</v>
      </c>
      <c r="O3374" s="87"/>
    </row>
    <row r="3375" spans="1:15" ht="15.75" hidden="1" x14ac:dyDescent="0.25">
      <c r="A3375" s="1" t="str">
        <f t="shared" si="164"/>
        <v>4523945241774.62MASTER CCSHOPPINGWALMART</v>
      </c>
      <c r="B3375" s="154">
        <v>45239</v>
      </c>
      <c r="C3375" s="154">
        <v>45241</v>
      </c>
      <c r="D3375" s="3" t="s">
        <v>3900</v>
      </c>
      <c r="E3375" s="3">
        <v>-774.62</v>
      </c>
      <c r="F3375" s="3">
        <v>1</v>
      </c>
      <c r="G3375" s="3">
        <f t="shared" si="166"/>
        <v>774.62</v>
      </c>
      <c r="H3375" s="3" t="s">
        <v>291</v>
      </c>
      <c r="I3375" s="1" t="s">
        <v>194</v>
      </c>
      <c r="J3375" s="1" t="s">
        <v>4098</v>
      </c>
      <c r="K3375" s="1" t="s">
        <v>298</v>
      </c>
      <c r="L3375" s="1" t="s">
        <v>267</v>
      </c>
      <c r="M3375" s="1"/>
      <c r="N3375" s="1">
        <f t="shared" si="165"/>
        <v>11</v>
      </c>
      <c r="O3375" s="87"/>
    </row>
    <row r="3376" spans="1:15" ht="15.75" hidden="1" x14ac:dyDescent="0.25">
      <c r="A3376" s="1" t="str">
        <f t="shared" si="164"/>
        <v>4523945241212.61MASTER CCSHOPPINGWALMART</v>
      </c>
      <c r="B3376" s="154">
        <v>45239</v>
      </c>
      <c r="C3376" s="154">
        <v>45241</v>
      </c>
      <c r="D3376" s="3" t="s">
        <v>3901</v>
      </c>
      <c r="E3376" s="3">
        <v>-212.61</v>
      </c>
      <c r="F3376" s="3">
        <v>1</v>
      </c>
      <c r="G3376" s="3">
        <f t="shared" si="166"/>
        <v>212.61</v>
      </c>
      <c r="H3376" s="3" t="s">
        <v>291</v>
      </c>
      <c r="I3376" s="1" t="s">
        <v>194</v>
      </c>
      <c r="J3376" s="1" t="s">
        <v>4098</v>
      </c>
      <c r="K3376" s="1" t="s">
        <v>298</v>
      </c>
      <c r="L3376" s="1" t="s">
        <v>267</v>
      </c>
      <c r="M3376" s="1"/>
      <c r="N3376" s="1">
        <f t="shared" si="165"/>
        <v>11</v>
      </c>
      <c r="O3376" s="87"/>
    </row>
    <row r="3377" spans="1:15" ht="15.75" hidden="1" x14ac:dyDescent="0.25">
      <c r="A3377" s="1" t="str">
        <f t="shared" si="164"/>
        <v>4523945241462.73MASTER CCSHOPPINGKOHL'S</v>
      </c>
      <c r="B3377" s="154">
        <v>45239</v>
      </c>
      <c r="C3377" s="154">
        <v>45241</v>
      </c>
      <c r="D3377" s="3" t="s">
        <v>3902</v>
      </c>
      <c r="E3377" s="3">
        <v>-462.73</v>
      </c>
      <c r="F3377" s="3">
        <v>1</v>
      </c>
      <c r="G3377" s="3">
        <f t="shared" si="166"/>
        <v>462.73</v>
      </c>
      <c r="H3377" s="3" t="s">
        <v>291</v>
      </c>
      <c r="I3377" s="1" t="s">
        <v>194</v>
      </c>
      <c r="J3377" s="1" t="s">
        <v>4099</v>
      </c>
      <c r="K3377" s="1" t="s">
        <v>298</v>
      </c>
      <c r="L3377" s="1" t="s">
        <v>267</v>
      </c>
      <c r="M3377" s="1"/>
      <c r="N3377" s="1">
        <f t="shared" si="165"/>
        <v>11</v>
      </c>
      <c r="O3377" s="87"/>
    </row>
    <row r="3378" spans="1:15" ht="15.75" hidden="1" x14ac:dyDescent="0.25">
      <c r="A3378" s="1" t="str">
        <f t="shared" si="164"/>
        <v>452404524418.75MASTER CCSHOPPINGSAFARI</v>
      </c>
      <c r="B3378" s="154">
        <v>45240</v>
      </c>
      <c r="C3378" s="154">
        <v>45244</v>
      </c>
      <c r="D3378" s="3" t="s">
        <v>3893</v>
      </c>
      <c r="E3378" s="3">
        <v>-18.75</v>
      </c>
      <c r="F3378" s="3">
        <v>1</v>
      </c>
      <c r="G3378" s="3">
        <f t="shared" si="166"/>
        <v>18.75</v>
      </c>
      <c r="H3378" s="3" t="s">
        <v>291</v>
      </c>
      <c r="I3378" s="1" t="s">
        <v>194</v>
      </c>
      <c r="J3378" s="1" t="s">
        <v>3498</v>
      </c>
      <c r="K3378" s="1" t="s">
        <v>298</v>
      </c>
      <c r="L3378" s="1" t="s">
        <v>267</v>
      </c>
      <c r="M3378" s="1"/>
      <c r="N3378" s="1">
        <f t="shared" si="165"/>
        <v>11</v>
      </c>
      <c r="O3378" s="87"/>
    </row>
    <row r="3379" spans="1:15" ht="15.75" hidden="1" x14ac:dyDescent="0.25">
      <c r="A3379" s="1" t="str">
        <f t="shared" si="164"/>
        <v>452404524445MASTER CCTRANSPORTKARWA</v>
      </c>
      <c r="B3379" s="154">
        <v>45240</v>
      </c>
      <c r="C3379" s="154">
        <v>45244</v>
      </c>
      <c r="D3379" s="3" t="s">
        <v>3894</v>
      </c>
      <c r="E3379" s="3">
        <v>-45</v>
      </c>
      <c r="F3379" s="3">
        <v>1</v>
      </c>
      <c r="G3379" s="3">
        <f t="shared" si="166"/>
        <v>45</v>
      </c>
      <c r="H3379" s="3" t="s">
        <v>291</v>
      </c>
      <c r="I3379" s="1" t="s">
        <v>296</v>
      </c>
      <c r="J3379" s="1" t="s">
        <v>4085</v>
      </c>
      <c r="K3379" s="1" t="s">
        <v>298</v>
      </c>
      <c r="L3379" s="1" t="s">
        <v>267</v>
      </c>
      <c r="M3379" s="1"/>
      <c r="N3379" s="1">
        <f t="shared" si="165"/>
        <v>11</v>
      </c>
      <c r="O3379" s="87"/>
    </row>
    <row r="3380" spans="1:15" ht="15.75" hidden="1" x14ac:dyDescent="0.25">
      <c r="A3380" s="1" t="str">
        <f t="shared" si="164"/>
        <v>45240452434634.74MASTER CCHOTELWESTIN</v>
      </c>
      <c r="B3380" s="154">
        <v>45240</v>
      </c>
      <c r="C3380" s="154">
        <v>45243</v>
      </c>
      <c r="D3380" s="3" t="s">
        <v>3895</v>
      </c>
      <c r="E3380" s="3">
        <v>-4634.74</v>
      </c>
      <c r="F3380" s="3">
        <v>1</v>
      </c>
      <c r="G3380" s="3">
        <f t="shared" si="166"/>
        <v>4634.74</v>
      </c>
      <c r="H3380" s="3" t="s">
        <v>291</v>
      </c>
      <c r="I3380" s="1" t="s">
        <v>1128</v>
      </c>
      <c r="J3380" s="1" t="s">
        <v>4097</v>
      </c>
      <c r="K3380" s="1" t="s">
        <v>298</v>
      </c>
      <c r="L3380" s="1" t="s">
        <v>267</v>
      </c>
      <c r="M3380" s="1"/>
      <c r="N3380" s="1">
        <f t="shared" si="165"/>
        <v>11</v>
      </c>
      <c r="O3380" s="87"/>
    </row>
    <row r="3381" spans="1:15" ht="15.75" hidden="1" x14ac:dyDescent="0.25">
      <c r="A3381" s="1" t="str">
        <f t="shared" si="164"/>
        <v>452404524155.64MASTER CCTRANSPORTUBER</v>
      </c>
      <c r="B3381" s="154">
        <v>45240</v>
      </c>
      <c r="C3381" s="154">
        <v>45241</v>
      </c>
      <c r="D3381" s="3" t="s">
        <v>3896</v>
      </c>
      <c r="E3381" s="3">
        <v>-55.64</v>
      </c>
      <c r="F3381" s="3">
        <v>1</v>
      </c>
      <c r="G3381" s="3">
        <f t="shared" si="166"/>
        <v>55.64</v>
      </c>
      <c r="H3381" s="3" t="s">
        <v>291</v>
      </c>
      <c r="I3381" s="1" t="s">
        <v>296</v>
      </c>
      <c r="J3381" s="1" t="s">
        <v>299</v>
      </c>
      <c r="K3381" s="1" t="s">
        <v>298</v>
      </c>
      <c r="L3381" s="1" t="s">
        <v>267</v>
      </c>
      <c r="M3381" s="1"/>
      <c r="N3381" s="1">
        <f t="shared" si="165"/>
        <v>11</v>
      </c>
      <c r="O3381" s="87"/>
    </row>
    <row r="3382" spans="1:15" ht="15.75" hidden="1" x14ac:dyDescent="0.25">
      <c r="A3382" s="1" t="str">
        <f t="shared" si="164"/>
        <v>452414524435MASTER CCFOODCAFÉ/REST.</v>
      </c>
      <c r="B3382" s="154">
        <v>45241</v>
      </c>
      <c r="C3382" s="154">
        <v>45244</v>
      </c>
      <c r="D3382" s="3" t="s">
        <v>3891</v>
      </c>
      <c r="E3382" s="3">
        <v>-35</v>
      </c>
      <c r="F3382" s="3">
        <v>1</v>
      </c>
      <c r="G3382" s="3">
        <f t="shared" si="166"/>
        <v>35</v>
      </c>
      <c r="H3382" s="3" t="s">
        <v>291</v>
      </c>
      <c r="I3382" s="1" t="s">
        <v>10</v>
      </c>
      <c r="J3382" s="1" t="s">
        <v>11</v>
      </c>
      <c r="K3382" s="1" t="s">
        <v>298</v>
      </c>
      <c r="L3382" s="1" t="s">
        <v>267</v>
      </c>
      <c r="M3382" s="1"/>
      <c r="N3382" s="1">
        <f t="shared" si="165"/>
        <v>11</v>
      </c>
      <c r="O3382" s="87"/>
    </row>
    <row r="3383" spans="1:15" ht="15.75" hidden="1" x14ac:dyDescent="0.25">
      <c r="A3383" s="1" t="str">
        <f t="shared" si="164"/>
        <v>452414524319.6MASTER CCTRANSPORTUBER</v>
      </c>
      <c r="B3383" s="154">
        <v>45241</v>
      </c>
      <c r="C3383" s="154">
        <v>45243</v>
      </c>
      <c r="D3383" s="3" t="s">
        <v>3892</v>
      </c>
      <c r="E3383" s="3">
        <v>-19.600000000000001</v>
      </c>
      <c r="F3383" s="3">
        <v>1</v>
      </c>
      <c r="G3383" s="3">
        <f t="shared" si="166"/>
        <v>19.600000000000001</v>
      </c>
      <c r="H3383" s="3" t="s">
        <v>291</v>
      </c>
      <c r="I3383" s="1" t="s">
        <v>296</v>
      </c>
      <c r="J3383" s="1" t="s">
        <v>299</v>
      </c>
      <c r="K3383" s="1" t="s">
        <v>298</v>
      </c>
      <c r="L3383" s="1" t="s">
        <v>267</v>
      </c>
      <c r="M3383" s="1"/>
      <c r="N3383" s="1">
        <f t="shared" si="165"/>
        <v>11</v>
      </c>
      <c r="O3383" s="87"/>
    </row>
    <row r="3384" spans="1:15" ht="15.75" hidden="1" x14ac:dyDescent="0.25">
      <c r="A3384" s="1" t="str">
        <f t="shared" si="164"/>
        <v>452424524210000CURRENTSAVINGSELF</v>
      </c>
      <c r="B3384" s="154">
        <v>45242</v>
      </c>
      <c r="C3384" s="154">
        <v>45242</v>
      </c>
      <c r="D3384" s="3" t="s">
        <v>3713</v>
      </c>
      <c r="E3384" s="3">
        <v>-10000</v>
      </c>
      <c r="F3384" s="3">
        <v>1</v>
      </c>
      <c r="G3384" s="3">
        <f t="shared" si="166"/>
        <v>10000</v>
      </c>
      <c r="H3384" s="3" t="s">
        <v>293</v>
      </c>
      <c r="I3384" s="1" t="s">
        <v>302</v>
      </c>
      <c r="J3384" s="1" t="s">
        <v>14</v>
      </c>
      <c r="K3384" s="1" t="s">
        <v>298</v>
      </c>
      <c r="L3384" s="1" t="s">
        <v>257</v>
      </c>
      <c r="M3384" s="1"/>
      <c r="N3384" s="1">
        <f t="shared" si="165"/>
        <v>11</v>
      </c>
      <c r="O3384" s="87"/>
    </row>
    <row r="3385" spans="1:15" ht="15.75" hidden="1" x14ac:dyDescent="0.25">
      <c r="A3385" s="1" t="str">
        <f t="shared" si="164"/>
        <v>452434524510MASTER CCSERVICEMOI</v>
      </c>
      <c r="B3385" s="154">
        <v>45243</v>
      </c>
      <c r="C3385" s="154">
        <v>45245</v>
      </c>
      <c r="D3385" s="3" t="s">
        <v>3890</v>
      </c>
      <c r="E3385" s="3">
        <v>-10</v>
      </c>
      <c r="F3385" s="3">
        <v>1</v>
      </c>
      <c r="G3385" s="3">
        <f t="shared" si="166"/>
        <v>10</v>
      </c>
      <c r="H3385" s="3" t="s">
        <v>291</v>
      </c>
      <c r="I3385" s="1" t="s">
        <v>7</v>
      </c>
      <c r="J3385" s="1" t="s">
        <v>1564</v>
      </c>
      <c r="K3385" s="1" t="s">
        <v>298</v>
      </c>
      <c r="L3385" s="1" t="s">
        <v>267</v>
      </c>
      <c r="M3385" s="1"/>
      <c r="N3385" s="1">
        <f t="shared" si="165"/>
        <v>11</v>
      </c>
      <c r="O3385" s="87"/>
    </row>
    <row r="3386" spans="1:15" ht="15.75" hidden="1" x14ac:dyDescent="0.25">
      <c r="A3386" s="1" t="str">
        <f t="shared" si="164"/>
        <v>4524545247150MASTER CCINSURANCEQIC</v>
      </c>
      <c r="B3386" s="154">
        <v>45245</v>
      </c>
      <c r="C3386" s="154">
        <v>45247</v>
      </c>
      <c r="D3386" s="3" t="s">
        <v>3889</v>
      </c>
      <c r="E3386" s="3">
        <v>-150</v>
      </c>
      <c r="F3386" s="3">
        <v>1</v>
      </c>
      <c r="G3386" s="3">
        <f t="shared" si="166"/>
        <v>150</v>
      </c>
      <c r="H3386" s="3" t="s">
        <v>291</v>
      </c>
      <c r="I3386" s="1" t="s">
        <v>4094</v>
      </c>
      <c r="J3386" s="1" t="s">
        <v>2899</v>
      </c>
      <c r="K3386" s="1" t="s">
        <v>298</v>
      </c>
      <c r="L3386" s="1" t="s">
        <v>267</v>
      </c>
      <c r="M3386" s="1"/>
      <c r="N3386" s="1">
        <f t="shared" si="165"/>
        <v>11</v>
      </c>
      <c r="O3386" s="87"/>
    </row>
    <row r="3387" spans="1:15" ht="15.75" hidden="1" x14ac:dyDescent="0.25">
      <c r="A3387" s="1" t="str">
        <f t="shared" si="164"/>
        <v>452484525181MASTER CCFOODTALABAT</v>
      </c>
      <c r="B3387" s="154">
        <v>45248</v>
      </c>
      <c r="C3387" s="154">
        <v>45251</v>
      </c>
      <c r="D3387" s="3" t="s">
        <v>3886</v>
      </c>
      <c r="E3387" s="3">
        <v>-81</v>
      </c>
      <c r="F3387" s="3">
        <v>1</v>
      </c>
      <c r="G3387" s="3">
        <f t="shared" si="166"/>
        <v>81</v>
      </c>
      <c r="H3387" s="3" t="s">
        <v>291</v>
      </c>
      <c r="I3387" s="1" t="s">
        <v>10</v>
      </c>
      <c r="J3387" s="1" t="s">
        <v>865</v>
      </c>
      <c r="K3387" s="1" t="s">
        <v>298</v>
      </c>
      <c r="L3387" s="1" t="s">
        <v>267</v>
      </c>
      <c r="M3387" s="1"/>
      <c r="N3387" s="1">
        <f t="shared" si="165"/>
        <v>11</v>
      </c>
      <c r="O3387" s="87"/>
    </row>
    <row r="3388" spans="1:15" ht="15.75" hidden="1" x14ac:dyDescent="0.25">
      <c r="A3388" s="1" t="str">
        <f t="shared" si="164"/>
        <v>452484525164.23MASTER CCGROCERYMANGO</v>
      </c>
      <c r="B3388" s="154">
        <v>45248</v>
      </c>
      <c r="C3388" s="154">
        <v>45251</v>
      </c>
      <c r="D3388" s="3" t="s">
        <v>3887</v>
      </c>
      <c r="E3388" s="3">
        <v>-64.23</v>
      </c>
      <c r="F3388" s="3">
        <v>1</v>
      </c>
      <c r="G3388" s="3">
        <f t="shared" si="166"/>
        <v>64.23</v>
      </c>
      <c r="H3388" s="3" t="s">
        <v>291</v>
      </c>
      <c r="I3388" s="1" t="s">
        <v>43</v>
      </c>
      <c r="J3388" s="1" t="s">
        <v>3634</v>
      </c>
      <c r="K3388" s="1" t="s">
        <v>298</v>
      </c>
      <c r="L3388" s="1" t="s">
        <v>267</v>
      </c>
      <c r="M3388" s="1"/>
      <c r="N3388" s="1">
        <f t="shared" si="165"/>
        <v>11</v>
      </c>
      <c r="O3388" s="87"/>
    </row>
    <row r="3389" spans="1:15" ht="15.75" hidden="1" x14ac:dyDescent="0.25">
      <c r="A3389" s="1" t="str">
        <f t="shared" si="164"/>
        <v>452484525146MASTER CCTRANSPORTKARWA</v>
      </c>
      <c r="B3389" s="154">
        <v>45248</v>
      </c>
      <c r="C3389" s="154">
        <v>45251</v>
      </c>
      <c r="D3389" s="3" t="s">
        <v>3888</v>
      </c>
      <c r="E3389" s="3">
        <v>-46</v>
      </c>
      <c r="F3389" s="3">
        <v>1</v>
      </c>
      <c r="G3389" s="3">
        <f t="shared" si="166"/>
        <v>46</v>
      </c>
      <c r="H3389" s="3" t="s">
        <v>291</v>
      </c>
      <c r="I3389" s="1" t="s">
        <v>296</v>
      </c>
      <c r="J3389" s="1" t="s">
        <v>4085</v>
      </c>
      <c r="K3389" s="1" t="s">
        <v>298</v>
      </c>
      <c r="L3389" s="1" t="s">
        <v>267</v>
      </c>
      <c r="M3389" s="1"/>
      <c r="N3389" s="1">
        <f t="shared" si="165"/>
        <v>11</v>
      </c>
      <c r="O3389" s="87"/>
    </row>
    <row r="3390" spans="1:15" ht="15.75" hidden="1" x14ac:dyDescent="0.25">
      <c r="A3390" s="1" t="str">
        <f t="shared" si="164"/>
        <v>45249452495000CURRENTPERSONALAKSHIT</v>
      </c>
      <c r="B3390" s="154">
        <v>45249</v>
      </c>
      <c r="C3390" s="154">
        <v>45249</v>
      </c>
      <c r="D3390" s="3" t="s">
        <v>3710</v>
      </c>
      <c r="E3390" s="3">
        <v>-5000</v>
      </c>
      <c r="F3390" s="3">
        <v>1</v>
      </c>
      <c r="G3390" s="3">
        <f t="shared" si="166"/>
        <v>5000</v>
      </c>
      <c r="H3390" s="3" t="s">
        <v>293</v>
      </c>
      <c r="I3390" s="1" t="s">
        <v>4087</v>
      </c>
      <c r="J3390" s="1" t="s">
        <v>879</v>
      </c>
      <c r="K3390" s="1" t="s">
        <v>298</v>
      </c>
      <c r="L3390" s="1" t="s">
        <v>257</v>
      </c>
      <c r="M3390" s="1"/>
      <c r="N3390" s="1">
        <f t="shared" si="165"/>
        <v>11</v>
      </c>
      <c r="O3390" s="87" t="s">
        <v>4084</v>
      </c>
    </row>
    <row r="3391" spans="1:15" ht="15.75" hidden="1" x14ac:dyDescent="0.25">
      <c r="A3391" s="1" t="str">
        <f t="shared" si="164"/>
        <v>4524945249100CURRENTEDUCATIONORYX</v>
      </c>
      <c r="B3391" s="154">
        <v>45249</v>
      </c>
      <c r="C3391" s="154">
        <v>45249</v>
      </c>
      <c r="D3391" s="3" t="s">
        <v>3711</v>
      </c>
      <c r="E3391" s="3">
        <v>-100</v>
      </c>
      <c r="F3391" s="3">
        <v>1</v>
      </c>
      <c r="G3391" s="3">
        <f t="shared" si="166"/>
        <v>100</v>
      </c>
      <c r="H3391" s="3" t="s">
        <v>293</v>
      </c>
      <c r="I3391" s="1" t="s">
        <v>543</v>
      </c>
      <c r="J3391" s="1" t="s">
        <v>2073</v>
      </c>
      <c r="K3391" s="1" t="s">
        <v>298</v>
      </c>
      <c r="L3391" s="1" t="s">
        <v>257</v>
      </c>
      <c r="M3391" s="1"/>
      <c r="N3391" s="1">
        <f t="shared" si="165"/>
        <v>11</v>
      </c>
      <c r="O3391" s="87"/>
    </row>
    <row r="3392" spans="1:15" ht="15.75" hidden="1" x14ac:dyDescent="0.25">
      <c r="A3392" s="1" t="str">
        <f t="shared" si="164"/>
        <v>452494524970CURRENTEDUCATIONORYX</v>
      </c>
      <c r="B3392" s="154">
        <v>45249</v>
      </c>
      <c r="C3392" s="154">
        <v>45249</v>
      </c>
      <c r="D3392" s="3" t="s">
        <v>3712</v>
      </c>
      <c r="E3392" s="3">
        <v>-70</v>
      </c>
      <c r="F3392" s="3">
        <v>1</v>
      </c>
      <c r="G3392" s="3">
        <f t="shared" si="166"/>
        <v>70</v>
      </c>
      <c r="H3392" s="3" t="s">
        <v>293</v>
      </c>
      <c r="I3392" s="1" t="s">
        <v>543</v>
      </c>
      <c r="J3392" s="1" t="s">
        <v>2073</v>
      </c>
      <c r="K3392" s="1" t="s">
        <v>298</v>
      </c>
      <c r="L3392" s="1" t="s">
        <v>257</v>
      </c>
      <c r="M3392" s="1"/>
      <c r="N3392" s="1">
        <f t="shared" si="165"/>
        <v>11</v>
      </c>
      <c r="O3392" s="87"/>
    </row>
    <row r="3393" spans="1:15" ht="15.75" hidden="1" x14ac:dyDescent="0.25">
      <c r="A3393" s="1" t="str">
        <f t="shared" si="164"/>
        <v>452494525266MASTER CCFOODCAFÉ/REST.</v>
      </c>
      <c r="B3393" s="154">
        <v>45249</v>
      </c>
      <c r="C3393" s="154">
        <v>45252</v>
      </c>
      <c r="D3393" s="3" t="s">
        <v>3882</v>
      </c>
      <c r="E3393" s="3">
        <v>-66</v>
      </c>
      <c r="F3393" s="3">
        <v>1</v>
      </c>
      <c r="G3393" s="3">
        <f t="shared" si="166"/>
        <v>66</v>
      </c>
      <c r="H3393" s="3" t="s">
        <v>291</v>
      </c>
      <c r="I3393" s="1" t="s">
        <v>10</v>
      </c>
      <c r="J3393" s="1" t="s">
        <v>11</v>
      </c>
      <c r="K3393" s="1" t="s">
        <v>298</v>
      </c>
      <c r="L3393" s="1" t="s">
        <v>267</v>
      </c>
      <c r="M3393" s="1"/>
      <c r="N3393" s="1">
        <f t="shared" si="165"/>
        <v>11</v>
      </c>
      <c r="O3393" s="87"/>
    </row>
    <row r="3394" spans="1:15" ht="15.75" hidden="1" x14ac:dyDescent="0.25">
      <c r="A3394" s="1" t="str">
        <f t="shared" ref="A3394:A3457" si="167">B3394&amp;C3394&amp;G3394&amp;H3394&amp;I3394&amp;J3394</f>
        <v>4524945252176.68MASTER CCGROCERYINDIAN SUPER</v>
      </c>
      <c r="B3394" s="154">
        <v>45249</v>
      </c>
      <c r="C3394" s="154">
        <v>45252</v>
      </c>
      <c r="D3394" s="3" t="s">
        <v>3883</v>
      </c>
      <c r="E3394" s="3">
        <v>-176.68</v>
      </c>
      <c r="F3394" s="3">
        <v>1</v>
      </c>
      <c r="G3394" s="3">
        <f t="shared" si="166"/>
        <v>176.68</v>
      </c>
      <c r="H3394" s="3" t="s">
        <v>291</v>
      </c>
      <c r="I3394" s="1" t="s">
        <v>43</v>
      </c>
      <c r="J3394" s="1" t="s">
        <v>2273</v>
      </c>
      <c r="K3394" s="1" t="s">
        <v>298</v>
      </c>
      <c r="L3394" s="1" t="s">
        <v>267</v>
      </c>
      <c r="M3394" s="1"/>
      <c r="N3394" s="1">
        <f t="shared" ref="N3394:N3457" si="168">MONTH(C3394)</f>
        <v>11</v>
      </c>
      <c r="O3394" s="87"/>
    </row>
    <row r="3395" spans="1:15" ht="15.75" hidden="1" x14ac:dyDescent="0.25">
      <c r="A3395" s="1" t="str">
        <f t="shared" si="167"/>
        <v>45249452514MASTER CCFOODQATAR AIR</v>
      </c>
      <c r="B3395" s="154">
        <v>45249</v>
      </c>
      <c r="C3395" s="154">
        <v>45251</v>
      </c>
      <c r="D3395" s="3" t="s">
        <v>3884</v>
      </c>
      <c r="E3395" s="3">
        <v>-4</v>
      </c>
      <c r="F3395" s="3">
        <v>1</v>
      </c>
      <c r="G3395" s="3">
        <f t="shared" si="166"/>
        <v>4</v>
      </c>
      <c r="H3395" s="3" t="s">
        <v>291</v>
      </c>
      <c r="I3395" s="1" t="s">
        <v>10</v>
      </c>
      <c r="J3395" s="1" t="s">
        <v>19</v>
      </c>
      <c r="K3395" s="1" t="s">
        <v>298</v>
      </c>
      <c r="L3395" s="1" t="s">
        <v>267</v>
      </c>
      <c r="M3395" s="1"/>
      <c r="N3395" s="1">
        <f t="shared" si="168"/>
        <v>11</v>
      </c>
      <c r="O3395" s="87"/>
    </row>
    <row r="3396" spans="1:15" ht="15.75" hidden="1" x14ac:dyDescent="0.25">
      <c r="A3396" s="1" t="str">
        <f t="shared" si="167"/>
        <v>452494525111.5MASTER CCGROCERYREDROSE</v>
      </c>
      <c r="B3396" s="154">
        <v>45249</v>
      </c>
      <c r="C3396" s="154">
        <v>45251</v>
      </c>
      <c r="D3396" s="3" t="s">
        <v>3885</v>
      </c>
      <c r="E3396" s="3">
        <v>-11.5</v>
      </c>
      <c r="F3396" s="3">
        <v>1</v>
      </c>
      <c r="G3396" s="3">
        <f t="shared" si="166"/>
        <v>11.5</v>
      </c>
      <c r="H3396" s="3" t="s">
        <v>291</v>
      </c>
      <c r="I3396" s="1" t="s">
        <v>43</v>
      </c>
      <c r="J3396" s="1" t="s">
        <v>4082</v>
      </c>
      <c r="K3396" s="1" t="s">
        <v>298</v>
      </c>
      <c r="L3396" s="1" t="s">
        <v>267</v>
      </c>
      <c r="M3396" s="1"/>
      <c r="N3396" s="1">
        <f t="shared" si="168"/>
        <v>11</v>
      </c>
      <c r="O3396" s="87"/>
    </row>
    <row r="3397" spans="1:15" ht="15.75" hidden="1" x14ac:dyDescent="0.25">
      <c r="A3397" s="1" t="str">
        <f t="shared" si="167"/>
        <v>45250452501500CURRENTWITHDRAWSELF</v>
      </c>
      <c r="B3397" s="154">
        <v>45250</v>
      </c>
      <c r="C3397" s="154">
        <v>45250</v>
      </c>
      <c r="D3397" s="3" t="s">
        <v>3709</v>
      </c>
      <c r="E3397" s="3">
        <v>-1500</v>
      </c>
      <c r="F3397" s="3">
        <v>1</v>
      </c>
      <c r="G3397" s="3">
        <f t="shared" si="166"/>
        <v>1500</v>
      </c>
      <c r="H3397" s="3" t="s">
        <v>293</v>
      </c>
      <c r="I3397" s="1" t="s">
        <v>13</v>
      </c>
      <c r="J3397" s="1" t="s">
        <v>14</v>
      </c>
      <c r="K3397" s="1" t="s">
        <v>298</v>
      </c>
      <c r="L3397" s="1" t="s">
        <v>257</v>
      </c>
      <c r="M3397" s="1"/>
      <c r="N3397" s="1">
        <f t="shared" si="168"/>
        <v>11</v>
      </c>
      <c r="O3397" s="87"/>
    </row>
    <row r="3398" spans="1:15" ht="15.75" hidden="1" x14ac:dyDescent="0.25">
      <c r="A3398" s="1" t="str">
        <f t="shared" si="167"/>
        <v>4525045253116MASTER CCMEDICALNASEEM AL</v>
      </c>
      <c r="B3398" s="154">
        <v>45250</v>
      </c>
      <c r="C3398" s="154">
        <v>45253</v>
      </c>
      <c r="D3398" s="3" t="s">
        <v>3880</v>
      </c>
      <c r="E3398" s="3">
        <v>-116</v>
      </c>
      <c r="F3398" s="3">
        <v>1</v>
      </c>
      <c r="G3398" s="3">
        <f t="shared" si="166"/>
        <v>116</v>
      </c>
      <c r="H3398" s="3" t="s">
        <v>291</v>
      </c>
      <c r="I3398" s="1" t="s">
        <v>301</v>
      </c>
      <c r="J3398" s="1" t="s">
        <v>1000</v>
      </c>
      <c r="K3398" s="1" t="s">
        <v>298</v>
      </c>
      <c r="L3398" s="1" t="s">
        <v>267</v>
      </c>
      <c r="M3398" s="1"/>
      <c r="N3398" s="1">
        <f t="shared" si="168"/>
        <v>11</v>
      </c>
      <c r="O3398" s="87"/>
    </row>
    <row r="3399" spans="1:15" ht="15.75" hidden="1" x14ac:dyDescent="0.25">
      <c r="A3399" s="1" t="str">
        <f t="shared" si="167"/>
        <v>45250452538MASTER CCFOODCAFÉ/REST.</v>
      </c>
      <c r="B3399" s="154">
        <v>45250</v>
      </c>
      <c r="C3399" s="154">
        <v>45253</v>
      </c>
      <c r="D3399" s="3" t="s">
        <v>3881</v>
      </c>
      <c r="E3399" s="3">
        <v>-8</v>
      </c>
      <c r="F3399" s="3">
        <v>1</v>
      </c>
      <c r="G3399" s="3">
        <f t="shared" si="166"/>
        <v>8</v>
      </c>
      <c r="H3399" s="3" t="s">
        <v>291</v>
      </c>
      <c r="I3399" s="1" t="s">
        <v>10</v>
      </c>
      <c r="J3399" s="1" t="s">
        <v>11</v>
      </c>
      <c r="K3399" s="1" t="s">
        <v>298</v>
      </c>
      <c r="L3399" s="1" t="s">
        <v>267</v>
      </c>
      <c r="M3399" s="1"/>
      <c r="N3399" s="1">
        <f t="shared" si="168"/>
        <v>11</v>
      </c>
      <c r="O3399" s="87"/>
    </row>
    <row r="3400" spans="1:15" ht="15.75" hidden="1" x14ac:dyDescent="0.25">
      <c r="A3400" s="1" t="str">
        <f t="shared" si="167"/>
        <v>452514525322.57MASTER CCTRANSPORTUBER</v>
      </c>
      <c r="B3400" s="154">
        <v>45251</v>
      </c>
      <c r="C3400" s="154">
        <v>45253</v>
      </c>
      <c r="D3400" s="3" t="s">
        <v>3877</v>
      </c>
      <c r="E3400" s="3">
        <v>-22.57</v>
      </c>
      <c r="F3400" s="3">
        <v>1</v>
      </c>
      <c r="G3400" s="3">
        <f t="shared" si="166"/>
        <v>22.57</v>
      </c>
      <c r="H3400" s="3" t="s">
        <v>291</v>
      </c>
      <c r="I3400" s="1" t="s">
        <v>296</v>
      </c>
      <c r="J3400" s="1" t="s">
        <v>299</v>
      </c>
      <c r="K3400" s="1" t="s">
        <v>298</v>
      </c>
      <c r="L3400" s="1" t="s">
        <v>267</v>
      </c>
      <c r="M3400" s="1"/>
      <c r="N3400" s="1">
        <f t="shared" si="168"/>
        <v>11</v>
      </c>
      <c r="O3400" s="87"/>
    </row>
    <row r="3401" spans="1:15" ht="15.75" hidden="1" x14ac:dyDescent="0.25">
      <c r="A3401" s="1" t="str">
        <f t="shared" si="167"/>
        <v>452514525310MASTER CCFOODQATAR AIR</v>
      </c>
      <c r="B3401" s="154">
        <v>45251</v>
      </c>
      <c r="C3401" s="154">
        <v>45253</v>
      </c>
      <c r="D3401" s="3" t="s">
        <v>3878</v>
      </c>
      <c r="E3401" s="3">
        <v>-10</v>
      </c>
      <c r="F3401" s="3">
        <v>1</v>
      </c>
      <c r="G3401" s="3">
        <f t="shared" si="166"/>
        <v>10</v>
      </c>
      <c r="H3401" s="3" t="s">
        <v>291</v>
      </c>
      <c r="I3401" s="1" t="s">
        <v>10</v>
      </c>
      <c r="J3401" s="1" t="s">
        <v>19</v>
      </c>
      <c r="K3401" s="1" t="s">
        <v>298</v>
      </c>
      <c r="L3401" s="1" t="s">
        <v>267</v>
      </c>
      <c r="M3401" s="1"/>
      <c r="N3401" s="1">
        <f t="shared" si="168"/>
        <v>11</v>
      </c>
      <c r="O3401" s="87"/>
    </row>
    <row r="3402" spans="1:15" ht="15.75" hidden="1" x14ac:dyDescent="0.25">
      <c r="A3402" s="1" t="str">
        <f t="shared" si="167"/>
        <v>452514525359.32MASTER CCTRANSPORTUBER</v>
      </c>
      <c r="B3402" s="154">
        <v>45251</v>
      </c>
      <c r="C3402" s="154">
        <v>45253</v>
      </c>
      <c r="D3402" s="3" t="s">
        <v>3879</v>
      </c>
      <c r="E3402" s="3">
        <v>-59.32</v>
      </c>
      <c r="F3402" s="3">
        <v>1</v>
      </c>
      <c r="G3402" s="3">
        <f t="shared" si="166"/>
        <v>59.32</v>
      </c>
      <c r="H3402" s="3" t="s">
        <v>291</v>
      </c>
      <c r="I3402" s="1" t="s">
        <v>296</v>
      </c>
      <c r="J3402" s="1" t="s">
        <v>299</v>
      </c>
      <c r="K3402" s="1" t="s">
        <v>298</v>
      </c>
      <c r="L3402" s="1" t="s">
        <v>267</v>
      </c>
      <c r="M3402" s="1"/>
      <c r="N3402" s="1">
        <f t="shared" si="168"/>
        <v>11</v>
      </c>
      <c r="O3402" s="87"/>
    </row>
    <row r="3403" spans="1:15" ht="15.75" hidden="1" x14ac:dyDescent="0.25">
      <c r="A3403" s="1" t="str">
        <f t="shared" si="167"/>
        <v>452524525420.97MASTER CCTRANSPORTUBER</v>
      </c>
      <c r="B3403" s="154">
        <v>45252</v>
      </c>
      <c r="C3403" s="154">
        <v>45254</v>
      </c>
      <c r="D3403" s="3" t="s">
        <v>3873</v>
      </c>
      <c r="E3403" s="3">
        <v>-20.97</v>
      </c>
      <c r="F3403" s="3">
        <v>1</v>
      </c>
      <c r="G3403" s="3">
        <f t="shared" ref="G3403:G3466" si="169">ABS(E3403)*F3403</f>
        <v>20.97</v>
      </c>
      <c r="H3403" s="3" t="s">
        <v>291</v>
      </c>
      <c r="I3403" s="1" t="s">
        <v>296</v>
      </c>
      <c r="J3403" s="1" t="s">
        <v>299</v>
      </c>
      <c r="K3403" s="1" t="s">
        <v>298</v>
      </c>
      <c r="L3403" s="1" t="s">
        <v>267</v>
      </c>
      <c r="M3403" s="1"/>
      <c r="N3403" s="1">
        <f t="shared" si="168"/>
        <v>11</v>
      </c>
      <c r="O3403" s="87"/>
    </row>
    <row r="3404" spans="1:15" ht="15.75" hidden="1" x14ac:dyDescent="0.25">
      <c r="A3404" s="1" t="str">
        <f t="shared" si="167"/>
        <v>452524525430MASTER CCMEDICALHAMAD</v>
      </c>
      <c r="B3404" s="154">
        <v>45252</v>
      </c>
      <c r="C3404" s="154">
        <v>45254</v>
      </c>
      <c r="D3404" s="3" t="s">
        <v>3874</v>
      </c>
      <c r="E3404" s="3">
        <v>-30</v>
      </c>
      <c r="F3404" s="3">
        <v>1</v>
      </c>
      <c r="G3404" s="3">
        <f t="shared" si="169"/>
        <v>30</v>
      </c>
      <c r="H3404" s="3" t="s">
        <v>291</v>
      </c>
      <c r="I3404" s="1" t="s">
        <v>301</v>
      </c>
      <c r="J3404" s="1" t="s">
        <v>4083</v>
      </c>
      <c r="K3404" s="1" t="s">
        <v>298</v>
      </c>
      <c r="L3404" s="1" t="s">
        <v>267</v>
      </c>
      <c r="M3404" s="1"/>
      <c r="N3404" s="1">
        <f t="shared" si="168"/>
        <v>11</v>
      </c>
      <c r="O3404" s="87"/>
    </row>
    <row r="3405" spans="1:15" ht="15.75" hidden="1" x14ac:dyDescent="0.25">
      <c r="A3405" s="1" t="str">
        <f t="shared" si="167"/>
        <v>452524525419.76MASTER CCTRANSPORTUBER</v>
      </c>
      <c r="B3405" s="154">
        <v>45252</v>
      </c>
      <c r="C3405" s="154">
        <v>45254</v>
      </c>
      <c r="D3405" s="3" t="s">
        <v>3875</v>
      </c>
      <c r="E3405" s="3">
        <v>-19.760000000000002</v>
      </c>
      <c r="F3405" s="3">
        <v>1</v>
      </c>
      <c r="G3405" s="3">
        <f t="shared" si="169"/>
        <v>19.760000000000002</v>
      </c>
      <c r="H3405" s="3" t="s">
        <v>291</v>
      </c>
      <c r="I3405" s="1" t="s">
        <v>296</v>
      </c>
      <c r="J3405" s="1" t="s">
        <v>299</v>
      </c>
      <c r="K3405" s="1" t="s">
        <v>298</v>
      </c>
      <c r="L3405" s="1" t="s">
        <v>267</v>
      </c>
      <c r="M3405" s="1"/>
      <c r="N3405" s="1">
        <f t="shared" si="168"/>
        <v>11</v>
      </c>
      <c r="O3405" s="87"/>
    </row>
    <row r="3406" spans="1:15" ht="15.75" hidden="1" x14ac:dyDescent="0.25">
      <c r="A3406" s="1" t="str">
        <f t="shared" si="167"/>
        <v>4525245253106MASTER CCTRANSPORTWOQOD</v>
      </c>
      <c r="B3406" s="154">
        <v>45252</v>
      </c>
      <c r="C3406" s="154">
        <v>45253</v>
      </c>
      <c r="D3406" s="3" t="s">
        <v>3876</v>
      </c>
      <c r="E3406" s="3">
        <v>-106</v>
      </c>
      <c r="F3406" s="3">
        <v>1</v>
      </c>
      <c r="G3406" s="3">
        <f t="shared" si="169"/>
        <v>106</v>
      </c>
      <c r="H3406" s="3" t="s">
        <v>291</v>
      </c>
      <c r="I3406" s="1" t="s">
        <v>296</v>
      </c>
      <c r="J3406" s="1" t="s">
        <v>1942</v>
      </c>
      <c r="K3406" s="1" t="s">
        <v>298</v>
      </c>
      <c r="L3406" s="1" t="s">
        <v>267</v>
      </c>
      <c r="M3406" s="1"/>
      <c r="N3406" s="1">
        <f t="shared" si="168"/>
        <v>11</v>
      </c>
      <c r="O3406" s="87"/>
    </row>
    <row r="3407" spans="1:15" ht="15.75" hidden="1" x14ac:dyDescent="0.25">
      <c r="A3407" s="1" t="str">
        <f t="shared" si="167"/>
        <v>4525245253250DINERSRENTVODAFONE</v>
      </c>
      <c r="B3407" s="154">
        <v>45252</v>
      </c>
      <c r="C3407" s="154">
        <v>45253</v>
      </c>
      <c r="D3407" s="3" t="s">
        <v>4062</v>
      </c>
      <c r="E3407" s="3">
        <v>-250</v>
      </c>
      <c r="F3407" s="3">
        <v>1</v>
      </c>
      <c r="G3407" s="3">
        <f t="shared" si="169"/>
        <v>250</v>
      </c>
      <c r="H3407" s="3" t="s">
        <v>266</v>
      </c>
      <c r="I3407" s="1" t="s">
        <v>83</v>
      </c>
      <c r="J3407" s="1" t="s">
        <v>78</v>
      </c>
      <c r="K3407" s="1" t="s">
        <v>298</v>
      </c>
      <c r="L3407" s="1" t="s">
        <v>267</v>
      </c>
      <c r="M3407" s="1"/>
      <c r="N3407" s="1">
        <f t="shared" si="168"/>
        <v>11</v>
      </c>
      <c r="O3407" s="87"/>
    </row>
    <row r="3408" spans="1:15" ht="15.75" hidden="1" x14ac:dyDescent="0.25">
      <c r="A3408" s="1" t="str">
        <f t="shared" si="167"/>
        <v>4525245253204DINERSTELECOMOOREDOO</v>
      </c>
      <c r="B3408" s="154">
        <v>45252</v>
      </c>
      <c r="C3408" s="154">
        <v>45253</v>
      </c>
      <c r="D3408" s="3" t="s">
        <v>4063</v>
      </c>
      <c r="E3408" s="3">
        <v>-204</v>
      </c>
      <c r="F3408" s="3">
        <v>1</v>
      </c>
      <c r="G3408" s="3">
        <f t="shared" si="169"/>
        <v>204</v>
      </c>
      <c r="H3408" s="3" t="s">
        <v>266</v>
      </c>
      <c r="I3408" s="1" t="s">
        <v>58</v>
      </c>
      <c r="J3408" s="1" t="s">
        <v>59</v>
      </c>
      <c r="K3408" s="1" t="s">
        <v>298</v>
      </c>
      <c r="L3408" s="1" t="s">
        <v>267</v>
      </c>
      <c r="M3408" s="1"/>
      <c r="N3408" s="1">
        <f t="shared" si="168"/>
        <v>11</v>
      </c>
      <c r="O3408" s="87"/>
    </row>
    <row r="3409" spans="1:15" ht="15.75" hidden="1" x14ac:dyDescent="0.25">
      <c r="A3409" s="1" t="str">
        <f t="shared" si="167"/>
        <v>45253452534685CURRENTSALARYQATAR AIR</v>
      </c>
      <c r="B3409" s="154">
        <v>45253</v>
      </c>
      <c r="C3409" s="154">
        <v>45253</v>
      </c>
      <c r="D3409" s="3" t="s">
        <v>3708</v>
      </c>
      <c r="E3409" s="3">
        <v>4685</v>
      </c>
      <c r="F3409" s="3">
        <v>1</v>
      </c>
      <c r="G3409" s="3">
        <f t="shared" si="169"/>
        <v>4685</v>
      </c>
      <c r="H3409" s="3" t="s">
        <v>293</v>
      </c>
      <c r="I3409" s="1" t="s">
        <v>18</v>
      </c>
      <c r="J3409" s="1" t="s">
        <v>19</v>
      </c>
      <c r="K3409" s="1" t="s">
        <v>300</v>
      </c>
      <c r="L3409" s="1" t="s">
        <v>257</v>
      </c>
      <c r="M3409" s="1"/>
      <c r="N3409" s="1">
        <f t="shared" si="168"/>
        <v>11</v>
      </c>
      <c r="O3409" s="87"/>
    </row>
    <row r="3410" spans="1:15" ht="15.75" hidden="1" x14ac:dyDescent="0.25">
      <c r="A3410" s="1" t="str">
        <f t="shared" si="167"/>
        <v>4525445256191.25MASTER CCSHOPPINGPRET</v>
      </c>
      <c r="B3410" s="154">
        <v>45254</v>
      </c>
      <c r="C3410" s="154">
        <v>45256</v>
      </c>
      <c r="D3410" s="3" t="s">
        <v>3871</v>
      </c>
      <c r="E3410" s="3">
        <v>-191.25</v>
      </c>
      <c r="F3410" s="3">
        <v>1</v>
      </c>
      <c r="G3410" s="3">
        <f t="shared" si="169"/>
        <v>191.25</v>
      </c>
      <c r="H3410" s="3" t="s">
        <v>291</v>
      </c>
      <c r="I3410" s="1" t="s">
        <v>194</v>
      </c>
      <c r="J3410" s="1" t="s">
        <v>4096</v>
      </c>
      <c r="K3410" s="1" t="s">
        <v>298</v>
      </c>
      <c r="L3410" s="1" t="s">
        <v>267</v>
      </c>
      <c r="M3410" s="1"/>
      <c r="N3410" s="1">
        <f t="shared" si="168"/>
        <v>11</v>
      </c>
      <c r="O3410" s="87"/>
    </row>
    <row r="3411" spans="1:15" ht="15.75" hidden="1" x14ac:dyDescent="0.25">
      <c r="A3411" s="1" t="str">
        <f t="shared" si="167"/>
        <v>452544525537.5MASTER CCGROCERYMANGO</v>
      </c>
      <c r="B3411" s="154">
        <v>45254</v>
      </c>
      <c r="C3411" s="154">
        <v>45255</v>
      </c>
      <c r="D3411" s="3" t="s">
        <v>3872</v>
      </c>
      <c r="E3411" s="3">
        <v>-37.5</v>
      </c>
      <c r="F3411" s="3">
        <v>1</v>
      </c>
      <c r="G3411" s="3">
        <f t="shared" si="169"/>
        <v>37.5</v>
      </c>
      <c r="H3411" s="3" t="s">
        <v>291</v>
      </c>
      <c r="I3411" s="1" t="s">
        <v>43</v>
      </c>
      <c r="J3411" s="1" t="s">
        <v>3634</v>
      </c>
      <c r="K3411" s="1" t="s">
        <v>298</v>
      </c>
      <c r="L3411" s="1" t="s">
        <v>267</v>
      </c>
      <c r="M3411" s="1"/>
      <c r="N3411" s="1">
        <f t="shared" si="168"/>
        <v>11</v>
      </c>
      <c r="O3411" s="87"/>
    </row>
    <row r="3412" spans="1:15" ht="15.75" hidden="1" x14ac:dyDescent="0.25">
      <c r="A3412" s="1" t="str">
        <f t="shared" si="167"/>
        <v>4525445255393.1DINERSGROCERYLULU</v>
      </c>
      <c r="B3412" s="154">
        <v>45254</v>
      </c>
      <c r="C3412" s="154">
        <v>45255</v>
      </c>
      <c r="D3412" s="3" t="s">
        <v>4061</v>
      </c>
      <c r="E3412" s="3">
        <v>-393.1</v>
      </c>
      <c r="F3412" s="3">
        <v>1</v>
      </c>
      <c r="G3412" s="3">
        <f t="shared" si="169"/>
        <v>393.1</v>
      </c>
      <c r="H3412" s="3" t="s">
        <v>266</v>
      </c>
      <c r="I3412" s="1" t="s">
        <v>43</v>
      </c>
      <c r="J3412" s="1" t="s">
        <v>44</v>
      </c>
      <c r="K3412" s="1" t="s">
        <v>298</v>
      </c>
      <c r="L3412" s="1" t="s">
        <v>267</v>
      </c>
      <c r="M3412" s="1"/>
      <c r="N3412" s="1">
        <f t="shared" si="168"/>
        <v>11</v>
      </c>
      <c r="O3412" s="87"/>
    </row>
    <row r="3413" spans="1:15" ht="15.75" hidden="1" x14ac:dyDescent="0.25">
      <c r="A3413" s="1" t="str">
        <f t="shared" si="167"/>
        <v>452554525891MASTER CCFOODCAFÉ/REST.</v>
      </c>
      <c r="B3413" s="154">
        <v>45255</v>
      </c>
      <c r="C3413" s="154">
        <v>45258</v>
      </c>
      <c r="D3413" s="3" t="s">
        <v>3869</v>
      </c>
      <c r="E3413" s="3">
        <v>-91</v>
      </c>
      <c r="F3413" s="3">
        <v>1</v>
      </c>
      <c r="G3413" s="3">
        <f t="shared" si="169"/>
        <v>91</v>
      </c>
      <c r="H3413" s="3" t="s">
        <v>291</v>
      </c>
      <c r="I3413" s="1" t="s">
        <v>10</v>
      </c>
      <c r="J3413" s="1" t="s">
        <v>11</v>
      </c>
      <c r="K3413" s="1" t="s">
        <v>298</v>
      </c>
      <c r="L3413" s="1" t="s">
        <v>267</v>
      </c>
      <c r="M3413" s="1"/>
      <c r="N3413" s="1">
        <f t="shared" si="168"/>
        <v>11</v>
      </c>
      <c r="O3413" s="87"/>
    </row>
    <row r="3414" spans="1:15" ht="15.75" hidden="1" x14ac:dyDescent="0.25">
      <c r="A3414" s="1" t="str">
        <f t="shared" si="167"/>
        <v>452554525639MASTER CCSHOPPINGMAX</v>
      </c>
      <c r="B3414" s="154">
        <v>45255</v>
      </c>
      <c r="C3414" s="154">
        <v>45256</v>
      </c>
      <c r="D3414" s="3" t="s">
        <v>3870</v>
      </c>
      <c r="E3414" s="3">
        <v>-39</v>
      </c>
      <c r="F3414" s="3">
        <v>1</v>
      </c>
      <c r="G3414" s="3">
        <f t="shared" si="169"/>
        <v>39</v>
      </c>
      <c r="H3414" s="3" t="s">
        <v>291</v>
      </c>
      <c r="I3414" s="1" t="s">
        <v>194</v>
      </c>
      <c r="J3414" s="1" t="s">
        <v>776</v>
      </c>
      <c r="K3414" s="1" t="s">
        <v>298</v>
      </c>
      <c r="L3414" s="1" t="s">
        <v>267</v>
      </c>
      <c r="M3414" s="1"/>
      <c r="N3414" s="1">
        <f t="shared" si="168"/>
        <v>11</v>
      </c>
      <c r="O3414" s="87"/>
    </row>
    <row r="3415" spans="1:15" ht="15.75" hidden="1" x14ac:dyDescent="0.25">
      <c r="A3415" s="1" t="str">
        <f t="shared" si="167"/>
        <v>4525545256322DINERSSHOPPINGMAX</v>
      </c>
      <c r="B3415" s="154">
        <v>45255</v>
      </c>
      <c r="C3415" s="154">
        <v>45256</v>
      </c>
      <c r="D3415" s="3" t="s">
        <v>4060</v>
      </c>
      <c r="E3415" s="3">
        <v>-322</v>
      </c>
      <c r="F3415" s="3">
        <v>1</v>
      </c>
      <c r="G3415" s="3">
        <f t="shared" si="169"/>
        <v>322</v>
      </c>
      <c r="H3415" s="3" t="s">
        <v>266</v>
      </c>
      <c r="I3415" s="1" t="s">
        <v>194</v>
      </c>
      <c r="J3415" s="1" t="s">
        <v>776</v>
      </c>
      <c r="K3415" s="1" t="s">
        <v>298</v>
      </c>
      <c r="L3415" s="1" t="s">
        <v>267</v>
      </c>
      <c r="M3415" s="1"/>
      <c r="N3415" s="1">
        <f t="shared" si="168"/>
        <v>11</v>
      </c>
      <c r="O3415" s="87"/>
    </row>
    <row r="3416" spans="1:15" ht="15.75" hidden="1" x14ac:dyDescent="0.25">
      <c r="A3416" s="1" t="str">
        <f t="shared" si="167"/>
        <v>452564525663CURRENTFOODTALABAT</v>
      </c>
      <c r="B3416" s="154">
        <v>45256</v>
      </c>
      <c r="C3416" s="154">
        <v>45256</v>
      </c>
      <c r="D3416" s="3" t="s">
        <v>3706</v>
      </c>
      <c r="E3416" s="3">
        <v>-63</v>
      </c>
      <c r="F3416" s="3">
        <v>1</v>
      </c>
      <c r="G3416" s="3">
        <f t="shared" si="169"/>
        <v>63</v>
      </c>
      <c r="H3416" s="3" t="s">
        <v>293</v>
      </c>
      <c r="I3416" s="1" t="s">
        <v>10</v>
      </c>
      <c r="J3416" s="1" t="s">
        <v>865</v>
      </c>
      <c r="K3416" s="1" t="s">
        <v>298</v>
      </c>
      <c r="L3416" s="1" t="s">
        <v>257</v>
      </c>
      <c r="M3416" s="1"/>
      <c r="N3416" s="1">
        <f t="shared" si="168"/>
        <v>11</v>
      </c>
      <c r="O3416" s="87"/>
    </row>
    <row r="3417" spans="1:15" ht="15.75" hidden="1" x14ac:dyDescent="0.25">
      <c r="A3417" s="1" t="str">
        <f t="shared" si="167"/>
        <v>452564525660CURRENTFOODTALABAT</v>
      </c>
      <c r="B3417" s="154">
        <v>45256</v>
      </c>
      <c r="C3417" s="154">
        <v>45256</v>
      </c>
      <c r="D3417" s="3" t="s">
        <v>3707</v>
      </c>
      <c r="E3417" s="3">
        <v>-60</v>
      </c>
      <c r="F3417" s="3">
        <v>1</v>
      </c>
      <c r="G3417" s="3">
        <f t="shared" si="169"/>
        <v>60</v>
      </c>
      <c r="H3417" s="3" t="s">
        <v>293</v>
      </c>
      <c r="I3417" s="1" t="s">
        <v>10</v>
      </c>
      <c r="J3417" s="1" t="s">
        <v>865</v>
      </c>
      <c r="K3417" s="1" t="s">
        <v>298</v>
      </c>
      <c r="L3417" s="1" t="s">
        <v>257</v>
      </c>
      <c r="M3417" s="1"/>
      <c r="N3417" s="1">
        <f t="shared" si="168"/>
        <v>11</v>
      </c>
      <c r="O3417" s="87"/>
    </row>
    <row r="3418" spans="1:15" ht="15.75" hidden="1" x14ac:dyDescent="0.25">
      <c r="A3418" s="1" t="str">
        <f t="shared" si="167"/>
        <v>4525645259212.29MASTER CCGROCERYINDIAN SUPER</v>
      </c>
      <c r="B3418" s="154">
        <v>45256</v>
      </c>
      <c r="C3418" s="154">
        <v>45259</v>
      </c>
      <c r="D3418" s="3" t="s">
        <v>3867</v>
      </c>
      <c r="E3418" s="3">
        <v>-212.29</v>
      </c>
      <c r="F3418" s="3">
        <v>1</v>
      </c>
      <c r="G3418" s="3">
        <f t="shared" si="169"/>
        <v>212.29</v>
      </c>
      <c r="H3418" s="3" t="s">
        <v>291</v>
      </c>
      <c r="I3418" s="1" t="s">
        <v>43</v>
      </c>
      <c r="J3418" s="1" t="s">
        <v>2273</v>
      </c>
      <c r="K3418" s="1" t="s">
        <v>298</v>
      </c>
      <c r="L3418" s="1" t="s">
        <v>267</v>
      </c>
      <c r="M3418" s="1"/>
      <c r="N3418" s="1">
        <f t="shared" si="168"/>
        <v>11</v>
      </c>
      <c r="O3418" s="87"/>
    </row>
    <row r="3419" spans="1:15" ht="15.75" hidden="1" x14ac:dyDescent="0.25">
      <c r="A3419" s="1" t="str">
        <f t="shared" si="167"/>
        <v>452564525860.5MASTER CCLAUNDRYAL RAYES</v>
      </c>
      <c r="B3419" s="154">
        <v>45256</v>
      </c>
      <c r="C3419" s="154">
        <v>45258</v>
      </c>
      <c r="D3419" s="3" t="s">
        <v>3868</v>
      </c>
      <c r="E3419" s="3">
        <v>-60.5</v>
      </c>
      <c r="F3419" s="3">
        <v>1</v>
      </c>
      <c r="G3419" s="3">
        <f t="shared" si="169"/>
        <v>60.5</v>
      </c>
      <c r="H3419" s="3" t="s">
        <v>291</v>
      </c>
      <c r="I3419" s="1" t="s">
        <v>3164</v>
      </c>
      <c r="J3419" s="1" t="s">
        <v>3165</v>
      </c>
      <c r="K3419" s="1" t="s">
        <v>298</v>
      </c>
      <c r="L3419" s="1" t="s">
        <v>267</v>
      </c>
      <c r="M3419" s="1"/>
      <c r="N3419" s="1">
        <f t="shared" si="168"/>
        <v>11</v>
      </c>
      <c r="O3419" s="87"/>
    </row>
    <row r="3420" spans="1:15" ht="15.75" hidden="1" x14ac:dyDescent="0.25">
      <c r="A3420" s="1" t="str">
        <f t="shared" si="167"/>
        <v>452574525943.13MASTER CCFOODGOT</v>
      </c>
      <c r="B3420" s="154">
        <v>45257</v>
      </c>
      <c r="C3420" s="154">
        <v>45259</v>
      </c>
      <c r="D3420" s="3" t="s">
        <v>3859</v>
      </c>
      <c r="E3420" s="3">
        <v>-43.13</v>
      </c>
      <c r="F3420" s="3">
        <v>1</v>
      </c>
      <c r="G3420" s="3">
        <f t="shared" si="169"/>
        <v>43.13</v>
      </c>
      <c r="H3420" s="3" t="s">
        <v>291</v>
      </c>
      <c r="I3420" s="1" t="s">
        <v>10</v>
      </c>
      <c r="J3420" s="1" t="s">
        <v>4095</v>
      </c>
      <c r="K3420" s="1" t="s">
        <v>298</v>
      </c>
      <c r="L3420" s="1" t="s">
        <v>267</v>
      </c>
      <c r="M3420" s="1"/>
      <c r="N3420" s="1">
        <f t="shared" si="168"/>
        <v>11</v>
      </c>
      <c r="O3420" s="87"/>
    </row>
    <row r="3421" spans="1:15" ht="15.75" hidden="1" x14ac:dyDescent="0.25">
      <c r="A3421" s="1" t="str">
        <f t="shared" si="167"/>
        <v>452574525971.28MASTER CCSHOPPINGGOT</v>
      </c>
      <c r="B3421" s="154">
        <v>45257</v>
      </c>
      <c r="C3421" s="154">
        <v>45259</v>
      </c>
      <c r="D3421" s="3" t="s">
        <v>3860</v>
      </c>
      <c r="E3421" s="3">
        <v>-71.28</v>
      </c>
      <c r="F3421" s="3">
        <v>1</v>
      </c>
      <c r="G3421" s="3">
        <f t="shared" si="169"/>
        <v>71.28</v>
      </c>
      <c r="H3421" s="3" t="s">
        <v>291</v>
      </c>
      <c r="I3421" s="1" t="s">
        <v>194</v>
      </c>
      <c r="J3421" s="1" t="s">
        <v>4095</v>
      </c>
      <c r="K3421" s="1" t="s">
        <v>298</v>
      </c>
      <c r="L3421" s="1" t="s">
        <v>267</v>
      </c>
      <c r="M3421" s="1"/>
      <c r="N3421" s="1">
        <f t="shared" si="168"/>
        <v>11</v>
      </c>
      <c r="O3421" s="87"/>
    </row>
    <row r="3422" spans="1:15" ht="15.75" hidden="1" x14ac:dyDescent="0.25">
      <c r="A3422" s="1" t="str">
        <f t="shared" si="167"/>
        <v>45257452593.61MASTER CCFOODGOT</v>
      </c>
      <c r="B3422" s="154">
        <v>45257</v>
      </c>
      <c r="C3422" s="154">
        <v>45259</v>
      </c>
      <c r="D3422" s="3" t="s">
        <v>3861</v>
      </c>
      <c r="E3422" s="3">
        <v>-3.61</v>
      </c>
      <c r="F3422" s="3">
        <v>1</v>
      </c>
      <c r="G3422" s="3">
        <f t="shared" si="169"/>
        <v>3.61</v>
      </c>
      <c r="H3422" s="3" t="s">
        <v>291</v>
      </c>
      <c r="I3422" s="1" t="s">
        <v>10</v>
      </c>
      <c r="J3422" s="1" t="s">
        <v>4095</v>
      </c>
      <c r="K3422" s="1" t="s">
        <v>298</v>
      </c>
      <c r="L3422" s="1" t="s">
        <v>267</v>
      </c>
      <c r="M3422" s="1"/>
      <c r="N3422" s="1">
        <f t="shared" si="168"/>
        <v>11</v>
      </c>
      <c r="O3422" s="87"/>
    </row>
    <row r="3423" spans="1:15" ht="15.75" hidden="1" x14ac:dyDescent="0.25">
      <c r="A3423" s="1" t="str">
        <f t="shared" si="167"/>
        <v>452574525918.01MASTER CCFOODGOT</v>
      </c>
      <c r="B3423" s="154">
        <v>45257</v>
      </c>
      <c r="C3423" s="154">
        <v>45259</v>
      </c>
      <c r="D3423" s="3" t="s">
        <v>3862</v>
      </c>
      <c r="E3423" s="3">
        <v>-18.010000000000002</v>
      </c>
      <c r="F3423" s="3">
        <v>1</v>
      </c>
      <c r="G3423" s="3">
        <f t="shared" si="169"/>
        <v>18.010000000000002</v>
      </c>
      <c r="H3423" s="3" t="s">
        <v>291</v>
      </c>
      <c r="I3423" s="1" t="s">
        <v>10</v>
      </c>
      <c r="J3423" s="1" t="s">
        <v>4095</v>
      </c>
      <c r="K3423" s="1" t="s">
        <v>298</v>
      </c>
      <c r="L3423" s="1" t="s">
        <v>267</v>
      </c>
      <c r="M3423" s="1"/>
      <c r="N3423" s="1">
        <f t="shared" si="168"/>
        <v>11</v>
      </c>
      <c r="O3423" s="87"/>
    </row>
    <row r="3424" spans="1:15" ht="15.75" hidden="1" x14ac:dyDescent="0.25">
      <c r="A3424" s="1" t="str">
        <f t="shared" si="167"/>
        <v>452574525948.24MASTER CCFOODGOT</v>
      </c>
      <c r="B3424" s="154">
        <v>45257</v>
      </c>
      <c r="C3424" s="154">
        <v>45259</v>
      </c>
      <c r="D3424" s="3" t="s">
        <v>3863</v>
      </c>
      <c r="E3424" s="3">
        <v>-48.24</v>
      </c>
      <c r="F3424" s="3">
        <v>1</v>
      </c>
      <c r="G3424" s="3">
        <f t="shared" si="169"/>
        <v>48.24</v>
      </c>
      <c r="H3424" s="3" t="s">
        <v>291</v>
      </c>
      <c r="I3424" s="1" t="s">
        <v>10</v>
      </c>
      <c r="J3424" s="1" t="s">
        <v>4095</v>
      </c>
      <c r="K3424" s="1" t="s">
        <v>298</v>
      </c>
      <c r="L3424" s="1" t="s">
        <v>267</v>
      </c>
      <c r="M3424" s="1"/>
      <c r="N3424" s="1">
        <f t="shared" si="168"/>
        <v>11</v>
      </c>
      <c r="O3424" s="87"/>
    </row>
    <row r="3425" spans="1:15" ht="15.75" hidden="1" x14ac:dyDescent="0.25">
      <c r="A3425" s="1" t="str">
        <f t="shared" si="167"/>
        <v>452574525960.49MASTER CCTRANSPORTGOT</v>
      </c>
      <c r="B3425" s="154">
        <v>45257</v>
      </c>
      <c r="C3425" s="154">
        <v>45259</v>
      </c>
      <c r="D3425" s="3" t="s">
        <v>3864</v>
      </c>
      <c r="E3425" s="3">
        <v>-60.49</v>
      </c>
      <c r="F3425" s="3">
        <v>1</v>
      </c>
      <c r="G3425" s="3">
        <f t="shared" si="169"/>
        <v>60.49</v>
      </c>
      <c r="H3425" s="3" t="s">
        <v>291</v>
      </c>
      <c r="I3425" s="1" t="s">
        <v>296</v>
      </c>
      <c r="J3425" s="1" t="s">
        <v>4095</v>
      </c>
      <c r="K3425" s="1" t="s">
        <v>298</v>
      </c>
      <c r="L3425" s="1" t="s">
        <v>267</v>
      </c>
      <c r="M3425" s="1"/>
      <c r="N3425" s="1">
        <f t="shared" si="168"/>
        <v>11</v>
      </c>
      <c r="O3425" s="87"/>
    </row>
    <row r="3426" spans="1:15" ht="15.75" hidden="1" x14ac:dyDescent="0.25">
      <c r="A3426" s="1" t="str">
        <f t="shared" si="167"/>
        <v>45257452582745.11MASTER CCHOTELGOT</v>
      </c>
      <c r="B3426" s="154">
        <v>45257</v>
      </c>
      <c r="C3426" s="154">
        <v>45258</v>
      </c>
      <c r="D3426" s="3" t="s">
        <v>3865</v>
      </c>
      <c r="E3426" s="3">
        <v>-2745.11</v>
      </c>
      <c r="F3426" s="3">
        <v>1</v>
      </c>
      <c r="G3426" s="3">
        <f t="shared" si="169"/>
        <v>2745.11</v>
      </c>
      <c r="H3426" s="3" t="s">
        <v>291</v>
      </c>
      <c r="I3426" s="1" t="s">
        <v>1128</v>
      </c>
      <c r="J3426" s="1" t="s">
        <v>4095</v>
      </c>
      <c r="K3426" s="1" t="s">
        <v>298</v>
      </c>
      <c r="L3426" s="1" t="s">
        <v>267</v>
      </c>
      <c r="M3426" s="1"/>
      <c r="N3426" s="1">
        <f t="shared" si="168"/>
        <v>11</v>
      </c>
      <c r="O3426" s="87"/>
    </row>
    <row r="3427" spans="1:15" ht="15.75" hidden="1" x14ac:dyDescent="0.25">
      <c r="A3427" s="1" t="str">
        <f t="shared" si="167"/>
        <v>452574525822.04MASTER CCTRANSPORTUBER</v>
      </c>
      <c r="B3427" s="154">
        <v>45257</v>
      </c>
      <c r="C3427" s="154">
        <v>45258</v>
      </c>
      <c r="D3427" s="3" t="s">
        <v>3866</v>
      </c>
      <c r="E3427" s="3">
        <v>-22.04</v>
      </c>
      <c r="F3427" s="3">
        <v>1</v>
      </c>
      <c r="G3427" s="3">
        <f t="shared" si="169"/>
        <v>22.04</v>
      </c>
      <c r="H3427" s="3" t="s">
        <v>291</v>
      </c>
      <c r="I3427" s="1" t="s">
        <v>296</v>
      </c>
      <c r="J3427" s="1" t="s">
        <v>299</v>
      </c>
      <c r="K3427" s="1" t="s">
        <v>298</v>
      </c>
      <c r="L3427" s="1" t="s">
        <v>267</v>
      </c>
      <c r="M3427" s="1"/>
      <c r="N3427" s="1">
        <f t="shared" si="168"/>
        <v>11</v>
      </c>
      <c r="O3427" s="87"/>
    </row>
    <row r="3428" spans="1:15" ht="15.75" hidden="1" x14ac:dyDescent="0.25">
      <c r="A3428" s="1" t="str">
        <f t="shared" si="167"/>
        <v>452594525913903CURRENTCC BILL PAYMENTBANK</v>
      </c>
      <c r="B3428" s="154">
        <v>45259</v>
      </c>
      <c r="C3428" s="154">
        <v>45259</v>
      </c>
      <c r="D3428" s="3" t="s">
        <v>3704</v>
      </c>
      <c r="E3428" s="3">
        <v>-13903</v>
      </c>
      <c r="F3428" s="3">
        <v>1</v>
      </c>
      <c r="G3428" s="3">
        <f t="shared" si="169"/>
        <v>13903</v>
      </c>
      <c r="H3428" s="3" t="s">
        <v>293</v>
      </c>
      <c r="I3428" s="1" t="s">
        <v>81</v>
      </c>
      <c r="J3428" s="1" t="s">
        <v>8</v>
      </c>
      <c r="K3428" s="1" t="s">
        <v>298</v>
      </c>
      <c r="L3428" s="1" t="s">
        <v>257</v>
      </c>
      <c r="M3428" s="1"/>
      <c r="N3428" s="1">
        <f t="shared" si="168"/>
        <v>11</v>
      </c>
      <c r="O3428" s="87"/>
    </row>
    <row r="3429" spans="1:15" ht="15.75" hidden="1" x14ac:dyDescent="0.25">
      <c r="A3429" s="1" t="str">
        <f t="shared" si="167"/>
        <v>452594525929062CURRENTSALARYQATAR AIR</v>
      </c>
      <c r="B3429" s="154">
        <v>45259</v>
      </c>
      <c r="C3429" s="154">
        <v>45259</v>
      </c>
      <c r="D3429" s="3" t="s">
        <v>3705</v>
      </c>
      <c r="E3429" s="3">
        <v>29062</v>
      </c>
      <c r="F3429" s="3">
        <v>1</v>
      </c>
      <c r="G3429" s="3">
        <f t="shared" si="169"/>
        <v>29062</v>
      </c>
      <c r="H3429" s="3" t="s">
        <v>293</v>
      </c>
      <c r="I3429" s="1" t="s">
        <v>18</v>
      </c>
      <c r="J3429" s="1" t="s">
        <v>19</v>
      </c>
      <c r="K3429" s="1" t="s">
        <v>300</v>
      </c>
      <c r="L3429" s="1" t="s">
        <v>257</v>
      </c>
      <c r="M3429" s="1"/>
      <c r="N3429" s="1">
        <f t="shared" si="168"/>
        <v>11</v>
      </c>
      <c r="O3429" s="87"/>
    </row>
    <row r="3430" spans="1:15" ht="15.75" hidden="1" x14ac:dyDescent="0.25">
      <c r="A3430" s="1" t="str">
        <f t="shared" si="167"/>
        <v>4525945263149.38MASTER CCENTERTAINMENTGOT</v>
      </c>
      <c r="B3430" s="154">
        <v>45259</v>
      </c>
      <c r="C3430" s="154">
        <v>45263</v>
      </c>
      <c r="D3430" s="3" t="s">
        <v>3858</v>
      </c>
      <c r="E3430" s="3">
        <v>-149.38</v>
      </c>
      <c r="F3430" s="3">
        <v>1</v>
      </c>
      <c r="G3430" s="3">
        <f t="shared" si="169"/>
        <v>149.38</v>
      </c>
      <c r="H3430" s="3" t="s">
        <v>291</v>
      </c>
      <c r="I3430" s="1" t="s">
        <v>2476</v>
      </c>
      <c r="J3430" s="1" t="s">
        <v>4095</v>
      </c>
      <c r="K3430" s="1" t="s">
        <v>298</v>
      </c>
      <c r="L3430" s="1" t="s">
        <v>267</v>
      </c>
      <c r="M3430" s="1"/>
      <c r="N3430" s="1">
        <f t="shared" si="168"/>
        <v>12</v>
      </c>
      <c r="O3430" s="87"/>
    </row>
    <row r="3431" spans="1:15" ht="15.75" hidden="1" x14ac:dyDescent="0.25">
      <c r="A3431" s="1" t="str">
        <f t="shared" si="167"/>
        <v>452594525913903DINERSCC BILL PAYMENTBANK</v>
      </c>
      <c r="B3431" s="154">
        <v>45259</v>
      </c>
      <c r="C3431" s="154">
        <v>45259</v>
      </c>
      <c r="D3431" s="3" t="s">
        <v>80</v>
      </c>
      <c r="E3431" s="3">
        <v>13903</v>
      </c>
      <c r="F3431" s="3">
        <v>1</v>
      </c>
      <c r="G3431" s="3">
        <f t="shared" si="169"/>
        <v>13903</v>
      </c>
      <c r="H3431" s="3" t="s">
        <v>266</v>
      </c>
      <c r="I3431" s="1" t="s">
        <v>81</v>
      </c>
      <c r="J3431" s="1" t="s">
        <v>8</v>
      </c>
      <c r="K3431" s="1" t="s">
        <v>300</v>
      </c>
      <c r="L3431" s="1" t="s">
        <v>267</v>
      </c>
      <c r="M3431" s="1"/>
      <c r="N3431" s="1">
        <f t="shared" si="168"/>
        <v>11</v>
      </c>
      <c r="O3431" s="87"/>
    </row>
    <row r="3432" spans="1:15" ht="15.75" hidden="1" x14ac:dyDescent="0.25">
      <c r="A3432" s="1" t="str">
        <f t="shared" si="167"/>
        <v>452604526510MASTER CCTELECOMOOREDOO</v>
      </c>
      <c r="B3432" s="154">
        <v>45260</v>
      </c>
      <c r="C3432" s="154">
        <v>45265</v>
      </c>
      <c r="D3432" s="3" t="s">
        <v>3852</v>
      </c>
      <c r="E3432" s="3">
        <v>-10</v>
      </c>
      <c r="F3432" s="3">
        <v>1</v>
      </c>
      <c r="G3432" s="3">
        <f t="shared" si="169"/>
        <v>10</v>
      </c>
      <c r="H3432" s="3" t="s">
        <v>291</v>
      </c>
      <c r="I3432" s="1" t="s">
        <v>58</v>
      </c>
      <c r="J3432" s="1" t="s">
        <v>59</v>
      </c>
      <c r="K3432" s="1" t="s">
        <v>298</v>
      </c>
      <c r="L3432" s="1" t="s">
        <v>267</v>
      </c>
      <c r="M3432" s="1"/>
      <c r="N3432" s="1">
        <f t="shared" si="168"/>
        <v>12</v>
      </c>
      <c r="O3432" s="87"/>
    </row>
    <row r="3433" spans="1:15" ht="15.75" hidden="1" x14ac:dyDescent="0.25">
      <c r="A3433" s="1" t="str">
        <f t="shared" si="167"/>
        <v>452604526560MASTER CCTELECOMOOREDOO</v>
      </c>
      <c r="B3433" s="154">
        <v>45260</v>
      </c>
      <c r="C3433" s="154">
        <v>45265</v>
      </c>
      <c r="D3433" s="3" t="s">
        <v>3853</v>
      </c>
      <c r="E3433" s="3">
        <v>-60</v>
      </c>
      <c r="F3433" s="3">
        <v>1</v>
      </c>
      <c r="G3433" s="3">
        <f t="shared" si="169"/>
        <v>60</v>
      </c>
      <c r="H3433" s="3" t="s">
        <v>291</v>
      </c>
      <c r="I3433" s="1" t="s">
        <v>58</v>
      </c>
      <c r="J3433" s="1" t="s">
        <v>59</v>
      </c>
      <c r="K3433" s="1" t="s">
        <v>298</v>
      </c>
      <c r="L3433" s="1" t="s">
        <v>267</v>
      </c>
      <c r="M3433" s="1"/>
      <c r="N3433" s="1">
        <f t="shared" si="168"/>
        <v>12</v>
      </c>
      <c r="O3433" s="87"/>
    </row>
    <row r="3434" spans="1:15" ht="15.75" hidden="1" x14ac:dyDescent="0.25">
      <c r="A3434" s="1" t="str">
        <f t="shared" si="167"/>
        <v>4526045262191.15MASTER CCFOODGOT</v>
      </c>
      <c r="B3434" s="154">
        <v>45260</v>
      </c>
      <c r="C3434" s="154">
        <v>45262</v>
      </c>
      <c r="D3434" s="3" t="s">
        <v>3854</v>
      </c>
      <c r="E3434" s="3">
        <v>-191.15</v>
      </c>
      <c r="F3434" s="3">
        <v>1</v>
      </c>
      <c r="G3434" s="3">
        <f t="shared" si="169"/>
        <v>191.15</v>
      </c>
      <c r="H3434" s="3" t="s">
        <v>291</v>
      </c>
      <c r="I3434" s="1" t="s">
        <v>10</v>
      </c>
      <c r="J3434" s="1" t="s">
        <v>4095</v>
      </c>
      <c r="K3434" s="1" t="s">
        <v>298</v>
      </c>
      <c r="L3434" s="1" t="s">
        <v>267</v>
      </c>
      <c r="M3434" s="1"/>
      <c r="N3434" s="1">
        <f t="shared" si="168"/>
        <v>12</v>
      </c>
      <c r="O3434" s="87"/>
    </row>
    <row r="3435" spans="1:15" ht="15.75" hidden="1" x14ac:dyDescent="0.25">
      <c r="A3435" s="1" t="str">
        <f t="shared" si="167"/>
        <v>452604526292.53MASTER CCSHOPPINGGOT</v>
      </c>
      <c r="B3435" s="154">
        <v>45260</v>
      </c>
      <c r="C3435" s="154">
        <v>45262</v>
      </c>
      <c r="D3435" s="3" t="s">
        <v>3855</v>
      </c>
      <c r="E3435" s="3">
        <v>-92.53</v>
      </c>
      <c r="F3435" s="3">
        <v>1</v>
      </c>
      <c r="G3435" s="3">
        <f t="shared" si="169"/>
        <v>92.53</v>
      </c>
      <c r="H3435" s="3" t="s">
        <v>291</v>
      </c>
      <c r="I3435" s="1" t="s">
        <v>194</v>
      </c>
      <c r="J3435" s="1" t="s">
        <v>4095</v>
      </c>
      <c r="K3435" s="1" t="s">
        <v>298</v>
      </c>
      <c r="L3435" s="1" t="s">
        <v>267</v>
      </c>
      <c r="M3435" s="1"/>
      <c r="N3435" s="1">
        <f t="shared" si="168"/>
        <v>12</v>
      </c>
      <c r="O3435" s="87"/>
    </row>
    <row r="3436" spans="1:15" ht="15.75" hidden="1" x14ac:dyDescent="0.25">
      <c r="A3436" s="1" t="str">
        <f t="shared" si="167"/>
        <v>452604526220.25MASTER CCTRANSPORTUBER</v>
      </c>
      <c r="B3436" s="154">
        <v>45260</v>
      </c>
      <c r="C3436" s="154">
        <v>45262</v>
      </c>
      <c r="D3436" s="3" t="s">
        <v>3856</v>
      </c>
      <c r="E3436" s="3">
        <v>-20.25</v>
      </c>
      <c r="F3436" s="3">
        <v>1</v>
      </c>
      <c r="G3436" s="3">
        <f t="shared" si="169"/>
        <v>20.25</v>
      </c>
      <c r="H3436" s="3" t="s">
        <v>291</v>
      </c>
      <c r="I3436" s="1" t="s">
        <v>296</v>
      </c>
      <c r="J3436" s="1" t="s">
        <v>299</v>
      </c>
      <c r="K3436" s="1" t="s">
        <v>298</v>
      </c>
      <c r="L3436" s="1" t="s">
        <v>267</v>
      </c>
      <c r="M3436" s="1"/>
      <c r="N3436" s="1">
        <f t="shared" si="168"/>
        <v>12</v>
      </c>
      <c r="O3436" s="87"/>
    </row>
    <row r="3437" spans="1:15" ht="15.75" hidden="1" x14ac:dyDescent="0.25">
      <c r="A3437" s="1" t="str">
        <f t="shared" si="167"/>
        <v>452604526219.24MASTER CCTRANSPORTUBER</v>
      </c>
      <c r="B3437" s="154">
        <v>45260</v>
      </c>
      <c r="C3437" s="154">
        <v>45262</v>
      </c>
      <c r="D3437" s="3" t="s">
        <v>3857</v>
      </c>
      <c r="E3437" s="3">
        <v>-19.239999999999998</v>
      </c>
      <c r="F3437" s="3">
        <v>1</v>
      </c>
      <c r="G3437" s="3">
        <f t="shared" si="169"/>
        <v>19.239999999999998</v>
      </c>
      <c r="H3437" s="3" t="s">
        <v>291</v>
      </c>
      <c r="I3437" s="1" t="s">
        <v>296</v>
      </c>
      <c r="J3437" s="1" t="s">
        <v>299</v>
      </c>
      <c r="K3437" s="1" t="s">
        <v>298</v>
      </c>
      <c r="L3437" s="1" t="s">
        <v>267</v>
      </c>
      <c r="M3437" s="1"/>
      <c r="N3437" s="1">
        <f t="shared" si="168"/>
        <v>12</v>
      </c>
      <c r="O3437" s="87"/>
    </row>
    <row r="3438" spans="1:15" ht="15.75" hidden="1" x14ac:dyDescent="0.25">
      <c r="A3438" s="1" t="str">
        <f t="shared" si="167"/>
        <v>4526145263190.82MASTER CCSHOPPINGGOT</v>
      </c>
      <c r="B3438" s="154">
        <v>45261</v>
      </c>
      <c r="C3438" s="154">
        <v>45263</v>
      </c>
      <c r="D3438" s="3" t="s">
        <v>3851</v>
      </c>
      <c r="E3438" s="3">
        <v>-190.82</v>
      </c>
      <c r="F3438" s="3">
        <v>1</v>
      </c>
      <c r="G3438" s="3">
        <f t="shared" si="169"/>
        <v>190.82</v>
      </c>
      <c r="H3438" s="3" t="s">
        <v>291</v>
      </c>
      <c r="I3438" s="1" t="s">
        <v>194</v>
      </c>
      <c r="J3438" s="1" t="s">
        <v>4095</v>
      </c>
      <c r="K3438" s="1" t="s">
        <v>298</v>
      </c>
      <c r="L3438" s="1" t="s">
        <v>267</v>
      </c>
      <c r="M3438" s="1"/>
      <c r="N3438" s="1">
        <f t="shared" si="168"/>
        <v>12</v>
      </c>
      <c r="O3438" s="87"/>
    </row>
    <row r="3439" spans="1:15" ht="15.75" hidden="1" x14ac:dyDescent="0.25">
      <c r="A3439" s="1" t="str">
        <f t="shared" si="167"/>
        <v>4526245264203.9MASTER CCTRANSPORTGOT</v>
      </c>
      <c r="B3439" s="154">
        <v>45262</v>
      </c>
      <c r="C3439" s="154">
        <v>45264</v>
      </c>
      <c r="D3439" s="3" t="s">
        <v>3849</v>
      </c>
      <c r="E3439" s="3">
        <v>-203.9</v>
      </c>
      <c r="F3439" s="3">
        <v>1</v>
      </c>
      <c r="G3439" s="3">
        <f t="shared" si="169"/>
        <v>203.9</v>
      </c>
      <c r="H3439" s="3" t="s">
        <v>291</v>
      </c>
      <c r="I3439" s="1" t="s">
        <v>296</v>
      </c>
      <c r="J3439" s="1" t="s">
        <v>4095</v>
      </c>
      <c r="K3439" s="1" t="s">
        <v>298</v>
      </c>
      <c r="L3439" s="1" t="s">
        <v>267</v>
      </c>
      <c r="M3439" s="1"/>
      <c r="N3439" s="1">
        <f t="shared" si="168"/>
        <v>12</v>
      </c>
      <c r="O3439" s="87"/>
    </row>
    <row r="3440" spans="1:15" ht="15.75" hidden="1" x14ac:dyDescent="0.25">
      <c r="A3440" s="1" t="str">
        <f t="shared" si="167"/>
        <v>452624526319.22MASTER CCFOODGOT</v>
      </c>
      <c r="B3440" s="154">
        <v>45262</v>
      </c>
      <c r="C3440" s="154">
        <v>45263</v>
      </c>
      <c r="D3440" s="3" t="s">
        <v>3850</v>
      </c>
      <c r="E3440" s="3">
        <v>-19.22</v>
      </c>
      <c r="F3440" s="3">
        <v>1</v>
      </c>
      <c r="G3440" s="3">
        <f t="shared" si="169"/>
        <v>19.22</v>
      </c>
      <c r="H3440" s="3" t="s">
        <v>291</v>
      </c>
      <c r="I3440" s="1" t="s">
        <v>10</v>
      </c>
      <c r="J3440" s="1" t="s">
        <v>4095</v>
      </c>
      <c r="K3440" s="1" t="s">
        <v>298</v>
      </c>
      <c r="L3440" s="1" t="s">
        <v>267</v>
      </c>
      <c r="M3440" s="1"/>
      <c r="N3440" s="1">
        <f t="shared" si="168"/>
        <v>12</v>
      </c>
      <c r="O3440" s="87"/>
    </row>
    <row r="3441" spans="1:15" ht="15.75" hidden="1" x14ac:dyDescent="0.25">
      <c r="A3441" s="1" t="str">
        <f t="shared" si="167"/>
        <v>452634526310200CURRENTEDUCATIONORYX</v>
      </c>
      <c r="B3441" s="154">
        <v>45263</v>
      </c>
      <c r="C3441" s="154">
        <v>45263</v>
      </c>
      <c r="D3441" s="3" t="s">
        <v>3702</v>
      </c>
      <c r="E3441" s="3">
        <v>-10200</v>
      </c>
      <c r="F3441" s="3">
        <v>1</v>
      </c>
      <c r="G3441" s="3">
        <f t="shared" si="169"/>
        <v>10200</v>
      </c>
      <c r="H3441" s="3" t="s">
        <v>293</v>
      </c>
      <c r="I3441" s="1" t="s">
        <v>543</v>
      </c>
      <c r="J3441" s="1" t="s">
        <v>2073</v>
      </c>
      <c r="K3441" s="1" t="s">
        <v>298</v>
      </c>
      <c r="L3441" s="1" t="s">
        <v>257</v>
      </c>
      <c r="M3441" s="1"/>
      <c r="N3441" s="1">
        <f t="shared" si="168"/>
        <v>12</v>
      </c>
      <c r="O3441" s="87"/>
    </row>
    <row r="3442" spans="1:15" ht="15.75" hidden="1" x14ac:dyDescent="0.25">
      <c r="A3442" s="1" t="str">
        <f t="shared" si="167"/>
        <v>4526345263500CURRENTSAVINGARTI</v>
      </c>
      <c r="B3442" s="154">
        <v>45263</v>
      </c>
      <c r="C3442" s="154">
        <v>45263</v>
      </c>
      <c r="D3442" s="3" t="s">
        <v>3703</v>
      </c>
      <c r="E3442" s="3">
        <v>-500</v>
      </c>
      <c r="F3442" s="3">
        <v>1</v>
      </c>
      <c r="G3442" s="3">
        <f t="shared" si="169"/>
        <v>500</v>
      </c>
      <c r="H3442" s="3" t="s">
        <v>293</v>
      </c>
      <c r="I3442" s="1" t="s">
        <v>302</v>
      </c>
      <c r="J3442" s="1" t="s">
        <v>453</v>
      </c>
      <c r="K3442" s="1" t="s">
        <v>298</v>
      </c>
      <c r="L3442" s="1" t="s">
        <v>257</v>
      </c>
      <c r="M3442" s="1"/>
      <c r="N3442" s="1">
        <f t="shared" si="168"/>
        <v>12</v>
      </c>
      <c r="O3442" s="87"/>
    </row>
    <row r="3443" spans="1:15" ht="15.75" hidden="1" x14ac:dyDescent="0.25">
      <c r="A3443" s="1" t="str">
        <f t="shared" si="167"/>
        <v>4526345263500CURRENTSAVINGARTI</v>
      </c>
      <c r="B3443" s="154">
        <v>45263</v>
      </c>
      <c r="C3443" s="154">
        <v>45263</v>
      </c>
      <c r="D3443" s="3" t="s">
        <v>2909</v>
      </c>
      <c r="E3443" s="3">
        <v>-500</v>
      </c>
      <c r="F3443" s="3">
        <v>1</v>
      </c>
      <c r="G3443" s="3">
        <f t="shared" si="169"/>
        <v>500</v>
      </c>
      <c r="H3443" s="3" t="s">
        <v>293</v>
      </c>
      <c r="I3443" s="1" t="s">
        <v>302</v>
      </c>
      <c r="J3443" s="1" t="s">
        <v>453</v>
      </c>
      <c r="K3443" s="1" t="s">
        <v>298</v>
      </c>
      <c r="L3443" s="1" t="s">
        <v>257</v>
      </c>
      <c r="M3443" s="1"/>
      <c r="N3443" s="1">
        <f t="shared" si="168"/>
        <v>12</v>
      </c>
      <c r="O3443" s="87"/>
    </row>
    <row r="3444" spans="1:15" ht="15.75" hidden="1" x14ac:dyDescent="0.25">
      <c r="A3444" s="1" t="str">
        <f t="shared" si="167"/>
        <v>452634526545MASTER CCTRANSPORTKARWA</v>
      </c>
      <c r="B3444" s="154">
        <v>45263</v>
      </c>
      <c r="C3444" s="154">
        <v>45265</v>
      </c>
      <c r="D3444" s="3" t="s">
        <v>3848</v>
      </c>
      <c r="E3444" s="3">
        <v>-45</v>
      </c>
      <c r="F3444" s="3">
        <v>1</v>
      </c>
      <c r="G3444" s="3">
        <f t="shared" si="169"/>
        <v>45</v>
      </c>
      <c r="H3444" s="3" t="s">
        <v>291</v>
      </c>
      <c r="I3444" s="1" t="s">
        <v>296</v>
      </c>
      <c r="J3444" s="1" t="s">
        <v>4085</v>
      </c>
      <c r="K3444" s="1" t="s">
        <v>298</v>
      </c>
      <c r="L3444" s="1" t="s">
        <v>267</v>
      </c>
      <c r="M3444" s="1"/>
      <c r="N3444" s="1">
        <f t="shared" si="168"/>
        <v>12</v>
      </c>
      <c r="O3444" s="87"/>
    </row>
    <row r="3445" spans="1:15" ht="15.75" hidden="1" x14ac:dyDescent="0.25">
      <c r="A3445" s="1" t="str">
        <f t="shared" si="167"/>
        <v>4526345264204DINERSTELECOMOOREDOO</v>
      </c>
      <c r="B3445" s="154">
        <v>45263</v>
      </c>
      <c r="C3445" s="154">
        <v>45264</v>
      </c>
      <c r="D3445" s="3" t="s">
        <v>4057</v>
      </c>
      <c r="E3445" s="3">
        <v>-204</v>
      </c>
      <c r="F3445" s="3">
        <v>1</v>
      </c>
      <c r="G3445" s="3">
        <f t="shared" si="169"/>
        <v>204</v>
      </c>
      <c r="H3445" s="3" t="s">
        <v>266</v>
      </c>
      <c r="I3445" s="1" t="s">
        <v>58</v>
      </c>
      <c r="J3445" s="1" t="s">
        <v>59</v>
      </c>
      <c r="K3445" s="1" t="s">
        <v>298</v>
      </c>
      <c r="L3445" s="1" t="s">
        <v>267</v>
      </c>
      <c r="M3445" s="1"/>
      <c r="N3445" s="1">
        <f t="shared" si="168"/>
        <v>12</v>
      </c>
      <c r="O3445" s="87"/>
    </row>
    <row r="3446" spans="1:15" ht="15.75" hidden="1" x14ac:dyDescent="0.25">
      <c r="A3446" s="1" t="str">
        <f t="shared" si="167"/>
        <v>4526345263250DINERSRENTVODAFONE</v>
      </c>
      <c r="B3446" s="154">
        <v>45263</v>
      </c>
      <c r="C3446" s="154">
        <v>45263</v>
      </c>
      <c r="D3446" s="3" t="s">
        <v>4058</v>
      </c>
      <c r="E3446" s="3">
        <v>-250</v>
      </c>
      <c r="F3446" s="3">
        <v>1</v>
      </c>
      <c r="G3446" s="3">
        <f t="shared" si="169"/>
        <v>250</v>
      </c>
      <c r="H3446" s="3" t="s">
        <v>266</v>
      </c>
      <c r="I3446" s="1" t="s">
        <v>83</v>
      </c>
      <c r="J3446" s="1" t="s">
        <v>78</v>
      </c>
      <c r="K3446" s="1" t="s">
        <v>298</v>
      </c>
      <c r="L3446" s="1" t="s">
        <v>267</v>
      </c>
      <c r="M3446" s="1"/>
      <c r="N3446" s="1">
        <f t="shared" si="168"/>
        <v>12</v>
      </c>
      <c r="O3446" s="87"/>
    </row>
    <row r="3447" spans="1:15" ht="15.75" hidden="1" x14ac:dyDescent="0.25">
      <c r="A3447" s="1" t="str">
        <f t="shared" si="167"/>
        <v>452634526358DINERSRENTKAHRAMAA</v>
      </c>
      <c r="B3447" s="154">
        <v>45263</v>
      </c>
      <c r="C3447" s="154">
        <v>45263</v>
      </c>
      <c r="D3447" s="3" t="s">
        <v>4059</v>
      </c>
      <c r="E3447" s="3">
        <v>-58</v>
      </c>
      <c r="F3447" s="3">
        <v>1</v>
      </c>
      <c r="G3447" s="3">
        <f t="shared" si="169"/>
        <v>58</v>
      </c>
      <c r="H3447" s="3" t="s">
        <v>266</v>
      </c>
      <c r="I3447" s="1" t="s">
        <v>83</v>
      </c>
      <c r="J3447" s="1" t="s">
        <v>4113</v>
      </c>
      <c r="K3447" s="1" t="s">
        <v>298</v>
      </c>
      <c r="L3447" s="1" t="s">
        <v>267</v>
      </c>
      <c r="M3447" s="1"/>
      <c r="N3447" s="1">
        <f t="shared" si="168"/>
        <v>12</v>
      </c>
      <c r="O3447" s="87"/>
    </row>
    <row r="3448" spans="1:15" ht="15.75" hidden="1" x14ac:dyDescent="0.25">
      <c r="A3448" s="1" t="str">
        <f t="shared" si="167"/>
        <v>452644526749MASTER CCFOODTALABAT</v>
      </c>
      <c r="B3448" s="154">
        <v>45264</v>
      </c>
      <c r="C3448" s="154">
        <v>45267</v>
      </c>
      <c r="D3448" s="3" t="s">
        <v>3847</v>
      </c>
      <c r="E3448" s="3">
        <v>-49</v>
      </c>
      <c r="F3448" s="3">
        <v>1</v>
      </c>
      <c r="G3448" s="3">
        <f t="shared" si="169"/>
        <v>49</v>
      </c>
      <c r="H3448" s="3" t="s">
        <v>291</v>
      </c>
      <c r="I3448" s="1" t="s">
        <v>10</v>
      </c>
      <c r="J3448" s="1" t="s">
        <v>865</v>
      </c>
      <c r="K3448" s="1" t="s">
        <v>298</v>
      </c>
      <c r="L3448" s="1" t="s">
        <v>267</v>
      </c>
      <c r="M3448" s="1"/>
      <c r="N3448" s="1">
        <f t="shared" si="168"/>
        <v>12</v>
      </c>
      <c r="O3448" s="87"/>
    </row>
    <row r="3449" spans="1:15" ht="15.75" hidden="1" x14ac:dyDescent="0.25">
      <c r="A3449" s="1" t="str">
        <f t="shared" si="167"/>
        <v>45265452655000CURRENTRENTBARWA</v>
      </c>
      <c r="B3449" s="154">
        <v>45265</v>
      </c>
      <c r="C3449" s="154">
        <v>45265</v>
      </c>
      <c r="D3449" s="3" t="s">
        <v>3701</v>
      </c>
      <c r="E3449" s="3">
        <v>-5000</v>
      </c>
      <c r="F3449" s="3">
        <v>1</v>
      </c>
      <c r="G3449" s="3">
        <f t="shared" si="169"/>
        <v>5000</v>
      </c>
      <c r="H3449" s="3" t="s">
        <v>293</v>
      </c>
      <c r="I3449" s="1" t="s">
        <v>83</v>
      </c>
      <c r="J3449" s="1" t="s">
        <v>3633</v>
      </c>
      <c r="K3449" s="1" t="s">
        <v>298</v>
      </c>
      <c r="L3449" s="1" t="s">
        <v>257</v>
      </c>
      <c r="M3449" s="1"/>
      <c r="N3449" s="1">
        <f t="shared" si="168"/>
        <v>12</v>
      </c>
      <c r="O3449" s="87"/>
    </row>
    <row r="3450" spans="1:15" ht="15.75" hidden="1" x14ac:dyDescent="0.25">
      <c r="A3450" s="1" t="str">
        <f t="shared" si="167"/>
        <v>4526545268213.9MASTER CCGROCERYINDIAN SUPER</v>
      </c>
      <c r="B3450" s="154">
        <v>45265</v>
      </c>
      <c r="C3450" s="154">
        <v>45268</v>
      </c>
      <c r="D3450" s="3" t="s">
        <v>3840</v>
      </c>
      <c r="E3450" s="3">
        <v>-213.9</v>
      </c>
      <c r="F3450" s="3">
        <v>1</v>
      </c>
      <c r="G3450" s="3">
        <f t="shared" si="169"/>
        <v>213.9</v>
      </c>
      <c r="H3450" s="3" t="s">
        <v>291</v>
      </c>
      <c r="I3450" s="1" t="s">
        <v>43</v>
      </c>
      <c r="J3450" s="1" t="s">
        <v>2273</v>
      </c>
      <c r="K3450" s="1" t="s">
        <v>298</v>
      </c>
      <c r="L3450" s="1" t="s">
        <v>267</v>
      </c>
      <c r="M3450" s="1"/>
      <c r="N3450" s="1">
        <f t="shared" si="168"/>
        <v>12</v>
      </c>
      <c r="O3450" s="87"/>
    </row>
    <row r="3451" spans="1:15" ht="15.75" hidden="1" x14ac:dyDescent="0.25">
      <c r="A3451" s="1" t="str">
        <f t="shared" si="167"/>
        <v>4526545268111MASTER CCFOODTALABAT</v>
      </c>
      <c r="B3451" s="154">
        <v>45265</v>
      </c>
      <c r="C3451" s="154">
        <v>45268</v>
      </c>
      <c r="D3451" s="3" t="s">
        <v>3841</v>
      </c>
      <c r="E3451" s="3">
        <v>-111</v>
      </c>
      <c r="F3451" s="3">
        <v>1</v>
      </c>
      <c r="G3451" s="3">
        <f t="shared" si="169"/>
        <v>111</v>
      </c>
      <c r="H3451" s="3" t="s">
        <v>291</v>
      </c>
      <c r="I3451" s="1" t="s">
        <v>10</v>
      </c>
      <c r="J3451" s="1" t="s">
        <v>865</v>
      </c>
      <c r="K3451" s="1" t="s">
        <v>298</v>
      </c>
      <c r="L3451" s="1" t="s">
        <v>267</v>
      </c>
      <c r="M3451" s="1"/>
      <c r="N3451" s="1">
        <f t="shared" si="168"/>
        <v>12</v>
      </c>
      <c r="O3451" s="87"/>
    </row>
    <row r="3452" spans="1:15" ht="15.75" hidden="1" x14ac:dyDescent="0.25">
      <c r="A3452" s="1" t="str">
        <f t="shared" si="167"/>
        <v>4526545267216MASTER CCSHOPPINGAPPAREL INTERNATIONAL</v>
      </c>
      <c r="B3452" s="154">
        <v>45265</v>
      </c>
      <c r="C3452" s="154">
        <v>45267</v>
      </c>
      <c r="D3452" s="3" t="s">
        <v>3842</v>
      </c>
      <c r="E3452" s="3">
        <v>-216</v>
      </c>
      <c r="F3452" s="3">
        <v>1</v>
      </c>
      <c r="G3452" s="3">
        <f t="shared" si="169"/>
        <v>216</v>
      </c>
      <c r="H3452" s="3" t="s">
        <v>291</v>
      </c>
      <c r="I3452" s="1" t="s">
        <v>194</v>
      </c>
      <c r="J3452" s="1" t="s">
        <v>4092</v>
      </c>
      <c r="K3452" s="1" t="s">
        <v>298</v>
      </c>
      <c r="L3452" s="1" t="s">
        <v>267</v>
      </c>
      <c r="M3452" s="1"/>
      <c r="N3452" s="1">
        <f t="shared" si="168"/>
        <v>12</v>
      </c>
      <c r="O3452" s="87"/>
    </row>
    <row r="3453" spans="1:15" ht="15.75" hidden="1" x14ac:dyDescent="0.25">
      <c r="A3453" s="1" t="str">
        <f t="shared" si="167"/>
        <v>452654526710MASTER CCTRANSPORTUBER</v>
      </c>
      <c r="B3453" s="154">
        <v>45265</v>
      </c>
      <c r="C3453" s="154">
        <v>45267</v>
      </c>
      <c r="D3453" s="3" t="s">
        <v>3843</v>
      </c>
      <c r="E3453" s="3">
        <v>-10</v>
      </c>
      <c r="F3453" s="3">
        <v>1</v>
      </c>
      <c r="G3453" s="3">
        <f t="shared" si="169"/>
        <v>10</v>
      </c>
      <c r="H3453" s="3" t="s">
        <v>291</v>
      </c>
      <c r="I3453" s="1" t="s">
        <v>296</v>
      </c>
      <c r="J3453" s="1" t="s">
        <v>299</v>
      </c>
      <c r="K3453" s="1" t="s">
        <v>298</v>
      </c>
      <c r="L3453" s="1" t="s">
        <v>267</v>
      </c>
      <c r="M3453" s="1"/>
      <c r="N3453" s="1">
        <f t="shared" si="168"/>
        <v>12</v>
      </c>
      <c r="O3453" s="87"/>
    </row>
    <row r="3454" spans="1:15" ht="15.75" hidden="1" x14ac:dyDescent="0.25">
      <c r="A3454" s="1" t="str">
        <f t="shared" si="167"/>
        <v>452654526726.83MASTER CCTRANSPORTUBER</v>
      </c>
      <c r="B3454" s="154">
        <v>45265</v>
      </c>
      <c r="C3454" s="154">
        <v>45267</v>
      </c>
      <c r="D3454" s="3" t="s">
        <v>3844</v>
      </c>
      <c r="E3454" s="3">
        <v>-26.83</v>
      </c>
      <c r="F3454" s="3">
        <v>1</v>
      </c>
      <c r="G3454" s="3">
        <f t="shared" si="169"/>
        <v>26.83</v>
      </c>
      <c r="H3454" s="3" t="s">
        <v>291</v>
      </c>
      <c r="I3454" s="1" t="s">
        <v>296</v>
      </c>
      <c r="J3454" s="1" t="s">
        <v>299</v>
      </c>
      <c r="K3454" s="1" t="s">
        <v>298</v>
      </c>
      <c r="L3454" s="1" t="s">
        <v>267</v>
      </c>
      <c r="M3454" s="1"/>
      <c r="N3454" s="1">
        <f t="shared" si="168"/>
        <v>12</v>
      </c>
      <c r="O3454" s="87"/>
    </row>
    <row r="3455" spans="1:15" ht="15.75" hidden="1" x14ac:dyDescent="0.25">
      <c r="A3455" s="1" t="str">
        <f t="shared" si="167"/>
        <v>452654526719.64MASTER CCTRANSPORTUBER</v>
      </c>
      <c r="B3455" s="154">
        <v>45265</v>
      </c>
      <c r="C3455" s="154">
        <v>45267</v>
      </c>
      <c r="D3455" s="3" t="s">
        <v>3845</v>
      </c>
      <c r="E3455" s="3">
        <v>-19.64</v>
      </c>
      <c r="F3455" s="3">
        <v>1</v>
      </c>
      <c r="G3455" s="3">
        <f t="shared" si="169"/>
        <v>19.64</v>
      </c>
      <c r="H3455" s="3" t="s">
        <v>291</v>
      </c>
      <c r="I3455" s="1" t="s">
        <v>296</v>
      </c>
      <c r="J3455" s="1" t="s">
        <v>299</v>
      </c>
      <c r="K3455" s="1" t="s">
        <v>298</v>
      </c>
      <c r="L3455" s="1" t="s">
        <v>267</v>
      </c>
      <c r="M3455" s="1"/>
      <c r="N3455" s="1">
        <f t="shared" si="168"/>
        <v>12</v>
      </c>
      <c r="O3455" s="87"/>
    </row>
    <row r="3456" spans="1:15" ht="15.75" hidden="1" x14ac:dyDescent="0.25">
      <c r="A3456" s="1" t="str">
        <f t="shared" si="167"/>
        <v>452654526746MASTER CCFOODQATAR AIR</v>
      </c>
      <c r="B3456" s="154">
        <v>45265</v>
      </c>
      <c r="C3456" s="154">
        <v>45267</v>
      </c>
      <c r="D3456" s="3" t="s">
        <v>3846</v>
      </c>
      <c r="E3456" s="3">
        <v>-46</v>
      </c>
      <c r="F3456" s="3">
        <v>1</v>
      </c>
      <c r="G3456" s="3">
        <f t="shared" si="169"/>
        <v>46</v>
      </c>
      <c r="H3456" s="3" t="s">
        <v>291</v>
      </c>
      <c r="I3456" s="1" t="s">
        <v>10</v>
      </c>
      <c r="J3456" s="1" t="s">
        <v>19</v>
      </c>
      <c r="K3456" s="1" t="s">
        <v>298</v>
      </c>
      <c r="L3456" s="1" t="s">
        <v>267</v>
      </c>
      <c r="M3456" s="1"/>
      <c r="N3456" s="1">
        <f t="shared" si="168"/>
        <v>12</v>
      </c>
      <c r="O3456" s="87"/>
    </row>
    <row r="3457" spans="1:15" ht="15.75" hidden="1" x14ac:dyDescent="0.25">
      <c r="A3457" s="1" t="str">
        <f t="shared" si="167"/>
        <v>452664526810MASTER CCTELECOMOOREDOO</v>
      </c>
      <c r="B3457" s="154">
        <v>45266</v>
      </c>
      <c r="C3457" s="154">
        <v>45268</v>
      </c>
      <c r="D3457" s="3" t="s">
        <v>3838</v>
      </c>
      <c r="E3457" s="3">
        <v>-10</v>
      </c>
      <c r="F3457" s="3">
        <v>1</v>
      </c>
      <c r="G3457" s="3">
        <f t="shared" si="169"/>
        <v>10</v>
      </c>
      <c r="H3457" s="3" t="s">
        <v>291</v>
      </c>
      <c r="I3457" s="1" t="s">
        <v>58</v>
      </c>
      <c r="J3457" s="1" t="s">
        <v>59</v>
      </c>
      <c r="K3457" s="1" t="s">
        <v>298</v>
      </c>
      <c r="L3457" s="1" t="s">
        <v>267</v>
      </c>
      <c r="M3457" s="1"/>
      <c r="N3457" s="1">
        <f t="shared" si="168"/>
        <v>12</v>
      </c>
      <c r="O3457" s="87"/>
    </row>
    <row r="3458" spans="1:15" ht="15.75" hidden="1" x14ac:dyDescent="0.25">
      <c r="A3458" s="1" t="str">
        <f t="shared" ref="A3458:A3521" si="170">B3458&amp;C3458&amp;G3458&amp;H3458&amp;I3458&amp;J3458</f>
        <v>452664526895MASTER CCTELECOMOOREDOO</v>
      </c>
      <c r="B3458" s="154">
        <v>45266</v>
      </c>
      <c r="C3458" s="154">
        <v>45268</v>
      </c>
      <c r="D3458" s="3" t="s">
        <v>3839</v>
      </c>
      <c r="E3458" s="3">
        <v>-95</v>
      </c>
      <c r="F3458" s="3">
        <v>1</v>
      </c>
      <c r="G3458" s="3">
        <f t="shared" si="169"/>
        <v>95</v>
      </c>
      <c r="H3458" s="3" t="s">
        <v>291</v>
      </c>
      <c r="I3458" s="1" t="s">
        <v>58</v>
      </c>
      <c r="J3458" s="1" t="s">
        <v>59</v>
      </c>
      <c r="K3458" s="1" t="s">
        <v>298</v>
      </c>
      <c r="L3458" s="1" t="s">
        <v>267</v>
      </c>
      <c r="M3458" s="1"/>
      <c r="N3458" s="1">
        <f t="shared" ref="N3458:N3521" si="171">MONTH(C3458)</f>
        <v>12</v>
      </c>
      <c r="O3458" s="87"/>
    </row>
    <row r="3459" spans="1:15" ht="15.75" hidden="1" x14ac:dyDescent="0.25">
      <c r="A3459" s="1" t="str">
        <f t="shared" si="170"/>
        <v>45267452675000CURRENTWITHDRAWSELF</v>
      </c>
      <c r="B3459" s="154">
        <v>45267</v>
      </c>
      <c r="C3459" s="154">
        <v>45267</v>
      </c>
      <c r="D3459" s="3" t="s">
        <v>3700</v>
      </c>
      <c r="E3459" s="3">
        <v>-5000</v>
      </c>
      <c r="F3459" s="3">
        <v>1</v>
      </c>
      <c r="G3459" s="3">
        <f t="shared" si="169"/>
        <v>5000</v>
      </c>
      <c r="H3459" s="3" t="s">
        <v>293</v>
      </c>
      <c r="I3459" s="1" t="s">
        <v>13</v>
      </c>
      <c r="J3459" s="1" t="s">
        <v>14</v>
      </c>
      <c r="K3459" s="1" t="s">
        <v>298</v>
      </c>
      <c r="L3459" s="1" t="s">
        <v>257</v>
      </c>
      <c r="M3459" s="1"/>
      <c r="N3459" s="1">
        <f t="shared" si="171"/>
        <v>12</v>
      </c>
      <c r="O3459" s="87"/>
    </row>
    <row r="3460" spans="1:15" ht="15.75" hidden="1" x14ac:dyDescent="0.25">
      <c r="A3460" s="1" t="str">
        <f t="shared" si="170"/>
        <v>4526745269100MASTER CCINSURANCEQIC</v>
      </c>
      <c r="B3460" s="154">
        <v>45267</v>
      </c>
      <c r="C3460" s="154">
        <v>45269</v>
      </c>
      <c r="D3460" s="3" t="s">
        <v>3837</v>
      </c>
      <c r="E3460" s="3">
        <v>-100</v>
      </c>
      <c r="F3460" s="3">
        <v>1</v>
      </c>
      <c r="G3460" s="3">
        <f t="shared" si="169"/>
        <v>100</v>
      </c>
      <c r="H3460" s="3" t="s">
        <v>291</v>
      </c>
      <c r="I3460" s="1" t="s">
        <v>4094</v>
      </c>
      <c r="J3460" s="1" t="s">
        <v>2899</v>
      </c>
      <c r="K3460" s="1" t="s">
        <v>298</v>
      </c>
      <c r="L3460" s="1" t="s">
        <v>267</v>
      </c>
      <c r="M3460" s="1"/>
      <c r="N3460" s="1">
        <f t="shared" si="171"/>
        <v>12</v>
      </c>
      <c r="O3460" s="87"/>
    </row>
    <row r="3461" spans="1:15" ht="15.75" hidden="1" x14ac:dyDescent="0.25">
      <c r="A3461" s="1" t="str">
        <f t="shared" si="170"/>
        <v>452684527136MASTER CCFOODCAFÉ/REST.</v>
      </c>
      <c r="B3461" s="154">
        <v>45268</v>
      </c>
      <c r="C3461" s="154">
        <v>45271</v>
      </c>
      <c r="D3461" s="3" t="s">
        <v>3833</v>
      </c>
      <c r="E3461" s="3">
        <v>-36</v>
      </c>
      <c r="F3461" s="3">
        <v>1</v>
      </c>
      <c r="G3461" s="3">
        <f t="shared" si="169"/>
        <v>36</v>
      </c>
      <c r="H3461" s="3" t="s">
        <v>291</v>
      </c>
      <c r="I3461" s="1" t="s">
        <v>10</v>
      </c>
      <c r="J3461" s="1" t="s">
        <v>11</v>
      </c>
      <c r="K3461" s="1" t="s">
        <v>298</v>
      </c>
      <c r="L3461" s="1" t="s">
        <v>267</v>
      </c>
      <c r="M3461" s="1"/>
      <c r="N3461" s="1">
        <f t="shared" si="171"/>
        <v>12</v>
      </c>
      <c r="O3461" s="87"/>
    </row>
    <row r="3462" spans="1:15" ht="15.75" hidden="1" x14ac:dyDescent="0.25">
      <c r="A3462" s="1" t="str">
        <f t="shared" si="170"/>
        <v>452684527155MASTER CCSHOPPINGVIRGIN</v>
      </c>
      <c r="B3462" s="154">
        <v>45268</v>
      </c>
      <c r="C3462" s="154">
        <v>45271</v>
      </c>
      <c r="D3462" s="3" t="s">
        <v>3834</v>
      </c>
      <c r="E3462" s="3">
        <v>-55</v>
      </c>
      <c r="F3462" s="3">
        <v>1</v>
      </c>
      <c r="G3462" s="3">
        <f t="shared" si="169"/>
        <v>55</v>
      </c>
      <c r="H3462" s="3" t="s">
        <v>291</v>
      </c>
      <c r="I3462" s="1" t="s">
        <v>194</v>
      </c>
      <c r="J3462" s="1" t="s">
        <v>4104</v>
      </c>
      <c r="K3462" s="1" t="s">
        <v>298</v>
      </c>
      <c r="L3462" s="1" t="s">
        <v>267</v>
      </c>
      <c r="M3462" s="1"/>
      <c r="N3462" s="1">
        <f t="shared" si="171"/>
        <v>12</v>
      </c>
      <c r="O3462" s="87"/>
    </row>
    <row r="3463" spans="1:15" ht="15.75" hidden="1" x14ac:dyDescent="0.25">
      <c r="A3463" s="1" t="str">
        <f t="shared" si="170"/>
        <v>452684527115MASTER CCMEDICALHAMAD</v>
      </c>
      <c r="B3463" s="154">
        <v>45268</v>
      </c>
      <c r="C3463" s="154">
        <v>45271</v>
      </c>
      <c r="D3463" s="3" t="s">
        <v>3835</v>
      </c>
      <c r="E3463" s="3">
        <v>-15</v>
      </c>
      <c r="F3463" s="3">
        <v>1</v>
      </c>
      <c r="G3463" s="3">
        <f t="shared" si="169"/>
        <v>15</v>
      </c>
      <c r="H3463" s="3" t="s">
        <v>291</v>
      </c>
      <c r="I3463" s="1" t="s">
        <v>301</v>
      </c>
      <c r="J3463" s="1" t="s">
        <v>4083</v>
      </c>
      <c r="K3463" s="1" t="s">
        <v>298</v>
      </c>
      <c r="L3463" s="1" t="s">
        <v>267</v>
      </c>
      <c r="M3463" s="1"/>
      <c r="N3463" s="1">
        <f t="shared" si="171"/>
        <v>12</v>
      </c>
      <c r="O3463" s="87"/>
    </row>
    <row r="3464" spans="1:15" ht="15.75" hidden="1" x14ac:dyDescent="0.25">
      <c r="A3464" s="1" t="str">
        <f t="shared" si="170"/>
        <v>452684526910MASTER CCFOODCAFÉ/REST.</v>
      </c>
      <c r="B3464" s="154">
        <v>45268</v>
      </c>
      <c r="C3464" s="154">
        <v>45269</v>
      </c>
      <c r="D3464" s="3" t="s">
        <v>3836</v>
      </c>
      <c r="E3464" s="3">
        <v>-10</v>
      </c>
      <c r="F3464" s="3">
        <v>1</v>
      </c>
      <c r="G3464" s="3">
        <f t="shared" si="169"/>
        <v>10</v>
      </c>
      <c r="H3464" s="3" t="s">
        <v>291</v>
      </c>
      <c r="I3464" s="1" t="s">
        <v>10</v>
      </c>
      <c r="J3464" s="1" t="s">
        <v>11</v>
      </c>
      <c r="K3464" s="1" t="s">
        <v>298</v>
      </c>
      <c r="L3464" s="1" t="s">
        <v>267</v>
      </c>
      <c r="M3464" s="1"/>
      <c r="N3464" s="1">
        <f t="shared" si="171"/>
        <v>12</v>
      </c>
      <c r="O3464" s="87"/>
    </row>
    <row r="3465" spans="1:15" ht="15.75" hidden="1" x14ac:dyDescent="0.25">
      <c r="A3465" s="1" t="str">
        <f t="shared" si="170"/>
        <v>452684526910DINERSFOODCAFÉ/REST.</v>
      </c>
      <c r="B3465" s="154">
        <v>45268</v>
      </c>
      <c r="C3465" s="154">
        <v>45269</v>
      </c>
      <c r="D3465" s="3" t="s">
        <v>4081</v>
      </c>
      <c r="E3465" s="3">
        <v>-10</v>
      </c>
      <c r="F3465" s="3">
        <v>1</v>
      </c>
      <c r="G3465" s="3">
        <f t="shared" si="169"/>
        <v>10</v>
      </c>
      <c r="H3465" s="3" t="s">
        <v>266</v>
      </c>
      <c r="I3465" s="1" t="s">
        <v>10</v>
      </c>
      <c r="J3465" s="1" t="s">
        <v>11</v>
      </c>
      <c r="K3465" s="1" t="s">
        <v>298</v>
      </c>
      <c r="L3465" s="1" t="s">
        <v>267</v>
      </c>
      <c r="M3465" s="1"/>
      <c r="N3465" s="1">
        <f t="shared" si="171"/>
        <v>12</v>
      </c>
      <c r="O3465" s="87"/>
    </row>
    <row r="3466" spans="1:15" ht="15.75" hidden="1" x14ac:dyDescent="0.25">
      <c r="A3466" s="1" t="str">
        <f t="shared" si="170"/>
        <v>4526945272384.06MASTER CCGROCERYLULU</v>
      </c>
      <c r="B3466" s="154">
        <v>45269</v>
      </c>
      <c r="C3466" s="154">
        <v>45272</v>
      </c>
      <c r="D3466" s="3" t="s">
        <v>3830</v>
      </c>
      <c r="E3466" s="3">
        <v>-384.06</v>
      </c>
      <c r="F3466" s="3">
        <v>1</v>
      </c>
      <c r="G3466" s="3">
        <f t="shared" si="169"/>
        <v>384.06</v>
      </c>
      <c r="H3466" s="3" t="s">
        <v>291</v>
      </c>
      <c r="I3466" s="1" t="s">
        <v>43</v>
      </c>
      <c r="J3466" s="1" t="s">
        <v>44</v>
      </c>
      <c r="K3466" s="1" t="s">
        <v>298</v>
      </c>
      <c r="L3466" s="1" t="s">
        <v>267</v>
      </c>
      <c r="M3466" s="1"/>
      <c r="N3466" s="1">
        <f t="shared" si="171"/>
        <v>12</v>
      </c>
      <c r="O3466" s="87"/>
    </row>
    <row r="3467" spans="1:15" ht="15.75" hidden="1" x14ac:dyDescent="0.25">
      <c r="A3467" s="1" t="str">
        <f t="shared" si="170"/>
        <v>452694527226MASTER CCGROCERYMANGO</v>
      </c>
      <c r="B3467" s="154">
        <v>45269</v>
      </c>
      <c r="C3467" s="154">
        <v>45272</v>
      </c>
      <c r="D3467" s="3" t="s">
        <v>3831</v>
      </c>
      <c r="E3467" s="3">
        <v>-26</v>
      </c>
      <c r="F3467" s="3">
        <v>1</v>
      </c>
      <c r="G3467" s="3">
        <f t="shared" ref="G3467:G3530" si="172">ABS(E3467)*F3467</f>
        <v>26</v>
      </c>
      <c r="H3467" s="3" t="s">
        <v>291</v>
      </c>
      <c r="I3467" s="1" t="s">
        <v>43</v>
      </c>
      <c r="J3467" s="1" t="s">
        <v>3634</v>
      </c>
      <c r="K3467" s="1" t="s">
        <v>298</v>
      </c>
      <c r="L3467" s="1" t="s">
        <v>267</v>
      </c>
      <c r="M3467" s="1"/>
      <c r="N3467" s="1">
        <f t="shared" si="171"/>
        <v>12</v>
      </c>
      <c r="O3467" s="87"/>
    </row>
    <row r="3468" spans="1:15" ht="15.75" hidden="1" x14ac:dyDescent="0.25">
      <c r="A3468" s="1" t="str">
        <f t="shared" si="170"/>
        <v>452694527180MASTER CCFOODCAFÉ/REST.</v>
      </c>
      <c r="B3468" s="154">
        <v>45269</v>
      </c>
      <c r="C3468" s="154">
        <v>45271</v>
      </c>
      <c r="D3468" s="3" t="s">
        <v>3832</v>
      </c>
      <c r="E3468" s="3">
        <v>-80</v>
      </c>
      <c r="F3468" s="3">
        <v>1</v>
      </c>
      <c r="G3468" s="3">
        <f t="shared" si="172"/>
        <v>80</v>
      </c>
      <c r="H3468" s="3" t="s">
        <v>291</v>
      </c>
      <c r="I3468" s="1" t="s">
        <v>10</v>
      </c>
      <c r="J3468" s="1" t="s">
        <v>11</v>
      </c>
      <c r="K3468" s="1" t="s">
        <v>298</v>
      </c>
      <c r="L3468" s="1" t="s">
        <v>267</v>
      </c>
      <c r="M3468" s="1"/>
      <c r="N3468" s="1">
        <f t="shared" si="171"/>
        <v>12</v>
      </c>
      <c r="O3468" s="87"/>
    </row>
    <row r="3469" spans="1:15" ht="15.75" hidden="1" x14ac:dyDescent="0.25">
      <c r="A3469" s="1" t="str">
        <f t="shared" si="170"/>
        <v>4527045270300CURRENTMEDICALHAMAD</v>
      </c>
      <c r="B3469" s="154">
        <v>45270</v>
      </c>
      <c r="C3469" s="154">
        <v>45270</v>
      </c>
      <c r="D3469" s="3" t="s">
        <v>3699</v>
      </c>
      <c r="E3469" s="3">
        <v>-300</v>
      </c>
      <c r="F3469" s="3">
        <v>1</v>
      </c>
      <c r="G3469" s="3">
        <f t="shared" si="172"/>
        <v>300</v>
      </c>
      <c r="H3469" s="3" t="s">
        <v>293</v>
      </c>
      <c r="I3469" s="1" t="s">
        <v>301</v>
      </c>
      <c r="J3469" s="1" t="s">
        <v>4083</v>
      </c>
      <c r="K3469" s="1" t="s">
        <v>298</v>
      </c>
      <c r="L3469" s="1" t="s">
        <v>257</v>
      </c>
      <c r="M3469" s="1"/>
      <c r="N3469" s="1">
        <f t="shared" si="171"/>
        <v>12</v>
      </c>
      <c r="O3469" s="87"/>
    </row>
    <row r="3470" spans="1:15" ht="15.75" hidden="1" x14ac:dyDescent="0.25">
      <c r="A3470" s="1" t="str">
        <f t="shared" si="170"/>
        <v>452704527328.49MASTER CCTRANSPORTUBER</v>
      </c>
      <c r="B3470" s="154">
        <v>45270</v>
      </c>
      <c r="C3470" s="154">
        <v>45273</v>
      </c>
      <c r="D3470" s="3" t="s">
        <v>3828</v>
      </c>
      <c r="E3470" s="3">
        <v>-28.49</v>
      </c>
      <c r="F3470" s="3">
        <v>1</v>
      </c>
      <c r="G3470" s="3">
        <f t="shared" si="172"/>
        <v>28.49</v>
      </c>
      <c r="H3470" s="3" t="s">
        <v>291</v>
      </c>
      <c r="I3470" s="1" t="s">
        <v>296</v>
      </c>
      <c r="J3470" s="1" t="s">
        <v>299</v>
      </c>
      <c r="K3470" s="1" t="s">
        <v>298</v>
      </c>
      <c r="L3470" s="1" t="s">
        <v>267</v>
      </c>
      <c r="M3470" s="1"/>
      <c r="N3470" s="1">
        <f t="shared" si="171"/>
        <v>12</v>
      </c>
      <c r="O3470" s="87"/>
    </row>
    <row r="3471" spans="1:15" ht="15.75" hidden="1" x14ac:dyDescent="0.25">
      <c r="A3471" s="1" t="str">
        <f t="shared" si="170"/>
        <v>452704527226MASTER CCTRANSPORTUBER</v>
      </c>
      <c r="B3471" s="154">
        <v>45270</v>
      </c>
      <c r="C3471" s="154">
        <v>45272</v>
      </c>
      <c r="D3471" s="3" t="s">
        <v>3829</v>
      </c>
      <c r="E3471" s="3">
        <v>-26</v>
      </c>
      <c r="F3471" s="3">
        <v>1</v>
      </c>
      <c r="G3471" s="3">
        <f t="shared" si="172"/>
        <v>26</v>
      </c>
      <c r="H3471" s="3" t="s">
        <v>291</v>
      </c>
      <c r="I3471" s="1" t="s">
        <v>296</v>
      </c>
      <c r="J3471" s="1" t="s">
        <v>299</v>
      </c>
      <c r="K3471" s="1" t="s">
        <v>298</v>
      </c>
      <c r="L3471" s="1" t="s">
        <v>267</v>
      </c>
      <c r="M3471" s="1"/>
      <c r="N3471" s="1">
        <f t="shared" si="171"/>
        <v>12</v>
      </c>
      <c r="O3471" s="87"/>
    </row>
    <row r="3472" spans="1:15" ht="15.75" hidden="1" x14ac:dyDescent="0.25">
      <c r="A3472" s="1" t="str">
        <f t="shared" si="170"/>
        <v>452734527625.11MASTER CCTRANSPORTUBER</v>
      </c>
      <c r="B3472" s="154">
        <v>45273</v>
      </c>
      <c r="C3472" s="154">
        <v>45276</v>
      </c>
      <c r="D3472" s="3" t="s">
        <v>3824</v>
      </c>
      <c r="E3472" s="3">
        <v>-25.11</v>
      </c>
      <c r="F3472" s="3">
        <v>1</v>
      </c>
      <c r="G3472" s="3">
        <f t="shared" si="172"/>
        <v>25.11</v>
      </c>
      <c r="H3472" s="3" t="s">
        <v>291</v>
      </c>
      <c r="I3472" s="1" t="s">
        <v>296</v>
      </c>
      <c r="J3472" s="1" t="s">
        <v>299</v>
      </c>
      <c r="K3472" s="1" t="s">
        <v>298</v>
      </c>
      <c r="L3472" s="1" t="s">
        <v>267</v>
      </c>
      <c r="M3472" s="1"/>
      <c r="N3472" s="1">
        <f t="shared" si="171"/>
        <v>12</v>
      </c>
      <c r="O3472" s="87"/>
    </row>
    <row r="3473" spans="1:15" ht="15.75" hidden="1" x14ac:dyDescent="0.25">
      <c r="A3473" s="1" t="str">
        <f t="shared" si="170"/>
        <v>452734527516.55MASTER CCTRANSPORTUBER</v>
      </c>
      <c r="B3473" s="154">
        <v>45273</v>
      </c>
      <c r="C3473" s="154">
        <v>45275</v>
      </c>
      <c r="D3473" s="3" t="s">
        <v>3825</v>
      </c>
      <c r="E3473" s="3">
        <v>-16.55</v>
      </c>
      <c r="F3473" s="3">
        <v>1</v>
      </c>
      <c r="G3473" s="3">
        <f t="shared" si="172"/>
        <v>16.55</v>
      </c>
      <c r="H3473" s="3" t="s">
        <v>291</v>
      </c>
      <c r="I3473" s="1" t="s">
        <v>296</v>
      </c>
      <c r="J3473" s="1" t="s">
        <v>299</v>
      </c>
      <c r="K3473" s="1" t="s">
        <v>298</v>
      </c>
      <c r="L3473" s="1" t="s">
        <v>267</v>
      </c>
      <c r="M3473" s="1"/>
      <c r="N3473" s="1">
        <f t="shared" si="171"/>
        <v>12</v>
      </c>
      <c r="O3473" s="87"/>
    </row>
    <row r="3474" spans="1:15" ht="15.75" hidden="1" x14ac:dyDescent="0.25">
      <c r="A3474" s="1" t="str">
        <f t="shared" si="170"/>
        <v>452734527526.67MASTER CCTRANSPORTUBER</v>
      </c>
      <c r="B3474" s="154">
        <v>45273</v>
      </c>
      <c r="C3474" s="154">
        <v>45275</v>
      </c>
      <c r="D3474" s="3" t="s">
        <v>3826</v>
      </c>
      <c r="E3474" s="3">
        <v>-26.67</v>
      </c>
      <c r="F3474" s="3">
        <v>1</v>
      </c>
      <c r="G3474" s="3">
        <f t="shared" si="172"/>
        <v>26.67</v>
      </c>
      <c r="H3474" s="3" t="s">
        <v>291</v>
      </c>
      <c r="I3474" s="1" t="s">
        <v>296</v>
      </c>
      <c r="J3474" s="1" t="s">
        <v>299</v>
      </c>
      <c r="K3474" s="1" t="s">
        <v>298</v>
      </c>
      <c r="L3474" s="1" t="s">
        <v>267</v>
      </c>
      <c r="M3474" s="1"/>
      <c r="N3474" s="1">
        <f t="shared" si="171"/>
        <v>12</v>
      </c>
      <c r="O3474" s="87"/>
    </row>
    <row r="3475" spans="1:15" ht="15.75" hidden="1" x14ac:dyDescent="0.25">
      <c r="A3475" s="1" t="str">
        <f t="shared" si="170"/>
        <v>452734527514.47MASTER CCTRANSPORTUBER</v>
      </c>
      <c r="B3475" s="154">
        <v>45273</v>
      </c>
      <c r="C3475" s="154">
        <v>45275</v>
      </c>
      <c r="D3475" s="3" t="s">
        <v>3827</v>
      </c>
      <c r="E3475" s="3">
        <v>-14.47</v>
      </c>
      <c r="F3475" s="3">
        <v>1</v>
      </c>
      <c r="G3475" s="3">
        <f t="shared" si="172"/>
        <v>14.47</v>
      </c>
      <c r="H3475" s="3" t="s">
        <v>291</v>
      </c>
      <c r="I3475" s="1" t="s">
        <v>296</v>
      </c>
      <c r="J3475" s="1" t="s">
        <v>299</v>
      </c>
      <c r="K3475" s="1" t="s">
        <v>298</v>
      </c>
      <c r="L3475" s="1" t="s">
        <v>267</v>
      </c>
      <c r="M3475" s="1"/>
      <c r="N3475" s="1">
        <f t="shared" si="171"/>
        <v>12</v>
      </c>
      <c r="O3475" s="87"/>
    </row>
    <row r="3476" spans="1:15" ht="15.75" hidden="1" x14ac:dyDescent="0.25">
      <c r="A3476" s="1" t="str">
        <f t="shared" si="170"/>
        <v>452744527630.93MASTER CCTRANSPORTUBER</v>
      </c>
      <c r="B3476" s="154">
        <v>45274</v>
      </c>
      <c r="C3476" s="154">
        <v>45276</v>
      </c>
      <c r="D3476" s="3" t="s">
        <v>3823</v>
      </c>
      <c r="E3476" s="3">
        <v>-30.93</v>
      </c>
      <c r="F3476" s="3">
        <v>1</v>
      </c>
      <c r="G3476" s="3">
        <f t="shared" si="172"/>
        <v>30.93</v>
      </c>
      <c r="H3476" s="3" t="s">
        <v>291</v>
      </c>
      <c r="I3476" s="1" t="s">
        <v>296</v>
      </c>
      <c r="J3476" s="1" t="s">
        <v>299</v>
      </c>
      <c r="K3476" s="1" t="s">
        <v>298</v>
      </c>
      <c r="L3476" s="1" t="s">
        <v>267</v>
      </c>
      <c r="M3476" s="1"/>
      <c r="N3476" s="1">
        <f t="shared" si="171"/>
        <v>12</v>
      </c>
      <c r="O3476" s="87"/>
    </row>
    <row r="3477" spans="1:15" ht="15.75" hidden="1" x14ac:dyDescent="0.25">
      <c r="A3477" s="1" t="str">
        <f t="shared" si="170"/>
        <v>452754527931.04MASTER CCTRANSPORTUBER</v>
      </c>
      <c r="B3477" s="154">
        <v>45275</v>
      </c>
      <c r="C3477" s="154">
        <v>45279</v>
      </c>
      <c r="D3477" s="3" t="s">
        <v>3818</v>
      </c>
      <c r="E3477" s="3">
        <v>-31.04</v>
      </c>
      <c r="F3477" s="3">
        <v>1</v>
      </c>
      <c r="G3477" s="3">
        <f t="shared" si="172"/>
        <v>31.04</v>
      </c>
      <c r="H3477" s="3" t="s">
        <v>291</v>
      </c>
      <c r="I3477" s="1" t="s">
        <v>296</v>
      </c>
      <c r="J3477" s="1" t="s">
        <v>299</v>
      </c>
      <c r="K3477" s="1" t="s">
        <v>298</v>
      </c>
      <c r="L3477" s="1" t="s">
        <v>267</v>
      </c>
      <c r="M3477" s="1"/>
      <c r="N3477" s="1">
        <f t="shared" si="171"/>
        <v>12</v>
      </c>
      <c r="O3477" s="87"/>
    </row>
    <row r="3478" spans="1:15" ht="15.75" hidden="1" x14ac:dyDescent="0.25">
      <c r="A3478" s="1" t="str">
        <f t="shared" si="170"/>
        <v>452754527852.7MASTER CCGROCERYMANGO</v>
      </c>
      <c r="B3478" s="154">
        <v>45275</v>
      </c>
      <c r="C3478" s="154">
        <v>45278</v>
      </c>
      <c r="D3478" s="3" t="s">
        <v>3819</v>
      </c>
      <c r="E3478" s="3">
        <v>-52.7</v>
      </c>
      <c r="F3478" s="3">
        <v>1</v>
      </c>
      <c r="G3478" s="3">
        <f t="shared" si="172"/>
        <v>52.7</v>
      </c>
      <c r="H3478" s="3" t="s">
        <v>291</v>
      </c>
      <c r="I3478" s="1" t="s">
        <v>43</v>
      </c>
      <c r="J3478" s="1" t="s">
        <v>3634</v>
      </c>
      <c r="K3478" s="1" t="s">
        <v>298</v>
      </c>
      <c r="L3478" s="1" t="s">
        <v>267</v>
      </c>
      <c r="M3478" s="1"/>
      <c r="N3478" s="1">
        <f t="shared" si="171"/>
        <v>12</v>
      </c>
      <c r="O3478" s="87"/>
    </row>
    <row r="3479" spans="1:15" ht="15.75" hidden="1" x14ac:dyDescent="0.25">
      <c r="A3479" s="1" t="str">
        <f t="shared" si="170"/>
        <v>452754527731.56MASTER CCTRANSPORTUBER</v>
      </c>
      <c r="B3479" s="154">
        <v>45275</v>
      </c>
      <c r="C3479" s="154">
        <v>45277</v>
      </c>
      <c r="D3479" s="3" t="s">
        <v>3820</v>
      </c>
      <c r="E3479" s="3">
        <v>-31.56</v>
      </c>
      <c r="F3479" s="3">
        <v>1</v>
      </c>
      <c r="G3479" s="3">
        <f t="shared" si="172"/>
        <v>31.56</v>
      </c>
      <c r="H3479" s="3" t="s">
        <v>291</v>
      </c>
      <c r="I3479" s="1" t="s">
        <v>296</v>
      </c>
      <c r="J3479" s="1" t="s">
        <v>299</v>
      </c>
      <c r="K3479" s="1" t="s">
        <v>298</v>
      </c>
      <c r="L3479" s="1" t="s">
        <v>267</v>
      </c>
      <c r="M3479" s="1"/>
      <c r="N3479" s="1">
        <f t="shared" si="171"/>
        <v>12</v>
      </c>
      <c r="O3479" s="87"/>
    </row>
    <row r="3480" spans="1:15" ht="15.75" hidden="1" x14ac:dyDescent="0.25">
      <c r="A3480" s="1" t="str">
        <f t="shared" si="170"/>
        <v>452754527722.13MASTER CCTRANSPORTUBER</v>
      </c>
      <c r="B3480" s="154">
        <v>45275</v>
      </c>
      <c r="C3480" s="154">
        <v>45277</v>
      </c>
      <c r="D3480" s="3" t="s">
        <v>3821</v>
      </c>
      <c r="E3480" s="3">
        <v>-22.13</v>
      </c>
      <c r="F3480" s="3">
        <v>1</v>
      </c>
      <c r="G3480" s="3">
        <f t="shared" si="172"/>
        <v>22.13</v>
      </c>
      <c r="H3480" s="3" t="s">
        <v>291</v>
      </c>
      <c r="I3480" s="1" t="s">
        <v>296</v>
      </c>
      <c r="J3480" s="1" t="s">
        <v>299</v>
      </c>
      <c r="K3480" s="1" t="s">
        <v>298</v>
      </c>
      <c r="L3480" s="1" t="s">
        <v>267</v>
      </c>
      <c r="M3480" s="1"/>
      <c r="N3480" s="1">
        <f t="shared" si="171"/>
        <v>12</v>
      </c>
      <c r="O3480" s="87"/>
    </row>
    <row r="3481" spans="1:15" ht="15.75" hidden="1" x14ac:dyDescent="0.25">
      <c r="A3481" s="1" t="str">
        <f t="shared" si="170"/>
        <v>452754527628.56MASTER CCTRANSPORTUBER</v>
      </c>
      <c r="B3481" s="154">
        <v>45275</v>
      </c>
      <c r="C3481" s="154">
        <v>45276</v>
      </c>
      <c r="D3481" s="3" t="s">
        <v>3822</v>
      </c>
      <c r="E3481" s="3">
        <v>-28.56</v>
      </c>
      <c r="F3481" s="3">
        <v>1</v>
      </c>
      <c r="G3481" s="3">
        <f t="shared" si="172"/>
        <v>28.56</v>
      </c>
      <c r="H3481" s="3" t="s">
        <v>291</v>
      </c>
      <c r="I3481" s="1" t="s">
        <v>296</v>
      </c>
      <c r="J3481" s="1" t="s">
        <v>299</v>
      </c>
      <c r="K3481" s="1" t="s">
        <v>298</v>
      </c>
      <c r="L3481" s="1" t="s">
        <v>267</v>
      </c>
      <c r="M3481" s="1"/>
      <c r="N3481" s="1">
        <f t="shared" si="171"/>
        <v>12</v>
      </c>
      <c r="O3481" s="87"/>
    </row>
    <row r="3482" spans="1:15" ht="15.75" hidden="1" x14ac:dyDescent="0.25">
      <c r="A3482" s="1" t="str">
        <f t="shared" si="170"/>
        <v>452764527931.66MASTER CCTRANSPORTUBER</v>
      </c>
      <c r="B3482" s="154">
        <v>45276</v>
      </c>
      <c r="C3482" s="154">
        <v>45279</v>
      </c>
      <c r="D3482" s="3" t="s">
        <v>3813</v>
      </c>
      <c r="E3482" s="3">
        <v>-31.66</v>
      </c>
      <c r="F3482" s="3">
        <v>1</v>
      </c>
      <c r="G3482" s="3">
        <f t="shared" si="172"/>
        <v>31.66</v>
      </c>
      <c r="H3482" s="3" t="s">
        <v>291</v>
      </c>
      <c r="I3482" s="1" t="s">
        <v>296</v>
      </c>
      <c r="J3482" s="1" t="s">
        <v>299</v>
      </c>
      <c r="K3482" s="1" t="s">
        <v>298</v>
      </c>
      <c r="L3482" s="1" t="s">
        <v>267</v>
      </c>
      <c r="M3482" s="1"/>
      <c r="N3482" s="1">
        <f t="shared" si="171"/>
        <v>12</v>
      </c>
      <c r="O3482" s="87"/>
    </row>
    <row r="3483" spans="1:15" ht="15.75" hidden="1" x14ac:dyDescent="0.25">
      <c r="A3483" s="1" t="str">
        <f t="shared" si="170"/>
        <v>452764527931.68MASTER CCTRANSPORTUBER</v>
      </c>
      <c r="B3483" s="154">
        <v>45276</v>
      </c>
      <c r="C3483" s="154">
        <v>45279</v>
      </c>
      <c r="D3483" s="3" t="s">
        <v>3814</v>
      </c>
      <c r="E3483" s="3">
        <v>-31.68</v>
      </c>
      <c r="F3483" s="3">
        <v>1</v>
      </c>
      <c r="G3483" s="3">
        <f t="shared" si="172"/>
        <v>31.68</v>
      </c>
      <c r="H3483" s="3" t="s">
        <v>291</v>
      </c>
      <c r="I3483" s="1" t="s">
        <v>296</v>
      </c>
      <c r="J3483" s="1" t="s">
        <v>299</v>
      </c>
      <c r="K3483" s="1" t="s">
        <v>298</v>
      </c>
      <c r="L3483" s="1" t="s">
        <v>267</v>
      </c>
      <c r="M3483" s="1"/>
      <c r="N3483" s="1">
        <f t="shared" si="171"/>
        <v>12</v>
      </c>
      <c r="O3483" s="87"/>
    </row>
    <row r="3484" spans="1:15" ht="15.75" hidden="1" x14ac:dyDescent="0.25">
      <c r="A3484" s="1" t="str">
        <f t="shared" si="170"/>
        <v>452764527928.81MASTER CCTRANSPORTUBER</v>
      </c>
      <c r="B3484" s="154">
        <v>45276</v>
      </c>
      <c r="C3484" s="154">
        <v>45279</v>
      </c>
      <c r="D3484" s="3" t="s">
        <v>3815</v>
      </c>
      <c r="E3484" s="3">
        <v>-28.81</v>
      </c>
      <c r="F3484" s="3">
        <v>1</v>
      </c>
      <c r="G3484" s="3">
        <f t="shared" si="172"/>
        <v>28.81</v>
      </c>
      <c r="H3484" s="3" t="s">
        <v>291</v>
      </c>
      <c r="I3484" s="1" t="s">
        <v>296</v>
      </c>
      <c r="J3484" s="1" t="s">
        <v>299</v>
      </c>
      <c r="K3484" s="1" t="s">
        <v>298</v>
      </c>
      <c r="L3484" s="1" t="s">
        <v>267</v>
      </c>
      <c r="M3484" s="1"/>
      <c r="N3484" s="1">
        <f t="shared" si="171"/>
        <v>12</v>
      </c>
      <c r="O3484" s="87"/>
    </row>
    <row r="3485" spans="1:15" ht="15.75" hidden="1" x14ac:dyDescent="0.25">
      <c r="A3485" s="1" t="str">
        <f t="shared" si="170"/>
        <v>452764527730.12MASTER CCTRANSPORTUBER</v>
      </c>
      <c r="B3485" s="154">
        <v>45276</v>
      </c>
      <c r="C3485" s="154">
        <v>45277</v>
      </c>
      <c r="D3485" s="3" t="s">
        <v>3816</v>
      </c>
      <c r="E3485" s="3">
        <v>-30.12</v>
      </c>
      <c r="F3485" s="3">
        <v>1</v>
      </c>
      <c r="G3485" s="3">
        <f t="shared" si="172"/>
        <v>30.12</v>
      </c>
      <c r="H3485" s="3" t="s">
        <v>291</v>
      </c>
      <c r="I3485" s="1" t="s">
        <v>296</v>
      </c>
      <c r="J3485" s="1" t="s">
        <v>299</v>
      </c>
      <c r="K3485" s="1" t="s">
        <v>298</v>
      </c>
      <c r="L3485" s="1" t="s">
        <v>267</v>
      </c>
      <c r="M3485" s="1"/>
      <c r="N3485" s="1">
        <f t="shared" si="171"/>
        <v>12</v>
      </c>
      <c r="O3485" s="87"/>
    </row>
    <row r="3486" spans="1:15" ht="15.75" hidden="1" x14ac:dyDescent="0.25">
      <c r="A3486" s="1" t="str">
        <f t="shared" si="170"/>
        <v>452764527727.54MASTER CCTRANSPORTUBER</v>
      </c>
      <c r="B3486" s="154">
        <v>45276</v>
      </c>
      <c r="C3486" s="154">
        <v>45277</v>
      </c>
      <c r="D3486" s="3" t="s">
        <v>3817</v>
      </c>
      <c r="E3486" s="3">
        <v>-27.54</v>
      </c>
      <c r="F3486" s="3">
        <v>1</v>
      </c>
      <c r="G3486" s="3">
        <f t="shared" si="172"/>
        <v>27.54</v>
      </c>
      <c r="H3486" s="3" t="s">
        <v>291</v>
      </c>
      <c r="I3486" s="1" t="s">
        <v>296</v>
      </c>
      <c r="J3486" s="1" t="s">
        <v>299</v>
      </c>
      <c r="K3486" s="1" t="s">
        <v>298</v>
      </c>
      <c r="L3486" s="1" t="s">
        <v>267</v>
      </c>
      <c r="M3486" s="1"/>
      <c r="N3486" s="1">
        <f t="shared" si="171"/>
        <v>12</v>
      </c>
      <c r="O3486" s="87"/>
    </row>
    <row r="3487" spans="1:15" ht="15.75" hidden="1" x14ac:dyDescent="0.25">
      <c r="A3487" s="1" t="str">
        <f t="shared" si="170"/>
        <v>45277452770.27MASTER CCTRANSPORTUBER</v>
      </c>
      <c r="B3487" s="154">
        <v>45277</v>
      </c>
      <c r="C3487" s="154">
        <f>B3487</f>
        <v>45277</v>
      </c>
      <c r="D3487" s="3" t="s">
        <v>3808</v>
      </c>
      <c r="E3487" s="3">
        <v>-0.27</v>
      </c>
      <c r="F3487" s="3">
        <v>1</v>
      </c>
      <c r="G3487" s="3">
        <f t="shared" si="172"/>
        <v>0.27</v>
      </c>
      <c r="H3487" s="3" t="s">
        <v>291</v>
      </c>
      <c r="I3487" s="1" t="s">
        <v>296</v>
      </c>
      <c r="J3487" s="1" t="s">
        <v>299</v>
      </c>
      <c r="K3487" s="1" t="s">
        <v>298</v>
      </c>
      <c r="L3487" s="1" t="s">
        <v>267</v>
      </c>
      <c r="M3487" s="1"/>
      <c r="N3487" s="1">
        <f t="shared" si="171"/>
        <v>12</v>
      </c>
      <c r="O3487" s="87"/>
    </row>
    <row r="3488" spans="1:15" ht="15.75" hidden="1" x14ac:dyDescent="0.25">
      <c r="A3488" s="1" t="str">
        <f t="shared" si="170"/>
        <v>452774527933.83MASTER CCTRANSPORTUBER</v>
      </c>
      <c r="B3488" s="154">
        <v>45277</v>
      </c>
      <c r="C3488" s="154">
        <v>45279</v>
      </c>
      <c r="D3488" s="3" t="s">
        <v>3809</v>
      </c>
      <c r="E3488" s="3">
        <v>-33.83</v>
      </c>
      <c r="F3488" s="3">
        <v>1</v>
      </c>
      <c r="G3488" s="3">
        <f t="shared" si="172"/>
        <v>33.83</v>
      </c>
      <c r="H3488" s="3" t="s">
        <v>291</v>
      </c>
      <c r="I3488" s="1" t="s">
        <v>296</v>
      </c>
      <c r="J3488" s="1" t="s">
        <v>299</v>
      </c>
      <c r="K3488" s="1" t="s">
        <v>298</v>
      </c>
      <c r="L3488" s="1" t="s">
        <v>267</v>
      </c>
      <c r="M3488" s="1"/>
      <c r="N3488" s="1">
        <f t="shared" si="171"/>
        <v>12</v>
      </c>
      <c r="O3488" s="87"/>
    </row>
    <row r="3489" spans="1:15" ht="15.75" hidden="1" x14ac:dyDescent="0.25">
      <c r="A3489" s="1" t="str">
        <f t="shared" si="170"/>
        <v>452774527929.39MASTER CCTRANSPORTUBER</v>
      </c>
      <c r="B3489" s="154">
        <v>45277</v>
      </c>
      <c r="C3489" s="154">
        <v>45279</v>
      </c>
      <c r="D3489" s="3" t="s">
        <v>3810</v>
      </c>
      <c r="E3489" s="3">
        <v>-29.39</v>
      </c>
      <c r="F3489" s="3">
        <v>1</v>
      </c>
      <c r="G3489" s="3">
        <f t="shared" si="172"/>
        <v>29.39</v>
      </c>
      <c r="H3489" s="3" t="s">
        <v>291</v>
      </c>
      <c r="I3489" s="1" t="s">
        <v>296</v>
      </c>
      <c r="J3489" s="1" t="s">
        <v>299</v>
      </c>
      <c r="K3489" s="1" t="s">
        <v>298</v>
      </c>
      <c r="L3489" s="1" t="s">
        <v>267</v>
      </c>
      <c r="M3489" s="1"/>
      <c r="N3489" s="1">
        <f t="shared" si="171"/>
        <v>12</v>
      </c>
      <c r="O3489" s="87"/>
    </row>
    <row r="3490" spans="1:15" ht="15.75" hidden="1" x14ac:dyDescent="0.25">
      <c r="A3490" s="1" t="str">
        <f t="shared" si="170"/>
        <v>452774527933MASTER CCTRANSPORTUBER</v>
      </c>
      <c r="B3490" s="154">
        <v>45277</v>
      </c>
      <c r="C3490" s="154">
        <v>45279</v>
      </c>
      <c r="D3490" s="3" t="s">
        <v>3811</v>
      </c>
      <c r="E3490" s="3">
        <v>-33</v>
      </c>
      <c r="F3490" s="3">
        <v>1</v>
      </c>
      <c r="G3490" s="3">
        <f t="shared" si="172"/>
        <v>33</v>
      </c>
      <c r="H3490" s="3" t="s">
        <v>291</v>
      </c>
      <c r="I3490" s="1" t="s">
        <v>296</v>
      </c>
      <c r="J3490" s="1" t="s">
        <v>299</v>
      </c>
      <c r="K3490" s="1" t="s">
        <v>298</v>
      </c>
      <c r="L3490" s="1" t="s">
        <v>267</v>
      </c>
      <c r="M3490" s="1"/>
      <c r="N3490" s="1">
        <f t="shared" si="171"/>
        <v>12</v>
      </c>
      <c r="O3490" s="87"/>
    </row>
    <row r="3491" spans="1:15" ht="15.75" hidden="1" x14ac:dyDescent="0.25">
      <c r="A3491" s="1" t="str">
        <f t="shared" si="170"/>
        <v>452774527935.59MASTER CCTRANSPORTUBER</v>
      </c>
      <c r="B3491" s="154">
        <v>45277</v>
      </c>
      <c r="C3491" s="154">
        <v>45279</v>
      </c>
      <c r="D3491" s="3" t="s">
        <v>3812</v>
      </c>
      <c r="E3491" s="3">
        <v>-35.590000000000003</v>
      </c>
      <c r="F3491" s="3">
        <v>1</v>
      </c>
      <c r="G3491" s="3">
        <f t="shared" si="172"/>
        <v>35.590000000000003</v>
      </c>
      <c r="H3491" s="3" t="s">
        <v>291</v>
      </c>
      <c r="I3491" s="1" t="s">
        <v>296</v>
      </c>
      <c r="J3491" s="1" t="s">
        <v>299</v>
      </c>
      <c r="K3491" s="1" t="s">
        <v>298</v>
      </c>
      <c r="L3491" s="1" t="s">
        <v>267</v>
      </c>
      <c r="M3491" s="1"/>
      <c r="N3491" s="1">
        <f t="shared" si="171"/>
        <v>12</v>
      </c>
      <c r="O3491" s="87"/>
    </row>
    <row r="3492" spans="1:15" ht="15.75" hidden="1" x14ac:dyDescent="0.25">
      <c r="A3492" s="1" t="str">
        <f t="shared" si="170"/>
        <v>45278452781.39MASTER CCTRANSPORTUBER</v>
      </c>
      <c r="B3492" s="154">
        <v>45278</v>
      </c>
      <c r="C3492" s="154">
        <f>B3492</f>
        <v>45278</v>
      </c>
      <c r="D3492" s="3" t="s">
        <v>3802</v>
      </c>
      <c r="E3492" s="3">
        <v>-1.39</v>
      </c>
      <c r="F3492" s="3">
        <v>1</v>
      </c>
      <c r="G3492" s="3">
        <f t="shared" si="172"/>
        <v>1.39</v>
      </c>
      <c r="H3492" s="3" t="s">
        <v>291</v>
      </c>
      <c r="I3492" s="1" t="s">
        <v>296</v>
      </c>
      <c r="J3492" s="1" t="s">
        <v>299</v>
      </c>
      <c r="K3492" s="1" t="s">
        <v>298</v>
      </c>
      <c r="L3492" s="1" t="s">
        <v>267</v>
      </c>
      <c r="M3492" s="1"/>
      <c r="N3492" s="1">
        <f t="shared" si="171"/>
        <v>12</v>
      </c>
      <c r="O3492" s="87"/>
    </row>
    <row r="3493" spans="1:15" ht="15.75" hidden="1" x14ac:dyDescent="0.25">
      <c r="A3493" s="1" t="str">
        <f t="shared" si="170"/>
        <v>45278452780.62MASTER CCTRANSPORTUBER</v>
      </c>
      <c r="B3493" s="154">
        <v>45278</v>
      </c>
      <c r="C3493" s="154">
        <f>B3493</f>
        <v>45278</v>
      </c>
      <c r="D3493" s="3" t="s">
        <v>3803</v>
      </c>
      <c r="E3493" s="3">
        <v>-0.62</v>
      </c>
      <c r="F3493" s="3">
        <v>1</v>
      </c>
      <c r="G3493" s="3">
        <f t="shared" si="172"/>
        <v>0.62</v>
      </c>
      <c r="H3493" s="3" t="s">
        <v>291</v>
      </c>
      <c r="I3493" s="1" t="s">
        <v>296</v>
      </c>
      <c r="J3493" s="1" t="s">
        <v>299</v>
      </c>
      <c r="K3493" s="1" t="s">
        <v>298</v>
      </c>
      <c r="L3493" s="1" t="s">
        <v>267</v>
      </c>
      <c r="M3493" s="1"/>
      <c r="N3493" s="1">
        <f t="shared" si="171"/>
        <v>12</v>
      </c>
      <c r="O3493" s="87"/>
    </row>
    <row r="3494" spans="1:15" ht="15.75" hidden="1" x14ac:dyDescent="0.25">
      <c r="A3494" s="1" t="str">
        <f t="shared" si="170"/>
        <v>452784528033.45MASTER CCTRANSPORTUBER</v>
      </c>
      <c r="B3494" s="154">
        <v>45278</v>
      </c>
      <c r="C3494" s="154">
        <v>45280</v>
      </c>
      <c r="D3494" s="3" t="s">
        <v>3804</v>
      </c>
      <c r="E3494" s="3">
        <v>-33.450000000000003</v>
      </c>
      <c r="F3494" s="3">
        <v>1</v>
      </c>
      <c r="G3494" s="3">
        <f t="shared" si="172"/>
        <v>33.450000000000003</v>
      </c>
      <c r="H3494" s="3" t="s">
        <v>291</v>
      </c>
      <c r="I3494" s="1" t="s">
        <v>296</v>
      </c>
      <c r="J3494" s="1" t="s">
        <v>299</v>
      </c>
      <c r="K3494" s="1" t="s">
        <v>298</v>
      </c>
      <c r="L3494" s="1" t="s">
        <v>267</v>
      </c>
      <c r="M3494" s="1"/>
      <c r="N3494" s="1">
        <f t="shared" si="171"/>
        <v>12</v>
      </c>
      <c r="O3494" s="87"/>
    </row>
    <row r="3495" spans="1:15" ht="15.75" hidden="1" x14ac:dyDescent="0.25">
      <c r="A3495" s="1" t="str">
        <f t="shared" si="170"/>
        <v>452784528032.63MASTER CCTRANSPORTUBER</v>
      </c>
      <c r="B3495" s="154">
        <v>45278</v>
      </c>
      <c r="C3495" s="154">
        <v>45280</v>
      </c>
      <c r="D3495" s="3" t="s">
        <v>3805</v>
      </c>
      <c r="E3495" s="3">
        <v>-32.630000000000003</v>
      </c>
      <c r="F3495" s="3">
        <v>1</v>
      </c>
      <c r="G3495" s="3">
        <f t="shared" si="172"/>
        <v>32.630000000000003</v>
      </c>
      <c r="H3495" s="3" t="s">
        <v>291</v>
      </c>
      <c r="I3495" s="1" t="s">
        <v>296</v>
      </c>
      <c r="J3495" s="1" t="s">
        <v>299</v>
      </c>
      <c r="K3495" s="1" t="s">
        <v>298</v>
      </c>
      <c r="L3495" s="1" t="s">
        <v>267</v>
      </c>
      <c r="M3495" s="1"/>
      <c r="N3495" s="1">
        <f t="shared" si="171"/>
        <v>12</v>
      </c>
      <c r="O3495" s="87"/>
    </row>
    <row r="3496" spans="1:15" ht="15.75" hidden="1" x14ac:dyDescent="0.25">
      <c r="A3496" s="1" t="str">
        <f t="shared" si="170"/>
        <v>452784528031.06MASTER CCTRANSPORTUBER</v>
      </c>
      <c r="B3496" s="154">
        <v>45278</v>
      </c>
      <c r="C3496" s="154">
        <v>45280</v>
      </c>
      <c r="D3496" s="3" t="s">
        <v>3806</v>
      </c>
      <c r="E3496" s="3">
        <v>-31.06</v>
      </c>
      <c r="F3496" s="3">
        <v>1</v>
      </c>
      <c r="G3496" s="3">
        <f t="shared" si="172"/>
        <v>31.06</v>
      </c>
      <c r="H3496" s="3" t="s">
        <v>291</v>
      </c>
      <c r="I3496" s="1" t="s">
        <v>296</v>
      </c>
      <c r="J3496" s="1" t="s">
        <v>299</v>
      </c>
      <c r="K3496" s="1" t="s">
        <v>298</v>
      </c>
      <c r="L3496" s="1" t="s">
        <v>267</v>
      </c>
      <c r="M3496" s="1"/>
      <c r="N3496" s="1">
        <f t="shared" si="171"/>
        <v>12</v>
      </c>
      <c r="O3496" s="87"/>
    </row>
    <row r="3497" spans="1:15" ht="15.75" hidden="1" x14ac:dyDescent="0.25">
      <c r="A3497" s="1" t="str">
        <f t="shared" si="170"/>
        <v>452784527930.25MASTER CCTRANSPORTUBER</v>
      </c>
      <c r="B3497" s="154">
        <v>45278</v>
      </c>
      <c r="C3497" s="154">
        <v>45279</v>
      </c>
      <c r="D3497" s="3" t="s">
        <v>3807</v>
      </c>
      <c r="E3497" s="3">
        <v>-30.25</v>
      </c>
      <c r="F3497" s="3">
        <v>1</v>
      </c>
      <c r="G3497" s="3">
        <f t="shared" si="172"/>
        <v>30.25</v>
      </c>
      <c r="H3497" s="3" t="s">
        <v>291</v>
      </c>
      <c r="I3497" s="1" t="s">
        <v>296</v>
      </c>
      <c r="J3497" s="1" t="s">
        <v>299</v>
      </c>
      <c r="K3497" s="1" t="s">
        <v>298</v>
      </c>
      <c r="L3497" s="1" t="s">
        <v>267</v>
      </c>
      <c r="M3497" s="1"/>
      <c r="N3497" s="1">
        <f t="shared" si="171"/>
        <v>12</v>
      </c>
      <c r="O3497" s="87"/>
    </row>
    <row r="3498" spans="1:15" ht="15.75" hidden="1" x14ac:dyDescent="0.25">
      <c r="A3498" s="1" t="str">
        <f t="shared" si="170"/>
        <v>452794527943.65CURRENTMEDICALHAMAD</v>
      </c>
      <c r="B3498" s="154">
        <v>45279</v>
      </c>
      <c r="C3498" s="154">
        <v>45279</v>
      </c>
      <c r="D3498" s="3" t="s">
        <v>3697</v>
      </c>
      <c r="E3498" s="3">
        <v>-43.65</v>
      </c>
      <c r="F3498" s="3">
        <v>1</v>
      </c>
      <c r="G3498" s="3">
        <f t="shared" si="172"/>
        <v>43.65</v>
      </c>
      <c r="H3498" s="3" t="s">
        <v>293</v>
      </c>
      <c r="I3498" s="1" t="s">
        <v>301</v>
      </c>
      <c r="J3498" s="1" t="s">
        <v>4083</v>
      </c>
      <c r="K3498" s="1" t="s">
        <v>298</v>
      </c>
      <c r="L3498" s="1" t="s">
        <v>257</v>
      </c>
      <c r="M3498" s="1"/>
      <c r="N3498" s="1">
        <f t="shared" si="171"/>
        <v>12</v>
      </c>
      <c r="O3498" s="87"/>
    </row>
    <row r="3499" spans="1:15" ht="15.75" hidden="1" x14ac:dyDescent="0.25">
      <c r="A3499" s="1" t="str">
        <f t="shared" si="170"/>
        <v>4527945279750CURRENTMEDICALHAMAD</v>
      </c>
      <c r="B3499" s="154">
        <v>45279</v>
      </c>
      <c r="C3499" s="154">
        <v>45279</v>
      </c>
      <c r="D3499" s="3" t="s">
        <v>3698</v>
      </c>
      <c r="E3499" s="3">
        <v>-750</v>
      </c>
      <c r="F3499" s="3">
        <v>1</v>
      </c>
      <c r="G3499" s="3">
        <f t="shared" si="172"/>
        <v>750</v>
      </c>
      <c r="H3499" s="3" t="s">
        <v>293</v>
      </c>
      <c r="I3499" s="1" t="s">
        <v>301</v>
      </c>
      <c r="J3499" s="1" t="s">
        <v>4083</v>
      </c>
      <c r="K3499" s="1" t="s">
        <v>298</v>
      </c>
      <c r="L3499" s="1" t="s">
        <v>257</v>
      </c>
      <c r="M3499" s="1"/>
      <c r="N3499" s="1">
        <f t="shared" si="171"/>
        <v>12</v>
      </c>
      <c r="O3499" s="87"/>
    </row>
    <row r="3500" spans="1:15" ht="15.75" hidden="1" x14ac:dyDescent="0.25">
      <c r="A3500" s="1" t="str">
        <f t="shared" si="170"/>
        <v>452794527931.51MASTER CCTRANSPORTUBER</v>
      </c>
      <c r="B3500" s="154">
        <v>45279</v>
      </c>
      <c r="C3500" s="154">
        <f>B3500</f>
        <v>45279</v>
      </c>
      <c r="D3500" s="3" t="s">
        <v>3797</v>
      </c>
      <c r="E3500" s="3">
        <v>-31.51</v>
      </c>
      <c r="F3500" s="3">
        <v>1</v>
      </c>
      <c r="G3500" s="3">
        <f t="shared" si="172"/>
        <v>31.51</v>
      </c>
      <c r="H3500" s="3" t="s">
        <v>291</v>
      </c>
      <c r="I3500" s="1" t="s">
        <v>296</v>
      </c>
      <c r="J3500" s="1" t="s">
        <v>299</v>
      </c>
      <c r="K3500" s="1" t="s">
        <v>298</v>
      </c>
      <c r="L3500" s="1" t="s">
        <v>267</v>
      </c>
      <c r="M3500" s="1"/>
      <c r="N3500" s="1">
        <f t="shared" si="171"/>
        <v>12</v>
      </c>
      <c r="O3500" s="87"/>
    </row>
    <row r="3501" spans="1:15" ht="15.75" hidden="1" x14ac:dyDescent="0.25">
      <c r="A3501" s="1" t="str">
        <f t="shared" si="170"/>
        <v>452794528135.16MASTER CCTRANSPORTUBER</v>
      </c>
      <c r="B3501" s="154">
        <v>45279</v>
      </c>
      <c r="C3501" s="154">
        <v>45281</v>
      </c>
      <c r="D3501" s="3" t="s">
        <v>3798</v>
      </c>
      <c r="E3501" s="3">
        <v>-35.159999999999997</v>
      </c>
      <c r="F3501" s="3">
        <v>1</v>
      </c>
      <c r="G3501" s="3">
        <f t="shared" si="172"/>
        <v>35.159999999999997</v>
      </c>
      <c r="H3501" s="3" t="s">
        <v>291</v>
      </c>
      <c r="I3501" s="1" t="s">
        <v>296</v>
      </c>
      <c r="J3501" s="1" t="s">
        <v>299</v>
      </c>
      <c r="K3501" s="1" t="s">
        <v>298</v>
      </c>
      <c r="L3501" s="1" t="s">
        <v>267</v>
      </c>
      <c r="M3501" s="1"/>
      <c r="N3501" s="1">
        <f t="shared" si="171"/>
        <v>12</v>
      </c>
      <c r="O3501" s="87"/>
    </row>
    <row r="3502" spans="1:15" ht="15.75" hidden="1" x14ac:dyDescent="0.25">
      <c r="A3502" s="1" t="str">
        <f t="shared" si="170"/>
        <v>452794528131.63MASTER CCTRANSPORTUBER</v>
      </c>
      <c r="B3502" s="154">
        <v>45279</v>
      </c>
      <c r="C3502" s="154">
        <v>45281</v>
      </c>
      <c r="D3502" s="3" t="s">
        <v>3799</v>
      </c>
      <c r="E3502" s="3">
        <v>-31.63</v>
      </c>
      <c r="F3502" s="3">
        <v>1</v>
      </c>
      <c r="G3502" s="3">
        <f t="shared" si="172"/>
        <v>31.63</v>
      </c>
      <c r="H3502" s="3" t="s">
        <v>291</v>
      </c>
      <c r="I3502" s="1" t="s">
        <v>296</v>
      </c>
      <c r="J3502" s="1" t="s">
        <v>299</v>
      </c>
      <c r="K3502" s="1" t="s">
        <v>298</v>
      </c>
      <c r="L3502" s="1" t="s">
        <v>267</v>
      </c>
      <c r="M3502" s="1"/>
      <c r="N3502" s="1">
        <f t="shared" si="171"/>
        <v>12</v>
      </c>
      <c r="O3502" s="87"/>
    </row>
    <row r="3503" spans="1:15" ht="15.75" hidden="1" x14ac:dyDescent="0.25">
      <c r="A3503" s="1" t="str">
        <f t="shared" si="170"/>
        <v>452794528134.37MASTER CCTRANSPORTUBER</v>
      </c>
      <c r="B3503" s="154">
        <v>45279</v>
      </c>
      <c r="C3503" s="154">
        <v>45281</v>
      </c>
      <c r="D3503" s="3" t="s">
        <v>3800</v>
      </c>
      <c r="E3503" s="3">
        <v>-34.369999999999997</v>
      </c>
      <c r="F3503" s="3">
        <v>1</v>
      </c>
      <c r="G3503" s="3">
        <f t="shared" si="172"/>
        <v>34.369999999999997</v>
      </c>
      <c r="H3503" s="3" t="s">
        <v>291</v>
      </c>
      <c r="I3503" s="1" t="s">
        <v>296</v>
      </c>
      <c r="J3503" s="1" t="s">
        <v>299</v>
      </c>
      <c r="K3503" s="1" t="s">
        <v>298</v>
      </c>
      <c r="L3503" s="1" t="s">
        <v>267</v>
      </c>
      <c r="M3503" s="1"/>
      <c r="N3503" s="1">
        <f t="shared" si="171"/>
        <v>12</v>
      </c>
      <c r="O3503" s="87"/>
    </row>
    <row r="3504" spans="1:15" ht="15.75" hidden="1" x14ac:dyDescent="0.25">
      <c r="A3504" s="1" t="str">
        <f t="shared" si="170"/>
        <v>452794528130.38MASTER CCTRANSPORTUBER</v>
      </c>
      <c r="B3504" s="154">
        <v>45279</v>
      </c>
      <c r="C3504" s="154">
        <v>45281</v>
      </c>
      <c r="D3504" s="3" t="s">
        <v>3801</v>
      </c>
      <c r="E3504" s="3">
        <v>-30.38</v>
      </c>
      <c r="F3504" s="3">
        <v>1</v>
      </c>
      <c r="G3504" s="3">
        <f t="shared" si="172"/>
        <v>30.38</v>
      </c>
      <c r="H3504" s="3" t="s">
        <v>291</v>
      </c>
      <c r="I3504" s="1" t="s">
        <v>296</v>
      </c>
      <c r="J3504" s="1" t="s">
        <v>299</v>
      </c>
      <c r="K3504" s="1" t="s">
        <v>298</v>
      </c>
      <c r="L3504" s="1" t="s">
        <v>267</v>
      </c>
      <c r="M3504" s="1"/>
      <c r="N3504" s="1">
        <f t="shared" si="171"/>
        <v>12</v>
      </c>
      <c r="O3504" s="87"/>
    </row>
    <row r="3505" spans="1:109" ht="15.75" hidden="1" x14ac:dyDescent="0.25">
      <c r="A3505" s="1" t="str">
        <f t="shared" si="170"/>
        <v>452804528219.19MASTER CCTRANSPORTUBER</v>
      </c>
      <c r="B3505" s="154">
        <v>45280</v>
      </c>
      <c r="C3505" s="154">
        <v>45282</v>
      </c>
      <c r="D3505" s="3" t="s">
        <v>3792</v>
      </c>
      <c r="E3505" s="3">
        <v>-19.190000000000001</v>
      </c>
      <c r="F3505" s="3">
        <v>1</v>
      </c>
      <c r="G3505" s="3">
        <f t="shared" si="172"/>
        <v>19.190000000000001</v>
      </c>
      <c r="H3505" s="3" t="s">
        <v>291</v>
      </c>
      <c r="I3505" s="1" t="s">
        <v>296</v>
      </c>
      <c r="J3505" s="1" t="s">
        <v>299</v>
      </c>
      <c r="K3505" s="1" t="s">
        <v>298</v>
      </c>
      <c r="L3505" s="1" t="s">
        <v>267</v>
      </c>
      <c r="M3505" s="1"/>
      <c r="N3505" s="1">
        <f t="shared" si="171"/>
        <v>12</v>
      </c>
      <c r="O3505" s="87"/>
    </row>
    <row r="3506" spans="1:109" ht="15.75" hidden="1" x14ac:dyDescent="0.25">
      <c r="A3506" s="1" t="str">
        <f t="shared" si="170"/>
        <v>452804528223.28MASTER CCTRANSPORTUBER</v>
      </c>
      <c r="B3506" s="154">
        <v>45280</v>
      </c>
      <c r="C3506" s="154">
        <v>45282</v>
      </c>
      <c r="D3506" s="3" t="s">
        <v>3793</v>
      </c>
      <c r="E3506" s="3">
        <v>-23.28</v>
      </c>
      <c r="F3506" s="3">
        <v>1</v>
      </c>
      <c r="G3506" s="3">
        <f t="shared" si="172"/>
        <v>23.28</v>
      </c>
      <c r="H3506" s="3" t="s">
        <v>291</v>
      </c>
      <c r="I3506" s="1" t="s">
        <v>296</v>
      </c>
      <c r="J3506" s="1" t="s">
        <v>299</v>
      </c>
      <c r="K3506" s="1" t="s">
        <v>298</v>
      </c>
      <c r="L3506" s="1" t="s">
        <v>267</v>
      </c>
      <c r="M3506" s="1"/>
      <c r="N3506" s="1">
        <f t="shared" si="171"/>
        <v>12</v>
      </c>
      <c r="O3506" s="87"/>
    </row>
    <row r="3507" spans="1:109" ht="15.75" hidden="1" x14ac:dyDescent="0.25">
      <c r="A3507" s="1" t="str">
        <f t="shared" si="170"/>
        <v xml:space="preserve">45280452826MASTER CCFOODQALA </v>
      </c>
      <c r="B3507" s="154">
        <v>45280</v>
      </c>
      <c r="C3507" s="154">
        <v>45282</v>
      </c>
      <c r="D3507" s="3" t="s">
        <v>3794</v>
      </c>
      <c r="E3507" s="3">
        <v>-6</v>
      </c>
      <c r="F3507" s="3">
        <v>1</v>
      </c>
      <c r="G3507" s="3">
        <f t="shared" si="172"/>
        <v>6</v>
      </c>
      <c r="H3507" s="3" t="s">
        <v>291</v>
      </c>
      <c r="I3507" s="1" t="s">
        <v>10</v>
      </c>
      <c r="J3507" s="1" t="s">
        <v>4103</v>
      </c>
      <c r="K3507" s="1" t="s">
        <v>298</v>
      </c>
      <c r="L3507" s="1" t="s">
        <v>267</v>
      </c>
      <c r="M3507" s="1"/>
      <c r="N3507" s="1">
        <f t="shared" si="171"/>
        <v>12</v>
      </c>
      <c r="O3507" s="87"/>
    </row>
    <row r="3508" spans="1:109" ht="15.75" hidden="1" x14ac:dyDescent="0.25">
      <c r="A3508" s="1" t="str">
        <f t="shared" si="170"/>
        <v>4528045281372.21MASTER CCGROCERYINDIAN SUPER</v>
      </c>
      <c r="B3508" s="154">
        <v>45280</v>
      </c>
      <c r="C3508" s="154">
        <v>45281</v>
      </c>
      <c r="D3508" s="3" t="s">
        <v>3795</v>
      </c>
      <c r="E3508" s="3">
        <v>-372.21</v>
      </c>
      <c r="F3508" s="3">
        <v>1</v>
      </c>
      <c r="G3508" s="3">
        <f t="shared" si="172"/>
        <v>372.21</v>
      </c>
      <c r="H3508" s="3" t="s">
        <v>291</v>
      </c>
      <c r="I3508" s="1" t="s">
        <v>43</v>
      </c>
      <c r="J3508" s="1" t="s">
        <v>2273</v>
      </c>
      <c r="K3508" s="1" t="s">
        <v>298</v>
      </c>
      <c r="L3508" s="1" t="s">
        <v>267</v>
      </c>
      <c r="M3508" s="1"/>
      <c r="N3508" s="1">
        <f t="shared" si="171"/>
        <v>12</v>
      </c>
      <c r="O3508" s="87"/>
    </row>
    <row r="3509" spans="1:109" ht="15.75" hidden="1" x14ac:dyDescent="0.25">
      <c r="A3509" s="1" t="str">
        <f t="shared" si="170"/>
        <v>452804528110MASTER CCSHOPPINGINDIAN SUPER</v>
      </c>
      <c r="B3509" s="154">
        <v>45280</v>
      </c>
      <c r="C3509" s="154">
        <v>45281</v>
      </c>
      <c r="D3509" s="3" t="s">
        <v>3796</v>
      </c>
      <c r="E3509" s="3">
        <v>-10</v>
      </c>
      <c r="F3509" s="3">
        <v>1</v>
      </c>
      <c r="G3509" s="3">
        <f t="shared" si="172"/>
        <v>10</v>
      </c>
      <c r="H3509" s="3" t="s">
        <v>291</v>
      </c>
      <c r="I3509" s="1" t="s">
        <v>194</v>
      </c>
      <c r="J3509" s="1" t="s">
        <v>2273</v>
      </c>
      <c r="K3509" s="1" t="s">
        <v>298</v>
      </c>
      <c r="L3509" s="1" t="s">
        <v>267</v>
      </c>
      <c r="M3509" s="1"/>
      <c r="N3509" s="1">
        <f t="shared" si="171"/>
        <v>12</v>
      </c>
      <c r="O3509" s="87"/>
    </row>
    <row r="3510" spans="1:109" ht="15.75" hidden="1" x14ac:dyDescent="0.25">
      <c r="A3510" s="1" t="str">
        <f t="shared" si="170"/>
        <v>452814528639.12MASTER CCGROCERYMANGO</v>
      </c>
      <c r="B3510" s="154">
        <v>45281</v>
      </c>
      <c r="C3510" s="154">
        <v>45286</v>
      </c>
      <c r="D3510" s="3" t="s">
        <v>3790</v>
      </c>
      <c r="E3510" s="3">
        <v>-39.119999999999997</v>
      </c>
      <c r="F3510" s="3">
        <v>1</v>
      </c>
      <c r="G3510" s="3">
        <f t="shared" si="172"/>
        <v>39.119999999999997</v>
      </c>
      <c r="H3510" s="3" t="s">
        <v>291</v>
      </c>
      <c r="I3510" s="1" t="s">
        <v>43</v>
      </c>
      <c r="J3510" s="1" t="s">
        <v>3634</v>
      </c>
      <c r="K3510" s="1" t="s">
        <v>298</v>
      </c>
      <c r="L3510" s="1" t="s">
        <v>267</v>
      </c>
      <c r="M3510" s="1"/>
      <c r="N3510" s="1">
        <f t="shared" si="171"/>
        <v>12</v>
      </c>
      <c r="O3510" s="87"/>
    </row>
    <row r="3511" spans="1:109" ht="15.75" hidden="1" x14ac:dyDescent="0.25">
      <c r="A3511" s="1" t="str">
        <f t="shared" si="170"/>
        <v>4528145284139MASTER CCFOODTALABAT</v>
      </c>
      <c r="B3511" s="154">
        <v>45281</v>
      </c>
      <c r="C3511" s="154">
        <v>45284</v>
      </c>
      <c r="D3511" s="3" t="s">
        <v>3791</v>
      </c>
      <c r="E3511" s="3">
        <v>-139</v>
      </c>
      <c r="F3511" s="3">
        <v>1</v>
      </c>
      <c r="G3511" s="3">
        <f t="shared" si="172"/>
        <v>139</v>
      </c>
      <c r="H3511" s="3" t="s">
        <v>291</v>
      </c>
      <c r="I3511" s="1" t="s">
        <v>10</v>
      </c>
      <c r="J3511" s="1" t="s">
        <v>865</v>
      </c>
      <c r="K3511" s="1" t="s">
        <v>298</v>
      </c>
      <c r="L3511" s="1" t="s">
        <v>267</v>
      </c>
      <c r="M3511" s="1"/>
      <c r="N3511" s="1">
        <f t="shared" si="171"/>
        <v>12</v>
      </c>
      <c r="O3511" s="87"/>
    </row>
    <row r="3512" spans="1:109" ht="15.75" hidden="1" x14ac:dyDescent="0.25">
      <c r="A3512" s="1" t="str">
        <f t="shared" si="170"/>
        <v>4528245284610MASTER CCTRAVELAIR INDIA</v>
      </c>
      <c r="B3512" s="154">
        <v>45282</v>
      </c>
      <c r="C3512" s="154">
        <v>45284</v>
      </c>
      <c r="D3512" s="3" t="s">
        <v>3789</v>
      </c>
      <c r="E3512" s="3">
        <v>-610</v>
      </c>
      <c r="F3512" s="3">
        <v>1</v>
      </c>
      <c r="G3512" s="3">
        <f t="shared" si="172"/>
        <v>610</v>
      </c>
      <c r="H3512" s="3" t="s">
        <v>291</v>
      </c>
      <c r="I3512" s="1" t="s">
        <v>393</v>
      </c>
      <c r="J3512" s="1" t="s">
        <v>474</v>
      </c>
      <c r="K3512" s="1" t="s">
        <v>298</v>
      </c>
      <c r="L3512" s="1" t="s">
        <v>267</v>
      </c>
      <c r="M3512" s="1"/>
      <c r="N3512" s="1">
        <f t="shared" si="171"/>
        <v>12</v>
      </c>
      <c r="O3512" s="87"/>
    </row>
    <row r="3513" spans="1:109" ht="15.75" hidden="1" x14ac:dyDescent="0.25">
      <c r="A3513" s="1" t="str">
        <f t="shared" si="170"/>
        <v>452844528432CURRENTFOODTALABAT</v>
      </c>
      <c r="B3513" s="154">
        <v>45284</v>
      </c>
      <c r="C3513" s="154">
        <v>45284</v>
      </c>
      <c r="D3513" s="3" t="s">
        <v>3693</v>
      </c>
      <c r="E3513" s="3">
        <v>-32</v>
      </c>
      <c r="F3513" s="3">
        <v>1</v>
      </c>
      <c r="G3513" s="3">
        <f t="shared" si="172"/>
        <v>32</v>
      </c>
      <c r="H3513" s="3" t="s">
        <v>293</v>
      </c>
      <c r="I3513" s="1" t="s">
        <v>10</v>
      </c>
      <c r="J3513" s="1" t="s">
        <v>865</v>
      </c>
      <c r="K3513" s="1" t="s">
        <v>298</v>
      </c>
      <c r="L3513" s="1" t="s">
        <v>257</v>
      </c>
      <c r="M3513" s="1"/>
      <c r="N3513" s="1">
        <f t="shared" si="171"/>
        <v>12</v>
      </c>
      <c r="O3513" s="87"/>
    </row>
    <row r="3514" spans="1:109" ht="15.75" hidden="1" x14ac:dyDescent="0.25">
      <c r="A3514" s="1" t="str">
        <f t="shared" si="170"/>
        <v>452844528421004CURRENTSAVINGSELF</v>
      </c>
      <c r="B3514" s="154">
        <v>45284</v>
      </c>
      <c r="C3514" s="154">
        <v>45284</v>
      </c>
      <c r="D3514" s="3" t="s">
        <v>3694</v>
      </c>
      <c r="E3514" s="3">
        <v>-21004</v>
      </c>
      <c r="F3514" s="3">
        <v>1</v>
      </c>
      <c r="G3514" s="3">
        <f t="shared" si="172"/>
        <v>21004</v>
      </c>
      <c r="H3514" s="3" t="s">
        <v>293</v>
      </c>
      <c r="I3514" s="1" t="s">
        <v>302</v>
      </c>
      <c r="J3514" s="1" t="s">
        <v>14</v>
      </c>
      <c r="K3514" s="1" t="s">
        <v>298</v>
      </c>
      <c r="L3514" s="1" t="s">
        <v>257</v>
      </c>
      <c r="M3514" s="1"/>
      <c r="N3514" s="1">
        <f t="shared" si="171"/>
        <v>12</v>
      </c>
      <c r="O3514" s="87"/>
    </row>
    <row r="3515" spans="1:109" ht="15.75" hidden="1" x14ac:dyDescent="0.25">
      <c r="A3515" s="1" t="str">
        <f t="shared" si="170"/>
        <v>45284452845000CURRENTPERSONALAKSHIT</v>
      </c>
      <c r="B3515" s="154">
        <v>45284</v>
      </c>
      <c r="C3515" s="154">
        <v>45284</v>
      </c>
      <c r="D3515" s="3" t="s">
        <v>3695</v>
      </c>
      <c r="E3515" s="3">
        <v>5000</v>
      </c>
      <c r="F3515" s="3">
        <v>1</v>
      </c>
      <c r="G3515" s="3">
        <f t="shared" si="172"/>
        <v>5000</v>
      </c>
      <c r="H3515" s="3" t="s">
        <v>293</v>
      </c>
      <c r="I3515" s="1" t="s">
        <v>4087</v>
      </c>
      <c r="J3515" s="1" t="s">
        <v>879</v>
      </c>
      <c r="K3515" s="1" t="s">
        <v>300</v>
      </c>
      <c r="L3515" s="1" t="s">
        <v>257</v>
      </c>
      <c r="M3515" s="1"/>
      <c r="N3515" s="1">
        <f t="shared" si="171"/>
        <v>12</v>
      </c>
      <c r="O3515" s="87" t="s">
        <v>4089</v>
      </c>
    </row>
    <row r="3516" spans="1:109" ht="15.75" hidden="1" x14ac:dyDescent="0.25">
      <c r="A3516" s="1" t="str">
        <f t="shared" si="170"/>
        <v>45284452841122CURRENTTRAVELINDIGO</v>
      </c>
      <c r="B3516" s="154">
        <v>45284</v>
      </c>
      <c r="C3516" s="154">
        <v>45284</v>
      </c>
      <c r="D3516" s="3" t="s">
        <v>3695</v>
      </c>
      <c r="E3516" s="3">
        <v>1122</v>
      </c>
      <c r="F3516" s="3">
        <v>1</v>
      </c>
      <c r="G3516" s="3">
        <f t="shared" si="172"/>
        <v>1122</v>
      </c>
      <c r="H3516" s="3" t="s">
        <v>293</v>
      </c>
      <c r="I3516" s="1" t="s">
        <v>393</v>
      </c>
      <c r="J3516" s="1" t="s">
        <v>4088</v>
      </c>
      <c r="K3516" s="1" t="s">
        <v>298</v>
      </c>
      <c r="L3516" s="1" t="s">
        <v>257</v>
      </c>
      <c r="M3516" s="1"/>
      <c r="N3516" s="1">
        <f t="shared" si="171"/>
        <v>12</v>
      </c>
      <c r="O3516" s="87" t="s">
        <v>4090</v>
      </c>
    </row>
    <row r="3517" spans="1:109" s="161" customFormat="1" ht="15.75" hidden="1" x14ac:dyDescent="0.25">
      <c r="A3517" s="1" t="str">
        <f t="shared" si="170"/>
        <v>452844528438796CURRENTSALARYQATAR AIR</v>
      </c>
      <c r="B3517" s="154">
        <v>45284</v>
      </c>
      <c r="C3517" s="154">
        <v>45284</v>
      </c>
      <c r="D3517" s="3" t="s">
        <v>3696</v>
      </c>
      <c r="E3517" s="3">
        <v>38796</v>
      </c>
      <c r="F3517" s="3">
        <v>1</v>
      </c>
      <c r="G3517" s="3">
        <f t="shared" si="172"/>
        <v>38796</v>
      </c>
      <c r="H3517" s="3" t="s">
        <v>293</v>
      </c>
      <c r="I3517" s="1" t="s">
        <v>18</v>
      </c>
      <c r="J3517" s="1" t="s">
        <v>19</v>
      </c>
      <c r="K3517" s="1" t="s">
        <v>300</v>
      </c>
      <c r="L3517" s="1" t="s">
        <v>257</v>
      </c>
      <c r="M3517" s="1"/>
      <c r="N3517" s="1">
        <f t="shared" si="171"/>
        <v>12</v>
      </c>
      <c r="O3517" s="8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/>
      <c r="AU3517"/>
      <c r="AV3517"/>
      <c r="AW3517"/>
      <c r="AX3517"/>
      <c r="AY3517"/>
      <c r="AZ3517"/>
      <c r="BA3517"/>
      <c r="BB3517"/>
      <c r="BC3517"/>
      <c r="BD3517"/>
      <c r="BE3517"/>
      <c r="BF3517"/>
      <c r="BG3517"/>
      <c r="BH3517"/>
      <c r="BI3517"/>
      <c r="BJ3517"/>
      <c r="BK3517"/>
      <c r="BL3517"/>
      <c r="BM3517"/>
      <c r="BN3517"/>
      <c r="BO3517"/>
      <c r="BP3517"/>
      <c r="BQ3517"/>
      <c r="BR3517"/>
      <c r="BS3517"/>
      <c r="BT3517"/>
      <c r="BU3517"/>
      <c r="BV3517"/>
      <c r="BW3517"/>
      <c r="BX3517"/>
      <c r="BY3517"/>
      <c r="BZ3517"/>
      <c r="CA3517"/>
      <c r="CB3517"/>
      <c r="CC3517"/>
      <c r="CD3517"/>
      <c r="CE3517"/>
      <c r="CF3517"/>
      <c r="CG3517"/>
      <c r="CH3517"/>
      <c r="CI3517"/>
      <c r="CJ3517"/>
      <c r="CK3517"/>
      <c r="CL3517"/>
      <c r="CM3517"/>
      <c r="CN3517"/>
      <c r="CO3517"/>
      <c r="CP3517"/>
      <c r="CQ3517"/>
      <c r="CR3517"/>
      <c r="CS3517"/>
      <c r="CT3517"/>
      <c r="CU3517"/>
      <c r="CV3517"/>
      <c r="CW3517"/>
      <c r="CX3517"/>
      <c r="CY3517"/>
      <c r="CZ3517"/>
      <c r="DA3517"/>
      <c r="DB3517"/>
      <c r="DC3517"/>
      <c r="DD3517"/>
      <c r="DE3517"/>
    </row>
    <row r="3518" spans="1:109" s="161" customFormat="1" ht="15.75" hidden="1" x14ac:dyDescent="0.25">
      <c r="A3518" s="1" t="str">
        <f t="shared" si="170"/>
        <v>452844528755MASTER CCFOODTALABAT</v>
      </c>
      <c r="B3518" s="154">
        <v>45284</v>
      </c>
      <c r="C3518" s="154">
        <v>45287</v>
      </c>
      <c r="D3518" s="3" t="s">
        <v>3785</v>
      </c>
      <c r="E3518" s="3">
        <v>-55</v>
      </c>
      <c r="F3518" s="3">
        <v>1</v>
      </c>
      <c r="G3518" s="3">
        <f t="shared" si="172"/>
        <v>55</v>
      </c>
      <c r="H3518" s="3" t="s">
        <v>291</v>
      </c>
      <c r="I3518" s="1" t="s">
        <v>10</v>
      </c>
      <c r="J3518" s="1" t="s">
        <v>865</v>
      </c>
      <c r="K3518" s="1" t="s">
        <v>298</v>
      </c>
      <c r="L3518" s="1" t="s">
        <v>267</v>
      </c>
      <c r="M3518" s="1"/>
      <c r="N3518" s="1">
        <f t="shared" si="171"/>
        <v>12</v>
      </c>
      <c r="O3518" s="87"/>
    </row>
    <row r="3519" spans="1:109" s="161" customFormat="1" ht="15.75" hidden="1" x14ac:dyDescent="0.25">
      <c r="A3519" s="1" t="str">
        <f t="shared" si="170"/>
        <v>452844528632.84MASTER CCTRANSPORTUBER</v>
      </c>
      <c r="B3519" s="154">
        <v>45284</v>
      </c>
      <c r="C3519" s="154">
        <v>45286</v>
      </c>
      <c r="D3519" s="3" t="s">
        <v>3786</v>
      </c>
      <c r="E3519" s="3">
        <v>-32.840000000000003</v>
      </c>
      <c r="F3519" s="3">
        <v>1</v>
      </c>
      <c r="G3519" s="3">
        <f t="shared" si="172"/>
        <v>32.840000000000003</v>
      </c>
      <c r="H3519" s="3" t="s">
        <v>291</v>
      </c>
      <c r="I3519" s="1" t="s">
        <v>296</v>
      </c>
      <c r="J3519" s="1" t="s">
        <v>299</v>
      </c>
      <c r="K3519" s="1" t="s">
        <v>298</v>
      </c>
      <c r="L3519" s="1" t="s">
        <v>267</v>
      </c>
      <c r="M3519" s="1"/>
      <c r="N3519" s="1">
        <f t="shared" si="171"/>
        <v>12</v>
      </c>
      <c r="O3519" s="87"/>
    </row>
    <row r="3520" spans="1:109" s="161" customFormat="1" ht="15.75" hidden="1" x14ac:dyDescent="0.25">
      <c r="A3520" s="1" t="str">
        <f t="shared" si="170"/>
        <v>452844528630MASTER CCMEDICALHAMAD</v>
      </c>
      <c r="B3520" s="154">
        <v>45284</v>
      </c>
      <c r="C3520" s="154">
        <v>45286</v>
      </c>
      <c r="D3520" s="3" t="s">
        <v>3787</v>
      </c>
      <c r="E3520" s="3">
        <v>-30</v>
      </c>
      <c r="F3520" s="3">
        <v>1</v>
      </c>
      <c r="G3520" s="3">
        <f t="shared" si="172"/>
        <v>30</v>
      </c>
      <c r="H3520" s="3" t="s">
        <v>291</v>
      </c>
      <c r="I3520" s="1" t="s">
        <v>301</v>
      </c>
      <c r="J3520" s="1" t="s">
        <v>4083</v>
      </c>
      <c r="K3520" s="1" t="s">
        <v>298</v>
      </c>
      <c r="L3520" s="1" t="s">
        <v>267</v>
      </c>
      <c r="M3520" s="1"/>
      <c r="N3520" s="1">
        <f t="shared" si="171"/>
        <v>12</v>
      </c>
      <c r="O3520" s="87"/>
    </row>
    <row r="3521" spans="1:109" s="161" customFormat="1" ht="15.75" hidden="1" x14ac:dyDescent="0.25">
      <c r="A3521" s="1" t="str">
        <f t="shared" si="170"/>
        <v>452844528631.66MASTER CCTRANSPORTUBER</v>
      </c>
      <c r="B3521" s="154">
        <v>45284</v>
      </c>
      <c r="C3521" s="154">
        <v>45286</v>
      </c>
      <c r="D3521" s="3" t="s">
        <v>3788</v>
      </c>
      <c r="E3521" s="3">
        <v>-31.66</v>
      </c>
      <c r="F3521" s="3">
        <v>1</v>
      </c>
      <c r="G3521" s="3">
        <f t="shared" si="172"/>
        <v>31.66</v>
      </c>
      <c r="H3521" s="3" t="s">
        <v>291</v>
      </c>
      <c r="I3521" s="1" t="s">
        <v>296</v>
      </c>
      <c r="J3521" s="1" t="s">
        <v>299</v>
      </c>
      <c r="K3521" s="1" t="s">
        <v>298</v>
      </c>
      <c r="L3521" s="1" t="s">
        <v>267</v>
      </c>
      <c r="M3521" s="1"/>
      <c r="N3521" s="1">
        <f t="shared" si="171"/>
        <v>12</v>
      </c>
      <c r="O3521" s="87"/>
    </row>
    <row r="3522" spans="1:109" s="161" customFormat="1" ht="15.75" hidden="1" x14ac:dyDescent="0.25">
      <c r="A3522" s="1" t="str">
        <f t="shared" ref="A3522:A3585" si="173">B3522&amp;C3522&amp;G3522&amp;H3522&amp;I3522&amp;J3522</f>
        <v>452854528719.63MASTER CCTRANSPORTUBER</v>
      </c>
      <c r="B3522" s="154">
        <v>45285</v>
      </c>
      <c r="C3522" s="154">
        <v>45287</v>
      </c>
      <c r="D3522" s="3" t="s">
        <v>3779</v>
      </c>
      <c r="E3522" s="3">
        <v>-19.63</v>
      </c>
      <c r="F3522" s="3">
        <v>1</v>
      </c>
      <c r="G3522" s="3">
        <f t="shared" si="172"/>
        <v>19.63</v>
      </c>
      <c r="H3522" s="3" t="s">
        <v>291</v>
      </c>
      <c r="I3522" s="1" t="s">
        <v>296</v>
      </c>
      <c r="J3522" s="1" t="s">
        <v>299</v>
      </c>
      <c r="K3522" s="1" t="s">
        <v>298</v>
      </c>
      <c r="L3522" s="1" t="s">
        <v>267</v>
      </c>
      <c r="M3522" s="1"/>
      <c r="N3522" s="1">
        <f t="shared" ref="N3522:N3585" si="174">MONTH(C3522)</f>
        <v>12</v>
      </c>
      <c r="O3522" s="87"/>
    </row>
    <row r="3523" spans="1:109" s="161" customFormat="1" ht="15.75" hidden="1" x14ac:dyDescent="0.25">
      <c r="A3523" s="1" t="str">
        <f t="shared" si="173"/>
        <v>452854528717.57MASTER CCTRANSPORTUBER</v>
      </c>
      <c r="B3523" s="154">
        <v>45285</v>
      </c>
      <c r="C3523" s="154">
        <v>45287</v>
      </c>
      <c r="D3523" s="3" t="s">
        <v>3780</v>
      </c>
      <c r="E3523" s="3">
        <v>-17.57</v>
      </c>
      <c r="F3523" s="3">
        <v>1</v>
      </c>
      <c r="G3523" s="3">
        <f t="shared" si="172"/>
        <v>17.57</v>
      </c>
      <c r="H3523" s="3" t="s">
        <v>291</v>
      </c>
      <c r="I3523" s="1" t="s">
        <v>296</v>
      </c>
      <c r="J3523" s="1" t="s">
        <v>299</v>
      </c>
      <c r="K3523" s="1" t="s">
        <v>298</v>
      </c>
      <c r="L3523" s="1" t="s">
        <v>267</v>
      </c>
      <c r="M3523" s="1"/>
      <c r="N3523" s="1">
        <f t="shared" si="174"/>
        <v>12</v>
      </c>
      <c r="O3523" s="87"/>
    </row>
    <row r="3524" spans="1:109" s="161" customFormat="1" ht="15.75" hidden="1" x14ac:dyDescent="0.25">
      <c r="A3524" s="1" t="str">
        <f t="shared" si="173"/>
        <v>452854528763MASTER CCGROCERYREDROSE</v>
      </c>
      <c r="B3524" s="154">
        <v>45285</v>
      </c>
      <c r="C3524" s="154">
        <v>45287</v>
      </c>
      <c r="D3524" s="3" t="s">
        <v>3781</v>
      </c>
      <c r="E3524" s="3">
        <v>-63</v>
      </c>
      <c r="F3524" s="3">
        <v>1</v>
      </c>
      <c r="G3524" s="3">
        <f t="shared" si="172"/>
        <v>63</v>
      </c>
      <c r="H3524" s="3" t="s">
        <v>291</v>
      </c>
      <c r="I3524" s="1" t="s">
        <v>43</v>
      </c>
      <c r="J3524" s="1" t="s">
        <v>4082</v>
      </c>
      <c r="K3524" s="1" t="s">
        <v>298</v>
      </c>
      <c r="L3524" s="1" t="s">
        <v>267</v>
      </c>
      <c r="M3524" s="1"/>
      <c r="N3524" s="1">
        <f t="shared" si="174"/>
        <v>12</v>
      </c>
      <c r="O3524" s="87"/>
    </row>
    <row r="3525" spans="1:109" s="161" customFormat="1" ht="15.75" hidden="1" x14ac:dyDescent="0.25">
      <c r="A3525" s="1" t="str">
        <f t="shared" si="173"/>
        <v>452854528665.86MASTER CCGROCERYLULU</v>
      </c>
      <c r="B3525" s="154">
        <v>45285</v>
      </c>
      <c r="C3525" s="154">
        <v>45286</v>
      </c>
      <c r="D3525" s="3" t="s">
        <v>3782</v>
      </c>
      <c r="E3525" s="3">
        <v>-65.86</v>
      </c>
      <c r="F3525" s="3">
        <v>1</v>
      </c>
      <c r="G3525" s="3">
        <f t="shared" si="172"/>
        <v>65.86</v>
      </c>
      <c r="H3525" s="3" t="s">
        <v>291</v>
      </c>
      <c r="I3525" s="1" t="s">
        <v>43</v>
      </c>
      <c r="J3525" s="1" t="s">
        <v>44</v>
      </c>
      <c r="K3525" s="1" t="s">
        <v>298</v>
      </c>
      <c r="L3525" s="1" t="s">
        <v>267</v>
      </c>
      <c r="M3525" s="1"/>
      <c r="N3525" s="1">
        <f t="shared" si="174"/>
        <v>12</v>
      </c>
      <c r="O3525" s="87"/>
    </row>
    <row r="3526" spans="1:109" s="161" customFormat="1" ht="15.75" hidden="1" x14ac:dyDescent="0.25">
      <c r="A3526" s="1" t="str">
        <f t="shared" si="173"/>
        <v>452854528654MASTER CCGROCERYLULU</v>
      </c>
      <c r="B3526" s="154">
        <v>45285</v>
      </c>
      <c r="C3526" s="154">
        <v>45286</v>
      </c>
      <c r="D3526" s="3" t="s">
        <v>3783</v>
      </c>
      <c r="E3526" s="3">
        <v>-54</v>
      </c>
      <c r="F3526" s="3">
        <v>1</v>
      </c>
      <c r="G3526" s="3">
        <f t="shared" si="172"/>
        <v>54</v>
      </c>
      <c r="H3526" s="3" t="s">
        <v>291</v>
      </c>
      <c r="I3526" s="1" t="s">
        <v>43</v>
      </c>
      <c r="J3526" s="1" t="s">
        <v>44</v>
      </c>
      <c r="K3526" s="1" t="s">
        <v>298</v>
      </c>
      <c r="L3526" s="1" t="s">
        <v>267</v>
      </c>
      <c r="M3526" s="1"/>
      <c r="N3526" s="1">
        <f t="shared" si="174"/>
        <v>12</v>
      </c>
      <c r="O3526" s="87"/>
    </row>
    <row r="3527" spans="1:109" ht="15.75" x14ac:dyDescent="0.25">
      <c r="A3527" s="1" t="str">
        <f t="shared" si="173"/>
        <v>4528545286320MASTER CCGOLDKALYAN</v>
      </c>
      <c r="B3527" s="154">
        <v>45285</v>
      </c>
      <c r="C3527" s="154">
        <v>45286</v>
      </c>
      <c r="D3527" s="3" t="s">
        <v>3784</v>
      </c>
      <c r="E3527" s="3">
        <v>-320</v>
      </c>
      <c r="F3527" s="3">
        <v>1</v>
      </c>
      <c r="G3527" s="3">
        <f t="shared" si="172"/>
        <v>320</v>
      </c>
      <c r="H3527" s="3" t="s">
        <v>291</v>
      </c>
      <c r="I3527" s="1" t="s">
        <v>106</v>
      </c>
      <c r="J3527" s="1" t="s">
        <v>173</v>
      </c>
      <c r="K3527" s="1" t="s">
        <v>298</v>
      </c>
      <c r="L3527" s="1" t="s">
        <v>267</v>
      </c>
      <c r="M3527" s="1"/>
      <c r="N3527" s="1">
        <f t="shared" si="174"/>
        <v>12</v>
      </c>
      <c r="O3527" s="87" t="s">
        <v>4093</v>
      </c>
      <c r="P3527" s="161"/>
      <c r="Q3527" s="161"/>
      <c r="R3527" s="161"/>
      <c r="S3527" s="161"/>
      <c r="T3527" s="161"/>
      <c r="U3527" s="161"/>
      <c r="V3527" s="161"/>
      <c r="W3527" s="161"/>
      <c r="X3527" s="161"/>
      <c r="Y3527" s="161"/>
      <c r="Z3527" s="161"/>
      <c r="AA3527" s="161"/>
      <c r="AB3527" s="161"/>
      <c r="AC3527" s="161"/>
      <c r="AD3527" s="161"/>
      <c r="AE3527" s="161"/>
      <c r="AF3527" s="161"/>
      <c r="AG3527" s="161"/>
      <c r="AH3527" s="161"/>
      <c r="AI3527" s="161"/>
      <c r="AJ3527" s="161"/>
      <c r="AK3527" s="161"/>
      <c r="AL3527" s="161"/>
      <c r="AM3527" s="161"/>
      <c r="AN3527" s="161"/>
      <c r="AO3527" s="161"/>
      <c r="AP3527" s="161"/>
      <c r="AQ3527" s="161"/>
      <c r="AR3527" s="161"/>
      <c r="AS3527" s="161"/>
      <c r="AT3527" s="161"/>
      <c r="AU3527" s="161"/>
      <c r="AV3527" s="161"/>
      <c r="AW3527" s="161"/>
      <c r="AX3527" s="161"/>
      <c r="AY3527" s="161"/>
      <c r="AZ3527" s="161"/>
      <c r="BA3527" s="161"/>
      <c r="BB3527" s="161"/>
      <c r="BC3527" s="161"/>
      <c r="BD3527" s="161"/>
      <c r="BE3527" s="161"/>
      <c r="BF3527" s="161"/>
      <c r="BG3527" s="161"/>
      <c r="BH3527" s="161"/>
      <c r="BI3527" s="161"/>
      <c r="BJ3527" s="161"/>
      <c r="BK3527" s="161"/>
      <c r="BL3527" s="161"/>
      <c r="BM3527" s="161"/>
      <c r="BN3527" s="161"/>
      <c r="BO3527" s="161"/>
      <c r="BP3527" s="161"/>
      <c r="BQ3527" s="161"/>
      <c r="BR3527" s="161"/>
      <c r="BS3527" s="161"/>
      <c r="BT3527" s="161"/>
      <c r="BU3527" s="161"/>
      <c r="BV3527" s="161"/>
      <c r="BW3527" s="161"/>
      <c r="BX3527" s="161"/>
      <c r="BY3527" s="161"/>
      <c r="BZ3527" s="161"/>
      <c r="CA3527" s="161"/>
      <c r="CB3527" s="161"/>
      <c r="CC3527" s="161"/>
      <c r="CD3527" s="161"/>
      <c r="CE3527" s="161"/>
      <c r="CF3527" s="161"/>
      <c r="CG3527" s="161"/>
      <c r="CH3527" s="161"/>
      <c r="CI3527" s="161"/>
      <c r="CJ3527" s="161"/>
      <c r="CK3527" s="161"/>
      <c r="CL3527" s="161"/>
      <c r="CM3527" s="161"/>
      <c r="CN3527" s="161"/>
      <c r="CO3527" s="161"/>
      <c r="CP3527" s="161"/>
      <c r="CQ3527" s="161"/>
      <c r="CR3527" s="161"/>
      <c r="CS3527" s="161"/>
      <c r="CT3527" s="161"/>
      <c r="CU3527" s="161"/>
      <c r="CV3527" s="161"/>
      <c r="CW3527" s="161"/>
      <c r="CX3527" s="161"/>
      <c r="CY3527" s="161"/>
      <c r="CZ3527" s="161"/>
      <c r="DA3527" s="161"/>
      <c r="DB3527" s="161"/>
      <c r="DC3527" s="161"/>
      <c r="DD3527" s="161"/>
      <c r="DE3527" s="161"/>
    </row>
    <row r="3528" spans="1:109" ht="15.75" hidden="1" x14ac:dyDescent="0.25">
      <c r="A3528" s="1" t="str">
        <f t="shared" si="173"/>
        <v>452864528851.17MASTER CCGROCERYREDROSE</v>
      </c>
      <c r="B3528" s="154">
        <v>45286</v>
      </c>
      <c r="C3528" s="154">
        <v>45288</v>
      </c>
      <c r="D3528" s="3" t="s">
        <v>3777</v>
      </c>
      <c r="E3528" s="3">
        <v>-51.17</v>
      </c>
      <c r="F3528" s="3">
        <v>1</v>
      </c>
      <c r="G3528" s="3">
        <f t="shared" si="172"/>
        <v>51.17</v>
      </c>
      <c r="H3528" s="3" t="s">
        <v>291</v>
      </c>
      <c r="I3528" s="1" t="s">
        <v>43</v>
      </c>
      <c r="J3528" s="1" t="s">
        <v>4082</v>
      </c>
      <c r="K3528" s="1" t="s">
        <v>298</v>
      </c>
      <c r="L3528" s="1" t="s">
        <v>267</v>
      </c>
      <c r="M3528" s="1"/>
      <c r="N3528" s="1">
        <f t="shared" si="174"/>
        <v>12</v>
      </c>
      <c r="O3528" s="87"/>
      <c r="P3528" s="161"/>
      <c r="Q3528" s="161"/>
      <c r="R3528" s="161"/>
      <c r="S3528" s="161"/>
      <c r="T3528" s="161"/>
      <c r="U3528" s="161"/>
      <c r="V3528" s="161"/>
      <c r="W3528" s="161"/>
      <c r="X3528" s="161"/>
      <c r="Y3528" s="161"/>
      <c r="Z3528" s="161"/>
      <c r="AA3528" s="161"/>
      <c r="AB3528" s="161"/>
      <c r="AC3528" s="161"/>
      <c r="AD3528" s="161"/>
      <c r="AE3528" s="161"/>
      <c r="AF3528" s="161"/>
      <c r="AG3528" s="161"/>
      <c r="AH3528" s="161"/>
      <c r="AI3528" s="161"/>
      <c r="AJ3528" s="161"/>
      <c r="AK3528" s="161"/>
      <c r="AL3528" s="161"/>
      <c r="AM3528" s="161"/>
      <c r="AN3528" s="161"/>
      <c r="AO3528" s="161"/>
      <c r="AP3528" s="161"/>
      <c r="AQ3528" s="161"/>
      <c r="AR3528" s="161"/>
      <c r="AS3528" s="161"/>
      <c r="AT3528" s="161"/>
      <c r="AU3528" s="161"/>
      <c r="AV3528" s="161"/>
      <c r="AW3528" s="161"/>
      <c r="AX3528" s="161"/>
      <c r="AY3528" s="161"/>
      <c r="AZ3528" s="161"/>
      <c r="BA3528" s="161"/>
      <c r="BB3528" s="161"/>
      <c r="BC3528" s="161"/>
      <c r="BD3528" s="161"/>
      <c r="BE3528" s="161"/>
      <c r="BF3528" s="161"/>
      <c r="BG3528" s="161"/>
      <c r="BH3528" s="161"/>
      <c r="BI3528" s="161"/>
      <c r="BJ3528" s="161"/>
      <c r="BK3528" s="161"/>
      <c r="BL3528" s="161"/>
      <c r="BM3528" s="161"/>
      <c r="BN3528" s="161"/>
      <c r="BO3528" s="161"/>
      <c r="BP3528" s="161"/>
      <c r="BQ3528" s="161"/>
      <c r="BR3528" s="161"/>
      <c r="BS3528" s="161"/>
      <c r="BT3528" s="161"/>
      <c r="BU3528" s="161"/>
      <c r="BV3528" s="161"/>
      <c r="BW3528" s="161"/>
      <c r="BX3528" s="161"/>
      <c r="BY3528" s="161"/>
      <c r="BZ3528" s="161"/>
      <c r="CA3528" s="161"/>
      <c r="CB3528" s="161"/>
      <c r="CC3528" s="161"/>
      <c r="CD3528" s="161"/>
      <c r="CE3528" s="161"/>
      <c r="CF3528" s="161"/>
      <c r="CG3528" s="161"/>
      <c r="CH3528" s="161"/>
      <c r="CI3528" s="161"/>
      <c r="CJ3528" s="161"/>
      <c r="CK3528" s="161"/>
      <c r="CL3528" s="161"/>
      <c r="CM3528" s="161"/>
      <c r="CN3528" s="161"/>
      <c r="CO3528" s="161"/>
      <c r="CP3528" s="161"/>
      <c r="CQ3528" s="161"/>
      <c r="CR3528" s="161"/>
      <c r="CS3528" s="161"/>
      <c r="CT3528" s="161"/>
      <c r="CU3528" s="161"/>
      <c r="CV3528" s="161"/>
      <c r="CW3528" s="161"/>
      <c r="CX3528" s="161"/>
      <c r="CY3528" s="161"/>
      <c r="CZ3528" s="161"/>
      <c r="DA3528" s="161"/>
      <c r="DB3528" s="161"/>
      <c r="DC3528" s="161"/>
      <c r="DD3528" s="161"/>
      <c r="DE3528" s="161"/>
    </row>
    <row r="3529" spans="1:109" ht="15.75" hidden="1" x14ac:dyDescent="0.25">
      <c r="A3529" s="1" t="str">
        <f t="shared" si="173"/>
        <v>452864528858MASTER CCGROCERYREDROSE</v>
      </c>
      <c r="B3529" s="154">
        <v>45286</v>
      </c>
      <c r="C3529" s="154">
        <v>45288</v>
      </c>
      <c r="D3529" s="3" t="s">
        <v>3778</v>
      </c>
      <c r="E3529" s="3">
        <v>-58</v>
      </c>
      <c r="F3529" s="3">
        <v>1</v>
      </c>
      <c r="G3529" s="3">
        <f t="shared" si="172"/>
        <v>58</v>
      </c>
      <c r="H3529" s="3" t="s">
        <v>291</v>
      </c>
      <c r="I3529" s="1" t="s">
        <v>43</v>
      </c>
      <c r="J3529" s="1" t="s">
        <v>4082</v>
      </c>
      <c r="K3529" s="1" t="s">
        <v>298</v>
      </c>
      <c r="L3529" s="1" t="s">
        <v>267</v>
      </c>
      <c r="M3529" s="1"/>
      <c r="N3529" s="1">
        <f t="shared" si="174"/>
        <v>12</v>
      </c>
      <c r="O3529" s="87"/>
      <c r="P3529" s="161"/>
      <c r="Q3529" s="161"/>
      <c r="R3529" s="161"/>
      <c r="S3529" s="161"/>
      <c r="T3529" s="161"/>
      <c r="U3529" s="161"/>
      <c r="V3529" s="161"/>
      <c r="W3529" s="161"/>
      <c r="X3529" s="161"/>
      <c r="Y3529" s="161"/>
      <c r="Z3529" s="161"/>
      <c r="AA3529" s="161"/>
      <c r="AB3529" s="161"/>
      <c r="AC3529" s="161"/>
      <c r="AD3529" s="161"/>
      <c r="AE3529" s="161"/>
      <c r="AF3529" s="161"/>
      <c r="AG3529" s="161"/>
      <c r="AH3529" s="161"/>
      <c r="AI3529" s="161"/>
      <c r="AJ3529" s="161"/>
      <c r="AK3529" s="161"/>
      <c r="AL3529" s="161"/>
      <c r="AM3529" s="161"/>
      <c r="AN3529" s="161"/>
      <c r="AO3529" s="161"/>
      <c r="AP3529" s="161"/>
      <c r="AQ3529" s="161"/>
      <c r="AR3529" s="161"/>
      <c r="AS3529" s="161"/>
      <c r="AT3529" s="161"/>
      <c r="AU3529" s="161"/>
      <c r="AV3529" s="161"/>
      <c r="AW3529" s="161"/>
      <c r="AX3529" s="161"/>
      <c r="AY3529" s="161"/>
      <c r="AZ3529" s="161"/>
      <c r="BA3529" s="161"/>
      <c r="BB3529" s="161"/>
      <c r="BC3529" s="161"/>
      <c r="BD3529" s="161"/>
      <c r="BE3529" s="161"/>
      <c r="BF3529" s="161"/>
      <c r="BG3529" s="161"/>
      <c r="BH3529" s="161"/>
      <c r="BI3529" s="161"/>
      <c r="BJ3529" s="161"/>
      <c r="BK3529" s="161"/>
      <c r="BL3529" s="161"/>
      <c r="BM3529" s="161"/>
      <c r="BN3529" s="161"/>
      <c r="BO3529" s="161"/>
      <c r="BP3529" s="161"/>
      <c r="BQ3529" s="161"/>
      <c r="BR3529" s="161"/>
      <c r="BS3529" s="161"/>
      <c r="BT3529" s="161"/>
      <c r="BU3529" s="161"/>
      <c r="BV3529" s="161"/>
      <c r="BW3529" s="161"/>
      <c r="BX3529" s="161"/>
      <c r="BY3529" s="161"/>
      <c r="BZ3529" s="161"/>
      <c r="CA3529" s="161"/>
      <c r="CB3529" s="161"/>
      <c r="CC3529" s="161"/>
      <c r="CD3529" s="161"/>
      <c r="CE3529" s="161"/>
      <c r="CF3529" s="161"/>
      <c r="CG3529" s="161"/>
      <c r="CH3529" s="161"/>
      <c r="CI3529" s="161"/>
      <c r="CJ3529" s="161"/>
      <c r="CK3529" s="161"/>
      <c r="CL3529" s="161"/>
      <c r="CM3529" s="161"/>
      <c r="CN3529" s="161"/>
      <c r="CO3529" s="161"/>
      <c r="CP3529" s="161"/>
      <c r="CQ3529" s="161"/>
      <c r="CR3529" s="161"/>
      <c r="CS3529" s="161"/>
      <c r="CT3529" s="161"/>
      <c r="CU3529" s="161"/>
      <c r="CV3529" s="161"/>
      <c r="CW3529" s="161"/>
      <c r="CX3529" s="161"/>
      <c r="CY3529" s="161"/>
      <c r="CZ3529" s="161"/>
      <c r="DA3529" s="161"/>
      <c r="DB3529" s="161"/>
      <c r="DC3529" s="161"/>
      <c r="DD3529" s="161"/>
      <c r="DE3529" s="161"/>
    </row>
    <row r="3530" spans="1:109" ht="15.75" hidden="1" x14ac:dyDescent="0.25">
      <c r="A3530" s="1" t="str">
        <f t="shared" si="173"/>
        <v>452874528742CURRENTTRANSPORTKARWA</v>
      </c>
      <c r="B3530" s="154">
        <v>45287</v>
      </c>
      <c r="C3530" s="154">
        <v>45287</v>
      </c>
      <c r="D3530" s="3" t="s">
        <v>3691</v>
      </c>
      <c r="E3530" s="3">
        <v>-42</v>
      </c>
      <c r="F3530" s="3">
        <v>1</v>
      </c>
      <c r="G3530" s="3">
        <f t="shared" si="172"/>
        <v>42</v>
      </c>
      <c r="H3530" s="3" t="s">
        <v>293</v>
      </c>
      <c r="I3530" s="1" t="s">
        <v>296</v>
      </c>
      <c r="J3530" s="1" t="s">
        <v>4085</v>
      </c>
      <c r="K3530" s="1" t="s">
        <v>298</v>
      </c>
      <c r="L3530" s="1" t="s">
        <v>257</v>
      </c>
      <c r="M3530" s="1"/>
      <c r="N3530" s="1">
        <f t="shared" si="174"/>
        <v>12</v>
      </c>
      <c r="O3530" s="87"/>
      <c r="P3530" s="161"/>
      <c r="Q3530" s="161"/>
      <c r="R3530" s="161"/>
      <c r="S3530" s="161"/>
      <c r="T3530" s="161"/>
      <c r="U3530" s="161"/>
      <c r="V3530" s="161"/>
      <c r="W3530" s="161"/>
      <c r="X3530" s="161"/>
      <c r="Y3530" s="161"/>
      <c r="Z3530" s="161"/>
      <c r="AA3530" s="161"/>
      <c r="AB3530" s="161"/>
      <c r="AC3530" s="161"/>
      <c r="AD3530" s="161"/>
      <c r="AE3530" s="161"/>
      <c r="AF3530" s="161"/>
      <c r="AG3530" s="161"/>
      <c r="AH3530" s="161"/>
      <c r="AI3530" s="161"/>
      <c r="AJ3530" s="161"/>
      <c r="AK3530" s="161"/>
      <c r="AL3530" s="161"/>
      <c r="AM3530" s="161"/>
      <c r="AN3530" s="161"/>
      <c r="AO3530" s="161"/>
      <c r="AP3530" s="161"/>
      <c r="AQ3530" s="161"/>
      <c r="AR3530" s="161"/>
      <c r="AS3530" s="161"/>
      <c r="AT3530" s="161"/>
      <c r="AU3530" s="161"/>
      <c r="AV3530" s="161"/>
      <c r="AW3530" s="161"/>
      <c r="AX3530" s="161"/>
      <c r="AY3530" s="161"/>
      <c r="AZ3530" s="161"/>
      <c r="BA3530" s="161"/>
      <c r="BB3530" s="161"/>
      <c r="BC3530" s="161"/>
      <c r="BD3530" s="161"/>
      <c r="BE3530" s="161"/>
      <c r="BF3530" s="161"/>
      <c r="BG3530" s="161"/>
      <c r="BH3530" s="161"/>
      <c r="BI3530" s="161"/>
      <c r="BJ3530" s="161"/>
      <c r="BK3530" s="161"/>
      <c r="BL3530" s="161"/>
      <c r="BM3530" s="161"/>
      <c r="BN3530" s="161"/>
      <c r="BO3530" s="161"/>
      <c r="BP3530" s="161"/>
      <c r="BQ3530" s="161"/>
      <c r="BR3530" s="161"/>
      <c r="BS3530" s="161"/>
      <c r="BT3530" s="161"/>
      <c r="BU3530" s="161"/>
      <c r="BV3530" s="161"/>
      <c r="BW3530" s="161"/>
      <c r="BX3530" s="161"/>
      <c r="BY3530" s="161"/>
      <c r="BZ3530" s="161"/>
      <c r="CA3530" s="161"/>
      <c r="CB3530" s="161"/>
      <c r="CC3530" s="161"/>
      <c r="CD3530" s="161"/>
      <c r="CE3530" s="161"/>
      <c r="CF3530" s="161"/>
      <c r="CG3530" s="161"/>
      <c r="CH3530" s="161"/>
      <c r="CI3530" s="161"/>
      <c r="CJ3530" s="161"/>
      <c r="CK3530" s="161"/>
      <c r="CL3530" s="161"/>
      <c r="CM3530" s="161"/>
      <c r="CN3530" s="161"/>
      <c r="CO3530" s="161"/>
      <c r="CP3530" s="161"/>
      <c r="CQ3530" s="161"/>
      <c r="CR3530" s="161"/>
      <c r="CS3530" s="161"/>
      <c r="CT3530" s="161"/>
      <c r="CU3530" s="161"/>
      <c r="CV3530" s="161"/>
      <c r="CW3530" s="161"/>
      <c r="CX3530" s="161"/>
      <c r="CY3530" s="161"/>
      <c r="CZ3530" s="161"/>
      <c r="DA3530" s="161"/>
      <c r="DB3530" s="161"/>
      <c r="DC3530" s="161"/>
      <c r="DD3530" s="161"/>
      <c r="DE3530" s="161"/>
    </row>
    <row r="3531" spans="1:109" ht="15.75" hidden="1" x14ac:dyDescent="0.25">
      <c r="A3531" s="1" t="str">
        <f t="shared" si="173"/>
        <v>452874528750CURRENTMEDICALHAMAD</v>
      </c>
      <c r="B3531" s="154">
        <v>45287</v>
      </c>
      <c r="C3531" s="154">
        <v>45287</v>
      </c>
      <c r="D3531" s="3" t="s">
        <v>3692</v>
      </c>
      <c r="E3531" s="3">
        <v>-50</v>
      </c>
      <c r="F3531" s="3">
        <v>1</v>
      </c>
      <c r="G3531" s="3">
        <f t="shared" ref="G3531:G3594" si="175">ABS(E3531)*F3531</f>
        <v>50</v>
      </c>
      <c r="H3531" s="3" t="s">
        <v>293</v>
      </c>
      <c r="I3531" s="1" t="s">
        <v>301</v>
      </c>
      <c r="J3531" s="1" t="s">
        <v>4083</v>
      </c>
      <c r="K3531" s="1" t="s">
        <v>298</v>
      </c>
      <c r="L3531" s="1" t="s">
        <v>257</v>
      </c>
      <c r="M3531" s="1"/>
      <c r="N3531" s="1">
        <f t="shared" si="174"/>
        <v>12</v>
      </c>
      <c r="O3531" s="87"/>
      <c r="P3531" s="161"/>
      <c r="Q3531" s="161"/>
      <c r="R3531" s="161"/>
      <c r="S3531" s="161"/>
      <c r="T3531" s="161"/>
      <c r="U3531" s="161"/>
      <c r="V3531" s="161"/>
      <c r="W3531" s="161"/>
      <c r="X3531" s="161"/>
      <c r="Y3531" s="161"/>
      <c r="Z3531" s="161"/>
      <c r="AA3531" s="161"/>
      <c r="AB3531" s="161"/>
      <c r="AC3531" s="161"/>
      <c r="AD3531" s="161"/>
      <c r="AE3531" s="161"/>
      <c r="AF3531" s="161"/>
      <c r="AG3531" s="161"/>
      <c r="AH3531" s="161"/>
      <c r="AI3531" s="161"/>
      <c r="AJ3531" s="161"/>
      <c r="AK3531" s="161"/>
      <c r="AL3531" s="161"/>
      <c r="AM3531" s="161"/>
      <c r="AN3531" s="161"/>
      <c r="AO3531" s="161"/>
      <c r="AP3531" s="161"/>
      <c r="AQ3531" s="161"/>
      <c r="AR3531" s="161"/>
      <c r="AS3531" s="161"/>
      <c r="AT3531" s="161"/>
      <c r="AU3531" s="161"/>
      <c r="AV3531" s="161"/>
      <c r="AW3531" s="161"/>
      <c r="AX3531" s="161"/>
      <c r="AY3531" s="161"/>
      <c r="AZ3531" s="161"/>
      <c r="BA3531" s="161"/>
      <c r="BB3531" s="161"/>
      <c r="BC3531" s="161"/>
      <c r="BD3531" s="161"/>
      <c r="BE3531" s="161"/>
      <c r="BF3531" s="161"/>
      <c r="BG3531" s="161"/>
      <c r="BH3531" s="161"/>
      <c r="BI3531" s="161"/>
      <c r="BJ3531" s="161"/>
      <c r="BK3531" s="161"/>
      <c r="BL3531" s="161"/>
      <c r="BM3531" s="161"/>
      <c r="BN3531" s="161"/>
      <c r="BO3531" s="161"/>
      <c r="BP3531" s="161"/>
      <c r="BQ3531" s="161"/>
      <c r="BR3531" s="161"/>
      <c r="BS3531" s="161"/>
      <c r="BT3531" s="161"/>
      <c r="BU3531" s="161"/>
      <c r="BV3531" s="161"/>
      <c r="BW3531" s="161"/>
      <c r="BX3531" s="161"/>
      <c r="BY3531" s="161"/>
      <c r="BZ3531" s="161"/>
      <c r="CA3531" s="161"/>
      <c r="CB3531" s="161"/>
      <c r="CC3531" s="161"/>
      <c r="CD3531" s="161"/>
      <c r="CE3531" s="161"/>
      <c r="CF3531" s="161"/>
      <c r="CG3531" s="161"/>
      <c r="CH3531" s="161"/>
      <c r="CI3531" s="161"/>
      <c r="CJ3531" s="161"/>
      <c r="CK3531" s="161"/>
      <c r="CL3531" s="161"/>
      <c r="CM3531" s="161"/>
      <c r="CN3531" s="161"/>
      <c r="CO3531" s="161"/>
      <c r="CP3531" s="161"/>
      <c r="CQ3531" s="161"/>
      <c r="CR3531" s="161"/>
      <c r="CS3531" s="161"/>
      <c r="CT3531" s="161"/>
      <c r="CU3531" s="161"/>
      <c r="CV3531" s="161"/>
      <c r="CW3531" s="161"/>
      <c r="CX3531" s="161"/>
      <c r="CY3531" s="161"/>
      <c r="CZ3531" s="161"/>
      <c r="DA3531" s="161"/>
      <c r="DB3531" s="161"/>
      <c r="DC3531" s="161"/>
      <c r="DD3531" s="161"/>
      <c r="DE3531" s="161"/>
    </row>
    <row r="3532" spans="1:109" ht="15.75" hidden="1" x14ac:dyDescent="0.25">
      <c r="A3532" s="1" t="str">
        <f t="shared" si="173"/>
        <v>452874529024.29MASTER CCTRANSPORTUBER</v>
      </c>
      <c r="B3532" s="154">
        <v>45287</v>
      </c>
      <c r="C3532" s="154">
        <v>45290</v>
      </c>
      <c r="D3532" s="3" t="s">
        <v>3775</v>
      </c>
      <c r="E3532" s="3">
        <v>-24.29</v>
      </c>
      <c r="F3532" s="3">
        <v>1</v>
      </c>
      <c r="G3532" s="3">
        <f t="shared" si="175"/>
        <v>24.29</v>
      </c>
      <c r="H3532" s="3" t="s">
        <v>291</v>
      </c>
      <c r="I3532" s="1" t="s">
        <v>296</v>
      </c>
      <c r="J3532" s="1" t="s">
        <v>299</v>
      </c>
      <c r="K3532" s="1" t="s">
        <v>298</v>
      </c>
      <c r="L3532" s="1" t="s">
        <v>267</v>
      </c>
      <c r="M3532" s="1"/>
      <c r="N3532" s="1">
        <f t="shared" si="174"/>
        <v>12</v>
      </c>
      <c r="O3532" s="87"/>
      <c r="P3532" s="161"/>
      <c r="Q3532" s="161"/>
      <c r="R3532" s="161"/>
      <c r="S3532" s="161"/>
      <c r="T3532" s="161"/>
      <c r="U3532" s="161"/>
      <c r="V3532" s="161"/>
      <c r="W3532" s="161"/>
      <c r="X3532" s="161"/>
      <c r="Y3532" s="161"/>
      <c r="Z3532" s="161"/>
      <c r="AA3532" s="161"/>
      <c r="AB3532" s="161"/>
      <c r="AC3532" s="161"/>
      <c r="AD3532" s="161"/>
      <c r="AE3532" s="161"/>
      <c r="AF3532" s="161"/>
      <c r="AG3532" s="161"/>
      <c r="AH3532" s="161"/>
      <c r="AI3532" s="161"/>
      <c r="AJ3532" s="161"/>
      <c r="AK3532" s="161"/>
      <c r="AL3532" s="161"/>
      <c r="AM3532" s="161"/>
      <c r="AN3532" s="161"/>
      <c r="AO3532" s="161"/>
      <c r="AP3532" s="161"/>
      <c r="AQ3532" s="161"/>
      <c r="AR3532" s="161"/>
      <c r="AS3532" s="161"/>
      <c r="AT3532" s="161"/>
      <c r="AU3532" s="161"/>
      <c r="AV3532" s="161"/>
      <c r="AW3532" s="161"/>
      <c r="AX3532" s="161"/>
      <c r="AY3532" s="161"/>
      <c r="AZ3532" s="161"/>
      <c r="BA3532" s="161"/>
      <c r="BB3532" s="161"/>
      <c r="BC3532" s="161"/>
      <c r="BD3532" s="161"/>
      <c r="BE3532" s="161"/>
      <c r="BF3532" s="161"/>
      <c r="BG3532" s="161"/>
      <c r="BH3532" s="161"/>
      <c r="BI3532" s="161"/>
      <c r="BJ3532" s="161"/>
      <c r="BK3532" s="161"/>
      <c r="BL3532" s="161"/>
      <c r="BM3532" s="161"/>
      <c r="BN3532" s="161"/>
      <c r="BO3532" s="161"/>
      <c r="BP3532" s="161"/>
      <c r="BQ3532" s="161"/>
      <c r="BR3532" s="161"/>
      <c r="BS3532" s="161"/>
      <c r="BT3532" s="161"/>
      <c r="BU3532" s="161"/>
      <c r="BV3532" s="161"/>
      <c r="BW3532" s="161"/>
      <c r="BX3532" s="161"/>
      <c r="BY3532" s="161"/>
      <c r="BZ3532" s="161"/>
      <c r="CA3532" s="161"/>
      <c r="CB3532" s="161"/>
      <c r="CC3532" s="161"/>
      <c r="CD3532" s="161"/>
      <c r="CE3532" s="161"/>
      <c r="CF3532" s="161"/>
      <c r="CG3532" s="161"/>
      <c r="CH3532" s="161"/>
      <c r="CI3532" s="161"/>
      <c r="CJ3532" s="161"/>
      <c r="CK3532" s="161"/>
      <c r="CL3532" s="161"/>
      <c r="CM3532" s="161"/>
      <c r="CN3532" s="161"/>
      <c r="CO3532" s="161"/>
      <c r="CP3532" s="161"/>
      <c r="CQ3532" s="161"/>
      <c r="CR3532" s="161"/>
      <c r="CS3532" s="161"/>
      <c r="CT3532" s="161"/>
      <c r="CU3532" s="161"/>
      <c r="CV3532" s="161"/>
      <c r="CW3532" s="161"/>
      <c r="CX3532" s="161"/>
      <c r="CY3532" s="161"/>
      <c r="CZ3532" s="161"/>
      <c r="DA3532" s="161"/>
      <c r="DB3532" s="161"/>
      <c r="DC3532" s="161"/>
      <c r="DD3532" s="161"/>
      <c r="DE3532" s="161"/>
    </row>
    <row r="3533" spans="1:109" ht="15.75" hidden="1" x14ac:dyDescent="0.25">
      <c r="A3533" s="1" t="str">
        <f t="shared" si="173"/>
        <v>452874528930.93MASTER CCTRANSPORTUBER</v>
      </c>
      <c r="B3533" s="154">
        <v>45287</v>
      </c>
      <c r="C3533" s="154">
        <v>45289</v>
      </c>
      <c r="D3533" s="3" t="s">
        <v>3776</v>
      </c>
      <c r="E3533" s="3">
        <v>-30.93</v>
      </c>
      <c r="F3533" s="3">
        <v>1</v>
      </c>
      <c r="G3533" s="3">
        <f t="shared" si="175"/>
        <v>30.93</v>
      </c>
      <c r="H3533" s="3" t="s">
        <v>291</v>
      </c>
      <c r="I3533" s="1" t="s">
        <v>296</v>
      </c>
      <c r="J3533" s="1" t="s">
        <v>299</v>
      </c>
      <c r="K3533" s="1" t="s">
        <v>298</v>
      </c>
      <c r="L3533" s="1" t="s">
        <v>267</v>
      </c>
      <c r="M3533" s="1"/>
      <c r="N3533" s="1">
        <f t="shared" si="174"/>
        <v>12</v>
      </c>
      <c r="O3533" s="87"/>
      <c r="P3533" s="161"/>
      <c r="Q3533" s="161"/>
      <c r="R3533" s="161"/>
      <c r="S3533" s="161"/>
      <c r="T3533" s="161"/>
      <c r="U3533" s="161"/>
      <c r="V3533" s="161"/>
      <c r="W3533" s="161"/>
      <c r="X3533" s="161"/>
      <c r="Y3533" s="161"/>
      <c r="Z3533" s="161"/>
      <c r="AA3533" s="161"/>
      <c r="AB3533" s="161"/>
      <c r="AC3533" s="161"/>
      <c r="AD3533" s="161"/>
      <c r="AE3533" s="161"/>
      <c r="AF3533" s="161"/>
      <c r="AG3533" s="161"/>
      <c r="AH3533" s="161"/>
      <c r="AI3533" s="161"/>
      <c r="AJ3533" s="161"/>
      <c r="AK3533" s="161"/>
      <c r="AL3533" s="161"/>
      <c r="AM3533" s="161"/>
      <c r="AN3533" s="161"/>
      <c r="AO3533" s="161"/>
      <c r="AP3533" s="161"/>
      <c r="AQ3533" s="161"/>
      <c r="AR3533" s="161"/>
      <c r="AS3533" s="161"/>
      <c r="AT3533" s="161"/>
      <c r="AU3533" s="161"/>
      <c r="AV3533" s="161"/>
      <c r="AW3533" s="161"/>
      <c r="AX3533" s="161"/>
      <c r="AY3533" s="161"/>
      <c r="AZ3533" s="161"/>
      <c r="BA3533" s="161"/>
      <c r="BB3533" s="161"/>
      <c r="BC3533" s="161"/>
      <c r="BD3533" s="161"/>
      <c r="BE3533" s="161"/>
      <c r="BF3533" s="161"/>
      <c r="BG3533" s="161"/>
      <c r="BH3533" s="161"/>
      <c r="BI3533" s="161"/>
      <c r="BJ3533" s="161"/>
      <c r="BK3533" s="161"/>
      <c r="BL3533" s="161"/>
      <c r="BM3533" s="161"/>
      <c r="BN3533" s="161"/>
      <c r="BO3533" s="161"/>
      <c r="BP3533" s="161"/>
      <c r="BQ3533" s="161"/>
      <c r="BR3533" s="161"/>
      <c r="BS3533" s="161"/>
      <c r="BT3533" s="161"/>
      <c r="BU3533" s="161"/>
      <c r="BV3533" s="161"/>
      <c r="BW3533" s="161"/>
      <c r="BX3533" s="161"/>
      <c r="BY3533" s="161"/>
      <c r="BZ3533" s="161"/>
      <c r="CA3533" s="161"/>
      <c r="CB3533" s="161"/>
      <c r="CC3533" s="161"/>
      <c r="CD3533" s="161"/>
      <c r="CE3533" s="161"/>
      <c r="CF3533" s="161"/>
      <c r="CG3533" s="161"/>
      <c r="CH3533" s="161"/>
      <c r="CI3533" s="161"/>
      <c r="CJ3533" s="161"/>
      <c r="CK3533" s="161"/>
      <c r="CL3533" s="161"/>
      <c r="CM3533" s="161"/>
      <c r="CN3533" s="161"/>
      <c r="CO3533" s="161"/>
      <c r="CP3533" s="161"/>
      <c r="CQ3533" s="161"/>
      <c r="CR3533" s="161"/>
      <c r="CS3533" s="161"/>
      <c r="CT3533" s="161"/>
      <c r="CU3533" s="161"/>
      <c r="CV3533" s="161"/>
      <c r="CW3533" s="161"/>
      <c r="CX3533" s="161"/>
      <c r="CY3533" s="161"/>
      <c r="CZ3533" s="161"/>
      <c r="DA3533" s="161"/>
      <c r="DB3533" s="161"/>
      <c r="DC3533" s="161"/>
      <c r="DD3533" s="161"/>
      <c r="DE3533" s="161"/>
    </row>
    <row r="3534" spans="1:109" ht="15.75" hidden="1" x14ac:dyDescent="0.25">
      <c r="A3534" s="1" t="str">
        <f t="shared" si="173"/>
        <v>4528745288130.75DINERSGROCERYLULU</v>
      </c>
      <c r="B3534" s="154">
        <v>45287</v>
      </c>
      <c r="C3534" s="154">
        <v>45288</v>
      </c>
      <c r="D3534" s="3" t="s">
        <v>4056</v>
      </c>
      <c r="E3534" s="3">
        <v>-130.75</v>
      </c>
      <c r="F3534" s="3">
        <v>1</v>
      </c>
      <c r="G3534" s="3">
        <f t="shared" si="175"/>
        <v>130.75</v>
      </c>
      <c r="H3534" s="3" t="s">
        <v>266</v>
      </c>
      <c r="I3534" s="1" t="s">
        <v>43</v>
      </c>
      <c r="J3534" s="1" t="s">
        <v>44</v>
      </c>
      <c r="K3534" s="1" t="s">
        <v>298</v>
      </c>
      <c r="L3534" s="1" t="s">
        <v>267</v>
      </c>
      <c r="M3534" s="1"/>
      <c r="N3534" s="1">
        <f t="shared" si="174"/>
        <v>12</v>
      </c>
      <c r="O3534" s="87"/>
      <c r="P3534" s="161"/>
      <c r="Q3534" s="161"/>
      <c r="R3534" s="161"/>
      <c r="S3534" s="161"/>
      <c r="T3534" s="161"/>
      <c r="U3534" s="161"/>
      <c r="V3534" s="161"/>
      <c r="W3534" s="161"/>
      <c r="X3534" s="161"/>
      <c r="Y3534" s="161"/>
      <c r="Z3534" s="161"/>
      <c r="AA3534" s="161"/>
      <c r="AB3534" s="161"/>
      <c r="AC3534" s="161"/>
      <c r="AD3534" s="161"/>
      <c r="AE3534" s="161"/>
      <c r="AF3534" s="161"/>
      <c r="AG3534" s="161"/>
      <c r="AH3534" s="161"/>
      <c r="AI3534" s="161"/>
      <c r="AJ3534" s="161"/>
      <c r="AK3534" s="161"/>
      <c r="AL3534" s="161"/>
      <c r="AM3534" s="161"/>
      <c r="AN3534" s="161"/>
      <c r="AO3534" s="161"/>
      <c r="AP3534" s="161"/>
      <c r="AQ3534" s="161"/>
      <c r="AR3534" s="161"/>
      <c r="AS3534" s="161"/>
      <c r="AT3534" s="161"/>
      <c r="AU3534" s="161"/>
      <c r="AV3534" s="161"/>
      <c r="AW3534" s="161"/>
      <c r="AX3534" s="161"/>
      <c r="AY3534" s="161"/>
      <c r="AZ3534" s="161"/>
      <c r="BA3534" s="161"/>
      <c r="BB3534" s="161"/>
      <c r="BC3534" s="161"/>
      <c r="BD3534" s="161"/>
      <c r="BE3534" s="161"/>
      <c r="BF3534" s="161"/>
      <c r="BG3534" s="161"/>
      <c r="BH3534" s="161"/>
      <c r="BI3534" s="161"/>
      <c r="BJ3534" s="161"/>
      <c r="BK3534" s="161"/>
      <c r="BL3534" s="161"/>
      <c r="BM3534" s="161"/>
      <c r="BN3534" s="161"/>
      <c r="BO3534" s="161"/>
      <c r="BP3534" s="161"/>
      <c r="BQ3534" s="161"/>
      <c r="BR3534" s="161"/>
      <c r="BS3534" s="161"/>
      <c r="BT3534" s="161"/>
      <c r="BU3534" s="161"/>
      <c r="BV3534" s="161"/>
      <c r="BW3534" s="161"/>
      <c r="BX3534" s="161"/>
      <c r="BY3534" s="161"/>
      <c r="BZ3534" s="161"/>
      <c r="CA3534" s="161"/>
      <c r="CB3534" s="161"/>
      <c r="CC3534" s="161"/>
      <c r="CD3534" s="161"/>
      <c r="CE3534" s="161"/>
      <c r="CF3534" s="161"/>
      <c r="CG3534" s="161"/>
      <c r="CH3534" s="161"/>
      <c r="CI3534" s="161"/>
      <c r="CJ3534" s="161"/>
      <c r="CK3534" s="161"/>
      <c r="CL3534" s="161"/>
      <c r="CM3534" s="161"/>
      <c r="CN3534" s="161"/>
      <c r="CO3534" s="161"/>
      <c r="CP3534" s="161"/>
      <c r="CQ3534" s="161"/>
      <c r="CR3534" s="161"/>
      <c r="CS3534" s="161"/>
      <c r="CT3534" s="161"/>
      <c r="CU3534" s="161"/>
      <c r="CV3534" s="161"/>
      <c r="CW3534" s="161"/>
      <c r="CX3534" s="161"/>
      <c r="CY3534" s="161"/>
      <c r="CZ3534" s="161"/>
      <c r="DA3534" s="161"/>
      <c r="DB3534" s="161"/>
      <c r="DC3534" s="161"/>
      <c r="DD3534" s="161"/>
      <c r="DE3534" s="161"/>
    </row>
    <row r="3535" spans="1:109" ht="15.75" hidden="1" x14ac:dyDescent="0.25">
      <c r="A3535" s="1" t="str">
        <f t="shared" si="173"/>
        <v>452884528816.48CURRENTMEDICALHAMAD</v>
      </c>
      <c r="B3535" s="154">
        <v>45288</v>
      </c>
      <c r="C3535" s="154">
        <v>45288</v>
      </c>
      <c r="D3535" s="3" t="s">
        <v>4189</v>
      </c>
      <c r="E3535" s="3">
        <v>-16.48</v>
      </c>
      <c r="F3535" s="3">
        <v>1</v>
      </c>
      <c r="G3535" s="3">
        <f t="shared" si="175"/>
        <v>16.48</v>
      </c>
      <c r="H3535" s="3" t="s">
        <v>293</v>
      </c>
      <c r="I3535" s="1" t="s">
        <v>301</v>
      </c>
      <c r="J3535" s="1" t="s">
        <v>4083</v>
      </c>
      <c r="K3535" s="1" t="s">
        <v>298</v>
      </c>
      <c r="L3535" s="1" t="s">
        <v>257</v>
      </c>
      <c r="M3535" s="1"/>
      <c r="N3535" s="1">
        <f t="shared" si="174"/>
        <v>12</v>
      </c>
      <c r="O3535" s="87"/>
    </row>
    <row r="3536" spans="1:109" ht="15.75" hidden="1" x14ac:dyDescent="0.25">
      <c r="A3536" s="1" t="str">
        <f t="shared" si="173"/>
        <v>4528845288150CURRENTMEDICALHAMAD</v>
      </c>
      <c r="B3536" s="154">
        <v>45288</v>
      </c>
      <c r="C3536" s="154">
        <v>45288</v>
      </c>
      <c r="D3536" s="3" t="s">
        <v>4190</v>
      </c>
      <c r="E3536" s="3">
        <v>-150</v>
      </c>
      <c r="F3536" s="3">
        <v>1</v>
      </c>
      <c r="G3536" s="3">
        <f t="shared" si="175"/>
        <v>150</v>
      </c>
      <c r="H3536" s="3" t="s">
        <v>293</v>
      </c>
      <c r="I3536" s="1" t="s">
        <v>301</v>
      </c>
      <c r="J3536" s="1" t="s">
        <v>4083</v>
      </c>
      <c r="K3536" s="1" t="s">
        <v>298</v>
      </c>
      <c r="L3536" s="1" t="s">
        <v>257</v>
      </c>
      <c r="M3536" s="1"/>
      <c r="N3536" s="1">
        <f t="shared" si="174"/>
        <v>12</v>
      </c>
      <c r="O3536" s="87"/>
    </row>
    <row r="3537" spans="1:15" ht="15.75" hidden="1" x14ac:dyDescent="0.25">
      <c r="A3537" s="1" t="str">
        <f t="shared" si="173"/>
        <v>452884529026.14MASTER CCTRANSPORTUBER</v>
      </c>
      <c r="B3537" s="154">
        <v>45288</v>
      </c>
      <c r="C3537" s="154">
        <v>45290</v>
      </c>
      <c r="D3537" s="3" t="s">
        <v>4204</v>
      </c>
      <c r="E3537" s="3">
        <v>-26.14</v>
      </c>
      <c r="F3537" s="3">
        <v>1</v>
      </c>
      <c r="G3537" s="3">
        <f t="shared" si="175"/>
        <v>26.14</v>
      </c>
      <c r="H3537" s="3" t="s">
        <v>291</v>
      </c>
      <c r="I3537" s="1" t="s">
        <v>296</v>
      </c>
      <c r="J3537" s="1" t="s">
        <v>299</v>
      </c>
      <c r="K3537" s="1" t="s">
        <v>298</v>
      </c>
      <c r="L3537" s="1" t="s">
        <v>267</v>
      </c>
      <c r="M3537" s="1"/>
      <c r="N3537" s="1">
        <f t="shared" si="174"/>
        <v>12</v>
      </c>
      <c r="O3537" s="87"/>
    </row>
    <row r="3538" spans="1:15" ht="15.75" hidden="1" x14ac:dyDescent="0.25">
      <c r="A3538" s="1" t="str">
        <f t="shared" si="173"/>
        <v>452884529031.99MASTER CCTRANSPORTUBER</v>
      </c>
      <c r="B3538" s="154">
        <v>45288</v>
      </c>
      <c r="C3538" s="154">
        <v>45290</v>
      </c>
      <c r="D3538" s="3" t="s">
        <v>4205</v>
      </c>
      <c r="E3538" s="3">
        <v>-31.99</v>
      </c>
      <c r="F3538" s="3">
        <v>1</v>
      </c>
      <c r="G3538" s="3">
        <f t="shared" si="175"/>
        <v>31.99</v>
      </c>
      <c r="H3538" s="3" t="s">
        <v>291</v>
      </c>
      <c r="I3538" s="1" t="s">
        <v>296</v>
      </c>
      <c r="J3538" s="1" t="s">
        <v>299</v>
      </c>
      <c r="K3538" s="1" t="s">
        <v>298</v>
      </c>
      <c r="L3538" s="1" t="s">
        <v>267</v>
      </c>
      <c r="M3538" s="1"/>
      <c r="N3538" s="1">
        <f t="shared" si="174"/>
        <v>12</v>
      </c>
      <c r="O3538" s="87"/>
    </row>
    <row r="3539" spans="1:15" ht="15.75" hidden="1" x14ac:dyDescent="0.25">
      <c r="A3539" s="1" t="str">
        <f t="shared" si="173"/>
        <v>452884528935.58MASTER CCTRANSPORTUBER</v>
      </c>
      <c r="B3539" s="154">
        <v>45288</v>
      </c>
      <c r="C3539" s="154">
        <v>45289</v>
      </c>
      <c r="D3539" s="3" t="s">
        <v>4206</v>
      </c>
      <c r="E3539" s="3">
        <v>-35.58</v>
      </c>
      <c r="F3539" s="3">
        <v>1</v>
      </c>
      <c r="G3539" s="3">
        <f t="shared" si="175"/>
        <v>35.58</v>
      </c>
      <c r="H3539" s="3" t="s">
        <v>291</v>
      </c>
      <c r="I3539" s="1" t="s">
        <v>296</v>
      </c>
      <c r="J3539" s="1" t="s">
        <v>299</v>
      </c>
      <c r="K3539" s="1" t="s">
        <v>298</v>
      </c>
      <c r="L3539" s="1" t="s">
        <v>267</v>
      </c>
      <c r="M3539" s="1"/>
      <c r="N3539" s="1">
        <f t="shared" si="174"/>
        <v>12</v>
      </c>
      <c r="O3539" s="87"/>
    </row>
    <row r="3540" spans="1:15" ht="15.75" hidden="1" x14ac:dyDescent="0.25">
      <c r="A3540" s="1" t="str">
        <f t="shared" si="173"/>
        <v>45289452896200DINERSCC BILL PAYMENTBANK</v>
      </c>
      <c r="B3540" s="154">
        <v>45289</v>
      </c>
      <c r="C3540" s="154">
        <v>45289</v>
      </c>
      <c r="D3540" s="3" t="s">
        <v>80</v>
      </c>
      <c r="E3540" s="3">
        <v>6200</v>
      </c>
      <c r="F3540" s="3">
        <v>1</v>
      </c>
      <c r="G3540" s="3">
        <f t="shared" si="175"/>
        <v>6200</v>
      </c>
      <c r="H3540" s="3" t="s">
        <v>266</v>
      </c>
      <c r="I3540" s="1" t="s">
        <v>81</v>
      </c>
      <c r="J3540" s="1" t="s">
        <v>8</v>
      </c>
      <c r="K3540" s="1" t="s">
        <v>300</v>
      </c>
      <c r="L3540" s="1" t="s">
        <v>267</v>
      </c>
      <c r="M3540" s="1"/>
      <c r="N3540" s="1">
        <f t="shared" si="174"/>
        <v>12</v>
      </c>
      <c r="O3540" s="87"/>
    </row>
    <row r="3541" spans="1:15" ht="15.75" hidden="1" x14ac:dyDescent="0.25">
      <c r="A3541" s="1" t="str">
        <f t="shared" si="173"/>
        <v>452904529010DINERSCC BILL PAYMENTBANK</v>
      </c>
      <c r="B3541" s="154">
        <v>45290</v>
      </c>
      <c r="C3541" s="154">
        <v>45290</v>
      </c>
      <c r="D3541" s="3" t="s">
        <v>80</v>
      </c>
      <c r="E3541" s="3">
        <v>10</v>
      </c>
      <c r="F3541" s="3">
        <v>1</v>
      </c>
      <c r="G3541" s="3">
        <f t="shared" si="175"/>
        <v>10</v>
      </c>
      <c r="H3541" s="3" t="s">
        <v>266</v>
      </c>
      <c r="I3541" s="1" t="s">
        <v>81</v>
      </c>
      <c r="J3541" s="1" t="s">
        <v>8</v>
      </c>
      <c r="K3541" s="1" t="s">
        <v>300</v>
      </c>
      <c r="L3541" s="1" t="s">
        <v>267</v>
      </c>
      <c r="M3541" s="1"/>
      <c r="N3541" s="1">
        <f t="shared" si="174"/>
        <v>12</v>
      </c>
      <c r="O3541" s="87"/>
    </row>
    <row r="3542" spans="1:15" ht="15.75" hidden="1" x14ac:dyDescent="0.25">
      <c r="A3542" s="1" t="str">
        <f t="shared" si="173"/>
        <v>452914529132.25CURRENTGROCERYCARREFOUR</v>
      </c>
      <c r="B3542" s="154">
        <v>45291</v>
      </c>
      <c r="C3542" s="154">
        <v>45291</v>
      </c>
      <c r="D3542" s="3" t="s">
        <v>4179</v>
      </c>
      <c r="E3542" s="3">
        <v>-32.25</v>
      </c>
      <c r="F3542" s="3">
        <v>1</v>
      </c>
      <c r="G3542" s="3">
        <f t="shared" si="175"/>
        <v>32.25</v>
      </c>
      <c r="H3542" s="3" t="s">
        <v>293</v>
      </c>
      <c r="I3542" s="1" t="s">
        <v>43</v>
      </c>
      <c r="J3542" s="1" t="s">
        <v>67</v>
      </c>
      <c r="K3542" s="1" t="s">
        <v>298</v>
      </c>
      <c r="L3542" s="1" t="s">
        <v>257</v>
      </c>
      <c r="M3542" s="1"/>
      <c r="N3542" s="1">
        <f t="shared" si="174"/>
        <v>12</v>
      </c>
      <c r="O3542" s="87"/>
    </row>
    <row r="3543" spans="1:15" ht="15.75" hidden="1" x14ac:dyDescent="0.25">
      <c r="A3543" s="1" t="str">
        <f t="shared" si="173"/>
        <v>4529145291240CURRENTMISCLOCAET</v>
      </c>
      <c r="B3543" s="154">
        <v>45291</v>
      </c>
      <c r="C3543" s="154">
        <v>45291</v>
      </c>
      <c r="D3543" s="3" t="s">
        <v>4180</v>
      </c>
      <c r="E3543" s="3">
        <v>-240</v>
      </c>
      <c r="F3543" s="3">
        <v>1</v>
      </c>
      <c r="G3543" s="3">
        <f t="shared" si="175"/>
        <v>240</v>
      </c>
      <c r="H3543" s="3" t="s">
        <v>293</v>
      </c>
      <c r="I3543" s="1" t="s">
        <v>4388</v>
      </c>
      <c r="J3543" s="1" t="s">
        <v>4391</v>
      </c>
      <c r="K3543" s="1" t="s">
        <v>298</v>
      </c>
      <c r="L3543" s="1" t="s">
        <v>257</v>
      </c>
      <c r="M3543" s="1"/>
      <c r="N3543" s="1">
        <f t="shared" si="174"/>
        <v>12</v>
      </c>
      <c r="O3543" s="87"/>
    </row>
    <row r="3544" spans="1:15" ht="15.75" hidden="1" x14ac:dyDescent="0.25">
      <c r="A3544" s="1" t="str">
        <f t="shared" si="173"/>
        <v>4529145291444CURRENTCC BILL PAYMENTBANK</v>
      </c>
      <c r="B3544" s="154">
        <v>45291</v>
      </c>
      <c r="C3544" s="154">
        <v>45291</v>
      </c>
      <c r="D3544" s="3" t="s">
        <v>4181</v>
      </c>
      <c r="E3544" s="3">
        <v>-444</v>
      </c>
      <c r="F3544" s="3">
        <v>1</v>
      </c>
      <c r="G3544" s="3">
        <f t="shared" si="175"/>
        <v>444</v>
      </c>
      <c r="H3544" s="3" t="s">
        <v>293</v>
      </c>
      <c r="I3544" s="1" t="s">
        <v>81</v>
      </c>
      <c r="J3544" s="1" t="s">
        <v>8</v>
      </c>
      <c r="K3544" s="1" t="s">
        <v>298</v>
      </c>
      <c r="L3544" s="1" t="s">
        <v>257</v>
      </c>
      <c r="M3544" s="1"/>
      <c r="N3544" s="1">
        <f t="shared" si="174"/>
        <v>12</v>
      </c>
      <c r="O3544" s="87"/>
    </row>
    <row r="3545" spans="1:15" ht="15.75" hidden="1" x14ac:dyDescent="0.25">
      <c r="A3545" s="1" t="str">
        <f t="shared" si="173"/>
        <v>452914529117CURRENTFOODPAPA JOHN'S</v>
      </c>
      <c r="B3545" s="154">
        <v>45291</v>
      </c>
      <c r="C3545" s="154">
        <v>45291</v>
      </c>
      <c r="D3545" s="3" t="s">
        <v>4182</v>
      </c>
      <c r="E3545" s="3">
        <v>-17</v>
      </c>
      <c r="F3545" s="3">
        <v>1</v>
      </c>
      <c r="G3545" s="3">
        <f t="shared" si="175"/>
        <v>17</v>
      </c>
      <c r="H3545" s="3" t="s">
        <v>293</v>
      </c>
      <c r="I3545" s="1" t="s">
        <v>10</v>
      </c>
      <c r="J3545" s="1" t="s">
        <v>1657</v>
      </c>
      <c r="K3545" s="1" t="s">
        <v>298</v>
      </c>
      <c r="L3545" s="1" t="s">
        <v>257</v>
      </c>
      <c r="M3545" s="1"/>
      <c r="N3545" s="1">
        <f t="shared" si="174"/>
        <v>12</v>
      </c>
      <c r="O3545" s="87"/>
    </row>
    <row r="3546" spans="1:15" ht="15.75" hidden="1" x14ac:dyDescent="0.25">
      <c r="A3546" s="1" t="str">
        <f t="shared" si="173"/>
        <v>4529145291135CURRENTENTERTAINMENTFUNVILLE</v>
      </c>
      <c r="B3546" s="154">
        <v>45291</v>
      </c>
      <c r="C3546" s="154">
        <v>45291</v>
      </c>
      <c r="D3546" s="3" t="s">
        <v>4183</v>
      </c>
      <c r="E3546" s="3">
        <v>-135</v>
      </c>
      <c r="F3546" s="3">
        <v>1</v>
      </c>
      <c r="G3546" s="3">
        <f t="shared" si="175"/>
        <v>135</v>
      </c>
      <c r="H3546" s="3" t="s">
        <v>293</v>
      </c>
      <c r="I3546" s="1" t="s">
        <v>2476</v>
      </c>
      <c r="J3546" s="1" t="s">
        <v>4107</v>
      </c>
      <c r="K3546" s="1" t="s">
        <v>298</v>
      </c>
      <c r="L3546" s="1" t="s">
        <v>257</v>
      </c>
      <c r="M3546" s="1"/>
      <c r="N3546" s="1">
        <f t="shared" si="174"/>
        <v>12</v>
      </c>
      <c r="O3546" s="87"/>
    </row>
    <row r="3547" spans="1:15" ht="15.75" hidden="1" x14ac:dyDescent="0.25">
      <c r="A3547" s="1" t="str">
        <f t="shared" si="173"/>
        <v>4529145291359.46CURRENTGROCERYINDIAN SUPER</v>
      </c>
      <c r="B3547" s="154">
        <v>45291</v>
      </c>
      <c r="C3547" s="154">
        <v>45291</v>
      </c>
      <c r="D3547" s="3" t="s">
        <v>4184</v>
      </c>
      <c r="E3547" s="3">
        <v>-359.46</v>
      </c>
      <c r="F3547" s="3">
        <v>1</v>
      </c>
      <c r="G3547" s="3">
        <f t="shared" si="175"/>
        <v>359.46</v>
      </c>
      <c r="H3547" s="3" t="s">
        <v>293</v>
      </c>
      <c r="I3547" s="1" t="s">
        <v>43</v>
      </c>
      <c r="J3547" s="1" t="s">
        <v>2273</v>
      </c>
      <c r="K3547" s="1" t="s">
        <v>298</v>
      </c>
      <c r="L3547" s="1" t="s">
        <v>257</v>
      </c>
      <c r="M3547" s="1"/>
      <c r="N3547" s="1">
        <f t="shared" si="174"/>
        <v>12</v>
      </c>
      <c r="O3547" s="87"/>
    </row>
    <row r="3548" spans="1:15" ht="15.75" hidden="1" x14ac:dyDescent="0.25">
      <c r="A3548" s="1" t="str">
        <f t="shared" si="173"/>
        <v>45291452914420CURRENTTRANSFERINDIA</v>
      </c>
      <c r="B3548" s="154">
        <v>45291</v>
      </c>
      <c r="C3548" s="154">
        <v>45291</v>
      </c>
      <c r="D3548" s="3" t="s">
        <v>4185</v>
      </c>
      <c r="E3548" s="3">
        <v>-4420</v>
      </c>
      <c r="F3548" s="3">
        <v>1</v>
      </c>
      <c r="G3548" s="3">
        <f t="shared" si="175"/>
        <v>4420</v>
      </c>
      <c r="H3548" s="3" t="s">
        <v>293</v>
      </c>
      <c r="I3548" s="1" t="s">
        <v>22</v>
      </c>
      <c r="J3548" s="1" t="s">
        <v>23</v>
      </c>
      <c r="K3548" s="1" t="s">
        <v>298</v>
      </c>
      <c r="L3548" s="1" t="s">
        <v>257</v>
      </c>
      <c r="M3548" s="1"/>
      <c r="N3548" s="1">
        <f t="shared" si="174"/>
        <v>12</v>
      </c>
      <c r="O3548" s="87"/>
    </row>
    <row r="3549" spans="1:15" ht="15.75" hidden="1" x14ac:dyDescent="0.25">
      <c r="A3549" s="1" t="str">
        <f t="shared" si="173"/>
        <v>452914529167.6CURRENTGROCERYREDROSE</v>
      </c>
      <c r="B3549" s="154">
        <v>45291</v>
      </c>
      <c r="C3549" s="154">
        <v>45291</v>
      </c>
      <c r="D3549" s="3" t="s">
        <v>4186</v>
      </c>
      <c r="E3549" s="3">
        <v>-67.599999999999994</v>
      </c>
      <c r="F3549" s="3">
        <v>1</v>
      </c>
      <c r="G3549" s="3">
        <f t="shared" si="175"/>
        <v>67.599999999999994</v>
      </c>
      <c r="H3549" s="3" t="s">
        <v>293</v>
      </c>
      <c r="I3549" s="1" t="s">
        <v>43</v>
      </c>
      <c r="J3549" s="1" t="s">
        <v>4082</v>
      </c>
      <c r="K3549" s="1" t="s">
        <v>298</v>
      </c>
      <c r="L3549" s="1" t="s">
        <v>257</v>
      </c>
      <c r="M3549" s="1"/>
      <c r="N3549" s="1">
        <f t="shared" si="174"/>
        <v>12</v>
      </c>
      <c r="O3549" s="87"/>
    </row>
    <row r="3550" spans="1:15" ht="15.75" hidden="1" x14ac:dyDescent="0.25">
      <c r="A3550" s="1" t="str">
        <f t="shared" si="173"/>
        <v>452914529110CURRENTCC BILL PAYMENTBANK</v>
      </c>
      <c r="B3550" s="154">
        <v>45291</v>
      </c>
      <c r="C3550" s="154">
        <v>45291</v>
      </c>
      <c r="D3550" s="3" t="s">
        <v>4187</v>
      </c>
      <c r="E3550" s="3">
        <v>-10</v>
      </c>
      <c r="F3550" s="3">
        <v>1</v>
      </c>
      <c r="G3550" s="3">
        <f t="shared" si="175"/>
        <v>10</v>
      </c>
      <c r="H3550" s="3" t="s">
        <v>293</v>
      </c>
      <c r="I3550" s="1" t="s">
        <v>81</v>
      </c>
      <c r="J3550" s="1" t="s">
        <v>8</v>
      </c>
      <c r="K3550" s="1" t="s">
        <v>298</v>
      </c>
      <c r="L3550" s="1" t="s">
        <v>257</v>
      </c>
      <c r="M3550" s="1"/>
      <c r="N3550" s="1">
        <f t="shared" si="174"/>
        <v>12</v>
      </c>
      <c r="O3550" s="87"/>
    </row>
    <row r="3551" spans="1:15" ht="15.75" hidden="1" x14ac:dyDescent="0.25">
      <c r="A3551" s="1" t="str">
        <f t="shared" si="173"/>
        <v>45291452916200CURRENTCC BILL PAYMENTBANK</v>
      </c>
      <c r="B3551" s="154">
        <v>45291</v>
      </c>
      <c r="C3551" s="154">
        <v>45291</v>
      </c>
      <c r="D3551" s="3" t="s">
        <v>4188</v>
      </c>
      <c r="E3551" s="3">
        <v>-6200</v>
      </c>
      <c r="F3551" s="3">
        <v>1</v>
      </c>
      <c r="G3551" s="3">
        <f t="shared" si="175"/>
        <v>6200</v>
      </c>
      <c r="H3551" s="3" t="s">
        <v>293</v>
      </c>
      <c r="I3551" s="1" t="s">
        <v>81</v>
      </c>
      <c r="J3551" s="1" t="s">
        <v>8</v>
      </c>
      <c r="K3551" s="1" t="s">
        <v>298</v>
      </c>
      <c r="L3551" s="1" t="s">
        <v>257</v>
      </c>
      <c r="M3551" s="1"/>
      <c r="N3551" s="1">
        <f t="shared" si="174"/>
        <v>12</v>
      </c>
      <c r="O3551" s="87"/>
    </row>
    <row r="3552" spans="1:15" ht="15.75" hidden="1" x14ac:dyDescent="0.25">
      <c r="A3552" s="1" t="str">
        <f t="shared" si="173"/>
        <v>4529145291444DINERSCC BILL PAYMENTBANK</v>
      </c>
      <c r="B3552" s="154">
        <v>45291</v>
      </c>
      <c r="C3552" s="154">
        <v>45291</v>
      </c>
      <c r="D3552" s="3" t="s">
        <v>80</v>
      </c>
      <c r="E3552" s="3">
        <v>444</v>
      </c>
      <c r="F3552" s="3">
        <v>1</v>
      </c>
      <c r="G3552" s="3">
        <f t="shared" si="175"/>
        <v>444</v>
      </c>
      <c r="H3552" s="3" t="s">
        <v>266</v>
      </c>
      <c r="I3552" s="1" t="s">
        <v>81</v>
      </c>
      <c r="J3552" s="1" t="s">
        <v>8</v>
      </c>
      <c r="K3552" s="1" t="s">
        <v>300</v>
      </c>
      <c r="L3552" s="1" t="s">
        <v>267</v>
      </c>
      <c r="M3552" s="1"/>
      <c r="N3552" s="1">
        <f t="shared" si="174"/>
        <v>12</v>
      </c>
      <c r="O3552" s="87"/>
    </row>
    <row r="3553" spans="1:15" ht="15.75" hidden="1" x14ac:dyDescent="0.25">
      <c r="A3553" s="1" t="str">
        <f t="shared" si="173"/>
        <v>4529145294395MASTER CCSHOPPINGJARIR</v>
      </c>
      <c r="B3553" s="154">
        <v>45291</v>
      </c>
      <c r="C3553" s="154">
        <v>45294</v>
      </c>
      <c r="D3553" s="3" t="s">
        <v>4207</v>
      </c>
      <c r="E3553" s="3">
        <v>-395</v>
      </c>
      <c r="F3553" s="3">
        <v>1</v>
      </c>
      <c r="G3553" s="3">
        <f t="shared" si="175"/>
        <v>395</v>
      </c>
      <c r="H3553" s="3" t="s">
        <v>291</v>
      </c>
      <c r="I3553" s="1" t="s">
        <v>194</v>
      </c>
      <c r="J3553" s="1" t="s">
        <v>4382</v>
      </c>
      <c r="K3553" s="1" t="s">
        <v>298</v>
      </c>
      <c r="L3553" s="1" t="s">
        <v>267</v>
      </c>
      <c r="M3553" s="1"/>
      <c r="N3553" s="1">
        <f t="shared" si="174"/>
        <v>1</v>
      </c>
      <c r="O3553" s="87"/>
    </row>
    <row r="3554" spans="1:15" ht="15.75" hidden="1" x14ac:dyDescent="0.25">
      <c r="A3554" s="1" t="str">
        <f t="shared" si="173"/>
        <v>452914529460MASTER CCTELECOMOOREDOO</v>
      </c>
      <c r="B3554" s="154">
        <v>45291</v>
      </c>
      <c r="C3554" s="154">
        <v>45294</v>
      </c>
      <c r="D3554" s="3" t="s">
        <v>4208</v>
      </c>
      <c r="E3554" s="3">
        <v>-60</v>
      </c>
      <c r="F3554" s="3">
        <v>1</v>
      </c>
      <c r="G3554" s="3">
        <f t="shared" si="175"/>
        <v>60</v>
      </c>
      <c r="H3554" s="3" t="s">
        <v>291</v>
      </c>
      <c r="I3554" s="1" t="s">
        <v>58</v>
      </c>
      <c r="J3554" s="1" t="s">
        <v>59</v>
      </c>
      <c r="K3554" s="1" t="s">
        <v>298</v>
      </c>
      <c r="L3554" s="1" t="s">
        <v>267</v>
      </c>
      <c r="M3554" s="1"/>
      <c r="N3554" s="1">
        <f t="shared" si="174"/>
        <v>1</v>
      </c>
      <c r="O3554" s="87"/>
    </row>
    <row r="3555" spans="1:15" ht="15.75" hidden="1" x14ac:dyDescent="0.25">
      <c r="A3555" s="1" t="str">
        <f t="shared" si="173"/>
        <v>452914529410MASTER CCTELECOMOOREDOO</v>
      </c>
      <c r="B3555" s="154">
        <v>45291</v>
      </c>
      <c r="C3555" s="154">
        <v>45294</v>
      </c>
      <c r="D3555" s="3" t="s">
        <v>4209</v>
      </c>
      <c r="E3555" s="3">
        <v>-10</v>
      </c>
      <c r="F3555" s="3">
        <v>1</v>
      </c>
      <c r="G3555" s="3">
        <f t="shared" si="175"/>
        <v>10</v>
      </c>
      <c r="H3555" s="3" t="s">
        <v>291</v>
      </c>
      <c r="I3555" s="1" t="s">
        <v>58</v>
      </c>
      <c r="J3555" s="1" t="s">
        <v>59</v>
      </c>
      <c r="K3555" s="1" t="s">
        <v>298</v>
      </c>
      <c r="L3555" s="1" t="s">
        <v>267</v>
      </c>
      <c r="M3555" s="1"/>
      <c r="N3555" s="1">
        <f t="shared" si="174"/>
        <v>1</v>
      </c>
      <c r="O3555" s="87"/>
    </row>
    <row r="3556" spans="1:15" ht="15.75" hidden="1" x14ac:dyDescent="0.25">
      <c r="A3556" s="1" t="str">
        <f t="shared" si="173"/>
        <v>4529245292118CURRENTFOODTALABAT</v>
      </c>
      <c r="B3556" s="154">
        <v>45292</v>
      </c>
      <c r="C3556" s="154">
        <v>45292</v>
      </c>
      <c r="D3556" s="3" t="s">
        <v>4178</v>
      </c>
      <c r="E3556" s="3">
        <v>-118</v>
      </c>
      <c r="F3556" s="3">
        <v>1</v>
      </c>
      <c r="G3556" s="3">
        <f t="shared" si="175"/>
        <v>118</v>
      </c>
      <c r="H3556" s="3" t="s">
        <v>293</v>
      </c>
      <c r="I3556" s="1" t="s">
        <v>10</v>
      </c>
      <c r="J3556" s="1" t="s">
        <v>865</v>
      </c>
      <c r="K3556" s="1" t="s">
        <v>298</v>
      </c>
      <c r="L3556" s="1" t="s">
        <v>257</v>
      </c>
      <c r="M3556" s="1"/>
      <c r="N3556" s="1">
        <f t="shared" si="174"/>
        <v>1</v>
      </c>
      <c r="O3556" s="87"/>
    </row>
    <row r="3557" spans="1:15" ht="15.75" hidden="1" x14ac:dyDescent="0.25">
      <c r="A3557" s="1" t="str">
        <f t="shared" si="173"/>
        <v>4529245292500CURRENTSAVINGARTI</v>
      </c>
      <c r="B3557" s="154">
        <v>45292</v>
      </c>
      <c r="C3557" s="154">
        <v>45292</v>
      </c>
      <c r="D3557" s="3" t="s">
        <v>2909</v>
      </c>
      <c r="E3557" s="3">
        <v>-500</v>
      </c>
      <c r="F3557" s="3">
        <v>1</v>
      </c>
      <c r="G3557" s="3">
        <f t="shared" si="175"/>
        <v>500</v>
      </c>
      <c r="H3557" s="3" t="s">
        <v>293</v>
      </c>
      <c r="I3557" s="1" t="s">
        <v>302</v>
      </c>
      <c r="J3557" s="1" t="s">
        <v>453</v>
      </c>
      <c r="K3557" s="1" t="s">
        <v>298</v>
      </c>
      <c r="L3557" s="1" t="s">
        <v>257</v>
      </c>
      <c r="M3557" s="1"/>
      <c r="N3557" s="1">
        <f t="shared" si="174"/>
        <v>1</v>
      </c>
      <c r="O3557" s="87"/>
    </row>
    <row r="3558" spans="1:15" ht="15.75" hidden="1" x14ac:dyDescent="0.25">
      <c r="A3558" s="1" t="str">
        <f t="shared" si="173"/>
        <v>452924529347DINERSRENTKAHRAMAA</v>
      </c>
      <c r="B3558" s="154">
        <v>45292</v>
      </c>
      <c r="C3558" s="154">
        <v>45293</v>
      </c>
      <c r="D3558" s="3" t="s">
        <v>4202</v>
      </c>
      <c r="E3558" s="3">
        <v>-47</v>
      </c>
      <c r="F3558" s="3">
        <v>1</v>
      </c>
      <c r="G3558" s="3">
        <f t="shared" si="175"/>
        <v>47</v>
      </c>
      <c r="H3558" s="3" t="s">
        <v>266</v>
      </c>
      <c r="I3558" s="1" t="s">
        <v>83</v>
      </c>
      <c r="J3558" s="1" t="s">
        <v>4113</v>
      </c>
      <c r="K3558" s="1" t="s">
        <v>298</v>
      </c>
      <c r="L3558" s="1" t="s">
        <v>267</v>
      </c>
      <c r="M3558" s="1"/>
      <c r="N3558" s="1">
        <f t="shared" si="174"/>
        <v>1</v>
      </c>
      <c r="O3558" s="87"/>
    </row>
    <row r="3559" spans="1:15" ht="15.75" hidden="1" x14ac:dyDescent="0.25">
      <c r="A3559" s="1" t="str">
        <f t="shared" si="173"/>
        <v>4529245293150DINERSENTERTAINMENTHAMAD PORT</v>
      </c>
      <c r="B3559" s="154">
        <v>45292</v>
      </c>
      <c r="C3559" s="154">
        <v>45293</v>
      </c>
      <c r="D3559" s="3" t="s">
        <v>4203</v>
      </c>
      <c r="E3559" s="3">
        <v>-150</v>
      </c>
      <c r="F3559" s="3">
        <v>1</v>
      </c>
      <c r="G3559" s="3">
        <f t="shared" si="175"/>
        <v>150</v>
      </c>
      <c r="H3559" s="3" t="s">
        <v>266</v>
      </c>
      <c r="I3559" s="1" t="s">
        <v>2476</v>
      </c>
      <c r="J3559" s="1" t="s">
        <v>4383</v>
      </c>
      <c r="K3559" s="1" t="s">
        <v>298</v>
      </c>
      <c r="L3559" s="1" t="s">
        <v>267</v>
      </c>
      <c r="M3559" s="1"/>
      <c r="N3559" s="1">
        <f t="shared" si="174"/>
        <v>1</v>
      </c>
      <c r="O3559" s="87"/>
    </row>
    <row r="3560" spans="1:15" ht="15.75" hidden="1" x14ac:dyDescent="0.25">
      <c r="A3560" s="1" t="str">
        <f t="shared" si="173"/>
        <v>452924529681.1MASTER CCFOODTALABAT</v>
      </c>
      <c r="B3560" s="154">
        <v>45292</v>
      </c>
      <c r="C3560" s="154">
        <v>45296</v>
      </c>
      <c r="D3560" s="3" t="s">
        <v>4210</v>
      </c>
      <c r="E3560" s="3">
        <v>-81.099999999999994</v>
      </c>
      <c r="F3560" s="3">
        <v>1</v>
      </c>
      <c r="G3560" s="3">
        <f t="shared" si="175"/>
        <v>81.099999999999994</v>
      </c>
      <c r="H3560" s="3" t="s">
        <v>291</v>
      </c>
      <c r="I3560" s="1" t="s">
        <v>10</v>
      </c>
      <c r="J3560" s="1" t="s">
        <v>865</v>
      </c>
      <c r="K3560" s="1" t="s">
        <v>298</v>
      </c>
      <c r="L3560" s="1" t="s">
        <v>267</v>
      </c>
      <c r="M3560" s="1"/>
      <c r="N3560" s="1">
        <f t="shared" si="174"/>
        <v>1</v>
      </c>
      <c r="O3560" s="87"/>
    </row>
    <row r="3561" spans="1:15" ht="15.75" hidden="1" x14ac:dyDescent="0.25">
      <c r="A3561" s="1" t="str">
        <f t="shared" si="173"/>
        <v>4529245295107.06MASTER CCTRANSPORTWOQOD</v>
      </c>
      <c r="B3561" s="154">
        <v>45292</v>
      </c>
      <c r="C3561" s="154">
        <v>45295</v>
      </c>
      <c r="D3561" s="3" t="s">
        <v>4211</v>
      </c>
      <c r="E3561" s="3">
        <v>-107.06</v>
      </c>
      <c r="F3561" s="3">
        <v>1</v>
      </c>
      <c r="G3561" s="3">
        <f t="shared" si="175"/>
        <v>107.06</v>
      </c>
      <c r="H3561" s="3" t="s">
        <v>291</v>
      </c>
      <c r="I3561" s="1" t="s">
        <v>296</v>
      </c>
      <c r="J3561" s="1" t="s">
        <v>1942</v>
      </c>
      <c r="K3561" s="1" t="s">
        <v>298</v>
      </c>
      <c r="L3561" s="1" t="s">
        <v>267</v>
      </c>
      <c r="M3561" s="1"/>
      <c r="N3561" s="1">
        <f t="shared" si="174"/>
        <v>1</v>
      </c>
      <c r="O3561" s="87"/>
    </row>
    <row r="3562" spans="1:15" ht="15.75" hidden="1" x14ac:dyDescent="0.25">
      <c r="A3562" s="1" t="str">
        <f t="shared" si="173"/>
        <v>452924529432.1MASTER CCTRANSPORTUBER</v>
      </c>
      <c r="B3562" s="154">
        <v>45292</v>
      </c>
      <c r="C3562" s="154">
        <v>45294</v>
      </c>
      <c r="D3562" s="3" t="s">
        <v>4212</v>
      </c>
      <c r="E3562" s="3">
        <v>-32.1</v>
      </c>
      <c r="F3562" s="3">
        <v>1</v>
      </c>
      <c r="G3562" s="3">
        <f t="shared" si="175"/>
        <v>32.1</v>
      </c>
      <c r="H3562" s="3" t="s">
        <v>291</v>
      </c>
      <c r="I3562" s="1" t="s">
        <v>296</v>
      </c>
      <c r="J3562" s="1" t="s">
        <v>299</v>
      </c>
      <c r="K3562" s="1" t="s">
        <v>298</v>
      </c>
      <c r="L3562" s="1" t="s">
        <v>267</v>
      </c>
      <c r="M3562" s="1"/>
      <c r="N3562" s="1">
        <f t="shared" si="174"/>
        <v>1</v>
      </c>
      <c r="O3562" s="87"/>
    </row>
    <row r="3563" spans="1:15" ht="15.75" hidden="1" x14ac:dyDescent="0.25">
      <c r="A3563" s="1" t="str">
        <f t="shared" si="173"/>
        <v>452924529433.5MASTER CCTRANSPORTUBER</v>
      </c>
      <c r="B3563" s="154">
        <v>45292</v>
      </c>
      <c r="C3563" s="154">
        <v>45294</v>
      </c>
      <c r="D3563" s="3" t="s">
        <v>4213</v>
      </c>
      <c r="E3563" s="3">
        <v>-33.5</v>
      </c>
      <c r="F3563" s="3">
        <v>1</v>
      </c>
      <c r="G3563" s="3">
        <f t="shared" si="175"/>
        <v>33.5</v>
      </c>
      <c r="H3563" s="3" t="s">
        <v>291</v>
      </c>
      <c r="I3563" s="1" t="s">
        <v>296</v>
      </c>
      <c r="J3563" s="1" t="s">
        <v>299</v>
      </c>
      <c r="K3563" s="1" t="s">
        <v>298</v>
      </c>
      <c r="L3563" s="1" t="s">
        <v>267</v>
      </c>
      <c r="M3563" s="1"/>
      <c r="N3563" s="1">
        <f t="shared" si="174"/>
        <v>1</v>
      </c>
      <c r="O3563" s="87"/>
    </row>
    <row r="3564" spans="1:15" ht="15.75" hidden="1" x14ac:dyDescent="0.25">
      <c r="A3564" s="1" t="str">
        <f t="shared" si="173"/>
        <v>45293452931143.28CURRENTMEDICALALKOOT</v>
      </c>
      <c r="B3564" s="154">
        <v>45293</v>
      </c>
      <c r="C3564" s="154">
        <v>45293</v>
      </c>
      <c r="D3564" s="3" t="s">
        <v>4177</v>
      </c>
      <c r="E3564" s="3">
        <v>1143.28</v>
      </c>
      <c r="F3564" s="3">
        <v>1</v>
      </c>
      <c r="G3564" s="3">
        <f t="shared" si="175"/>
        <v>1143.28</v>
      </c>
      <c r="H3564" s="3" t="s">
        <v>293</v>
      </c>
      <c r="I3564" s="1" t="s">
        <v>301</v>
      </c>
      <c r="J3564" s="1" t="s">
        <v>4384</v>
      </c>
      <c r="K3564" s="1" t="s">
        <v>300</v>
      </c>
      <c r="L3564" s="1" t="s">
        <v>257</v>
      </c>
      <c r="M3564" s="1"/>
      <c r="N3564" s="1">
        <f t="shared" si="174"/>
        <v>1</v>
      </c>
      <c r="O3564" s="87"/>
    </row>
    <row r="3565" spans="1:15" ht="15.75" hidden="1" x14ac:dyDescent="0.25">
      <c r="A3565" s="1" t="str">
        <f t="shared" si="173"/>
        <v>4529345293500CURRENTSAVINGARTI</v>
      </c>
      <c r="B3565" s="154">
        <v>45293</v>
      </c>
      <c r="C3565" s="154">
        <v>45293</v>
      </c>
      <c r="D3565" s="3" t="s">
        <v>3703</v>
      </c>
      <c r="E3565" s="3">
        <v>-500</v>
      </c>
      <c r="F3565" s="3">
        <v>1</v>
      </c>
      <c r="G3565" s="3">
        <f t="shared" si="175"/>
        <v>500</v>
      </c>
      <c r="H3565" s="3" t="s">
        <v>293</v>
      </c>
      <c r="I3565" s="1" t="s">
        <v>302</v>
      </c>
      <c r="J3565" s="1" t="s">
        <v>453</v>
      </c>
      <c r="K3565" s="1" t="s">
        <v>298</v>
      </c>
      <c r="L3565" s="1" t="s">
        <v>257</v>
      </c>
      <c r="M3565" s="1"/>
      <c r="N3565" s="1">
        <f t="shared" si="174"/>
        <v>1</v>
      </c>
      <c r="O3565" s="87"/>
    </row>
    <row r="3566" spans="1:15" ht="15.75" hidden="1" x14ac:dyDescent="0.25">
      <c r="A3566" s="1" t="str">
        <f t="shared" si="173"/>
        <v>4529345293250DINERSRENTVODAFONE</v>
      </c>
      <c r="B3566" s="154">
        <v>45293</v>
      </c>
      <c r="C3566" s="154">
        <v>45293</v>
      </c>
      <c r="D3566" s="3" t="s">
        <v>4201</v>
      </c>
      <c r="E3566" s="3">
        <v>-250</v>
      </c>
      <c r="F3566" s="3">
        <v>1</v>
      </c>
      <c r="G3566" s="3">
        <f t="shared" si="175"/>
        <v>250</v>
      </c>
      <c r="H3566" s="3" t="s">
        <v>266</v>
      </c>
      <c r="I3566" s="1" t="s">
        <v>83</v>
      </c>
      <c r="J3566" s="1" t="s">
        <v>78</v>
      </c>
      <c r="K3566" s="1" t="s">
        <v>298</v>
      </c>
      <c r="L3566" s="1" t="s">
        <v>267</v>
      </c>
      <c r="M3566" s="1"/>
      <c r="N3566" s="1">
        <f t="shared" si="174"/>
        <v>1</v>
      </c>
      <c r="O3566" s="87"/>
    </row>
    <row r="3567" spans="1:15" ht="15.75" hidden="1" x14ac:dyDescent="0.25">
      <c r="A3567" s="1" t="str">
        <f t="shared" si="173"/>
        <v>452934529612MASTER CCFOODCAFÉ/REST.</v>
      </c>
      <c r="B3567" s="154">
        <v>45293</v>
      </c>
      <c r="C3567" s="154">
        <v>45296</v>
      </c>
      <c r="D3567" s="3" t="s">
        <v>4214</v>
      </c>
      <c r="E3567" s="3">
        <v>-12</v>
      </c>
      <c r="F3567" s="3">
        <v>1</v>
      </c>
      <c r="G3567" s="3">
        <f t="shared" si="175"/>
        <v>12</v>
      </c>
      <c r="H3567" s="3" t="s">
        <v>291</v>
      </c>
      <c r="I3567" s="1" t="s">
        <v>10</v>
      </c>
      <c r="J3567" s="1" t="s">
        <v>11</v>
      </c>
      <c r="K3567" s="1" t="s">
        <v>298</v>
      </c>
      <c r="L3567" s="1" t="s">
        <v>267</v>
      </c>
      <c r="M3567" s="1"/>
      <c r="N3567" s="1">
        <f t="shared" si="174"/>
        <v>1</v>
      </c>
      <c r="O3567" s="87"/>
    </row>
    <row r="3568" spans="1:15" ht="15.75" hidden="1" x14ac:dyDescent="0.25">
      <c r="A3568" s="1" t="str">
        <f t="shared" si="173"/>
        <v>452934529413DINERSFOODCAFÉ/REST.</v>
      </c>
      <c r="B3568" s="154">
        <v>45293</v>
      </c>
      <c r="C3568" s="154">
        <v>45294</v>
      </c>
      <c r="D3568" s="3" t="s">
        <v>4380</v>
      </c>
      <c r="E3568" s="3">
        <v>-13</v>
      </c>
      <c r="F3568" s="3">
        <v>1</v>
      </c>
      <c r="G3568" s="3">
        <f t="shared" si="175"/>
        <v>13</v>
      </c>
      <c r="H3568" s="3" t="s">
        <v>266</v>
      </c>
      <c r="I3568" s="1" t="s">
        <v>10</v>
      </c>
      <c r="J3568" s="1" t="s">
        <v>11</v>
      </c>
      <c r="K3568" s="1" t="s">
        <v>298</v>
      </c>
      <c r="L3568" s="1" t="s">
        <v>267</v>
      </c>
      <c r="M3568" s="1"/>
      <c r="N3568" s="1">
        <f t="shared" si="174"/>
        <v>1</v>
      </c>
      <c r="O3568" s="87"/>
    </row>
    <row r="3569" spans="1:15" ht="15.75" hidden="1" x14ac:dyDescent="0.25">
      <c r="A3569" s="1" t="str">
        <f t="shared" si="173"/>
        <v>45294452940CURRENTNANA</v>
      </c>
      <c r="B3569" s="154">
        <v>45294</v>
      </c>
      <c r="C3569" s="154">
        <v>45294</v>
      </c>
      <c r="D3569" s="3" t="s">
        <v>4174</v>
      </c>
      <c r="E3569" s="3">
        <v>-3500</v>
      </c>
      <c r="F3569" s="3">
        <v>0</v>
      </c>
      <c r="G3569" s="3">
        <f t="shared" si="175"/>
        <v>0</v>
      </c>
      <c r="H3569" s="3" t="s">
        <v>293</v>
      </c>
      <c r="I3569" s="1" t="s">
        <v>257</v>
      </c>
      <c r="J3569" s="1" t="s">
        <v>257</v>
      </c>
      <c r="K3569" s="1" t="s">
        <v>298</v>
      </c>
      <c r="L3569" s="1" t="s">
        <v>257</v>
      </c>
      <c r="M3569" s="1"/>
      <c r="N3569" s="1">
        <f t="shared" si="174"/>
        <v>1</v>
      </c>
      <c r="O3569" s="87"/>
    </row>
    <row r="3570" spans="1:15" ht="15.75" hidden="1" x14ac:dyDescent="0.25">
      <c r="A3570" s="1" t="str">
        <f t="shared" si="173"/>
        <v>45294452940CURRENTNANA</v>
      </c>
      <c r="B3570" s="154">
        <v>45294</v>
      </c>
      <c r="C3570" s="154">
        <v>45294</v>
      </c>
      <c r="D3570" s="3" t="s">
        <v>4175</v>
      </c>
      <c r="E3570" s="3">
        <v>3500</v>
      </c>
      <c r="F3570" s="3">
        <v>0</v>
      </c>
      <c r="G3570" s="3">
        <f t="shared" si="175"/>
        <v>0</v>
      </c>
      <c r="H3570" s="3" t="s">
        <v>293</v>
      </c>
      <c r="I3570" s="1" t="s">
        <v>257</v>
      </c>
      <c r="J3570" s="1" t="s">
        <v>257</v>
      </c>
      <c r="K3570" s="1" t="s">
        <v>300</v>
      </c>
      <c r="L3570" s="1" t="s">
        <v>257</v>
      </c>
      <c r="M3570" s="1"/>
      <c r="N3570" s="1">
        <f t="shared" si="174"/>
        <v>1</v>
      </c>
      <c r="O3570" s="87"/>
    </row>
    <row r="3571" spans="1:15" ht="15.75" hidden="1" x14ac:dyDescent="0.25">
      <c r="A3571" s="1" t="str">
        <f t="shared" si="173"/>
        <v>45294452943995CURRENTEDUCATIONORYX</v>
      </c>
      <c r="B3571" s="154">
        <v>45294</v>
      </c>
      <c r="C3571" s="154">
        <v>45294</v>
      </c>
      <c r="D3571" s="3" t="s">
        <v>4176</v>
      </c>
      <c r="E3571" s="3">
        <v>-3995</v>
      </c>
      <c r="F3571" s="3">
        <v>1</v>
      </c>
      <c r="G3571" s="3">
        <f t="shared" si="175"/>
        <v>3995</v>
      </c>
      <c r="H3571" s="3" t="s">
        <v>293</v>
      </c>
      <c r="I3571" s="1" t="s">
        <v>543</v>
      </c>
      <c r="J3571" s="1" t="s">
        <v>2073</v>
      </c>
      <c r="K3571" s="1" t="s">
        <v>298</v>
      </c>
      <c r="L3571" s="1" t="s">
        <v>257</v>
      </c>
      <c r="M3571" s="1"/>
      <c r="N3571" s="1">
        <f t="shared" si="174"/>
        <v>1</v>
      </c>
      <c r="O3571" s="87"/>
    </row>
    <row r="3572" spans="1:15" ht="15.75" hidden="1" x14ac:dyDescent="0.25">
      <c r="A3572" s="1" t="str">
        <f t="shared" si="173"/>
        <v>452944529645MASTER CCFOODCAFÉ/REST.</v>
      </c>
      <c r="B3572" s="154">
        <v>45294</v>
      </c>
      <c r="C3572" s="154">
        <v>45296</v>
      </c>
      <c r="D3572" s="3" t="s">
        <v>4215</v>
      </c>
      <c r="E3572" s="3">
        <v>-45</v>
      </c>
      <c r="F3572" s="3">
        <v>1</v>
      </c>
      <c r="G3572" s="3">
        <f t="shared" si="175"/>
        <v>45</v>
      </c>
      <c r="H3572" s="3" t="s">
        <v>291</v>
      </c>
      <c r="I3572" s="1" t="s">
        <v>10</v>
      </c>
      <c r="J3572" s="1" t="s">
        <v>11</v>
      </c>
      <c r="K3572" s="1" t="s">
        <v>298</v>
      </c>
      <c r="L3572" s="1" t="s">
        <v>267</v>
      </c>
      <c r="M3572" s="1"/>
      <c r="N3572" s="1">
        <f t="shared" si="174"/>
        <v>1</v>
      </c>
      <c r="O3572" s="87"/>
    </row>
    <row r="3573" spans="1:15" ht="15.75" hidden="1" x14ac:dyDescent="0.25">
      <c r="A3573" s="1" t="str">
        <f t="shared" si="173"/>
        <v>452944529527.21MASTER CCTRANSPORTUBER</v>
      </c>
      <c r="B3573" s="154">
        <v>45294</v>
      </c>
      <c r="C3573" s="154">
        <v>45295</v>
      </c>
      <c r="D3573" s="3" t="s">
        <v>4216</v>
      </c>
      <c r="E3573" s="3">
        <v>-27.21</v>
      </c>
      <c r="F3573" s="3">
        <v>1</v>
      </c>
      <c r="G3573" s="3">
        <f t="shared" si="175"/>
        <v>27.21</v>
      </c>
      <c r="H3573" s="3" t="s">
        <v>291</v>
      </c>
      <c r="I3573" s="1" t="s">
        <v>296</v>
      </c>
      <c r="J3573" s="1" t="s">
        <v>299</v>
      </c>
      <c r="K3573" s="1" t="s">
        <v>298</v>
      </c>
      <c r="L3573" s="1" t="s">
        <v>267</v>
      </c>
      <c r="M3573" s="1"/>
      <c r="N3573" s="1">
        <f t="shared" si="174"/>
        <v>1</v>
      </c>
      <c r="O3573" s="87"/>
    </row>
    <row r="3574" spans="1:15" ht="15.75" hidden="1" x14ac:dyDescent="0.25">
      <c r="A3574" s="1" t="str">
        <f t="shared" si="173"/>
        <v>452944529526.65MASTER CCTRANSPORTUBER</v>
      </c>
      <c r="B3574" s="154">
        <v>45294</v>
      </c>
      <c r="C3574" s="154">
        <v>45295</v>
      </c>
      <c r="D3574" s="3" t="s">
        <v>4217</v>
      </c>
      <c r="E3574" s="3">
        <v>-26.65</v>
      </c>
      <c r="F3574" s="3">
        <v>1</v>
      </c>
      <c r="G3574" s="3">
        <f t="shared" si="175"/>
        <v>26.65</v>
      </c>
      <c r="H3574" s="3" t="s">
        <v>291</v>
      </c>
      <c r="I3574" s="1" t="s">
        <v>296</v>
      </c>
      <c r="J3574" s="1" t="s">
        <v>299</v>
      </c>
      <c r="K3574" s="1" t="s">
        <v>298</v>
      </c>
      <c r="L3574" s="1" t="s">
        <v>267</v>
      </c>
      <c r="M3574" s="1"/>
      <c r="N3574" s="1">
        <f t="shared" si="174"/>
        <v>1</v>
      </c>
      <c r="O3574" s="87"/>
    </row>
    <row r="3575" spans="1:15" ht="15.75" hidden="1" x14ac:dyDescent="0.25">
      <c r="A3575" s="1" t="str">
        <f t="shared" si="173"/>
        <v>4529545298129.75MASTER CCGROCERYLULU</v>
      </c>
      <c r="B3575" s="154">
        <v>45295</v>
      </c>
      <c r="C3575" s="154">
        <v>45298</v>
      </c>
      <c r="D3575" s="3" t="s">
        <v>4218</v>
      </c>
      <c r="E3575" s="3">
        <v>-129.75</v>
      </c>
      <c r="F3575" s="3">
        <v>1</v>
      </c>
      <c r="G3575" s="3">
        <f t="shared" si="175"/>
        <v>129.75</v>
      </c>
      <c r="H3575" s="3" t="s">
        <v>291</v>
      </c>
      <c r="I3575" s="1" t="s">
        <v>43</v>
      </c>
      <c r="J3575" s="1" t="s">
        <v>44</v>
      </c>
      <c r="K3575" s="1" t="s">
        <v>298</v>
      </c>
      <c r="L3575" s="1" t="s">
        <v>267</v>
      </c>
      <c r="M3575" s="1"/>
      <c r="N3575" s="1">
        <f t="shared" si="174"/>
        <v>1</v>
      </c>
      <c r="O3575" s="87"/>
    </row>
    <row r="3576" spans="1:15" ht="15.75" hidden="1" x14ac:dyDescent="0.25">
      <c r="A3576" s="1" t="str">
        <f t="shared" si="173"/>
        <v>4529545298113MASTER CCGROCERYLULU</v>
      </c>
      <c r="B3576" s="154">
        <v>45295</v>
      </c>
      <c r="C3576" s="154">
        <v>45298</v>
      </c>
      <c r="D3576" s="3" t="s">
        <v>4219</v>
      </c>
      <c r="E3576" s="3">
        <v>-113</v>
      </c>
      <c r="F3576" s="3">
        <v>1</v>
      </c>
      <c r="G3576" s="3">
        <f t="shared" si="175"/>
        <v>113</v>
      </c>
      <c r="H3576" s="3" t="s">
        <v>291</v>
      </c>
      <c r="I3576" s="1" t="s">
        <v>43</v>
      </c>
      <c r="J3576" s="1" t="s">
        <v>44</v>
      </c>
      <c r="K3576" s="1" t="s">
        <v>298</v>
      </c>
      <c r="L3576" s="1" t="s">
        <v>267</v>
      </c>
      <c r="M3576" s="1"/>
      <c r="N3576" s="1">
        <f t="shared" si="174"/>
        <v>1</v>
      </c>
      <c r="O3576" s="87"/>
    </row>
    <row r="3577" spans="1:15" ht="15.75" hidden="1" x14ac:dyDescent="0.25">
      <c r="A3577" s="1" t="str">
        <f t="shared" si="173"/>
        <v>4529645299168MASTER CCFOODTALABAT</v>
      </c>
      <c r="B3577" s="154">
        <v>45296</v>
      </c>
      <c r="C3577" s="154">
        <v>45299</v>
      </c>
      <c r="D3577" s="3" t="s">
        <v>4220</v>
      </c>
      <c r="E3577" s="3">
        <v>-168</v>
      </c>
      <c r="F3577" s="3">
        <v>1</v>
      </c>
      <c r="G3577" s="3">
        <f t="shared" si="175"/>
        <v>168</v>
      </c>
      <c r="H3577" s="3" t="s">
        <v>291</v>
      </c>
      <c r="I3577" s="1" t="s">
        <v>10</v>
      </c>
      <c r="J3577" s="1" t="s">
        <v>865</v>
      </c>
      <c r="K3577" s="1" t="s">
        <v>298</v>
      </c>
      <c r="L3577" s="1" t="s">
        <v>267</v>
      </c>
      <c r="M3577" s="1"/>
      <c r="N3577" s="1">
        <f t="shared" si="174"/>
        <v>1</v>
      </c>
      <c r="O3577" s="87"/>
    </row>
    <row r="3578" spans="1:15" ht="15.75" hidden="1" x14ac:dyDescent="0.25">
      <c r="A3578" s="1" t="str">
        <f t="shared" si="173"/>
        <v>4529745300254.74MASTER CCGROCERYINDIAN SUPER</v>
      </c>
      <c r="B3578" s="154">
        <v>45297</v>
      </c>
      <c r="C3578" s="154">
        <v>45300</v>
      </c>
      <c r="D3578" s="3" t="s">
        <v>4221</v>
      </c>
      <c r="E3578" s="3">
        <v>-254.74</v>
      </c>
      <c r="F3578" s="3">
        <v>1</v>
      </c>
      <c r="G3578" s="3">
        <f t="shared" si="175"/>
        <v>254.74</v>
      </c>
      <c r="H3578" s="3" t="s">
        <v>291</v>
      </c>
      <c r="I3578" s="1" t="s">
        <v>43</v>
      </c>
      <c r="J3578" s="1" t="s">
        <v>2273</v>
      </c>
      <c r="K3578" s="1" t="s">
        <v>298</v>
      </c>
      <c r="L3578" s="1" t="s">
        <v>267</v>
      </c>
      <c r="M3578" s="1"/>
      <c r="N3578" s="1">
        <f t="shared" si="174"/>
        <v>1</v>
      </c>
      <c r="O3578" s="87"/>
    </row>
    <row r="3579" spans="1:15" ht="15.75" hidden="1" x14ac:dyDescent="0.25">
      <c r="A3579" s="1" t="str">
        <f t="shared" si="173"/>
        <v>45298452985000CURRENTRENTBARWA</v>
      </c>
      <c r="B3579" s="154">
        <v>45298</v>
      </c>
      <c r="C3579" s="154">
        <v>45298</v>
      </c>
      <c r="D3579" s="3" t="s">
        <v>4172</v>
      </c>
      <c r="E3579" s="3">
        <v>-5000</v>
      </c>
      <c r="F3579" s="3">
        <v>1</v>
      </c>
      <c r="G3579" s="3">
        <f t="shared" si="175"/>
        <v>5000</v>
      </c>
      <c r="H3579" s="3" t="s">
        <v>293</v>
      </c>
      <c r="I3579" s="1" t="s">
        <v>83</v>
      </c>
      <c r="J3579" s="1" t="s">
        <v>3633</v>
      </c>
      <c r="K3579" s="1" t="s">
        <v>298</v>
      </c>
      <c r="L3579" s="1" t="s">
        <v>257</v>
      </c>
      <c r="M3579" s="1"/>
      <c r="N3579" s="1">
        <f t="shared" si="174"/>
        <v>1</v>
      </c>
      <c r="O3579" s="87"/>
    </row>
    <row r="3580" spans="1:15" ht="15.75" hidden="1" x14ac:dyDescent="0.25">
      <c r="A3580" s="1" t="str">
        <f t="shared" si="173"/>
        <v>45298452981500CURRENTSAVINGARTI</v>
      </c>
      <c r="B3580" s="154">
        <v>45298</v>
      </c>
      <c r="C3580" s="154">
        <v>45298</v>
      </c>
      <c r="D3580" s="3" t="s">
        <v>4173</v>
      </c>
      <c r="E3580" s="3">
        <v>-1500</v>
      </c>
      <c r="F3580" s="3">
        <v>1</v>
      </c>
      <c r="G3580" s="3">
        <f t="shared" si="175"/>
        <v>1500</v>
      </c>
      <c r="H3580" s="3" t="s">
        <v>293</v>
      </c>
      <c r="I3580" s="1" t="s">
        <v>302</v>
      </c>
      <c r="J3580" s="1" t="s">
        <v>453</v>
      </c>
      <c r="K3580" s="1" t="s">
        <v>298</v>
      </c>
      <c r="L3580" s="1" t="s">
        <v>257</v>
      </c>
      <c r="M3580" s="1"/>
      <c r="N3580" s="1">
        <f t="shared" si="174"/>
        <v>1</v>
      </c>
      <c r="O3580" s="87"/>
    </row>
    <row r="3581" spans="1:15" ht="15.75" hidden="1" x14ac:dyDescent="0.25">
      <c r="A3581" s="1" t="str">
        <f t="shared" si="173"/>
        <v>4529845299213DINERSSHOPPINGIKEA</v>
      </c>
      <c r="B3581" s="154">
        <v>45298</v>
      </c>
      <c r="C3581" s="154">
        <v>45299</v>
      </c>
      <c r="D3581" s="3" t="s">
        <v>4200</v>
      </c>
      <c r="E3581" s="3">
        <v>-213</v>
      </c>
      <c r="F3581" s="3">
        <v>1</v>
      </c>
      <c r="G3581" s="3">
        <f t="shared" si="175"/>
        <v>213</v>
      </c>
      <c r="H3581" s="3" t="s">
        <v>266</v>
      </c>
      <c r="I3581" s="1" t="s">
        <v>194</v>
      </c>
      <c r="J3581" s="1" t="s">
        <v>192</v>
      </c>
      <c r="K3581" s="1" t="s">
        <v>298</v>
      </c>
      <c r="L3581" s="1" t="s">
        <v>267</v>
      </c>
      <c r="M3581" s="1"/>
      <c r="N3581" s="1">
        <f t="shared" si="174"/>
        <v>1</v>
      </c>
      <c r="O3581" s="87"/>
    </row>
    <row r="3582" spans="1:15" ht="15.75" hidden="1" x14ac:dyDescent="0.25">
      <c r="A3582" s="1" t="str">
        <f t="shared" si="173"/>
        <v>452984530060.5MASTER CCGROCERYREDROSE</v>
      </c>
      <c r="B3582" s="154">
        <v>45298</v>
      </c>
      <c r="C3582" s="154">
        <v>45300</v>
      </c>
      <c r="D3582" s="3" t="s">
        <v>4222</v>
      </c>
      <c r="E3582" s="3">
        <v>-60.5</v>
      </c>
      <c r="F3582" s="3">
        <v>1</v>
      </c>
      <c r="G3582" s="3">
        <f t="shared" si="175"/>
        <v>60.5</v>
      </c>
      <c r="H3582" s="3" t="s">
        <v>291</v>
      </c>
      <c r="I3582" s="1" t="s">
        <v>43</v>
      </c>
      <c r="J3582" s="1" t="s">
        <v>4082</v>
      </c>
      <c r="K3582" s="1" t="s">
        <v>298</v>
      </c>
      <c r="L3582" s="1" t="s">
        <v>267</v>
      </c>
      <c r="M3582" s="1"/>
      <c r="N3582" s="1">
        <f t="shared" si="174"/>
        <v>1</v>
      </c>
      <c r="O3582" s="87"/>
    </row>
    <row r="3583" spans="1:15" ht="15.75" hidden="1" x14ac:dyDescent="0.25">
      <c r="A3583" s="1" t="str">
        <f t="shared" si="173"/>
        <v>453004530030CURRENTEDUCATIONORYX</v>
      </c>
      <c r="B3583" s="154">
        <v>45300</v>
      </c>
      <c r="C3583" s="154">
        <v>45300</v>
      </c>
      <c r="D3583" s="3" t="s">
        <v>4171</v>
      </c>
      <c r="E3583" s="3">
        <v>-30</v>
      </c>
      <c r="F3583" s="3">
        <v>1</v>
      </c>
      <c r="G3583" s="3">
        <f t="shared" si="175"/>
        <v>30</v>
      </c>
      <c r="H3583" s="3" t="s">
        <v>293</v>
      </c>
      <c r="I3583" s="1" t="s">
        <v>543</v>
      </c>
      <c r="J3583" s="1" t="s">
        <v>2073</v>
      </c>
      <c r="K3583" s="1" t="s">
        <v>298</v>
      </c>
      <c r="L3583" s="1" t="s">
        <v>257</v>
      </c>
      <c r="M3583" s="1"/>
      <c r="N3583" s="1">
        <f t="shared" si="174"/>
        <v>1</v>
      </c>
      <c r="O3583" s="87"/>
    </row>
    <row r="3584" spans="1:15" ht="15.75" hidden="1" x14ac:dyDescent="0.25">
      <c r="A3584" s="1" t="str">
        <f t="shared" si="173"/>
        <v>453004530233.64MASTER CCGROCERYMANGO</v>
      </c>
      <c r="B3584" s="154">
        <v>45300</v>
      </c>
      <c r="C3584" s="154">
        <v>45302</v>
      </c>
      <c r="D3584" s="3" t="s">
        <v>4223</v>
      </c>
      <c r="E3584" s="3">
        <v>-33.64</v>
      </c>
      <c r="F3584" s="3">
        <v>1</v>
      </c>
      <c r="G3584" s="3">
        <f t="shared" si="175"/>
        <v>33.64</v>
      </c>
      <c r="H3584" s="3" t="s">
        <v>291</v>
      </c>
      <c r="I3584" s="1" t="s">
        <v>43</v>
      </c>
      <c r="J3584" s="1" t="s">
        <v>3634</v>
      </c>
      <c r="K3584" s="1" t="s">
        <v>298</v>
      </c>
      <c r="L3584" s="1" t="s">
        <v>267</v>
      </c>
      <c r="M3584" s="1"/>
      <c r="N3584" s="1">
        <f t="shared" si="174"/>
        <v>1</v>
      </c>
      <c r="O3584" s="87"/>
    </row>
    <row r="3585" spans="1:15" ht="15.75" hidden="1" x14ac:dyDescent="0.25">
      <c r="A3585" s="1" t="str">
        <f t="shared" si="173"/>
        <v>453024530529.08MASTER CCGROCERYMANGO</v>
      </c>
      <c r="B3585" s="154">
        <v>45302</v>
      </c>
      <c r="C3585" s="154">
        <v>45305</v>
      </c>
      <c r="D3585" s="3" t="s">
        <v>4224</v>
      </c>
      <c r="E3585" s="3">
        <v>-29.08</v>
      </c>
      <c r="F3585" s="3">
        <v>1</v>
      </c>
      <c r="G3585" s="3">
        <f t="shared" si="175"/>
        <v>29.08</v>
      </c>
      <c r="H3585" s="3" t="s">
        <v>291</v>
      </c>
      <c r="I3585" s="1" t="s">
        <v>43</v>
      </c>
      <c r="J3585" s="1" t="s">
        <v>3634</v>
      </c>
      <c r="K3585" s="1" t="s">
        <v>298</v>
      </c>
      <c r="L3585" s="1" t="s">
        <v>267</v>
      </c>
      <c r="M3585" s="1"/>
      <c r="N3585" s="1">
        <f t="shared" si="174"/>
        <v>1</v>
      </c>
      <c r="O3585" s="87"/>
    </row>
    <row r="3586" spans="1:15" ht="15.75" hidden="1" x14ac:dyDescent="0.25">
      <c r="A3586" s="1" t="str">
        <f t="shared" ref="A3586:A3649" si="176">B3586&amp;C3586&amp;G3586&amp;H3586&amp;I3586&amp;J3586</f>
        <v>453024530414.8MASTER CCGROCERYREDROSE</v>
      </c>
      <c r="B3586" s="154">
        <v>45302</v>
      </c>
      <c r="C3586" s="154">
        <v>45304</v>
      </c>
      <c r="D3586" s="3" t="s">
        <v>4225</v>
      </c>
      <c r="E3586" s="3">
        <v>-14.8</v>
      </c>
      <c r="F3586" s="3">
        <v>1</v>
      </c>
      <c r="G3586" s="3">
        <f t="shared" si="175"/>
        <v>14.8</v>
      </c>
      <c r="H3586" s="3" t="s">
        <v>291</v>
      </c>
      <c r="I3586" s="1" t="s">
        <v>43</v>
      </c>
      <c r="J3586" s="1" t="s">
        <v>4082</v>
      </c>
      <c r="K3586" s="1" t="s">
        <v>298</v>
      </c>
      <c r="L3586" s="1" t="s">
        <v>267</v>
      </c>
      <c r="M3586" s="1"/>
      <c r="N3586" s="1">
        <f t="shared" ref="N3586:N3649" si="177">MONTH(C3586)</f>
        <v>1</v>
      </c>
      <c r="O3586" s="87"/>
    </row>
    <row r="3587" spans="1:15" ht="15.75" hidden="1" x14ac:dyDescent="0.25">
      <c r="A3587" s="1" t="str">
        <f t="shared" si="176"/>
        <v>453034530754MASTER CCFOODCAFÉ/REST.</v>
      </c>
      <c r="B3587" s="154">
        <v>45303</v>
      </c>
      <c r="C3587" s="154">
        <v>45307</v>
      </c>
      <c r="D3587" s="3" t="s">
        <v>4226</v>
      </c>
      <c r="E3587" s="3">
        <v>-54</v>
      </c>
      <c r="F3587" s="3">
        <v>1</v>
      </c>
      <c r="G3587" s="3">
        <f t="shared" si="175"/>
        <v>54</v>
      </c>
      <c r="H3587" s="3" t="s">
        <v>291</v>
      </c>
      <c r="I3587" s="1" t="s">
        <v>10</v>
      </c>
      <c r="J3587" s="1" t="s">
        <v>11</v>
      </c>
      <c r="K3587" s="1" t="s">
        <v>298</v>
      </c>
      <c r="L3587" s="1" t="s">
        <v>267</v>
      </c>
      <c r="M3587" s="1"/>
      <c r="N3587" s="1">
        <f t="shared" si="177"/>
        <v>1</v>
      </c>
      <c r="O3587" s="87"/>
    </row>
    <row r="3588" spans="1:15" ht="15.75" hidden="1" x14ac:dyDescent="0.25">
      <c r="A3588" s="1" t="str">
        <f t="shared" si="176"/>
        <v>453034530553MASTER CCGROCERYREDROSE</v>
      </c>
      <c r="B3588" s="154">
        <v>45303</v>
      </c>
      <c r="C3588" s="154">
        <v>45305</v>
      </c>
      <c r="D3588" s="3" t="s">
        <v>4227</v>
      </c>
      <c r="E3588" s="3">
        <v>-53</v>
      </c>
      <c r="F3588" s="3">
        <v>1</v>
      </c>
      <c r="G3588" s="3">
        <f t="shared" si="175"/>
        <v>53</v>
      </c>
      <c r="H3588" s="3" t="s">
        <v>291</v>
      </c>
      <c r="I3588" s="1" t="s">
        <v>43</v>
      </c>
      <c r="J3588" s="1" t="s">
        <v>4082</v>
      </c>
      <c r="K3588" s="1" t="s">
        <v>298</v>
      </c>
      <c r="L3588" s="1" t="s">
        <v>267</v>
      </c>
      <c r="M3588" s="1"/>
      <c r="N3588" s="1">
        <f t="shared" si="177"/>
        <v>1</v>
      </c>
      <c r="O3588" s="87"/>
    </row>
    <row r="3589" spans="1:15" ht="15.75" hidden="1" x14ac:dyDescent="0.25">
      <c r="A3589" s="1" t="str">
        <f t="shared" si="176"/>
        <v>45304453075MASTER CCENTERTAINMENTAFC</v>
      </c>
      <c r="B3589" s="154">
        <v>45304</v>
      </c>
      <c r="C3589" s="154">
        <v>45307</v>
      </c>
      <c r="D3589" s="3" t="s">
        <v>4228</v>
      </c>
      <c r="E3589" s="3">
        <v>-5</v>
      </c>
      <c r="F3589" s="3">
        <v>1</v>
      </c>
      <c r="G3589" s="3">
        <f t="shared" si="175"/>
        <v>5</v>
      </c>
      <c r="H3589" s="3" t="s">
        <v>291</v>
      </c>
      <c r="I3589" s="1" t="s">
        <v>2476</v>
      </c>
      <c r="J3589" s="1" t="s">
        <v>4387</v>
      </c>
      <c r="K3589" s="1" t="s">
        <v>298</v>
      </c>
      <c r="L3589" s="1" t="s">
        <v>267</v>
      </c>
      <c r="M3589" s="1"/>
      <c r="N3589" s="1">
        <f t="shared" si="177"/>
        <v>1</v>
      </c>
      <c r="O3589" s="87"/>
    </row>
    <row r="3590" spans="1:15" ht="15.75" hidden="1" x14ac:dyDescent="0.25">
      <c r="A3590" s="1" t="str">
        <f t="shared" si="176"/>
        <v>453044530734MASTER CCENTERTAINMENTAFC</v>
      </c>
      <c r="B3590" s="154">
        <v>45304</v>
      </c>
      <c r="C3590" s="154">
        <v>45307</v>
      </c>
      <c r="D3590" s="3" t="s">
        <v>4229</v>
      </c>
      <c r="E3590" s="3">
        <v>-34</v>
      </c>
      <c r="F3590" s="3">
        <v>1</v>
      </c>
      <c r="G3590" s="3">
        <f t="shared" si="175"/>
        <v>34</v>
      </c>
      <c r="H3590" s="3" t="s">
        <v>291</v>
      </c>
      <c r="I3590" s="1" t="s">
        <v>2476</v>
      </c>
      <c r="J3590" s="1" t="s">
        <v>4387</v>
      </c>
      <c r="K3590" s="1" t="s">
        <v>298</v>
      </c>
      <c r="L3590" s="1" t="s">
        <v>267</v>
      </c>
      <c r="M3590" s="1"/>
      <c r="N3590" s="1">
        <f t="shared" si="177"/>
        <v>1</v>
      </c>
      <c r="O3590" s="87"/>
    </row>
    <row r="3591" spans="1:15" ht="15.75" hidden="1" x14ac:dyDescent="0.25">
      <c r="A3591" s="1" t="str">
        <f t="shared" si="176"/>
        <v>4530445307105.5MASTER CCFOODCAFÉ/REST.</v>
      </c>
      <c r="B3591" s="154">
        <v>45304</v>
      </c>
      <c r="C3591" s="154">
        <v>45307</v>
      </c>
      <c r="D3591" s="3" t="s">
        <v>4230</v>
      </c>
      <c r="E3591" s="3">
        <v>-105.5</v>
      </c>
      <c r="F3591" s="3">
        <v>1</v>
      </c>
      <c r="G3591" s="3">
        <f t="shared" si="175"/>
        <v>105.5</v>
      </c>
      <c r="H3591" s="3" t="s">
        <v>291</v>
      </c>
      <c r="I3591" s="1" t="s">
        <v>10</v>
      </c>
      <c r="J3591" s="1" t="s">
        <v>11</v>
      </c>
      <c r="K3591" s="1" t="s">
        <v>298</v>
      </c>
      <c r="L3591" s="1" t="s">
        <v>267</v>
      </c>
      <c r="M3591" s="1"/>
      <c r="N3591" s="1">
        <f t="shared" si="177"/>
        <v>1</v>
      </c>
      <c r="O3591" s="87"/>
    </row>
    <row r="3592" spans="1:15" ht="15.75" hidden="1" x14ac:dyDescent="0.25">
      <c r="A3592" s="1" t="str">
        <f t="shared" si="176"/>
        <v>453044530679.07MASTER CCGROCERYINDIAN SUPER</v>
      </c>
      <c r="B3592" s="154">
        <v>45304</v>
      </c>
      <c r="C3592" s="154">
        <v>45306</v>
      </c>
      <c r="D3592" s="3" t="s">
        <v>4231</v>
      </c>
      <c r="E3592" s="3">
        <v>-79.069999999999993</v>
      </c>
      <c r="F3592" s="3">
        <v>1</v>
      </c>
      <c r="G3592" s="3">
        <f t="shared" si="175"/>
        <v>79.069999999999993</v>
      </c>
      <c r="H3592" s="3" t="s">
        <v>291</v>
      </c>
      <c r="I3592" s="1" t="s">
        <v>43</v>
      </c>
      <c r="J3592" s="1" t="s">
        <v>2273</v>
      </c>
      <c r="K3592" s="1" t="s">
        <v>298</v>
      </c>
      <c r="L3592" s="1" t="s">
        <v>267</v>
      </c>
      <c r="M3592" s="1"/>
      <c r="N3592" s="1">
        <f t="shared" si="177"/>
        <v>1</v>
      </c>
      <c r="O3592" s="87"/>
    </row>
    <row r="3593" spans="1:15" ht="15.75" hidden="1" x14ac:dyDescent="0.25">
      <c r="A3593" s="1" t="str">
        <f t="shared" si="176"/>
        <v>453054530584CURRENTFOODTALABAT</v>
      </c>
      <c r="B3593" s="154">
        <v>45305</v>
      </c>
      <c r="C3593" s="154">
        <v>45305</v>
      </c>
      <c r="D3593" s="3" t="s">
        <v>4170</v>
      </c>
      <c r="E3593" s="3">
        <v>-84</v>
      </c>
      <c r="F3593" s="3">
        <v>1</v>
      </c>
      <c r="G3593" s="3">
        <f t="shared" si="175"/>
        <v>84</v>
      </c>
      <c r="H3593" s="3" t="s">
        <v>293</v>
      </c>
      <c r="I3593" s="1" t="s">
        <v>10</v>
      </c>
      <c r="J3593" s="1" t="s">
        <v>865</v>
      </c>
      <c r="K3593" s="1" t="s">
        <v>298</v>
      </c>
      <c r="L3593" s="1" t="s">
        <v>257</v>
      </c>
      <c r="M3593" s="1"/>
      <c r="N3593" s="1">
        <f t="shared" si="177"/>
        <v>1</v>
      </c>
      <c r="O3593" s="87"/>
    </row>
    <row r="3594" spans="1:15" ht="15.75" hidden="1" x14ac:dyDescent="0.25">
      <c r="A3594" s="1" t="str">
        <f t="shared" si="176"/>
        <v>453054530750MASTER CCTRAVELQIC</v>
      </c>
      <c r="B3594" s="154">
        <v>45305</v>
      </c>
      <c r="C3594" s="154">
        <v>45307</v>
      </c>
      <c r="D3594" s="3" t="s">
        <v>4232</v>
      </c>
      <c r="E3594" s="3">
        <v>-50</v>
      </c>
      <c r="F3594" s="3">
        <v>1</v>
      </c>
      <c r="G3594" s="3">
        <f t="shared" si="175"/>
        <v>50</v>
      </c>
      <c r="H3594" s="3" t="s">
        <v>291</v>
      </c>
      <c r="I3594" s="1" t="s">
        <v>393</v>
      </c>
      <c r="J3594" s="1" t="s">
        <v>2899</v>
      </c>
      <c r="K3594" s="1" t="s">
        <v>298</v>
      </c>
      <c r="L3594" s="1" t="s">
        <v>267</v>
      </c>
      <c r="M3594" s="1"/>
      <c r="N3594" s="1">
        <f t="shared" si="177"/>
        <v>1</v>
      </c>
      <c r="O3594" s="87"/>
    </row>
    <row r="3595" spans="1:15" ht="15.75" hidden="1" x14ac:dyDescent="0.25">
      <c r="A3595" s="1" t="str">
        <f t="shared" si="176"/>
        <v>453074530711.16CURRENTMISCVERTUAL</v>
      </c>
      <c r="B3595" s="154">
        <v>45307</v>
      </c>
      <c r="C3595" s="154">
        <v>45307</v>
      </c>
      <c r="D3595" s="3" t="s">
        <v>4169</v>
      </c>
      <c r="E3595" s="3">
        <v>-11.16</v>
      </c>
      <c r="F3595" s="3">
        <v>1</v>
      </c>
      <c r="G3595" s="3">
        <f t="shared" ref="G3595:G3658" si="178">ABS(E3595)*F3595</f>
        <v>11.16</v>
      </c>
      <c r="H3595" s="3" t="s">
        <v>293</v>
      </c>
      <c r="I3595" s="1" t="s">
        <v>4388</v>
      </c>
      <c r="J3595" s="1" t="s">
        <v>4389</v>
      </c>
      <c r="K3595" s="1" t="s">
        <v>298</v>
      </c>
      <c r="L3595" s="1" t="s">
        <v>257</v>
      </c>
      <c r="M3595" s="1"/>
      <c r="N3595" s="1">
        <f t="shared" si="177"/>
        <v>1</v>
      </c>
      <c r="O3595" s="87"/>
    </row>
    <row r="3596" spans="1:15" ht="15.75" hidden="1" x14ac:dyDescent="0.25">
      <c r="A3596" s="1" t="str">
        <f t="shared" si="176"/>
        <v>45307453094MASTER CCFOODQATAR AIR</v>
      </c>
      <c r="B3596" s="154">
        <v>45307</v>
      </c>
      <c r="C3596" s="154">
        <v>45309</v>
      </c>
      <c r="D3596" s="3" t="s">
        <v>4233</v>
      </c>
      <c r="E3596" s="3">
        <v>-4</v>
      </c>
      <c r="F3596" s="3">
        <v>1</v>
      </c>
      <c r="G3596" s="3">
        <f t="shared" si="178"/>
        <v>4</v>
      </c>
      <c r="H3596" s="3" t="s">
        <v>291</v>
      </c>
      <c r="I3596" s="1" t="s">
        <v>10</v>
      </c>
      <c r="J3596" s="1" t="s">
        <v>19</v>
      </c>
      <c r="K3596" s="1" t="s">
        <v>298</v>
      </c>
      <c r="L3596" s="1" t="s">
        <v>267</v>
      </c>
      <c r="M3596" s="1"/>
      <c r="N3596" s="1">
        <f t="shared" si="177"/>
        <v>1</v>
      </c>
      <c r="O3596" s="87"/>
    </row>
    <row r="3597" spans="1:15" ht="15.75" hidden="1" x14ac:dyDescent="0.25">
      <c r="A3597" s="1" t="str">
        <f t="shared" si="176"/>
        <v>453074530979.26MASTER CCGROCERYMANGO</v>
      </c>
      <c r="B3597" s="154">
        <v>45307</v>
      </c>
      <c r="C3597" s="154">
        <v>45309</v>
      </c>
      <c r="D3597" s="3" t="s">
        <v>4234</v>
      </c>
      <c r="E3597" s="3">
        <v>-79.260000000000005</v>
      </c>
      <c r="F3597" s="3">
        <v>1</v>
      </c>
      <c r="G3597" s="3">
        <f t="shared" si="178"/>
        <v>79.260000000000005</v>
      </c>
      <c r="H3597" s="3" t="s">
        <v>291</v>
      </c>
      <c r="I3597" s="1" t="s">
        <v>43</v>
      </c>
      <c r="J3597" s="1" t="s">
        <v>3634</v>
      </c>
      <c r="K3597" s="1" t="s">
        <v>298</v>
      </c>
      <c r="L3597" s="1" t="s">
        <v>267</v>
      </c>
      <c r="M3597" s="1"/>
      <c r="N3597" s="1">
        <f t="shared" si="177"/>
        <v>1</v>
      </c>
      <c r="O3597" s="87"/>
    </row>
    <row r="3598" spans="1:15" ht="15.75" hidden="1" x14ac:dyDescent="0.25">
      <c r="A3598" s="1" t="str">
        <f t="shared" si="176"/>
        <v>453084531260MASTER CCFOODTALABAT</v>
      </c>
      <c r="B3598" s="154">
        <v>45308</v>
      </c>
      <c r="C3598" s="154">
        <v>45312</v>
      </c>
      <c r="D3598" s="3" t="s">
        <v>4235</v>
      </c>
      <c r="E3598" s="3">
        <v>-60</v>
      </c>
      <c r="F3598" s="3">
        <v>1</v>
      </c>
      <c r="G3598" s="3">
        <f t="shared" si="178"/>
        <v>60</v>
      </c>
      <c r="H3598" s="3" t="s">
        <v>291</v>
      </c>
      <c r="I3598" s="1" t="s">
        <v>10</v>
      </c>
      <c r="J3598" s="1" t="s">
        <v>865</v>
      </c>
      <c r="K3598" s="1" t="s">
        <v>298</v>
      </c>
      <c r="L3598" s="1" t="s">
        <v>267</v>
      </c>
      <c r="M3598" s="1"/>
      <c r="N3598" s="1">
        <f t="shared" si="177"/>
        <v>1</v>
      </c>
      <c r="O3598" s="87"/>
    </row>
    <row r="3599" spans="1:15" ht="15.75" hidden="1" x14ac:dyDescent="0.25">
      <c r="A3599" s="1" t="str">
        <f t="shared" si="176"/>
        <v>45308453115.2MASTER CCMEDICALNASEEM AL</v>
      </c>
      <c r="B3599" s="154">
        <v>45308</v>
      </c>
      <c r="C3599" s="154">
        <v>45311</v>
      </c>
      <c r="D3599" s="3" t="s">
        <v>4236</v>
      </c>
      <c r="E3599" s="3">
        <v>-5.2</v>
      </c>
      <c r="F3599" s="3">
        <v>1</v>
      </c>
      <c r="G3599" s="3">
        <f t="shared" si="178"/>
        <v>5.2</v>
      </c>
      <c r="H3599" s="3" t="s">
        <v>291</v>
      </c>
      <c r="I3599" s="1" t="s">
        <v>301</v>
      </c>
      <c r="J3599" s="1" t="s">
        <v>1000</v>
      </c>
      <c r="K3599" s="1" t="s">
        <v>298</v>
      </c>
      <c r="L3599" s="1" t="s">
        <v>267</v>
      </c>
      <c r="M3599" s="1"/>
      <c r="N3599" s="1">
        <f t="shared" si="177"/>
        <v>1</v>
      </c>
      <c r="O3599" s="87"/>
    </row>
    <row r="3600" spans="1:15" ht="15.75" hidden="1" x14ac:dyDescent="0.25">
      <c r="A3600" s="1" t="str">
        <f t="shared" si="176"/>
        <v>4530845311123MASTER CCFOODCAFÉ/REST.</v>
      </c>
      <c r="B3600" s="154">
        <v>45308</v>
      </c>
      <c r="C3600" s="154">
        <v>45311</v>
      </c>
      <c r="D3600" s="3" t="s">
        <v>4237</v>
      </c>
      <c r="E3600" s="3">
        <v>-123</v>
      </c>
      <c r="F3600" s="3">
        <v>1</v>
      </c>
      <c r="G3600" s="3">
        <f t="shared" si="178"/>
        <v>123</v>
      </c>
      <c r="H3600" s="3" t="s">
        <v>291</v>
      </c>
      <c r="I3600" s="1" t="s">
        <v>10</v>
      </c>
      <c r="J3600" s="1" t="s">
        <v>11</v>
      </c>
      <c r="K3600" s="1" t="s">
        <v>298</v>
      </c>
      <c r="L3600" s="1" t="s">
        <v>267</v>
      </c>
      <c r="M3600" s="1"/>
      <c r="N3600" s="1">
        <f t="shared" si="177"/>
        <v>1</v>
      </c>
      <c r="O3600" s="87"/>
    </row>
    <row r="3601" spans="1:15" ht="15.75" hidden="1" x14ac:dyDescent="0.25">
      <c r="A3601" s="1" t="str">
        <f t="shared" si="176"/>
        <v>453084531026.92MASTER CCTRANSPORTUBER</v>
      </c>
      <c r="B3601" s="154">
        <v>45308</v>
      </c>
      <c r="C3601" s="154">
        <v>45310</v>
      </c>
      <c r="D3601" s="3" t="s">
        <v>4238</v>
      </c>
      <c r="E3601" s="3">
        <v>-26.92</v>
      </c>
      <c r="F3601" s="3">
        <v>1</v>
      </c>
      <c r="G3601" s="3">
        <f t="shared" si="178"/>
        <v>26.92</v>
      </c>
      <c r="H3601" s="3" t="s">
        <v>291</v>
      </c>
      <c r="I3601" s="1" t="s">
        <v>296</v>
      </c>
      <c r="J3601" s="1" t="s">
        <v>299</v>
      </c>
      <c r="K3601" s="1" t="s">
        <v>298</v>
      </c>
      <c r="L3601" s="1" t="s">
        <v>267</v>
      </c>
      <c r="M3601" s="1"/>
      <c r="N3601" s="1">
        <f t="shared" si="177"/>
        <v>1</v>
      </c>
      <c r="O3601" s="87"/>
    </row>
    <row r="3602" spans="1:15" ht="15.75" hidden="1" x14ac:dyDescent="0.25">
      <c r="A3602" s="1" t="str">
        <f t="shared" si="176"/>
        <v>45308453109.31MASTER CCTRANSPORTUBER</v>
      </c>
      <c r="B3602" s="154">
        <v>45308</v>
      </c>
      <c r="C3602" s="154">
        <v>45310</v>
      </c>
      <c r="D3602" s="3" t="s">
        <v>4239</v>
      </c>
      <c r="E3602" s="3">
        <v>-9.31</v>
      </c>
      <c r="F3602" s="3">
        <v>1</v>
      </c>
      <c r="G3602" s="3">
        <f t="shared" si="178"/>
        <v>9.31</v>
      </c>
      <c r="H3602" s="3" t="s">
        <v>291</v>
      </c>
      <c r="I3602" s="1" t="s">
        <v>296</v>
      </c>
      <c r="J3602" s="1" t="s">
        <v>299</v>
      </c>
      <c r="K3602" s="1" t="s">
        <v>298</v>
      </c>
      <c r="L3602" s="1" t="s">
        <v>267</v>
      </c>
      <c r="M3602" s="1"/>
      <c r="N3602" s="1">
        <f t="shared" si="177"/>
        <v>1</v>
      </c>
      <c r="O3602" s="87"/>
    </row>
    <row r="3603" spans="1:15" ht="15.75" hidden="1" x14ac:dyDescent="0.25">
      <c r="A3603" s="1" t="str">
        <f t="shared" si="176"/>
        <v>45308453109.95MASTER CCTRANSPORTUBER</v>
      </c>
      <c r="B3603" s="154">
        <v>45308</v>
      </c>
      <c r="C3603" s="154">
        <v>45310</v>
      </c>
      <c r="D3603" s="3" t="s">
        <v>4240</v>
      </c>
      <c r="E3603" s="3">
        <v>-9.9499999999999993</v>
      </c>
      <c r="F3603" s="3">
        <v>1</v>
      </c>
      <c r="G3603" s="3">
        <f t="shared" si="178"/>
        <v>9.9499999999999993</v>
      </c>
      <c r="H3603" s="3" t="s">
        <v>291</v>
      </c>
      <c r="I3603" s="1" t="s">
        <v>296</v>
      </c>
      <c r="J3603" s="1" t="s">
        <v>299</v>
      </c>
      <c r="K3603" s="1" t="s">
        <v>298</v>
      </c>
      <c r="L3603" s="1" t="s">
        <v>267</v>
      </c>
      <c r="M3603" s="1"/>
      <c r="N3603" s="1">
        <f t="shared" si="177"/>
        <v>1</v>
      </c>
      <c r="O3603" s="87"/>
    </row>
    <row r="3604" spans="1:15" ht="15.75" hidden="1" x14ac:dyDescent="0.25">
      <c r="A3604" s="1" t="str">
        <f t="shared" si="176"/>
        <v>453084530966.66MASTER CCGROCERYMANGO</v>
      </c>
      <c r="B3604" s="154">
        <v>45308</v>
      </c>
      <c r="C3604" s="154">
        <v>45309</v>
      </c>
      <c r="D3604" s="3" t="s">
        <v>4241</v>
      </c>
      <c r="E3604" s="3">
        <v>-66.66</v>
      </c>
      <c r="F3604" s="3">
        <v>1</v>
      </c>
      <c r="G3604" s="3">
        <f t="shared" si="178"/>
        <v>66.66</v>
      </c>
      <c r="H3604" s="3" t="s">
        <v>291</v>
      </c>
      <c r="I3604" s="1" t="s">
        <v>43</v>
      </c>
      <c r="J3604" s="1" t="s">
        <v>3634</v>
      </c>
      <c r="K3604" s="1" t="s">
        <v>298</v>
      </c>
      <c r="L3604" s="1" t="s">
        <v>267</v>
      </c>
      <c r="M3604" s="1"/>
      <c r="N3604" s="1">
        <f t="shared" si="177"/>
        <v>1</v>
      </c>
      <c r="O3604" s="87"/>
    </row>
    <row r="3605" spans="1:15" ht="15.75" hidden="1" x14ac:dyDescent="0.25">
      <c r="A3605" s="1" t="str">
        <f t="shared" si="176"/>
        <v>4531045314303.27MASTER CCGROCERYLULU</v>
      </c>
      <c r="B3605" s="154">
        <v>45310</v>
      </c>
      <c r="C3605" s="154">
        <v>45314</v>
      </c>
      <c r="D3605" s="3" t="s">
        <v>4242</v>
      </c>
      <c r="E3605" s="3">
        <v>-303.27</v>
      </c>
      <c r="F3605" s="3">
        <v>1</v>
      </c>
      <c r="G3605" s="3">
        <f t="shared" si="178"/>
        <v>303.27</v>
      </c>
      <c r="H3605" s="3" t="s">
        <v>291</v>
      </c>
      <c r="I3605" s="1" t="s">
        <v>43</v>
      </c>
      <c r="J3605" s="1" t="s">
        <v>44</v>
      </c>
      <c r="K3605" s="1" t="s">
        <v>298</v>
      </c>
      <c r="L3605" s="1" t="s">
        <v>267</v>
      </c>
      <c r="M3605" s="1"/>
      <c r="N3605" s="1">
        <f t="shared" si="177"/>
        <v>1</v>
      </c>
      <c r="O3605" s="87"/>
    </row>
    <row r="3606" spans="1:15" ht="15.75" x14ac:dyDescent="0.25">
      <c r="A3606" s="1" t="str">
        <f t="shared" si="176"/>
        <v>45310453131381MASTER CCGOLDTANISHQ</v>
      </c>
      <c r="B3606" s="154">
        <v>45310</v>
      </c>
      <c r="C3606" s="154">
        <v>45313</v>
      </c>
      <c r="D3606" s="3" t="s">
        <v>4243</v>
      </c>
      <c r="E3606" s="3">
        <v>-1381</v>
      </c>
      <c r="F3606" s="3">
        <v>1</v>
      </c>
      <c r="G3606" s="3">
        <f t="shared" si="178"/>
        <v>1381</v>
      </c>
      <c r="H3606" s="3" t="s">
        <v>291</v>
      </c>
      <c r="I3606" s="1" t="s">
        <v>106</v>
      </c>
      <c r="J3606" s="1" t="s">
        <v>4390</v>
      </c>
      <c r="K3606" s="1" t="s">
        <v>298</v>
      </c>
      <c r="L3606" s="1" t="s">
        <v>267</v>
      </c>
      <c r="M3606" s="1"/>
      <c r="N3606" s="1">
        <f t="shared" si="177"/>
        <v>1</v>
      </c>
      <c r="O3606" s="87"/>
    </row>
    <row r="3607" spans="1:15" ht="15.75" hidden="1" x14ac:dyDescent="0.25">
      <c r="A3607" s="1" t="str">
        <f t="shared" si="176"/>
        <v>453104531238MASTER CCGROCERYREDROSE</v>
      </c>
      <c r="B3607" s="154">
        <v>45310</v>
      </c>
      <c r="C3607" s="154">
        <v>45312</v>
      </c>
      <c r="D3607" s="3" t="s">
        <v>4244</v>
      </c>
      <c r="E3607" s="3">
        <v>-38</v>
      </c>
      <c r="F3607" s="3">
        <v>1</v>
      </c>
      <c r="G3607" s="3">
        <f t="shared" si="178"/>
        <v>38</v>
      </c>
      <c r="H3607" s="3" t="s">
        <v>291</v>
      </c>
      <c r="I3607" s="1" t="s">
        <v>43</v>
      </c>
      <c r="J3607" s="1" t="s">
        <v>4082</v>
      </c>
      <c r="K3607" s="1" t="s">
        <v>298</v>
      </c>
      <c r="L3607" s="1" t="s">
        <v>267</v>
      </c>
      <c r="M3607" s="1"/>
      <c r="N3607" s="1">
        <f t="shared" si="177"/>
        <v>1</v>
      </c>
      <c r="O3607" s="87"/>
    </row>
    <row r="3608" spans="1:15" ht="15.75" hidden="1" x14ac:dyDescent="0.25">
      <c r="A3608" s="1" t="str">
        <f t="shared" si="176"/>
        <v>453114531428.36MASTER CCGROCERYMANGO</v>
      </c>
      <c r="B3608" s="154">
        <v>45311</v>
      </c>
      <c r="C3608" s="154">
        <v>45314</v>
      </c>
      <c r="D3608" s="3" t="s">
        <v>4245</v>
      </c>
      <c r="E3608" s="3">
        <v>-28.36</v>
      </c>
      <c r="F3608" s="3">
        <v>1</v>
      </c>
      <c r="G3608" s="3">
        <f t="shared" si="178"/>
        <v>28.36</v>
      </c>
      <c r="H3608" s="3" t="s">
        <v>291</v>
      </c>
      <c r="I3608" s="1" t="s">
        <v>43</v>
      </c>
      <c r="J3608" s="1" t="s">
        <v>3634</v>
      </c>
      <c r="K3608" s="1" t="s">
        <v>298</v>
      </c>
      <c r="L3608" s="1" t="s">
        <v>267</v>
      </c>
      <c r="M3608" s="1"/>
      <c r="N3608" s="1">
        <f t="shared" si="177"/>
        <v>1</v>
      </c>
      <c r="O3608" s="87"/>
    </row>
    <row r="3609" spans="1:15" ht="15.75" hidden="1" x14ac:dyDescent="0.25">
      <c r="A3609" s="1" t="str">
        <f t="shared" si="176"/>
        <v>453124531377.9DINERSMEDICALASTER</v>
      </c>
      <c r="B3609" s="154">
        <v>45312</v>
      </c>
      <c r="C3609" s="154">
        <v>45313</v>
      </c>
      <c r="D3609" s="3" t="s">
        <v>4199</v>
      </c>
      <c r="E3609" s="3">
        <v>-77.900000000000006</v>
      </c>
      <c r="F3609" s="3">
        <v>1</v>
      </c>
      <c r="G3609" s="3">
        <f t="shared" si="178"/>
        <v>77.900000000000006</v>
      </c>
      <c r="H3609" s="3" t="s">
        <v>266</v>
      </c>
      <c r="I3609" s="1" t="s">
        <v>301</v>
      </c>
      <c r="J3609" s="1" t="s">
        <v>303</v>
      </c>
      <c r="K3609" s="1" t="s">
        <v>298</v>
      </c>
      <c r="L3609" s="1" t="s">
        <v>267</v>
      </c>
      <c r="M3609" s="1"/>
      <c r="N3609" s="1">
        <f t="shared" si="177"/>
        <v>1</v>
      </c>
      <c r="O3609" s="87"/>
    </row>
    <row r="3610" spans="1:15" ht="15.75" hidden="1" x14ac:dyDescent="0.25">
      <c r="A3610" s="1" t="str">
        <f t="shared" si="176"/>
        <v>4531245315105MASTER CCTRANSPORTWOQOD</v>
      </c>
      <c r="B3610" s="154">
        <v>45312</v>
      </c>
      <c r="C3610" s="154">
        <v>45315</v>
      </c>
      <c r="D3610" s="3" t="s">
        <v>4246</v>
      </c>
      <c r="E3610" s="3">
        <v>-105</v>
      </c>
      <c r="F3610" s="3">
        <v>1</v>
      </c>
      <c r="G3610" s="3">
        <f t="shared" si="178"/>
        <v>105</v>
      </c>
      <c r="H3610" s="3" t="s">
        <v>291</v>
      </c>
      <c r="I3610" s="1" t="s">
        <v>296</v>
      </c>
      <c r="J3610" s="1" t="s">
        <v>1942</v>
      </c>
      <c r="K3610" s="1" t="s">
        <v>298</v>
      </c>
      <c r="L3610" s="1" t="s">
        <v>267</v>
      </c>
      <c r="M3610" s="1"/>
      <c r="N3610" s="1">
        <f t="shared" si="177"/>
        <v>1</v>
      </c>
      <c r="O3610" s="87"/>
    </row>
    <row r="3611" spans="1:15" ht="15.75" hidden="1" x14ac:dyDescent="0.25">
      <c r="A3611" s="1" t="str">
        <f t="shared" si="176"/>
        <v>4531245315441.68MASTER CCGROCERYINDIAN SUPER</v>
      </c>
      <c r="B3611" s="154">
        <v>45312</v>
      </c>
      <c r="C3611" s="154">
        <v>45315</v>
      </c>
      <c r="D3611" s="3" t="s">
        <v>4247</v>
      </c>
      <c r="E3611" s="3">
        <v>-441.68</v>
      </c>
      <c r="F3611" s="3">
        <v>1</v>
      </c>
      <c r="G3611" s="3">
        <f t="shared" si="178"/>
        <v>441.68</v>
      </c>
      <c r="H3611" s="3" t="s">
        <v>291</v>
      </c>
      <c r="I3611" s="1" t="s">
        <v>43</v>
      </c>
      <c r="J3611" s="1" t="s">
        <v>2273</v>
      </c>
      <c r="K3611" s="1" t="s">
        <v>298</v>
      </c>
      <c r="L3611" s="1" t="s">
        <v>267</v>
      </c>
      <c r="M3611" s="1"/>
      <c r="N3611" s="1">
        <f t="shared" si="177"/>
        <v>1</v>
      </c>
      <c r="O3611" s="87"/>
    </row>
    <row r="3612" spans="1:15" ht="15.75" hidden="1" x14ac:dyDescent="0.25">
      <c r="A3612" s="1" t="str">
        <f t="shared" si="176"/>
        <v>45312453151MASTER CCGROCERYINDIAN SUPER</v>
      </c>
      <c r="B3612" s="154">
        <v>45312</v>
      </c>
      <c r="C3612" s="154">
        <v>45315</v>
      </c>
      <c r="D3612" s="3" t="s">
        <v>4248</v>
      </c>
      <c r="E3612" s="3">
        <v>-1</v>
      </c>
      <c r="F3612" s="3">
        <v>1</v>
      </c>
      <c r="G3612" s="3">
        <f t="shared" si="178"/>
        <v>1</v>
      </c>
      <c r="H3612" s="3" t="s">
        <v>291</v>
      </c>
      <c r="I3612" s="1" t="s">
        <v>43</v>
      </c>
      <c r="J3612" s="1" t="s">
        <v>2273</v>
      </c>
      <c r="K3612" s="1" t="s">
        <v>298</v>
      </c>
      <c r="L3612" s="1" t="s">
        <v>267</v>
      </c>
      <c r="M3612" s="1"/>
      <c r="N3612" s="1">
        <f t="shared" si="177"/>
        <v>1</v>
      </c>
      <c r="O3612" s="87"/>
    </row>
    <row r="3613" spans="1:15" ht="15.75" hidden="1" x14ac:dyDescent="0.25">
      <c r="A3613" s="1" t="str">
        <f t="shared" si="176"/>
        <v>45312453141MASTER CCGROCERYREDROSE</v>
      </c>
      <c r="B3613" s="154">
        <v>45312</v>
      </c>
      <c r="C3613" s="154">
        <v>45314</v>
      </c>
      <c r="D3613" s="3" t="s">
        <v>4249</v>
      </c>
      <c r="E3613" s="3">
        <v>-1</v>
      </c>
      <c r="F3613" s="3">
        <v>1</v>
      </c>
      <c r="G3613" s="3">
        <f t="shared" si="178"/>
        <v>1</v>
      </c>
      <c r="H3613" s="3" t="s">
        <v>291</v>
      </c>
      <c r="I3613" s="1" t="s">
        <v>43</v>
      </c>
      <c r="J3613" s="1" t="s">
        <v>4082</v>
      </c>
      <c r="K3613" s="1" t="s">
        <v>298</v>
      </c>
      <c r="L3613" s="1" t="s">
        <v>267</v>
      </c>
      <c r="M3613" s="1"/>
      <c r="N3613" s="1">
        <f t="shared" si="177"/>
        <v>1</v>
      </c>
      <c r="O3613" s="87"/>
    </row>
    <row r="3614" spans="1:15" ht="15.75" hidden="1" x14ac:dyDescent="0.25">
      <c r="A3614" s="1" t="str">
        <f t="shared" si="176"/>
        <v>4531245314886MASTER CCSHOPPINGQDF</v>
      </c>
      <c r="B3614" s="154">
        <v>45312</v>
      </c>
      <c r="C3614" s="154">
        <v>45314</v>
      </c>
      <c r="D3614" s="3" t="s">
        <v>4250</v>
      </c>
      <c r="E3614" s="3">
        <v>-886</v>
      </c>
      <c r="F3614" s="3">
        <v>1</v>
      </c>
      <c r="G3614" s="3">
        <f t="shared" si="178"/>
        <v>886</v>
      </c>
      <c r="H3614" s="3" t="s">
        <v>291</v>
      </c>
      <c r="I3614" s="1" t="s">
        <v>194</v>
      </c>
      <c r="J3614" s="1" t="s">
        <v>2900</v>
      </c>
      <c r="K3614" s="1" t="s">
        <v>298</v>
      </c>
      <c r="L3614" s="1" t="s">
        <v>267</v>
      </c>
      <c r="M3614" s="1"/>
      <c r="N3614" s="1">
        <f t="shared" si="177"/>
        <v>1</v>
      </c>
      <c r="O3614" s="87"/>
    </row>
    <row r="3615" spans="1:15" ht="15.75" hidden="1" x14ac:dyDescent="0.25">
      <c r="A3615" s="1" t="str">
        <f t="shared" si="176"/>
        <v>453124531419.96MASTER CCTRANSPORTUBER</v>
      </c>
      <c r="B3615" s="154">
        <v>45312</v>
      </c>
      <c r="C3615" s="154">
        <v>45314</v>
      </c>
      <c r="D3615" s="3" t="s">
        <v>4251</v>
      </c>
      <c r="E3615" s="3">
        <v>-19.96</v>
      </c>
      <c r="F3615" s="3">
        <v>1</v>
      </c>
      <c r="G3615" s="3">
        <f t="shared" si="178"/>
        <v>19.96</v>
      </c>
      <c r="H3615" s="3" t="s">
        <v>291</v>
      </c>
      <c r="I3615" s="1" t="s">
        <v>296</v>
      </c>
      <c r="J3615" s="1" t="s">
        <v>299</v>
      </c>
      <c r="K3615" s="1" t="s">
        <v>298</v>
      </c>
      <c r="L3615" s="1" t="s">
        <v>267</v>
      </c>
      <c r="M3615" s="1"/>
      <c r="N3615" s="1">
        <f t="shared" si="177"/>
        <v>1</v>
      </c>
      <c r="O3615" s="87"/>
    </row>
    <row r="3616" spans="1:15" ht="15.75" hidden="1" x14ac:dyDescent="0.25">
      <c r="A3616" s="1" t="str">
        <f t="shared" si="176"/>
        <v>453124531322MASTER CCMEDICALPHARMACY</v>
      </c>
      <c r="B3616" s="154">
        <v>45312</v>
      </c>
      <c r="C3616" s="154">
        <v>45313</v>
      </c>
      <c r="D3616" s="3" t="s">
        <v>4252</v>
      </c>
      <c r="E3616" s="3">
        <v>-22</v>
      </c>
      <c r="F3616" s="3">
        <v>1</v>
      </c>
      <c r="G3616" s="3">
        <f t="shared" si="178"/>
        <v>22</v>
      </c>
      <c r="H3616" s="3" t="s">
        <v>291</v>
      </c>
      <c r="I3616" s="1" t="s">
        <v>301</v>
      </c>
      <c r="J3616" s="1" t="s">
        <v>304</v>
      </c>
      <c r="K3616" s="1" t="s">
        <v>298</v>
      </c>
      <c r="L3616" s="1" t="s">
        <v>267</v>
      </c>
      <c r="M3616" s="1"/>
      <c r="N3616" s="1">
        <f t="shared" si="177"/>
        <v>1</v>
      </c>
      <c r="O3616" s="87"/>
    </row>
    <row r="3617" spans="1:15" ht="15.75" hidden="1" x14ac:dyDescent="0.25">
      <c r="A3617" s="1" t="str">
        <f t="shared" si="176"/>
        <v>453124531398.19MASTER CCMEDICALPHARMACY</v>
      </c>
      <c r="B3617" s="154">
        <v>45312</v>
      </c>
      <c r="C3617" s="154">
        <v>45313</v>
      </c>
      <c r="D3617" s="3" t="s">
        <v>4253</v>
      </c>
      <c r="E3617" s="3">
        <v>-98.19</v>
      </c>
      <c r="F3617" s="3">
        <v>1</v>
      </c>
      <c r="G3617" s="3">
        <f t="shared" si="178"/>
        <v>98.19</v>
      </c>
      <c r="H3617" s="3" t="s">
        <v>291</v>
      </c>
      <c r="I3617" s="1" t="s">
        <v>301</v>
      </c>
      <c r="J3617" s="1" t="s">
        <v>304</v>
      </c>
      <c r="K3617" s="1" t="s">
        <v>298</v>
      </c>
      <c r="L3617" s="1" t="s">
        <v>267</v>
      </c>
      <c r="M3617" s="1"/>
      <c r="N3617" s="1">
        <f t="shared" si="177"/>
        <v>1</v>
      </c>
      <c r="O3617" s="87"/>
    </row>
    <row r="3618" spans="1:15" ht="15.75" hidden="1" x14ac:dyDescent="0.25">
      <c r="A3618" s="1" t="str">
        <f t="shared" si="176"/>
        <v>453134531519.93MASTER CCTRANSPORTUBER</v>
      </c>
      <c r="B3618" s="154">
        <v>45313</v>
      </c>
      <c r="C3618" s="154">
        <v>45315</v>
      </c>
      <c r="D3618" s="3" t="s">
        <v>4254</v>
      </c>
      <c r="E3618" s="3">
        <v>-19.93</v>
      </c>
      <c r="F3618" s="3">
        <v>1</v>
      </c>
      <c r="G3618" s="3">
        <f t="shared" si="178"/>
        <v>19.93</v>
      </c>
      <c r="H3618" s="3" t="s">
        <v>291</v>
      </c>
      <c r="I3618" s="1" t="s">
        <v>296</v>
      </c>
      <c r="J3618" s="1" t="s">
        <v>299</v>
      </c>
      <c r="K3618" s="1" t="s">
        <v>298</v>
      </c>
      <c r="L3618" s="1" t="s">
        <v>267</v>
      </c>
      <c r="M3618" s="1"/>
      <c r="N3618" s="1">
        <f t="shared" si="177"/>
        <v>1</v>
      </c>
      <c r="O3618" s="87"/>
    </row>
    <row r="3619" spans="1:15" ht="15.75" hidden="1" x14ac:dyDescent="0.25">
      <c r="A3619" s="1" t="str">
        <f t="shared" si="176"/>
        <v>4531445314150CURRENTTRANSPORTFAHES</v>
      </c>
      <c r="B3619" s="154">
        <v>45314</v>
      </c>
      <c r="C3619" s="154">
        <v>45314</v>
      </c>
      <c r="D3619" s="3" t="s">
        <v>4168</v>
      </c>
      <c r="E3619" s="3">
        <v>-150</v>
      </c>
      <c r="F3619" s="3">
        <v>1</v>
      </c>
      <c r="G3619" s="3">
        <f t="shared" si="178"/>
        <v>150</v>
      </c>
      <c r="H3619" s="3" t="s">
        <v>293</v>
      </c>
      <c r="I3619" s="1" t="s">
        <v>296</v>
      </c>
      <c r="J3619" s="1" t="s">
        <v>4392</v>
      </c>
      <c r="K3619" s="1" t="s">
        <v>298</v>
      </c>
      <c r="L3619" s="1" t="s">
        <v>257</v>
      </c>
      <c r="M3619" s="1"/>
      <c r="N3619" s="1">
        <f t="shared" si="177"/>
        <v>1</v>
      </c>
      <c r="O3619" s="87"/>
    </row>
    <row r="3620" spans="1:15" ht="15.75" hidden="1" x14ac:dyDescent="0.25">
      <c r="A3620" s="1" t="str">
        <f t="shared" si="176"/>
        <v>45314453174MASTER CCMEDICALNASEEM AL</v>
      </c>
      <c r="B3620" s="154">
        <v>45314</v>
      </c>
      <c r="C3620" s="154">
        <v>45317</v>
      </c>
      <c r="D3620" s="3" t="s">
        <v>4255</v>
      </c>
      <c r="E3620" s="3">
        <v>-4</v>
      </c>
      <c r="F3620" s="3">
        <v>1</v>
      </c>
      <c r="G3620" s="3">
        <f t="shared" si="178"/>
        <v>4</v>
      </c>
      <c r="H3620" s="3" t="s">
        <v>291</v>
      </c>
      <c r="I3620" s="1" t="s">
        <v>301</v>
      </c>
      <c r="J3620" s="1" t="s">
        <v>1000</v>
      </c>
      <c r="K3620" s="1" t="s">
        <v>298</v>
      </c>
      <c r="L3620" s="1" t="s">
        <v>267</v>
      </c>
      <c r="M3620" s="1"/>
      <c r="N3620" s="1">
        <f t="shared" si="177"/>
        <v>1</v>
      </c>
      <c r="O3620" s="87"/>
    </row>
    <row r="3621" spans="1:15" ht="15.75" hidden="1" x14ac:dyDescent="0.25">
      <c r="A3621" s="1" t="str">
        <f t="shared" si="176"/>
        <v>453144531730MASTER CCMEDICALNASEEM AL</v>
      </c>
      <c r="B3621" s="154">
        <v>45314</v>
      </c>
      <c r="C3621" s="154">
        <v>45317</v>
      </c>
      <c r="D3621" s="3" t="s">
        <v>4256</v>
      </c>
      <c r="E3621" s="3">
        <v>-30</v>
      </c>
      <c r="F3621" s="3">
        <v>1</v>
      </c>
      <c r="G3621" s="3">
        <f t="shared" si="178"/>
        <v>30</v>
      </c>
      <c r="H3621" s="3" t="s">
        <v>291</v>
      </c>
      <c r="I3621" s="1" t="s">
        <v>301</v>
      </c>
      <c r="J3621" s="1" t="s">
        <v>1000</v>
      </c>
      <c r="K3621" s="1" t="s">
        <v>298</v>
      </c>
      <c r="L3621" s="1" t="s">
        <v>267</v>
      </c>
      <c r="M3621" s="1"/>
      <c r="N3621" s="1">
        <f t="shared" si="177"/>
        <v>1</v>
      </c>
      <c r="O3621" s="87"/>
    </row>
    <row r="3622" spans="1:15" ht="15.75" hidden="1" x14ac:dyDescent="0.25">
      <c r="A3622" s="1" t="str">
        <f t="shared" si="176"/>
        <v>4531445317110.39MASTER CCMEDICALNASEEM AL</v>
      </c>
      <c r="B3622" s="154">
        <v>45314</v>
      </c>
      <c r="C3622" s="154">
        <v>45317</v>
      </c>
      <c r="D3622" s="3" t="s">
        <v>4257</v>
      </c>
      <c r="E3622" s="3">
        <v>-110.39</v>
      </c>
      <c r="F3622" s="3">
        <v>1</v>
      </c>
      <c r="G3622" s="3">
        <f t="shared" si="178"/>
        <v>110.39</v>
      </c>
      <c r="H3622" s="3" t="s">
        <v>291</v>
      </c>
      <c r="I3622" s="1" t="s">
        <v>301</v>
      </c>
      <c r="J3622" s="1" t="s">
        <v>1000</v>
      </c>
      <c r="K3622" s="1" t="s">
        <v>298</v>
      </c>
      <c r="L3622" s="1" t="s">
        <v>267</v>
      </c>
      <c r="M3622" s="1"/>
      <c r="N3622" s="1">
        <f t="shared" si="177"/>
        <v>1</v>
      </c>
      <c r="O3622" s="87"/>
    </row>
    <row r="3623" spans="1:15" ht="15.75" hidden="1" x14ac:dyDescent="0.25">
      <c r="A3623" s="1" t="str">
        <f t="shared" si="176"/>
        <v>453154531750MASTER CCGROCERYREDROSE</v>
      </c>
      <c r="B3623" s="154">
        <v>45315</v>
      </c>
      <c r="C3623" s="154">
        <v>45317</v>
      </c>
      <c r="D3623" s="3" t="s">
        <v>4258</v>
      </c>
      <c r="E3623" s="3">
        <v>-50</v>
      </c>
      <c r="F3623" s="3">
        <v>1</v>
      </c>
      <c r="G3623" s="3">
        <f t="shared" si="178"/>
        <v>50</v>
      </c>
      <c r="H3623" s="3" t="s">
        <v>291</v>
      </c>
      <c r="I3623" s="1" t="s">
        <v>43</v>
      </c>
      <c r="J3623" s="1" t="s">
        <v>4082</v>
      </c>
      <c r="K3623" s="1" t="s">
        <v>298</v>
      </c>
      <c r="L3623" s="1" t="s">
        <v>267</v>
      </c>
      <c r="M3623" s="1"/>
      <c r="N3623" s="1">
        <f t="shared" si="177"/>
        <v>1</v>
      </c>
      <c r="O3623" s="87"/>
    </row>
    <row r="3624" spans="1:15" ht="15.75" hidden="1" x14ac:dyDescent="0.25">
      <c r="A3624" s="1" t="str">
        <f t="shared" si="176"/>
        <v>453154531750MASTER CCEDUCATIONNOBLE HOUSE</v>
      </c>
      <c r="B3624" s="154">
        <v>45315</v>
      </c>
      <c r="C3624" s="154">
        <v>45317</v>
      </c>
      <c r="D3624" s="3" t="s">
        <v>4259</v>
      </c>
      <c r="E3624" s="3">
        <v>-50</v>
      </c>
      <c r="F3624" s="3">
        <v>1</v>
      </c>
      <c r="G3624" s="3">
        <f t="shared" si="178"/>
        <v>50</v>
      </c>
      <c r="H3624" s="3" t="s">
        <v>291</v>
      </c>
      <c r="I3624" s="1" t="s">
        <v>543</v>
      </c>
      <c r="J3624" s="1" t="s">
        <v>4108</v>
      </c>
      <c r="K3624" s="1" t="s">
        <v>298</v>
      </c>
      <c r="L3624" s="1" t="s">
        <v>267</v>
      </c>
      <c r="M3624" s="1"/>
      <c r="N3624" s="1">
        <f t="shared" si="177"/>
        <v>1</v>
      </c>
      <c r="O3624" s="87"/>
    </row>
    <row r="3625" spans="1:15" ht="15.75" hidden="1" x14ac:dyDescent="0.25">
      <c r="A3625" s="1" t="str">
        <f t="shared" si="176"/>
        <v>453164531631304CURRENTSALARYQATAR AIR</v>
      </c>
      <c r="B3625" s="154">
        <v>45316</v>
      </c>
      <c r="C3625" s="154">
        <v>45316</v>
      </c>
      <c r="D3625" s="3" t="s">
        <v>4167</v>
      </c>
      <c r="E3625" s="3">
        <v>31304</v>
      </c>
      <c r="F3625" s="3">
        <v>1</v>
      </c>
      <c r="G3625" s="3">
        <f t="shared" si="178"/>
        <v>31304</v>
      </c>
      <c r="H3625" s="3" t="s">
        <v>293</v>
      </c>
      <c r="I3625" s="1" t="s">
        <v>18</v>
      </c>
      <c r="J3625" s="1" t="s">
        <v>19</v>
      </c>
      <c r="K3625" s="1" t="s">
        <v>300</v>
      </c>
      <c r="L3625" s="1" t="s">
        <v>257</v>
      </c>
      <c r="M3625" s="1"/>
      <c r="N3625" s="1">
        <f t="shared" si="177"/>
        <v>1</v>
      </c>
      <c r="O3625" s="87"/>
    </row>
    <row r="3626" spans="1:15" ht="15.75" hidden="1" x14ac:dyDescent="0.25">
      <c r="A3626" s="1" t="str">
        <f t="shared" si="176"/>
        <v>453164531838MASTER CCGROCERYREDROSE</v>
      </c>
      <c r="B3626" s="154">
        <v>45316</v>
      </c>
      <c r="C3626" s="154">
        <v>45318</v>
      </c>
      <c r="D3626" s="3" t="s">
        <v>4260</v>
      </c>
      <c r="E3626" s="3">
        <v>-38</v>
      </c>
      <c r="F3626" s="3">
        <v>1</v>
      </c>
      <c r="G3626" s="3">
        <f t="shared" si="178"/>
        <v>38</v>
      </c>
      <c r="H3626" s="3" t="s">
        <v>291</v>
      </c>
      <c r="I3626" s="1" t="s">
        <v>43</v>
      </c>
      <c r="J3626" s="1" t="s">
        <v>4082</v>
      </c>
      <c r="K3626" s="1" t="s">
        <v>298</v>
      </c>
      <c r="L3626" s="1" t="s">
        <v>267</v>
      </c>
      <c r="M3626" s="1"/>
      <c r="N3626" s="1">
        <f t="shared" si="177"/>
        <v>1</v>
      </c>
      <c r="O3626" s="87"/>
    </row>
    <row r="3627" spans="1:15" ht="15.75" hidden="1" x14ac:dyDescent="0.25">
      <c r="A3627" s="1" t="str">
        <f t="shared" si="176"/>
        <v>4531745318104MASTER CCTELECOMOOREDOO</v>
      </c>
      <c r="B3627" s="154">
        <v>45317</v>
      </c>
      <c r="C3627" s="154">
        <v>45318</v>
      </c>
      <c r="D3627" s="3" t="s">
        <v>4261</v>
      </c>
      <c r="E3627" s="3">
        <v>-104</v>
      </c>
      <c r="F3627" s="3">
        <v>1</v>
      </c>
      <c r="G3627" s="3">
        <f t="shared" si="178"/>
        <v>104</v>
      </c>
      <c r="H3627" s="3" t="s">
        <v>291</v>
      </c>
      <c r="I3627" s="1" t="s">
        <v>58</v>
      </c>
      <c r="J3627" s="1" t="s">
        <v>59</v>
      </c>
      <c r="K3627" s="1" t="s">
        <v>298</v>
      </c>
      <c r="L3627" s="1" t="s">
        <v>267</v>
      </c>
      <c r="M3627" s="1"/>
      <c r="N3627" s="1">
        <f t="shared" si="177"/>
        <v>1</v>
      </c>
      <c r="O3627" s="87"/>
    </row>
    <row r="3628" spans="1:15" ht="15.75" hidden="1" x14ac:dyDescent="0.25">
      <c r="A3628" s="1" t="str">
        <f t="shared" si="176"/>
        <v>453174531824.91MASTER CCTRANSPORTUBER</v>
      </c>
      <c r="B3628" s="154">
        <v>45317</v>
      </c>
      <c r="C3628" s="154">
        <v>45318</v>
      </c>
      <c r="D3628" s="3" t="s">
        <v>4262</v>
      </c>
      <c r="E3628" s="3">
        <v>-24.91</v>
      </c>
      <c r="F3628" s="3">
        <v>1</v>
      </c>
      <c r="G3628" s="3">
        <f t="shared" si="178"/>
        <v>24.91</v>
      </c>
      <c r="H3628" s="3" t="s">
        <v>291</v>
      </c>
      <c r="I3628" s="1" t="s">
        <v>296</v>
      </c>
      <c r="J3628" s="1" t="s">
        <v>299</v>
      </c>
      <c r="K3628" s="1" t="s">
        <v>298</v>
      </c>
      <c r="L3628" s="1" t="s">
        <v>267</v>
      </c>
      <c r="M3628" s="1"/>
      <c r="N3628" s="1">
        <f t="shared" si="177"/>
        <v>1</v>
      </c>
      <c r="O3628" s="87"/>
    </row>
    <row r="3629" spans="1:15" ht="15.75" hidden="1" x14ac:dyDescent="0.25">
      <c r="A3629" s="1" t="str">
        <f t="shared" si="176"/>
        <v>453184532135MASTER CCSHOPPINGDAISO</v>
      </c>
      <c r="B3629" s="154">
        <v>45318</v>
      </c>
      <c r="C3629" s="154">
        <v>45321</v>
      </c>
      <c r="D3629" s="3" t="s">
        <v>4263</v>
      </c>
      <c r="E3629" s="3">
        <v>-35</v>
      </c>
      <c r="F3629" s="3">
        <v>1</v>
      </c>
      <c r="G3629" s="3">
        <f t="shared" si="178"/>
        <v>35</v>
      </c>
      <c r="H3629" s="3" t="s">
        <v>291</v>
      </c>
      <c r="I3629" s="1" t="s">
        <v>194</v>
      </c>
      <c r="J3629" s="1" t="s">
        <v>4385</v>
      </c>
      <c r="K3629" s="1" t="s">
        <v>298</v>
      </c>
      <c r="L3629" s="1" t="s">
        <v>267</v>
      </c>
      <c r="M3629" s="1"/>
      <c r="N3629" s="1">
        <f t="shared" si="177"/>
        <v>1</v>
      </c>
      <c r="O3629" s="87"/>
    </row>
    <row r="3630" spans="1:15" ht="15.75" hidden="1" x14ac:dyDescent="0.25">
      <c r="A3630" s="1" t="str">
        <f t="shared" si="176"/>
        <v>453184532135MASTER CCFOODCAFÉ/REST.</v>
      </c>
      <c r="B3630" s="154">
        <v>45318</v>
      </c>
      <c r="C3630" s="154">
        <v>45321</v>
      </c>
      <c r="D3630" s="3" t="s">
        <v>4264</v>
      </c>
      <c r="E3630" s="3">
        <v>-35</v>
      </c>
      <c r="F3630" s="3">
        <v>1</v>
      </c>
      <c r="G3630" s="3">
        <f t="shared" si="178"/>
        <v>35</v>
      </c>
      <c r="H3630" s="3" t="s">
        <v>291</v>
      </c>
      <c r="I3630" s="1" t="s">
        <v>10</v>
      </c>
      <c r="J3630" s="1" t="s">
        <v>11</v>
      </c>
      <c r="K3630" s="1" t="s">
        <v>298</v>
      </c>
      <c r="L3630" s="1" t="s">
        <v>267</v>
      </c>
      <c r="M3630" s="1"/>
      <c r="N3630" s="1">
        <f t="shared" si="177"/>
        <v>1</v>
      </c>
      <c r="O3630" s="87"/>
    </row>
    <row r="3631" spans="1:15" ht="15.75" hidden="1" x14ac:dyDescent="0.25">
      <c r="A3631" s="1" t="str">
        <f t="shared" si="176"/>
        <v>453194531914CURRENTFOODCAFÉ/REST.</v>
      </c>
      <c r="B3631" s="154">
        <v>45319</v>
      </c>
      <c r="C3631" s="154">
        <v>45319</v>
      </c>
      <c r="D3631" s="3" t="s">
        <v>4164</v>
      </c>
      <c r="E3631" s="3">
        <v>-14</v>
      </c>
      <c r="F3631" s="3">
        <v>1</v>
      </c>
      <c r="G3631" s="3">
        <f t="shared" si="178"/>
        <v>14</v>
      </c>
      <c r="H3631" s="3" t="s">
        <v>293</v>
      </c>
      <c r="I3631" s="1" t="s">
        <v>10</v>
      </c>
      <c r="J3631" s="1" t="s">
        <v>11</v>
      </c>
      <c r="K3631" s="1" t="s">
        <v>298</v>
      </c>
      <c r="L3631" s="1" t="s">
        <v>257</v>
      </c>
      <c r="M3631" s="1"/>
      <c r="N3631" s="1">
        <f t="shared" si="177"/>
        <v>1</v>
      </c>
      <c r="O3631" s="87"/>
    </row>
    <row r="3632" spans="1:15" ht="15.75" hidden="1" x14ac:dyDescent="0.25">
      <c r="A3632" s="1" t="str">
        <f t="shared" si="176"/>
        <v>4531945319181.7CURRENTGROCERYINDIAN SUPER</v>
      </c>
      <c r="B3632" s="154">
        <v>45319</v>
      </c>
      <c r="C3632" s="154">
        <v>45319</v>
      </c>
      <c r="D3632" s="3" t="s">
        <v>4165</v>
      </c>
      <c r="E3632" s="3">
        <v>-181.7</v>
      </c>
      <c r="F3632" s="3">
        <v>1</v>
      </c>
      <c r="G3632" s="3">
        <f t="shared" si="178"/>
        <v>181.7</v>
      </c>
      <c r="H3632" s="3" t="s">
        <v>293</v>
      </c>
      <c r="I3632" s="1" t="s">
        <v>43</v>
      </c>
      <c r="J3632" s="1" t="s">
        <v>2273</v>
      </c>
      <c r="K3632" s="1" t="s">
        <v>298</v>
      </c>
      <c r="L3632" s="1" t="s">
        <v>257</v>
      </c>
      <c r="M3632" s="1"/>
      <c r="N3632" s="1">
        <f t="shared" si="177"/>
        <v>1</v>
      </c>
      <c r="O3632" s="87"/>
    </row>
    <row r="3633" spans="1:15" ht="15.75" hidden="1" x14ac:dyDescent="0.25">
      <c r="A3633" s="1" t="str">
        <f t="shared" si="176"/>
        <v>45319453191812CURRENTTRANSPORTQIC</v>
      </c>
      <c r="B3633" s="154">
        <v>45319</v>
      </c>
      <c r="C3633" s="154">
        <v>45319</v>
      </c>
      <c r="D3633" s="3" t="s">
        <v>4166</v>
      </c>
      <c r="E3633" s="3">
        <v>-1812</v>
      </c>
      <c r="F3633" s="3">
        <v>1</v>
      </c>
      <c r="G3633" s="3">
        <f t="shared" si="178"/>
        <v>1812</v>
      </c>
      <c r="H3633" s="3" t="s">
        <v>293</v>
      </c>
      <c r="I3633" s="1" t="s">
        <v>296</v>
      </c>
      <c r="J3633" s="1" t="s">
        <v>2899</v>
      </c>
      <c r="K3633" s="1" t="s">
        <v>298</v>
      </c>
      <c r="L3633" s="1" t="s">
        <v>257</v>
      </c>
      <c r="M3633" s="1"/>
      <c r="N3633" s="1">
        <f t="shared" si="177"/>
        <v>1</v>
      </c>
      <c r="O3633" s="87"/>
    </row>
    <row r="3634" spans="1:15" ht="15.75" hidden="1" x14ac:dyDescent="0.25">
      <c r="A3634" s="1" t="str">
        <f t="shared" si="176"/>
        <v>45319453219MASTER CCLAUNDRYAL RAYES</v>
      </c>
      <c r="B3634" s="154">
        <v>45319</v>
      </c>
      <c r="C3634" s="154">
        <v>45321</v>
      </c>
      <c r="D3634" s="3" t="s">
        <v>4265</v>
      </c>
      <c r="E3634" s="3">
        <v>-9</v>
      </c>
      <c r="F3634" s="3">
        <v>1</v>
      </c>
      <c r="G3634" s="3">
        <f t="shared" si="178"/>
        <v>9</v>
      </c>
      <c r="H3634" s="3" t="s">
        <v>291</v>
      </c>
      <c r="I3634" s="1" t="s">
        <v>3164</v>
      </c>
      <c r="J3634" s="1" t="s">
        <v>3165</v>
      </c>
      <c r="K3634" s="1" t="s">
        <v>298</v>
      </c>
      <c r="L3634" s="1" t="s">
        <v>267</v>
      </c>
      <c r="M3634" s="1"/>
      <c r="N3634" s="1">
        <f t="shared" si="177"/>
        <v>1</v>
      </c>
      <c r="O3634" s="87"/>
    </row>
    <row r="3635" spans="1:15" ht="15.75" hidden="1" x14ac:dyDescent="0.25">
      <c r="A3635" s="1" t="str">
        <f t="shared" si="176"/>
        <v>4532045320103.2CURRENTFOODTALABAT</v>
      </c>
      <c r="B3635" s="154">
        <v>45320</v>
      </c>
      <c r="C3635" s="154">
        <v>45320</v>
      </c>
      <c r="D3635" s="3" t="s">
        <v>4162</v>
      </c>
      <c r="E3635" s="3">
        <v>-103.2</v>
      </c>
      <c r="F3635" s="3">
        <v>1</v>
      </c>
      <c r="G3635" s="3">
        <f t="shared" si="178"/>
        <v>103.2</v>
      </c>
      <c r="H3635" s="3" t="s">
        <v>293</v>
      </c>
      <c r="I3635" s="1" t="s">
        <v>10</v>
      </c>
      <c r="J3635" s="1" t="s">
        <v>865</v>
      </c>
      <c r="K3635" s="1" t="s">
        <v>298</v>
      </c>
      <c r="L3635" s="1" t="s">
        <v>257</v>
      </c>
      <c r="M3635" s="1"/>
      <c r="N3635" s="1">
        <f t="shared" si="177"/>
        <v>1</v>
      </c>
      <c r="O3635" s="87"/>
    </row>
    <row r="3636" spans="1:15" ht="15.75" hidden="1" x14ac:dyDescent="0.25">
      <c r="A3636" s="1" t="str">
        <f t="shared" si="176"/>
        <v>4532045320213CURRENTTRAVELWALES</v>
      </c>
      <c r="B3636" s="154">
        <v>45320</v>
      </c>
      <c r="C3636" s="154">
        <v>45320</v>
      </c>
      <c r="D3636" s="3" t="s">
        <v>4163</v>
      </c>
      <c r="E3636" s="3">
        <v>213</v>
      </c>
      <c r="F3636" s="3">
        <v>1</v>
      </c>
      <c r="G3636" s="3">
        <f t="shared" si="178"/>
        <v>213</v>
      </c>
      <c r="H3636" s="3" t="s">
        <v>293</v>
      </c>
      <c r="I3636" s="1" t="s">
        <v>393</v>
      </c>
      <c r="J3636" s="1" t="s">
        <v>4386</v>
      </c>
      <c r="K3636" s="1" t="s">
        <v>300</v>
      </c>
      <c r="L3636" s="1" t="s">
        <v>257</v>
      </c>
      <c r="M3636" s="1"/>
      <c r="N3636" s="1">
        <f t="shared" si="177"/>
        <v>1</v>
      </c>
      <c r="O3636" s="87"/>
    </row>
    <row r="3637" spans="1:15" ht="15.75" hidden="1" x14ac:dyDescent="0.25">
      <c r="A3637" s="1" t="str">
        <f t="shared" si="176"/>
        <v>453214532147CURRENTGROCERYMANGO</v>
      </c>
      <c r="B3637" s="154">
        <v>45321</v>
      </c>
      <c r="C3637" s="154">
        <v>45321</v>
      </c>
      <c r="D3637" s="3" t="s">
        <v>4161</v>
      </c>
      <c r="E3637" s="3">
        <v>-47</v>
      </c>
      <c r="F3637" s="3">
        <v>1</v>
      </c>
      <c r="G3637" s="3">
        <f t="shared" si="178"/>
        <v>47</v>
      </c>
      <c r="H3637" s="3" t="s">
        <v>293</v>
      </c>
      <c r="I3637" s="1" t="s">
        <v>43</v>
      </c>
      <c r="J3637" s="1" t="s">
        <v>3634</v>
      </c>
      <c r="K3637" s="1" t="s">
        <v>298</v>
      </c>
      <c r="L3637" s="1" t="s">
        <v>257</v>
      </c>
      <c r="M3637" s="1"/>
      <c r="N3637" s="1">
        <f t="shared" si="177"/>
        <v>1</v>
      </c>
      <c r="O3637" s="87"/>
    </row>
    <row r="3638" spans="1:15" ht="15.75" hidden="1" x14ac:dyDescent="0.25">
      <c r="A3638" s="1" t="str">
        <f t="shared" si="176"/>
        <v>45322453226487.67CURRENTCC BILL PAYMENTBANK</v>
      </c>
      <c r="B3638" s="154">
        <v>45322</v>
      </c>
      <c r="C3638" s="154">
        <v>45322</v>
      </c>
      <c r="D3638" s="3" t="s">
        <v>4160</v>
      </c>
      <c r="E3638" s="3">
        <v>-6487.67</v>
      </c>
      <c r="F3638" s="3">
        <v>1</v>
      </c>
      <c r="G3638" s="3">
        <f t="shared" si="178"/>
        <v>6487.67</v>
      </c>
      <c r="H3638" s="3" t="s">
        <v>293</v>
      </c>
      <c r="I3638" s="1" t="s">
        <v>81</v>
      </c>
      <c r="J3638" s="1" t="s">
        <v>8</v>
      </c>
      <c r="K3638" s="1" t="s">
        <v>298</v>
      </c>
      <c r="L3638" s="1" t="s">
        <v>257</v>
      </c>
      <c r="M3638" s="1"/>
      <c r="N3638" s="1">
        <f t="shared" si="177"/>
        <v>1</v>
      </c>
      <c r="O3638" s="87"/>
    </row>
    <row r="3639" spans="1:15" ht="15.75" hidden="1" x14ac:dyDescent="0.25">
      <c r="A3639" s="1" t="str">
        <f t="shared" si="176"/>
        <v>45322453226487.67DINERSCC BILL PAYMENTBANK</v>
      </c>
      <c r="B3639" s="154">
        <v>45322</v>
      </c>
      <c r="C3639" s="154">
        <v>45322</v>
      </c>
      <c r="D3639" s="3" t="s">
        <v>80</v>
      </c>
      <c r="E3639" s="3">
        <v>6487.67</v>
      </c>
      <c r="F3639" s="3">
        <v>1</v>
      </c>
      <c r="G3639" s="3">
        <f t="shared" si="178"/>
        <v>6487.67</v>
      </c>
      <c r="H3639" s="3" t="s">
        <v>266</v>
      </c>
      <c r="I3639" s="1" t="s">
        <v>81</v>
      </c>
      <c r="J3639" s="1" t="s">
        <v>8</v>
      </c>
      <c r="K3639" s="1" t="s">
        <v>300</v>
      </c>
      <c r="L3639" s="1" t="s">
        <v>267</v>
      </c>
      <c r="M3639" s="1"/>
      <c r="N3639" s="1">
        <f t="shared" si="177"/>
        <v>1</v>
      </c>
      <c r="O3639" s="87"/>
    </row>
    <row r="3640" spans="1:15" ht="15.75" hidden="1" x14ac:dyDescent="0.25">
      <c r="A3640" s="1" t="str">
        <f t="shared" si="176"/>
        <v>453224532660MASTER CCFOODTALABAT</v>
      </c>
      <c r="B3640" s="154">
        <v>45322</v>
      </c>
      <c r="C3640" s="154">
        <v>45326</v>
      </c>
      <c r="D3640" s="3" t="s">
        <v>4266</v>
      </c>
      <c r="E3640" s="3">
        <v>-60</v>
      </c>
      <c r="F3640" s="3">
        <v>1</v>
      </c>
      <c r="G3640" s="3">
        <f t="shared" si="178"/>
        <v>60</v>
      </c>
      <c r="H3640" s="3" t="s">
        <v>291</v>
      </c>
      <c r="I3640" s="1" t="s">
        <v>10</v>
      </c>
      <c r="J3640" s="1" t="s">
        <v>865</v>
      </c>
      <c r="K3640" s="1" t="s">
        <v>298</v>
      </c>
      <c r="L3640" s="1" t="s">
        <v>267</v>
      </c>
      <c r="M3640" s="1"/>
      <c r="N3640" s="1">
        <f t="shared" si="177"/>
        <v>2</v>
      </c>
      <c r="O3640" s="87"/>
    </row>
    <row r="3641" spans="1:15" ht="15.75" hidden="1" x14ac:dyDescent="0.25">
      <c r="A3641" s="1" t="str">
        <f t="shared" si="176"/>
        <v>453224532537.36MASTER CCTRANSPORTUBER</v>
      </c>
      <c r="B3641" s="154">
        <v>45322</v>
      </c>
      <c r="C3641" s="154">
        <v>45325</v>
      </c>
      <c r="D3641" s="3" t="s">
        <v>4267</v>
      </c>
      <c r="E3641" s="3">
        <v>-37.36</v>
      </c>
      <c r="F3641" s="3">
        <v>1</v>
      </c>
      <c r="G3641" s="3">
        <f t="shared" si="178"/>
        <v>37.36</v>
      </c>
      <c r="H3641" s="3" t="s">
        <v>291</v>
      </c>
      <c r="I3641" s="1" t="s">
        <v>296</v>
      </c>
      <c r="J3641" s="1" t="s">
        <v>299</v>
      </c>
      <c r="K3641" s="1" t="s">
        <v>298</v>
      </c>
      <c r="L3641" s="1" t="s">
        <v>267</v>
      </c>
      <c r="M3641" s="1"/>
      <c r="N3641" s="1">
        <f t="shared" si="177"/>
        <v>2</v>
      </c>
      <c r="O3641" s="87"/>
    </row>
    <row r="3642" spans="1:15" ht="15.75" hidden="1" x14ac:dyDescent="0.25">
      <c r="A3642" s="1" t="str">
        <f t="shared" si="176"/>
        <v>453234532332.5CURRENTGROCERYMANGO</v>
      </c>
      <c r="B3642" s="154">
        <v>45323</v>
      </c>
      <c r="C3642" s="154">
        <v>45323</v>
      </c>
      <c r="D3642" s="3" t="s">
        <v>4159</v>
      </c>
      <c r="E3642" s="3">
        <v>-32.5</v>
      </c>
      <c r="F3642" s="3">
        <v>1</v>
      </c>
      <c r="G3642" s="3">
        <f t="shared" si="178"/>
        <v>32.5</v>
      </c>
      <c r="H3642" s="3" t="s">
        <v>293</v>
      </c>
      <c r="I3642" s="1" t="s">
        <v>43</v>
      </c>
      <c r="J3642" s="1" t="s">
        <v>3634</v>
      </c>
      <c r="K3642" s="1" t="s">
        <v>298</v>
      </c>
      <c r="L3642" s="1" t="s">
        <v>257</v>
      </c>
      <c r="M3642" s="1"/>
      <c r="N3642" s="1">
        <f t="shared" si="177"/>
        <v>2</v>
      </c>
      <c r="O3642" s="87"/>
    </row>
    <row r="3643" spans="1:15" ht="15.75" hidden="1" x14ac:dyDescent="0.25">
      <c r="A3643" s="1" t="str">
        <f t="shared" si="176"/>
        <v>4532345323500CURRENTSAVINGARTI</v>
      </c>
      <c r="B3643" s="154">
        <v>45323</v>
      </c>
      <c r="C3643" s="154">
        <v>45323</v>
      </c>
      <c r="D3643" s="3" t="s">
        <v>2909</v>
      </c>
      <c r="E3643" s="3">
        <v>-500</v>
      </c>
      <c r="F3643" s="3">
        <v>1</v>
      </c>
      <c r="G3643" s="3">
        <f t="shared" si="178"/>
        <v>500</v>
      </c>
      <c r="H3643" s="3" t="s">
        <v>293</v>
      </c>
      <c r="I3643" s="1" t="s">
        <v>302</v>
      </c>
      <c r="J3643" s="1" t="s">
        <v>453</v>
      </c>
      <c r="K3643" s="1" t="s">
        <v>298</v>
      </c>
      <c r="L3643" s="1" t="s">
        <v>257</v>
      </c>
      <c r="M3643" s="1"/>
      <c r="N3643" s="1">
        <f t="shared" si="177"/>
        <v>2</v>
      </c>
      <c r="O3643" s="87"/>
    </row>
    <row r="3644" spans="1:15" ht="15.75" hidden="1" x14ac:dyDescent="0.25">
      <c r="A3644" s="1" t="str">
        <f t="shared" si="176"/>
        <v>453234532860MASTER CCTELECOMOOREDOO</v>
      </c>
      <c r="B3644" s="154">
        <v>45323</v>
      </c>
      <c r="C3644" s="154">
        <v>45328</v>
      </c>
      <c r="D3644" s="3" t="s">
        <v>4268</v>
      </c>
      <c r="E3644" s="3">
        <v>-60</v>
      </c>
      <c r="F3644" s="3">
        <v>1</v>
      </c>
      <c r="G3644" s="3">
        <f t="shared" si="178"/>
        <v>60</v>
      </c>
      <c r="H3644" s="3" t="s">
        <v>291</v>
      </c>
      <c r="I3644" s="1" t="s">
        <v>58</v>
      </c>
      <c r="J3644" s="1" t="s">
        <v>59</v>
      </c>
      <c r="K3644" s="1" t="s">
        <v>298</v>
      </c>
      <c r="L3644" s="1" t="s">
        <v>267</v>
      </c>
      <c r="M3644" s="1"/>
      <c r="N3644" s="1">
        <f t="shared" si="177"/>
        <v>2</v>
      </c>
      <c r="O3644" s="87"/>
    </row>
    <row r="3645" spans="1:15" ht="15.75" hidden="1" x14ac:dyDescent="0.25">
      <c r="A3645" s="1" t="str">
        <f t="shared" si="176"/>
        <v>453234532810MASTER CCTELECOMOOREDOO</v>
      </c>
      <c r="B3645" s="154">
        <v>45323</v>
      </c>
      <c r="C3645" s="154">
        <v>45328</v>
      </c>
      <c r="D3645" s="3" t="s">
        <v>4269</v>
      </c>
      <c r="E3645" s="3">
        <v>-10</v>
      </c>
      <c r="F3645" s="3">
        <v>1</v>
      </c>
      <c r="G3645" s="3">
        <f t="shared" si="178"/>
        <v>10</v>
      </c>
      <c r="H3645" s="3" t="s">
        <v>291</v>
      </c>
      <c r="I3645" s="1" t="s">
        <v>58</v>
      </c>
      <c r="J3645" s="1" t="s">
        <v>59</v>
      </c>
      <c r="K3645" s="1" t="s">
        <v>298</v>
      </c>
      <c r="L3645" s="1" t="s">
        <v>267</v>
      </c>
      <c r="M3645" s="1"/>
      <c r="N3645" s="1">
        <f t="shared" si="177"/>
        <v>2</v>
      </c>
      <c r="O3645" s="87"/>
    </row>
    <row r="3646" spans="1:15" ht="15.75" hidden="1" x14ac:dyDescent="0.25">
      <c r="A3646" s="1" t="str">
        <f t="shared" si="176"/>
        <v>4532445328397MASTER CCSHOPPINGRNB</v>
      </c>
      <c r="B3646" s="154">
        <v>45324</v>
      </c>
      <c r="C3646" s="154">
        <v>45328</v>
      </c>
      <c r="D3646" s="3" t="s">
        <v>4270</v>
      </c>
      <c r="E3646" s="3">
        <v>-397</v>
      </c>
      <c r="F3646" s="3">
        <v>1</v>
      </c>
      <c r="G3646" s="3">
        <f t="shared" si="178"/>
        <v>397</v>
      </c>
      <c r="H3646" s="3" t="s">
        <v>291</v>
      </c>
      <c r="I3646" s="1" t="s">
        <v>194</v>
      </c>
      <c r="J3646" s="1" t="s">
        <v>1658</v>
      </c>
      <c r="K3646" s="1" t="s">
        <v>298</v>
      </c>
      <c r="L3646" s="1" t="s">
        <v>267</v>
      </c>
      <c r="M3646" s="1"/>
      <c r="N3646" s="1">
        <f t="shared" si="177"/>
        <v>2</v>
      </c>
      <c r="O3646" s="87"/>
    </row>
    <row r="3647" spans="1:15" ht="15.75" hidden="1" x14ac:dyDescent="0.25">
      <c r="A3647" s="1" t="str">
        <f t="shared" si="176"/>
        <v>453244532734.5MASTER CCGROCERYMANGO</v>
      </c>
      <c r="B3647" s="154">
        <v>45324</v>
      </c>
      <c r="C3647" s="154">
        <v>45327</v>
      </c>
      <c r="D3647" s="3" t="s">
        <v>4271</v>
      </c>
      <c r="E3647" s="3">
        <v>-34.5</v>
      </c>
      <c r="F3647" s="3">
        <v>1</v>
      </c>
      <c r="G3647" s="3">
        <f t="shared" si="178"/>
        <v>34.5</v>
      </c>
      <c r="H3647" s="3" t="s">
        <v>291</v>
      </c>
      <c r="I3647" s="1" t="s">
        <v>43</v>
      </c>
      <c r="J3647" s="1" t="s">
        <v>3634</v>
      </c>
      <c r="K3647" s="1" t="s">
        <v>298</v>
      </c>
      <c r="L3647" s="1" t="s">
        <v>267</v>
      </c>
      <c r="M3647" s="1"/>
      <c r="N3647" s="1">
        <f t="shared" si="177"/>
        <v>2</v>
      </c>
      <c r="O3647" s="87"/>
    </row>
    <row r="3648" spans="1:15" ht="15.75" hidden="1" x14ac:dyDescent="0.25">
      <c r="A3648" s="1" t="str">
        <f t="shared" si="176"/>
        <v>4532445327197.14MASTER CCGROCERYINDIAN SUPER</v>
      </c>
      <c r="B3648" s="154">
        <v>45324</v>
      </c>
      <c r="C3648" s="154">
        <v>45327</v>
      </c>
      <c r="D3648" s="3" t="s">
        <v>4272</v>
      </c>
      <c r="E3648" s="3">
        <v>-197.14</v>
      </c>
      <c r="F3648" s="3">
        <v>1</v>
      </c>
      <c r="G3648" s="3">
        <f t="shared" si="178"/>
        <v>197.14</v>
      </c>
      <c r="H3648" s="3" t="s">
        <v>291</v>
      </c>
      <c r="I3648" s="1" t="s">
        <v>43</v>
      </c>
      <c r="J3648" s="1" t="s">
        <v>2273</v>
      </c>
      <c r="K3648" s="1" t="s">
        <v>298</v>
      </c>
      <c r="L3648" s="1" t="s">
        <v>267</v>
      </c>
      <c r="M3648" s="1"/>
      <c r="N3648" s="1">
        <f t="shared" si="177"/>
        <v>2</v>
      </c>
      <c r="O3648" s="87"/>
    </row>
    <row r="3649" spans="1:15" ht="15.75" hidden="1" x14ac:dyDescent="0.25">
      <c r="A3649" s="1" t="str">
        <f t="shared" si="176"/>
        <v>453254532889MASTER CCFOODTALABAT</v>
      </c>
      <c r="B3649" s="154">
        <v>45325</v>
      </c>
      <c r="C3649" s="154">
        <v>45328</v>
      </c>
      <c r="D3649" s="3" t="s">
        <v>4273</v>
      </c>
      <c r="E3649" s="3">
        <v>-89</v>
      </c>
      <c r="F3649" s="3">
        <v>1</v>
      </c>
      <c r="G3649" s="3">
        <f t="shared" si="178"/>
        <v>89</v>
      </c>
      <c r="H3649" s="3" t="s">
        <v>291</v>
      </c>
      <c r="I3649" s="1" t="s">
        <v>10</v>
      </c>
      <c r="J3649" s="1" t="s">
        <v>865</v>
      </c>
      <c r="K3649" s="1" t="s">
        <v>298</v>
      </c>
      <c r="L3649" s="1" t="s">
        <v>267</v>
      </c>
      <c r="M3649" s="1"/>
      <c r="N3649" s="1">
        <f t="shared" si="177"/>
        <v>2</v>
      </c>
      <c r="O3649" s="87"/>
    </row>
    <row r="3650" spans="1:15" ht="15.75" hidden="1" x14ac:dyDescent="0.25">
      <c r="A3650" s="1" t="str">
        <f t="shared" ref="A3650:A3713" si="179">B3650&amp;C3650&amp;G3650&amp;H3650&amp;I3650&amp;J3650</f>
        <v>45325453285MASTER CCGROCERYMANGO</v>
      </c>
      <c r="B3650" s="154">
        <v>45325</v>
      </c>
      <c r="C3650" s="154">
        <v>45328</v>
      </c>
      <c r="D3650" s="3" t="s">
        <v>4274</v>
      </c>
      <c r="E3650" s="3">
        <v>-5</v>
      </c>
      <c r="F3650" s="3">
        <v>1</v>
      </c>
      <c r="G3650" s="3">
        <f t="shared" si="178"/>
        <v>5</v>
      </c>
      <c r="H3650" s="3" t="s">
        <v>291</v>
      </c>
      <c r="I3650" s="1" t="s">
        <v>43</v>
      </c>
      <c r="J3650" s="1" t="s">
        <v>3634</v>
      </c>
      <c r="K3650" s="1" t="s">
        <v>298</v>
      </c>
      <c r="L3650" s="1" t="s">
        <v>267</v>
      </c>
      <c r="M3650" s="1"/>
      <c r="N3650" s="1">
        <f t="shared" ref="N3650:N3713" si="180">MONTH(C3650)</f>
        <v>2</v>
      </c>
      <c r="O3650" s="87"/>
    </row>
    <row r="3651" spans="1:15" ht="15.75" hidden="1" x14ac:dyDescent="0.25">
      <c r="A3651" s="1" t="str">
        <f t="shared" si="179"/>
        <v>453264532638CURRENTGROCERYREDROSE</v>
      </c>
      <c r="B3651" s="154">
        <v>45326</v>
      </c>
      <c r="C3651" s="154">
        <v>45326</v>
      </c>
      <c r="D3651" s="3" t="s">
        <v>4156</v>
      </c>
      <c r="E3651" s="3">
        <v>-38</v>
      </c>
      <c r="F3651" s="3">
        <v>1</v>
      </c>
      <c r="G3651" s="3">
        <f t="shared" si="178"/>
        <v>38</v>
      </c>
      <c r="H3651" s="3" t="s">
        <v>293</v>
      </c>
      <c r="I3651" s="1" t="s">
        <v>43</v>
      </c>
      <c r="J3651" s="1" t="s">
        <v>4082</v>
      </c>
      <c r="K3651" s="1" t="s">
        <v>298</v>
      </c>
      <c r="L3651" s="1" t="s">
        <v>257</v>
      </c>
      <c r="M3651" s="1"/>
      <c r="N3651" s="1">
        <f t="shared" si="180"/>
        <v>2</v>
      </c>
      <c r="O3651" s="87"/>
    </row>
    <row r="3652" spans="1:15" ht="15.75" hidden="1" x14ac:dyDescent="0.25">
      <c r="A3652" s="1" t="str">
        <f t="shared" si="179"/>
        <v>453264532690CURRENTFOODCAFÉ/REST.</v>
      </c>
      <c r="B3652" s="154">
        <v>45326</v>
      </c>
      <c r="C3652" s="154">
        <v>45326</v>
      </c>
      <c r="D3652" s="3" t="s">
        <v>4157</v>
      </c>
      <c r="E3652" s="3">
        <v>-90</v>
      </c>
      <c r="F3652" s="3">
        <v>1</v>
      </c>
      <c r="G3652" s="3">
        <f t="shared" si="178"/>
        <v>90</v>
      </c>
      <c r="H3652" s="3" t="s">
        <v>293</v>
      </c>
      <c r="I3652" s="1" t="s">
        <v>10</v>
      </c>
      <c r="J3652" s="1" t="s">
        <v>11</v>
      </c>
      <c r="K3652" s="1" t="s">
        <v>298</v>
      </c>
      <c r="L3652" s="1" t="s">
        <v>257</v>
      </c>
      <c r="M3652" s="1"/>
      <c r="N3652" s="1">
        <f t="shared" si="180"/>
        <v>2</v>
      </c>
      <c r="O3652" s="87"/>
    </row>
    <row r="3653" spans="1:15" ht="15.75" hidden="1" x14ac:dyDescent="0.25">
      <c r="A3653" s="1" t="str">
        <f t="shared" si="179"/>
        <v>453264532610.5CURRENTTRANSPORTWOQOD</v>
      </c>
      <c r="B3653" s="154">
        <v>45326</v>
      </c>
      <c r="C3653" s="154">
        <v>45326</v>
      </c>
      <c r="D3653" s="3" t="s">
        <v>4158</v>
      </c>
      <c r="E3653" s="3">
        <v>-10.5</v>
      </c>
      <c r="F3653" s="3">
        <v>1</v>
      </c>
      <c r="G3653" s="3">
        <f t="shared" si="178"/>
        <v>10.5</v>
      </c>
      <c r="H3653" s="3" t="s">
        <v>293</v>
      </c>
      <c r="I3653" s="1" t="s">
        <v>296</v>
      </c>
      <c r="J3653" s="1" t="s">
        <v>1942</v>
      </c>
      <c r="K3653" s="1" t="s">
        <v>298</v>
      </c>
      <c r="L3653" s="1" t="s">
        <v>257</v>
      </c>
      <c r="M3653" s="1"/>
      <c r="N3653" s="1">
        <f t="shared" si="180"/>
        <v>2</v>
      </c>
      <c r="O3653" s="87"/>
    </row>
    <row r="3654" spans="1:15" ht="15.75" hidden="1" x14ac:dyDescent="0.25">
      <c r="A3654" s="1" t="str">
        <f t="shared" si="179"/>
        <v>4532645326500CURRENTSAVINGARTI</v>
      </c>
      <c r="B3654" s="154">
        <v>45326</v>
      </c>
      <c r="C3654" s="154">
        <v>45326</v>
      </c>
      <c r="D3654" s="3" t="s">
        <v>3703</v>
      </c>
      <c r="E3654" s="3">
        <v>-500</v>
      </c>
      <c r="F3654" s="3">
        <v>1</v>
      </c>
      <c r="G3654" s="3">
        <f t="shared" si="178"/>
        <v>500</v>
      </c>
      <c r="H3654" s="3" t="s">
        <v>293</v>
      </c>
      <c r="I3654" s="1" t="s">
        <v>302</v>
      </c>
      <c r="J3654" s="1" t="s">
        <v>453</v>
      </c>
      <c r="K3654" s="1" t="s">
        <v>298</v>
      </c>
      <c r="L3654" s="1" t="s">
        <v>257</v>
      </c>
      <c r="M3654" s="1"/>
      <c r="N3654" s="1">
        <f t="shared" si="180"/>
        <v>2</v>
      </c>
      <c r="O3654" s="87"/>
    </row>
    <row r="3655" spans="1:15" ht="15.75" hidden="1" x14ac:dyDescent="0.25">
      <c r="A3655" s="1" t="str">
        <f t="shared" si="179"/>
        <v>453264532949.5MASTER CCGROCERYINDIAN SUPER</v>
      </c>
      <c r="B3655" s="154">
        <v>45326</v>
      </c>
      <c r="C3655" s="154">
        <v>45329</v>
      </c>
      <c r="D3655" s="3" t="s">
        <v>4275</v>
      </c>
      <c r="E3655" s="3">
        <v>-49.5</v>
      </c>
      <c r="F3655" s="3">
        <v>1</v>
      </c>
      <c r="G3655" s="3">
        <f t="shared" si="178"/>
        <v>49.5</v>
      </c>
      <c r="H3655" s="3" t="s">
        <v>291</v>
      </c>
      <c r="I3655" s="1" t="s">
        <v>43</v>
      </c>
      <c r="J3655" s="1" t="s">
        <v>2273</v>
      </c>
      <c r="K3655" s="1" t="s">
        <v>298</v>
      </c>
      <c r="L3655" s="1" t="s">
        <v>267</v>
      </c>
      <c r="M3655" s="1"/>
      <c r="N3655" s="1">
        <f t="shared" si="180"/>
        <v>2</v>
      </c>
      <c r="O3655" s="87"/>
    </row>
    <row r="3656" spans="1:15" ht="15.75" hidden="1" x14ac:dyDescent="0.25">
      <c r="A3656" s="1" t="str">
        <f t="shared" si="179"/>
        <v>453264532821MASTER CCMEDICALPHARMACY</v>
      </c>
      <c r="B3656" s="154">
        <v>45326</v>
      </c>
      <c r="C3656" s="154">
        <v>45328</v>
      </c>
      <c r="D3656" s="3" t="s">
        <v>4276</v>
      </c>
      <c r="E3656" s="3">
        <v>-21</v>
      </c>
      <c r="F3656" s="3">
        <v>1</v>
      </c>
      <c r="G3656" s="3">
        <f t="shared" si="178"/>
        <v>21</v>
      </c>
      <c r="H3656" s="3" t="s">
        <v>291</v>
      </c>
      <c r="I3656" s="1" t="s">
        <v>301</v>
      </c>
      <c r="J3656" s="1" t="s">
        <v>304</v>
      </c>
      <c r="K3656" s="1" t="s">
        <v>298</v>
      </c>
      <c r="L3656" s="1" t="s">
        <v>267</v>
      </c>
      <c r="M3656" s="1"/>
      <c r="N3656" s="1">
        <f t="shared" si="180"/>
        <v>2</v>
      </c>
      <c r="O3656" s="87"/>
    </row>
    <row r="3657" spans="1:15" ht="15.75" hidden="1" x14ac:dyDescent="0.25">
      <c r="A3657" s="1" t="str">
        <f t="shared" si="179"/>
        <v>453264532841.1MASTER CCGROCERYMANGO</v>
      </c>
      <c r="B3657" s="154">
        <v>45326</v>
      </c>
      <c r="C3657" s="154">
        <v>45328</v>
      </c>
      <c r="D3657" s="3" t="s">
        <v>4277</v>
      </c>
      <c r="E3657" s="3">
        <v>-41.1</v>
      </c>
      <c r="F3657" s="3">
        <v>1</v>
      </c>
      <c r="G3657" s="3">
        <f t="shared" si="178"/>
        <v>41.1</v>
      </c>
      <c r="H3657" s="3" t="s">
        <v>291</v>
      </c>
      <c r="I3657" s="1" t="s">
        <v>43</v>
      </c>
      <c r="J3657" s="1" t="s">
        <v>3634</v>
      </c>
      <c r="K3657" s="1" t="s">
        <v>298</v>
      </c>
      <c r="L3657" s="1" t="s">
        <v>267</v>
      </c>
      <c r="M3657" s="1"/>
      <c r="N3657" s="1">
        <f t="shared" si="180"/>
        <v>2</v>
      </c>
      <c r="O3657" s="87"/>
    </row>
    <row r="3658" spans="1:15" ht="15.75" hidden="1" x14ac:dyDescent="0.25">
      <c r="A3658" s="1" t="str">
        <f t="shared" si="179"/>
        <v>4532745329120MASTER CCVISAMOI</v>
      </c>
      <c r="B3658" s="154">
        <v>45327</v>
      </c>
      <c r="C3658" s="154">
        <v>45329</v>
      </c>
      <c r="D3658" s="3" t="s">
        <v>4278</v>
      </c>
      <c r="E3658" s="3">
        <v>-120</v>
      </c>
      <c r="F3658" s="3">
        <v>1</v>
      </c>
      <c r="G3658" s="3">
        <f t="shared" si="178"/>
        <v>120</v>
      </c>
      <c r="H3658" s="3" t="s">
        <v>291</v>
      </c>
      <c r="I3658" s="1" t="s">
        <v>29</v>
      </c>
      <c r="J3658" s="1" t="s">
        <v>1564</v>
      </c>
      <c r="K3658" s="1" t="s">
        <v>298</v>
      </c>
      <c r="L3658" s="1" t="s">
        <v>267</v>
      </c>
      <c r="M3658" s="1"/>
      <c r="N3658" s="1">
        <f t="shared" si="180"/>
        <v>2</v>
      </c>
      <c r="O3658" s="87"/>
    </row>
    <row r="3659" spans="1:15" ht="15.75" hidden="1" x14ac:dyDescent="0.25">
      <c r="A3659" s="1" t="str">
        <f t="shared" si="179"/>
        <v>453274532944.66MASTER CCGROCERYMANGO</v>
      </c>
      <c r="B3659" s="154">
        <v>45327</v>
      </c>
      <c r="C3659" s="154">
        <v>45329</v>
      </c>
      <c r="D3659" s="3" t="s">
        <v>4279</v>
      </c>
      <c r="E3659" s="3">
        <v>-44.66</v>
      </c>
      <c r="F3659" s="3">
        <v>1</v>
      </c>
      <c r="G3659" s="3">
        <f t="shared" ref="G3659:G3722" si="181">ABS(E3659)*F3659</f>
        <v>44.66</v>
      </c>
      <c r="H3659" s="3" t="s">
        <v>291</v>
      </c>
      <c r="I3659" s="1" t="s">
        <v>43</v>
      </c>
      <c r="J3659" s="1" t="s">
        <v>3634</v>
      </c>
      <c r="K3659" s="1" t="s">
        <v>298</v>
      </c>
      <c r="L3659" s="1" t="s">
        <v>267</v>
      </c>
      <c r="M3659" s="1"/>
      <c r="N3659" s="1">
        <f t="shared" si="180"/>
        <v>2</v>
      </c>
      <c r="O3659" s="87"/>
    </row>
    <row r="3660" spans="1:15" ht="15.75" hidden="1" x14ac:dyDescent="0.25">
      <c r="A3660" s="1" t="str">
        <f t="shared" si="179"/>
        <v>4532845328100CURRENTSHOPPINGCENTER POINT</v>
      </c>
      <c r="B3660" s="154">
        <v>45328</v>
      </c>
      <c r="C3660" s="154">
        <v>45328</v>
      </c>
      <c r="D3660" s="3" t="s">
        <v>4154</v>
      </c>
      <c r="E3660" s="3">
        <v>-100</v>
      </c>
      <c r="F3660" s="3">
        <v>1</v>
      </c>
      <c r="G3660" s="3">
        <f t="shared" si="181"/>
        <v>100</v>
      </c>
      <c r="H3660" s="3" t="s">
        <v>293</v>
      </c>
      <c r="I3660" s="1" t="s">
        <v>194</v>
      </c>
      <c r="J3660" s="1" t="s">
        <v>2902</v>
      </c>
      <c r="K3660" s="1" t="s">
        <v>298</v>
      </c>
      <c r="L3660" s="1" t="s">
        <v>257</v>
      </c>
      <c r="M3660" s="1"/>
      <c r="N3660" s="1">
        <f t="shared" si="180"/>
        <v>2</v>
      </c>
      <c r="O3660" s="87"/>
    </row>
    <row r="3661" spans="1:15" ht="15.75" hidden="1" x14ac:dyDescent="0.25">
      <c r="A3661" s="1" t="str">
        <f t="shared" si="179"/>
        <v>4532845328275CURRENTSHOPPINGMAX</v>
      </c>
      <c r="B3661" s="154">
        <v>45328</v>
      </c>
      <c r="C3661" s="154">
        <v>45328</v>
      </c>
      <c r="D3661" s="3" t="s">
        <v>4155</v>
      </c>
      <c r="E3661" s="3">
        <v>-275</v>
      </c>
      <c r="F3661" s="3">
        <v>1</v>
      </c>
      <c r="G3661" s="3">
        <f t="shared" si="181"/>
        <v>275</v>
      </c>
      <c r="H3661" s="3" t="s">
        <v>293</v>
      </c>
      <c r="I3661" s="1" t="s">
        <v>194</v>
      </c>
      <c r="J3661" s="1" t="s">
        <v>776</v>
      </c>
      <c r="K3661" s="1" t="s">
        <v>298</v>
      </c>
      <c r="L3661" s="1" t="s">
        <v>257</v>
      </c>
      <c r="M3661" s="1"/>
      <c r="N3661" s="1">
        <f t="shared" si="180"/>
        <v>2</v>
      </c>
      <c r="O3661" s="87"/>
    </row>
    <row r="3662" spans="1:15" ht="15.75" hidden="1" x14ac:dyDescent="0.25">
      <c r="A3662" s="1" t="str">
        <f t="shared" si="179"/>
        <v>453284533048MASTER CCFOODCAFÉ/REST.</v>
      </c>
      <c r="B3662" s="154">
        <v>45328</v>
      </c>
      <c r="C3662" s="154">
        <v>45330</v>
      </c>
      <c r="D3662" s="3" t="s">
        <v>4280</v>
      </c>
      <c r="E3662" s="3">
        <v>-48</v>
      </c>
      <c r="F3662" s="3">
        <v>1</v>
      </c>
      <c r="G3662" s="3">
        <f t="shared" si="181"/>
        <v>48</v>
      </c>
      <c r="H3662" s="3" t="s">
        <v>291</v>
      </c>
      <c r="I3662" s="1" t="s">
        <v>10</v>
      </c>
      <c r="J3662" s="1" t="s">
        <v>11</v>
      </c>
      <c r="K3662" s="1" t="s">
        <v>298</v>
      </c>
      <c r="L3662" s="1" t="s">
        <v>267</v>
      </c>
      <c r="M3662" s="1"/>
      <c r="N3662" s="1">
        <f t="shared" si="180"/>
        <v>2</v>
      </c>
      <c r="O3662" s="87"/>
    </row>
    <row r="3663" spans="1:15" ht="15.75" hidden="1" x14ac:dyDescent="0.25">
      <c r="A3663" s="1" t="str">
        <f t="shared" si="179"/>
        <v>4532945329105CURRENTTRANSPORTWOQOD</v>
      </c>
      <c r="B3663" s="154">
        <v>45329</v>
      </c>
      <c r="C3663" s="154">
        <v>45329</v>
      </c>
      <c r="D3663" s="3" t="s">
        <v>4153</v>
      </c>
      <c r="E3663" s="3">
        <v>-105</v>
      </c>
      <c r="F3663" s="3">
        <v>1</v>
      </c>
      <c r="G3663" s="3">
        <f t="shared" si="181"/>
        <v>105</v>
      </c>
      <c r="H3663" s="3" t="s">
        <v>293</v>
      </c>
      <c r="I3663" s="1" t="s">
        <v>296</v>
      </c>
      <c r="J3663" s="1" t="s">
        <v>1942</v>
      </c>
      <c r="K3663" s="1" t="s">
        <v>298</v>
      </c>
      <c r="L3663" s="1" t="s">
        <v>257</v>
      </c>
      <c r="M3663" s="1"/>
      <c r="N3663" s="1">
        <f t="shared" si="180"/>
        <v>2</v>
      </c>
      <c r="O3663" s="87"/>
    </row>
    <row r="3664" spans="1:15" ht="15.75" hidden="1" x14ac:dyDescent="0.25">
      <c r="A3664" s="1" t="str">
        <f t="shared" si="179"/>
        <v>453294533210MASTER CCFOODCAFÉ/REST.</v>
      </c>
      <c r="B3664" s="154">
        <v>45329</v>
      </c>
      <c r="C3664" s="154">
        <v>45332</v>
      </c>
      <c r="D3664" s="3" t="s">
        <v>4281</v>
      </c>
      <c r="E3664" s="3">
        <v>-10</v>
      </c>
      <c r="F3664" s="3">
        <v>1</v>
      </c>
      <c r="G3664" s="3">
        <f t="shared" si="181"/>
        <v>10</v>
      </c>
      <c r="H3664" s="3" t="s">
        <v>291</v>
      </c>
      <c r="I3664" s="1" t="s">
        <v>10</v>
      </c>
      <c r="J3664" s="1" t="s">
        <v>11</v>
      </c>
      <c r="K3664" s="1" t="s">
        <v>298</v>
      </c>
      <c r="L3664" s="1" t="s">
        <v>267</v>
      </c>
      <c r="M3664" s="1"/>
      <c r="N3664" s="1">
        <f t="shared" si="180"/>
        <v>2</v>
      </c>
      <c r="O3664" s="87"/>
    </row>
    <row r="3665" spans="1:15" ht="15.75" hidden="1" x14ac:dyDescent="0.25">
      <c r="A3665" s="1" t="str">
        <f t="shared" si="179"/>
        <v>45329453319MASTER CCFOODQATAR AIR</v>
      </c>
      <c r="B3665" s="154">
        <v>45329</v>
      </c>
      <c r="C3665" s="154">
        <v>45331</v>
      </c>
      <c r="D3665" s="3" t="s">
        <v>4282</v>
      </c>
      <c r="E3665" s="3">
        <v>-9</v>
      </c>
      <c r="F3665" s="3">
        <v>1</v>
      </c>
      <c r="G3665" s="3">
        <f t="shared" si="181"/>
        <v>9</v>
      </c>
      <c r="H3665" s="3" t="s">
        <v>291</v>
      </c>
      <c r="I3665" s="1" t="s">
        <v>10</v>
      </c>
      <c r="J3665" s="1" t="s">
        <v>19</v>
      </c>
      <c r="K3665" s="1" t="s">
        <v>298</v>
      </c>
      <c r="L3665" s="1" t="s">
        <v>267</v>
      </c>
      <c r="M3665" s="1"/>
      <c r="N3665" s="1">
        <f t="shared" si="180"/>
        <v>2</v>
      </c>
      <c r="O3665" s="87"/>
    </row>
    <row r="3666" spans="1:15" ht="15.75" hidden="1" x14ac:dyDescent="0.25">
      <c r="A3666" s="1" t="str">
        <f t="shared" si="179"/>
        <v>45330453305000CURRENTRENTBARWA</v>
      </c>
      <c r="B3666" s="154">
        <v>45330</v>
      </c>
      <c r="C3666" s="154">
        <v>45330</v>
      </c>
      <c r="D3666" s="3" t="s">
        <v>4152</v>
      </c>
      <c r="E3666" s="3">
        <v>-5000</v>
      </c>
      <c r="F3666" s="3">
        <v>1</v>
      </c>
      <c r="G3666" s="3">
        <f t="shared" si="181"/>
        <v>5000</v>
      </c>
      <c r="H3666" s="3" t="s">
        <v>293</v>
      </c>
      <c r="I3666" s="1" t="s">
        <v>83</v>
      </c>
      <c r="J3666" s="1" t="s">
        <v>3633</v>
      </c>
      <c r="K3666" s="1" t="s">
        <v>298</v>
      </c>
      <c r="L3666" s="1" t="s">
        <v>257</v>
      </c>
      <c r="M3666" s="1"/>
      <c r="N3666" s="1">
        <f t="shared" si="180"/>
        <v>2</v>
      </c>
      <c r="O3666" s="87"/>
    </row>
    <row r="3667" spans="1:15" ht="15.75" hidden="1" x14ac:dyDescent="0.25">
      <c r="A3667" s="1" t="str">
        <f t="shared" si="179"/>
        <v>4533045333243.69MASTER CCGROCERYLULU</v>
      </c>
      <c r="B3667" s="154">
        <v>45330</v>
      </c>
      <c r="C3667" s="154">
        <v>45333</v>
      </c>
      <c r="D3667" s="3" t="s">
        <v>4283</v>
      </c>
      <c r="E3667" s="3">
        <v>-243.69</v>
      </c>
      <c r="F3667" s="3">
        <v>1</v>
      </c>
      <c r="G3667" s="3">
        <f t="shared" si="181"/>
        <v>243.69</v>
      </c>
      <c r="H3667" s="3" t="s">
        <v>291</v>
      </c>
      <c r="I3667" s="1" t="s">
        <v>43</v>
      </c>
      <c r="J3667" s="1" t="s">
        <v>44</v>
      </c>
      <c r="K3667" s="1" t="s">
        <v>298</v>
      </c>
      <c r="L3667" s="1" t="s">
        <v>267</v>
      </c>
      <c r="M3667" s="1"/>
      <c r="N3667" s="1">
        <f t="shared" si="180"/>
        <v>2</v>
      </c>
      <c r="O3667" s="87"/>
    </row>
    <row r="3668" spans="1:15" ht="15.75" hidden="1" x14ac:dyDescent="0.25">
      <c r="A3668" s="1" t="str">
        <f t="shared" si="179"/>
        <v>453314533511.25MASTER CCGROCERYALMIRAH</v>
      </c>
      <c r="B3668" s="154">
        <v>45331</v>
      </c>
      <c r="C3668" s="154">
        <v>45335</v>
      </c>
      <c r="D3668" s="3" t="s">
        <v>4284</v>
      </c>
      <c r="E3668" s="3">
        <v>-11.25</v>
      </c>
      <c r="F3668" s="3">
        <v>1</v>
      </c>
      <c r="G3668" s="3">
        <f t="shared" si="181"/>
        <v>11.25</v>
      </c>
      <c r="H3668" s="3" t="s">
        <v>291</v>
      </c>
      <c r="I3668" s="1" t="s">
        <v>43</v>
      </c>
      <c r="J3668" s="1" t="s">
        <v>769</v>
      </c>
      <c r="K3668" s="1" t="s">
        <v>298</v>
      </c>
      <c r="L3668" s="1" t="s">
        <v>267</v>
      </c>
      <c r="M3668" s="1"/>
      <c r="N3668" s="1">
        <f t="shared" si="180"/>
        <v>2</v>
      </c>
      <c r="O3668" s="87"/>
    </row>
    <row r="3669" spans="1:15" ht="15.75" hidden="1" x14ac:dyDescent="0.25">
      <c r="A3669" s="1" t="str">
        <f t="shared" si="179"/>
        <v>453314533539MASTER CCGROCERYMANGO</v>
      </c>
      <c r="B3669" s="154">
        <v>45331</v>
      </c>
      <c r="C3669" s="154">
        <v>45335</v>
      </c>
      <c r="D3669" s="3" t="s">
        <v>4285</v>
      </c>
      <c r="E3669" s="3">
        <v>-39</v>
      </c>
      <c r="F3669" s="3">
        <v>1</v>
      </c>
      <c r="G3669" s="3">
        <f t="shared" si="181"/>
        <v>39</v>
      </c>
      <c r="H3669" s="3" t="s">
        <v>291</v>
      </c>
      <c r="I3669" s="1" t="s">
        <v>43</v>
      </c>
      <c r="J3669" s="1" t="s">
        <v>3634</v>
      </c>
      <c r="K3669" s="1" t="s">
        <v>298</v>
      </c>
      <c r="L3669" s="1" t="s">
        <v>267</v>
      </c>
      <c r="M3669" s="1"/>
      <c r="N3669" s="1">
        <f t="shared" si="180"/>
        <v>2</v>
      </c>
      <c r="O3669" s="87"/>
    </row>
    <row r="3670" spans="1:15" ht="15.75" hidden="1" x14ac:dyDescent="0.25">
      <c r="A3670" s="1" t="str">
        <f t="shared" si="179"/>
        <v>453314533319.94MASTER CCTRANSPORTUBER</v>
      </c>
      <c r="B3670" s="154">
        <v>45331</v>
      </c>
      <c r="C3670" s="154">
        <v>45333</v>
      </c>
      <c r="D3670" s="3" t="s">
        <v>4286</v>
      </c>
      <c r="E3670" s="3">
        <v>-19.940000000000001</v>
      </c>
      <c r="F3670" s="3">
        <v>1</v>
      </c>
      <c r="G3670" s="3">
        <f t="shared" si="181"/>
        <v>19.940000000000001</v>
      </c>
      <c r="H3670" s="3" t="s">
        <v>291</v>
      </c>
      <c r="I3670" s="1" t="s">
        <v>296</v>
      </c>
      <c r="J3670" s="1" t="s">
        <v>299</v>
      </c>
      <c r="K3670" s="1" t="s">
        <v>298</v>
      </c>
      <c r="L3670" s="1" t="s">
        <v>267</v>
      </c>
      <c r="M3670" s="1"/>
      <c r="N3670" s="1">
        <f t="shared" si="180"/>
        <v>2</v>
      </c>
      <c r="O3670" s="87"/>
    </row>
    <row r="3671" spans="1:15" ht="15.75" hidden="1" x14ac:dyDescent="0.25">
      <c r="A3671" s="1" t="str">
        <f t="shared" si="179"/>
        <v>453314533320.93MASTER CCTRANSPORTUBER</v>
      </c>
      <c r="B3671" s="154">
        <v>45331</v>
      </c>
      <c r="C3671" s="154">
        <v>45333</v>
      </c>
      <c r="D3671" s="3" t="s">
        <v>4287</v>
      </c>
      <c r="E3671" s="3">
        <v>-20.93</v>
      </c>
      <c r="F3671" s="3">
        <v>1</v>
      </c>
      <c r="G3671" s="3">
        <f t="shared" si="181"/>
        <v>20.93</v>
      </c>
      <c r="H3671" s="3" t="s">
        <v>291</v>
      </c>
      <c r="I3671" s="1" t="s">
        <v>296</v>
      </c>
      <c r="J3671" s="1" t="s">
        <v>299</v>
      </c>
      <c r="K3671" s="1" t="s">
        <v>298</v>
      </c>
      <c r="L3671" s="1" t="s">
        <v>267</v>
      </c>
      <c r="M3671" s="1"/>
      <c r="N3671" s="1">
        <f t="shared" si="180"/>
        <v>2</v>
      </c>
      <c r="O3671" s="87"/>
    </row>
    <row r="3672" spans="1:15" ht="15.75" hidden="1" x14ac:dyDescent="0.25">
      <c r="A3672" s="1" t="str">
        <f t="shared" si="179"/>
        <v>453334533330CURRENTENTERTAINMENTHAMAD PORT</v>
      </c>
      <c r="B3672" s="154">
        <v>45333</v>
      </c>
      <c r="C3672" s="154">
        <v>45333</v>
      </c>
      <c r="D3672" s="3" t="s">
        <v>4150</v>
      </c>
      <c r="E3672" s="3">
        <v>-30</v>
      </c>
      <c r="F3672" s="3">
        <v>1</v>
      </c>
      <c r="G3672" s="3">
        <f t="shared" si="181"/>
        <v>30</v>
      </c>
      <c r="H3672" s="3" t="s">
        <v>293</v>
      </c>
      <c r="I3672" s="1" t="s">
        <v>2476</v>
      </c>
      <c r="J3672" s="1" t="s">
        <v>4383</v>
      </c>
      <c r="K3672" s="1" t="s">
        <v>298</v>
      </c>
      <c r="L3672" s="1" t="s">
        <v>257</v>
      </c>
      <c r="M3672" s="1"/>
      <c r="N3672" s="1">
        <f t="shared" si="180"/>
        <v>2</v>
      </c>
      <c r="O3672" s="87"/>
    </row>
    <row r="3673" spans="1:15" ht="15.75" hidden="1" x14ac:dyDescent="0.25">
      <c r="A3673" s="1" t="str">
        <f t="shared" si="179"/>
        <v>453334533330CURRENTENTERTAINMENTHAMAD PORT</v>
      </c>
      <c r="B3673" s="154">
        <v>45333</v>
      </c>
      <c r="C3673" s="154">
        <v>45333</v>
      </c>
      <c r="D3673" s="3" t="s">
        <v>4151</v>
      </c>
      <c r="E3673" s="3">
        <v>-30</v>
      </c>
      <c r="F3673" s="3">
        <v>1</v>
      </c>
      <c r="G3673" s="3">
        <f t="shared" si="181"/>
        <v>30</v>
      </c>
      <c r="H3673" s="3" t="s">
        <v>293</v>
      </c>
      <c r="I3673" s="1" t="s">
        <v>2476</v>
      </c>
      <c r="J3673" s="1" t="s">
        <v>4383</v>
      </c>
      <c r="K3673" s="1" t="s">
        <v>298</v>
      </c>
      <c r="L3673" s="1" t="s">
        <v>257</v>
      </c>
      <c r="M3673" s="1"/>
      <c r="N3673" s="1">
        <f t="shared" si="180"/>
        <v>2</v>
      </c>
      <c r="O3673" s="87"/>
    </row>
    <row r="3674" spans="1:15" ht="15.75" hidden="1" x14ac:dyDescent="0.25">
      <c r="A3674" s="1" t="str">
        <f t="shared" si="179"/>
        <v>453334533630MASTER CCFOODTALABAT</v>
      </c>
      <c r="B3674" s="154">
        <v>45333</v>
      </c>
      <c r="C3674" s="154">
        <v>45336</v>
      </c>
      <c r="D3674" s="3" t="s">
        <v>4288</v>
      </c>
      <c r="E3674" s="3">
        <v>-30</v>
      </c>
      <c r="F3674" s="3">
        <v>1</v>
      </c>
      <c r="G3674" s="3">
        <f t="shared" si="181"/>
        <v>30</v>
      </c>
      <c r="H3674" s="3" t="s">
        <v>291</v>
      </c>
      <c r="I3674" s="1" t="s">
        <v>10</v>
      </c>
      <c r="J3674" s="1" t="s">
        <v>865</v>
      </c>
      <c r="K3674" s="1" t="s">
        <v>298</v>
      </c>
      <c r="L3674" s="1" t="s">
        <v>267</v>
      </c>
      <c r="M3674" s="1"/>
      <c r="N3674" s="1">
        <f t="shared" si="180"/>
        <v>2</v>
      </c>
      <c r="O3674" s="87"/>
    </row>
    <row r="3675" spans="1:15" ht="15.75" hidden="1" x14ac:dyDescent="0.25">
      <c r="A3675" s="1" t="str">
        <f t="shared" si="179"/>
        <v>453334533520.95MASTER CCTRANSPORTUBER</v>
      </c>
      <c r="B3675" s="154">
        <v>45333</v>
      </c>
      <c r="C3675" s="154">
        <v>45335</v>
      </c>
      <c r="D3675" s="3" t="s">
        <v>4289</v>
      </c>
      <c r="E3675" s="3">
        <v>-20.95</v>
      </c>
      <c r="F3675" s="3">
        <v>1</v>
      </c>
      <c r="G3675" s="3">
        <f t="shared" si="181"/>
        <v>20.95</v>
      </c>
      <c r="H3675" s="3" t="s">
        <v>291</v>
      </c>
      <c r="I3675" s="1" t="s">
        <v>296</v>
      </c>
      <c r="J3675" s="1" t="s">
        <v>299</v>
      </c>
      <c r="K3675" s="1" t="s">
        <v>298</v>
      </c>
      <c r="L3675" s="1" t="s">
        <v>267</v>
      </c>
      <c r="M3675" s="1"/>
      <c r="N3675" s="1">
        <f t="shared" si="180"/>
        <v>2</v>
      </c>
      <c r="O3675" s="87"/>
    </row>
    <row r="3676" spans="1:15" ht="15.75" hidden="1" x14ac:dyDescent="0.25">
      <c r="A3676" s="1" t="str">
        <f t="shared" si="179"/>
        <v>453334533523.9MASTER CCTRANSPORTUBER</v>
      </c>
      <c r="B3676" s="154">
        <v>45333</v>
      </c>
      <c r="C3676" s="154">
        <v>45335</v>
      </c>
      <c r="D3676" s="3" t="s">
        <v>4290</v>
      </c>
      <c r="E3676" s="3">
        <v>-23.9</v>
      </c>
      <c r="F3676" s="3">
        <v>1</v>
      </c>
      <c r="G3676" s="3">
        <f t="shared" si="181"/>
        <v>23.9</v>
      </c>
      <c r="H3676" s="3" t="s">
        <v>291</v>
      </c>
      <c r="I3676" s="1" t="s">
        <v>296</v>
      </c>
      <c r="J3676" s="1" t="s">
        <v>299</v>
      </c>
      <c r="K3676" s="1" t="s">
        <v>298</v>
      </c>
      <c r="L3676" s="1" t="s">
        <v>267</v>
      </c>
      <c r="M3676" s="1"/>
      <c r="N3676" s="1">
        <f t="shared" si="180"/>
        <v>2</v>
      </c>
      <c r="O3676" s="87"/>
    </row>
    <row r="3677" spans="1:15" ht="15.75" hidden="1" x14ac:dyDescent="0.25">
      <c r="A3677" s="1" t="str">
        <f t="shared" si="179"/>
        <v>45334453345CURRENTTRANSPORTHAMAD</v>
      </c>
      <c r="B3677" s="154">
        <v>45334</v>
      </c>
      <c r="C3677" s="154">
        <v>45334</v>
      </c>
      <c r="D3677" s="3" t="s">
        <v>4148</v>
      </c>
      <c r="E3677" s="3">
        <v>-5</v>
      </c>
      <c r="F3677" s="3">
        <v>1</v>
      </c>
      <c r="G3677" s="3">
        <f t="shared" si="181"/>
        <v>5</v>
      </c>
      <c r="H3677" s="3" t="s">
        <v>293</v>
      </c>
      <c r="I3677" s="1" t="s">
        <v>296</v>
      </c>
      <c r="J3677" s="1" t="s">
        <v>4083</v>
      </c>
      <c r="K3677" s="1" t="s">
        <v>298</v>
      </c>
      <c r="L3677" s="1" t="s">
        <v>257</v>
      </c>
      <c r="M3677" s="1"/>
      <c r="N3677" s="1">
        <f t="shared" si="180"/>
        <v>2</v>
      </c>
      <c r="O3677" s="87" t="s">
        <v>4393</v>
      </c>
    </row>
    <row r="3678" spans="1:15" ht="15.75" hidden="1" x14ac:dyDescent="0.25">
      <c r="A3678" s="1" t="str">
        <f t="shared" si="179"/>
        <v>453344533430CURRENTMEDICALHAMAD</v>
      </c>
      <c r="B3678" s="154">
        <v>45334</v>
      </c>
      <c r="C3678" s="154">
        <v>45334</v>
      </c>
      <c r="D3678" s="3" t="s">
        <v>4149</v>
      </c>
      <c r="E3678" s="3">
        <v>-30</v>
      </c>
      <c r="F3678" s="3">
        <v>1</v>
      </c>
      <c r="G3678" s="3">
        <f t="shared" si="181"/>
        <v>30</v>
      </c>
      <c r="H3678" s="3" t="s">
        <v>293</v>
      </c>
      <c r="I3678" s="1" t="s">
        <v>301</v>
      </c>
      <c r="J3678" s="1" t="s">
        <v>4083</v>
      </c>
      <c r="K3678" s="1" t="s">
        <v>298</v>
      </c>
      <c r="L3678" s="1" t="s">
        <v>257</v>
      </c>
      <c r="M3678" s="1"/>
      <c r="N3678" s="1">
        <f t="shared" si="180"/>
        <v>2</v>
      </c>
      <c r="O3678" s="87"/>
    </row>
    <row r="3679" spans="1:15" ht="15.75" hidden="1" x14ac:dyDescent="0.25">
      <c r="A3679" s="1" t="str">
        <f t="shared" si="179"/>
        <v>453344533792MASTER CCFOODCAFÉ/REST.</v>
      </c>
      <c r="B3679" s="154">
        <v>45334</v>
      </c>
      <c r="C3679" s="154">
        <v>45337</v>
      </c>
      <c r="D3679" s="3" t="s">
        <v>4291</v>
      </c>
      <c r="E3679" s="3">
        <v>-92</v>
      </c>
      <c r="F3679" s="3">
        <v>1</v>
      </c>
      <c r="G3679" s="3">
        <f t="shared" si="181"/>
        <v>92</v>
      </c>
      <c r="H3679" s="3" t="s">
        <v>291</v>
      </c>
      <c r="I3679" s="1" t="s">
        <v>10</v>
      </c>
      <c r="J3679" s="1" t="s">
        <v>11</v>
      </c>
      <c r="K3679" s="1" t="s">
        <v>298</v>
      </c>
      <c r="L3679" s="1" t="s">
        <v>267</v>
      </c>
      <c r="M3679" s="1"/>
      <c r="N3679" s="1">
        <f t="shared" si="180"/>
        <v>2</v>
      </c>
      <c r="O3679" s="87"/>
    </row>
    <row r="3680" spans="1:15" ht="15.75" hidden="1" x14ac:dyDescent="0.25">
      <c r="A3680" s="1" t="str">
        <f t="shared" si="179"/>
        <v>453354533860MASTER CCFOODTALABAT</v>
      </c>
      <c r="B3680" s="154">
        <v>45335</v>
      </c>
      <c r="C3680" s="154">
        <v>45338</v>
      </c>
      <c r="D3680" s="3" t="s">
        <v>4292</v>
      </c>
      <c r="E3680" s="3">
        <v>-60</v>
      </c>
      <c r="F3680" s="3">
        <v>1</v>
      </c>
      <c r="G3680" s="3">
        <f t="shared" si="181"/>
        <v>60</v>
      </c>
      <c r="H3680" s="3" t="s">
        <v>291</v>
      </c>
      <c r="I3680" s="1" t="s">
        <v>10</v>
      </c>
      <c r="J3680" s="1" t="s">
        <v>865</v>
      </c>
      <c r="K3680" s="1" t="s">
        <v>298</v>
      </c>
      <c r="L3680" s="1" t="s">
        <v>267</v>
      </c>
      <c r="M3680" s="1"/>
      <c r="N3680" s="1">
        <f t="shared" si="180"/>
        <v>2</v>
      </c>
      <c r="O3680" s="87"/>
    </row>
    <row r="3681" spans="1:15" ht="15.75" hidden="1" x14ac:dyDescent="0.25">
      <c r="A3681" s="1" t="str">
        <f t="shared" si="179"/>
        <v>453364533610021CURRENTTRANSFERINDIA</v>
      </c>
      <c r="B3681" s="154">
        <v>45336</v>
      </c>
      <c r="C3681" s="154">
        <v>45336</v>
      </c>
      <c r="D3681" s="3" t="s">
        <v>4147</v>
      </c>
      <c r="E3681" s="3">
        <v>-10021</v>
      </c>
      <c r="F3681" s="3">
        <v>1</v>
      </c>
      <c r="G3681" s="3">
        <f t="shared" si="181"/>
        <v>10021</v>
      </c>
      <c r="H3681" s="3" t="s">
        <v>293</v>
      </c>
      <c r="I3681" s="1" t="s">
        <v>22</v>
      </c>
      <c r="J3681" s="1" t="s">
        <v>23</v>
      </c>
      <c r="K3681" s="1" t="s">
        <v>298</v>
      </c>
      <c r="L3681" s="1" t="s">
        <v>257</v>
      </c>
      <c r="M3681" s="1"/>
      <c r="N3681" s="1">
        <f t="shared" si="180"/>
        <v>2</v>
      </c>
      <c r="O3681" s="87"/>
    </row>
    <row r="3682" spans="1:15" ht="15.75" hidden="1" x14ac:dyDescent="0.25">
      <c r="A3682" s="1" t="str">
        <f t="shared" si="179"/>
        <v>453364534032MASTER CCFOODTALABAT</v>
      </c>
      <c r="B3682" s="154">
        <v>45336</v>
      </c>
      <c r="C3682" s="154">
        <v>45340</v>
      </c>
      <c r="D3682" s="3" t="s">
        <v>4293</v>
      </c>
      <c r="E3682" s="3">
        <v>-32</v>
      </c>
      <c r="F3682" s="3">
        <v>1</v>
      </c>
      <c r="G3682" s="3">
        <f t="shared" si="181"/>
        <v>32</v>
      </c>
      <c r="H3682" s="3" t="s">
        <v>291</v>
      </c>
      <c r="I3682" s="1" t="s">
        <v>10</v>
      </c>
      <c r="J3682" s="1" t="s">
        <v>865</v>
      </c>
      <c r="K3682" s="1" t="s">
        <v>298</v>
      </c>
      <c r="L3682" s="1" t="s">
        <v>267</v>
      </c>
      <c r="M3682" s="1"/>
      <c r="N3682" s="1">
        <f t="shared" si="180"/>
        <v>2</v>
      </c>
      <c r="O3682" s="87"/>
    </row>
    <row r="3683" spans="1:15" ht="15.75" hidden="1" x14ac:dyDescent="0.25">
      <c r="A3683" s="1" t="str">
        <f t="shared" si="179"/>
        <v>453364534032MASTER CCFOODTALABAT</v>
      </c>
      <c r="B3683" s="154">
        <v>45336</v>
      </c>
      <c r="C3683" s="154">
        <v>45340</v>
      </c>
      <c r="D3683" s="3" t="s">
        <v>4294</v>
      </c>
      <c r="E3683" s="3">
        <v>-32</v>
      </c>
      <c r="F3683" s="3">
        <v>1</v>
      </c>
      <c r="G3683" s="3">
        <f t="shared" si="181"/>
        <v>32</v>
      </c>
      <c r="H3683" s="3" t="s">
        <v>291</v>
      </c>
      <c r="I3683" s="1" t="s">
        <v>10</v>
      </c>
      <c r="J3683" s="1" t="s">
        <v>865</v>
      </c>
      <c r="K3683" s="1" t="s">
        <v>298</v>
      </c>
      <c r="L3683" s="1" t="s">
        <v>267</v>
      </c>
      <c r="M3683" s="1"/>
      <c r="N3683" s="1">
        <f t="shared" si="180"/>
        <v>2</v>
      </c>
      <c r="O3683" s="87"/>
    </row>
    <row r="3684" spans="1:15" ht="15.75" hidden="1" x14ac:dyDescent="0.25">
      <c r="A3684" s="1" t="str">
        <f t="shared" si="179"/>
        <v>45337453423MASTER CCFOODQATAR AIR</v>
      </c>
      <c r="B3684" s="154">
        <v>45337</v>
      </c>
      <c r="C3684" s="154">
        <v>45342</v>
      </c>
      <c r="D3684" s="3" t="s">
        <v>4295</v>
      </c>
      <c r="E3684" s="3">
        <v>-3</v>
      </c>
      <c r="F3684" s="3">
        <v>1</v>
      </c>
      <c r="G3684" s="3">
        <f t="shared" si="181"/>
        <v>3</v>
      </c>
      <c r="H3684" s="3" t="s">
        <v>291</v>
      </c>
      <c r="I3684" s="1" t="s">
        <v>10</v>
      </c>
      <c r="J3684" s="1" t="s">
        <v>19</v>
      </c>
      <c r="K3684" s="1" t="s">
        <v>298</v>
      </c>
      <c r="L3684" s="1" t="s">
        <v>267</v>
      </c>
      <c r="M3684" s="1"/>
      <c r="N3684" s="1">
        <f t="shared" si="180"/>
        <v>2</v>
      </c>
      <c r="O3684" s="87"/>
    </row>
    <row r="3685" spans="1:15" ht="15.75" hidden="1" x14ac:dyDescent="0.25">
      <c r="A3685" s="1" t="str">
        <f t="shared" si="179"/>
        <v xml:space="preserve">453374533914MASTER CCFOODQALA </v>
      </c>
      <c r="B3685" s="154">
        <v>45337</v>
      </c>
      <c r="C3685" s="154">
        <v>45339</v>
      </c>
      <c r="D3685" s="3" t="s">
        <v>4296</v>
      </c>
      <c r="E3685" s="3">
        <v>-14</v>
      </c>
      <c r="F3685" s="3">
        <v>1</v>
      </c>
      <c r="G3685" s="3">
        <f t="shared" si="181"/>
        <v>14</v>
      </c>
      <c r="H3685" s="3" t="s">
        <v>291</v>
      </c>
      <c r="I3685" s="1" t="s">
        <v>10</v>
      </c>
      <c r="J3685" s="1" t="s">
        <v>4103</v>
      </c>
      <c r="K3685" s="1" t="s">
        <v>298</v>
      </c>
      <c r="L3685" s="1" t="s">
        <v>267</v>
      </c>
      <c r="M3685" s="1"/>
      <c r="N3685" s="1">
        <f t="shared" si="180"/>
        <v>2</v>
      </c>
      <c r="O3685" s="87"/>
    </row>
    <row r="3686" spans="1:15" ht="15.75" hidden="1" x14ac:dyDescent="0.25">
      <c r="A3686" s="1" t="str">
        <f t="shared" si="179"/>
        <v>4533845342108MASTER CCSHOPPINGQDF</v>
      </c>
      <c r="B3686" s="154">
        <v>45338</v>
      </c>
      <c r="C3686" s="154">
        <v>45342</v>
      </c>
      <c r="D3686" s="3" t="s">
        <v>4297</v>
      </c>
      <c r="E3686" s="3">
        <v>-108</v>
      </c>
      <c r="F3686" s="3">
        <v>1</v>
      </c>
      <c r="G3686" s="3">
        <f t="shared" si="181"/>
        <v>108</v>
      </c>
      <c r="H3686" s="3" t="s">
        <v>291</v>
      </c>
      <c r="I3686" s="1" t="s">
        <v>194</v>
      </c>
      <c r="J3686" s="1" t="s">
        <v>2900</v>
      </c>
      <c r="K3686" s="1" t="s">
        <v>298</v>
      </c>
      <c r="L3686" s="1" t="s">
        <v>267</v>
      </c>
      <c r="M3686" s="1"/>
      <c r="N3686" s="1">
        <f t="shared" si="180"/>
        <v>2</v>
      </c>
      <c r="O3686" s="87"/>
    </row>
    <row r="3687" spans="1:15" ht="15.75" hidden="1" x14ac:dyDescent="0.25">
      <c r="A3687" s="1" t="str">
        <f t="shared" si="179"/>
        <v>453384534242MASTER CCSHOPPINGQDF</v>
      </c>
      <c r="B3687" s="154">
        <v>45338</v>
      </c>
      <c r="C3687" s="154">
        <v>45342</v>
      </c>
      <c r="D3687" s="3" t="s">
        <v>4298</v>
      </c>
      <c r="E3687" s="3">
        <v>-42</v>
      </c>
      <c r="F3687" s="3">
        <v>1</v>
      </c>
      <c r="G3687" s="3">
        <f t="shared" si="181"/>
        <v>42</v>
      </c>
      <c r="H3687" s="3" t="s">
        <v>291</v>
      </c>
      <c r="I3687" s="1" t="s">
        <v>194</v>
      </c>
      <c r="J3687" s="1" t="s">
        <v>2900</v>
      </c>
      <c r="K3687" s="1" t="s">
        <v>298</v>
      </c>
      <c r="L3687" s="1" t="s">
        <v>267</v>
      </c>
      <c r="M3687" s="1"/>
      <c r="N3687" s="1">
        <f t="shared" si="180"/>
        <v>2</v>
      </c>
      <c r="O3687" s="87"/>
    </row>
    <row r="3688" spans="1:15" ht="15.75" hidden="1" x14ac:dyDescent="0.25">
      <c r="A3688" s="1" t="str">
        <f t="shared" si="179"/>
        <v>453384534023.92MASTER CCTRANSPORTUBER</v>
      </c>
      <c r="B3688" s="154">
        <v>45338</v>
      </c>
      <c r="C3688" s="154">
        <v>45340</v>
      </c>
      <c r="D3688" s="3" t="s">
        <v>4299</v>
      </c>
      <c r="E3688" s="3">
        <v>-23.92</v>
      </c>
      <c r="F3688" s="3">
        <v>1</v>
      </c>
      <c r="G3688" s="3">
        <f t="shared" si="181"/>
        <v>23.92</v>
      </c>
      <c r="H3688" s="3" t="s">
        <v>291</v>
      </c>
      <c r="I3688" s="1" t="s">
        <v>296</v>
      </c>
      <c r="J3688" s="1" t="s">
        <v>299</v>
      </c>
      <c r="K3688" s="1" t="s">
        <v>298</v>
      </c>
      <c r="L3688" s="1" t="s">
        <v>267</v>
      </c>
      <c r="M3688" s="1"/>
      <c r="N3688" s="1">
        <f t="shared" si="180"/>
        <v>2</v>
      </c>
      <c r="O3688" s="87"/>
    </row>
    <row r="3689" spans="1:15" ht="15.75" hidden="1" x14ac:dyDescent="0.25">
      <c r="A3689" s="1" t="str">
        <f t="shared" si="179"/>
        <v>453394534280MASTER CCFOODTALABAT</v>
      </c>
      <c r="B3689" s="154">
        <v>45339</v>
      </c>
      <c r="C3689" s="154">
        <v>45342</v>
      </c>
      <c r="D3689" s="3" t="s">
        <v>4300</v>
      </c>
      <c r="E3689" s="3">
        <v>-80</v>
      </c>
      <c r="F3689" s="3">
        <v>1</v>
      </c>
      <c r="G3689" s="3">
        <f t="shared" si="181"/>
        <v>80</v>
      </c>
      <c r="H3689" s="3" t="s">
        <v>291</v>
      </c>
      <c r="I3689" s="1" t="s">
        <v>10</v>
      </c>
      <c r="J3689" s="1" t="s">
        <v>865</v>
      </c>
      <c r="K3689" s="1" t="s">
        <v>298</v>
      </c>
      <c r="L3689" s="1" t="s">
        <v>267</v>
      </c>
      <c r="M3689" s="1"/>
      <c r="N3689" s="1">
        <f t="shared" si="180"/>
        <v>2</v>
      </c>
      <c r="O3689" s="87"/>
    </row>
    <row r="3690" spans="1:15" ht="15.75" hidden="1" x14ac:dyDescent="0.25">
      <c r="A3690" s="1" t="str">
        <f t="shared" si="179"/>
        <v>453394534245MASTER CCTRANSPORTKARWA</v>
      </c>
      <c r="B3690" s="154">
        <v>45339</v>
      </c>
      <c r="C3690" s="154">
        <v>45342</v>
      </c>
      <c r="D3690" s="3" t="s">
        <v>4301</v>
      </c>
      <c r="E3690" s="3">
        <v>-45</v>
      </c>
      <c r="F3690" s="3">
        <v>1</v>
      </c>
      <c r="G3690" s="3">
        <f t="shared" si="181"/>
        <v>45</v>
      </c>
      <c r="H3690" s="3" t="s">
        <v>291</v>
      </c>
      <c r="I3690" s="1" t="s">
        <v>296</v>
      </c>
      <c r="J3690" s="1" t="s">
        <v>4085</v>
      </c>
      <c r="K3690" s="1" t="s">
        <v>298</v>
      </c>
      <c r="L3690" s="1" t="s">
        <v>267</v>
      </c>
      <c r="M3690" s="1"/>
      <c r="N3690" s="1">
        <f t="shared" si="180"/>
        <v>2</v>
      </c>
      <c r="O3690" s="87"/>
    </row>
    <row r="3691" spans="1:15" ht="15.75" hidden="1" x14ac:dyDescent="0.25">
      <c r="A3691" s="1" t="str">
        <f t="shared" si="179"/>
        <v>453404534313.25MASTER CCGROCERYMANGO</v>
      </c>
      <c r="B3691" s="154">
        <v>45340</v>
      </c>
      <c r="C3691" s="154">
        <v>45343</v>
      </c>
      <c r="D3691" s="3" t="s">
        <v>4302</v>
      </c>
      <c r="E3691" s="3">
        <v>-13.25</v>
      </c>
      <c r="F3691" s="3">
        <v>1</v>
      </c>
      <c r="G3691" s="3">
        <f t="shared" si="181"/>
        <v>13.25</v>
      </c>
      <c r="H3691" s="3" t="s">
        <v>291</v>
      </c>
      <c r="I3691" s="1" t="s">
        <v>43</v>
      </c>
      <c r="J3691" s="1" t="s">
        <v>3634</v>
      </c>
      <c r="K3691" s="1" t="s">
        <v>298</v>
      </c>
      <c r="L3691" s="1" t="s">
        <v>267</v>
      </c>
      <c r="M3691" s="1"/>
      <c r="N3691" s="1">
        <f t="shared" si="180"/>
        <v>2</v>
      </c>
      <c r="O3691" s="87"/>
    </row>
    <row r="3692" spans="1:15" ht="15.75" hidden="1" x14ac:dyDescent="0.25">
      <c r="A3692" s="1" t="str">
        <f t="shared" si="179"/>
        <v>4534045343155.04MASTER CCGROCERYINDIAN SUPER</v>
      </c>
      <c r="B3692" s="154">
        <v>45340</v>
      </c>
      <c r="C3692" s="154">
        <v>45343</v>
      </c>
      <c r="D3692" s="3" t="s">
        <v>4303</v>
      </c>
      <c r="E3692" s="3">
        <v>-155.04</v>
      </c>
      <c r="F3692" s="3">
        <v>1</v>
      </c>
      <c r="G3692" s="3">
        <f t="shared" si="181"/>
        <v>155.04</v>
      </c>
      <c r="H3692" s="3" t="s">
        <v>291</v>
      </c>
      <c r="I3692" s="1" t="s">
        <v>43</v>
      </c>
      <c r="J3692" s="1" t="s">
        <v>2273</v>
      </c>
      <c r="K3692" s="1" t="s">
        <v>298</v>
      </c>
      <c r="L3692" s="1" t="s">
        <v>267</v>
      </c>
      <c r="M3692" s="1"/>
      <c r="N3692" s="1">
        <f t="shared" si="180"/>
        <v>2</v>
      </c>
      <c r="O3692" s="87"/>
    </row>
    <row r="3693" spans="1:15" ht="15.75" hidden="1" x14ac:dyDescent="0.25">
      <c r="A3693" s="1" t="str">
        <f t="shared" si="179"/>
        <v>4534045342170MASTER CCSHOPPINGRNB</v>
      </c>
      <c r="B3693" s="154">
        <v>45340</v>
      </c>
      <c r="C3693" s="154">
        <v>45342</v>
      </c>
      <c r="D3693" s="3" t="s">
        <v>4304</v>
      </c>
      <c r="E3693" s="3">
        <v>-170</v>
      </c>
      <c r="F3693" s="3">
        <v>1</v>
      </c>
      <c r="G3693" s="3">
        <f t="shared" si="181"/>
        <v>170</v>
      </c>
      <c r="H3693" s="3" t="s">
        <v>291</v>
      </c>
      <c r="I3693" s="1" t="s">
        <v>194</v>
      </c>
      <c r="J3693" s="1" t="s">
        <v>1658</v>
      </c>
      <c r="K3693" s="1" t="s">
        <v>298</v>
      </c>
      <c r="L3693" s="1" t="s">
        <v>267</v>
      </c>
      <c r="M3693" s="1"/>
      <c r="N3693" s="1">
        <f t="shared" si="180"/>
        <v>2</v>
      </c>
      <c r="O3693" s="87"/>
    </row>
    <row r="3694" spans="1:15" ht="15.75" hidden="1" x14ac:dyDescent="0.25">
      <c r="A3694" s="1" t="str">
        <f t="shared" si="179"/>
        <v>453424534363DINERSRENTKAHRAMAA</v>
      </c>
      <c r="B3694" s="154">
        <v>45342</v>
      </c>
      <c r="C3694" s="154">
        <v>45343</v>
      </c>
      <c r="D3694" s="3" t="s">
        <v>4196</v>
      </c>
      <c r="E3694" s="3">
        <v>-63</v>
      </c>
      <c r="F3694" s="3">
        <v>1</v>
      </c>
      <c r="G3694" s="3">
        <f t="shared" si="181"/>
        <v>63</v>
      </c>
      <c r="H3694" s="3" t="s">
        <v>266</v>
      </c>
      <c r="I3694" s="1" t="s">
        <v>83</v>
      </c>
      <c r="J3694" s="1" t="s">
        <v>4113</v>
      </c>
      <c r="K3694" s="1" t="s">
        <v>298</v>
      </c>
      <c r="L3694" s="1" t="s">
        <v>267</v>
      </c>
      <c r="M3694" s="1"/>
      <c r="N3694" s="1">
        <f t="shared" si="180"/>
        <v>2</v>
      </c>
      <c r="O3694" s="87"/>
    </row>
    <row r="3695" spans="1:15" ht="15.75" hidden="1" x14ac:dyDescent="0.25">
      <c r="A3695" s="1" t="str">
        <f t="shared" si="179"/>
        <v>4534245343130DINERSTELECOMOOREDOO</v>
      </c>
      <c r="B3695" s="154">
        <v>45342</v>
      </c>
      <c r="C3695" s="154">
        <v>45343</v>
      </c>
      <c r="D3695" s="3" t="s">
        <v>4197</v>
      </c>
      <c r="E3695" s="3">
        <v>-130</v>
      </c>
      <c r="F3695" s="3">
        <v>1</v>
      </c>
      <c r="G3695" s="3">
        <f t="shared" si="181"/>
        <v>130</v>
      </c>
      <c r="H3695" s="3" t="s">
        <v>266</v>
      </c>
      <c r="I3695" s="1" t="s">
        <v>58</v>
      </c>
      <c r="J3695" s="1" t="s">
        <v>59</v>
      </c>
      <c r="K3695" s="1" t="s">
        <v>298</v>
      </c>
      <c r="L3695" s="1" t="s">
        <v>267</v>
      </c>
      <c r="M3695" s="1"/>
      <c r="N3695" s="1">
        <f t="shared" si="180"/>
        <v>2</v>
      </c>
      <c r="O3695" s="87"/>
    </row>
    <row r="3696" spans="1:15" ht="15.75" hidden="1" x14ac:dyDescent="0.25">
      <c r="A3696" s="1" t="str">
        <f t="shared" si="179"/>
        <v>4534245343250DINERSRENTVODAFONE</v>
      </c>
      <c r="B3696" s="154">
        <v>45342</v>
      </c>
      <c r="C3696" s="154">
        <v>45343</v>
      </c>
      <c r="D3696" s="3" t="s">
        <v>4198</v>
      </c>
      <c r="E3696" s="3">
        <v>-250</v>
      </c>
      <c r="F3696" s="3">
        <v>1</v>
      </c>
      <c r="G3696" s="3">
        <f t="shared" si="181"/>
        <v>250</v>
      </c>
      <c r="H3696" s="3" t="s">
        <v>266</v>
      </c>
      <c r="I3696" s="1" t="s">
        <v>83</v>
      </c>
      <c r="J3696" s="1" t="s">
        <v>78</v>
      </c>
      <c r="K3696" s="1" t="s">
        <v>298</v>
      </c>
      <c r="L3696" s="1" t="s">
        <v>267</v>
      </c>
      <c r="M3696" s="1"/>
      <c r="N3696" s="1">
        <f t="shared" si="180"/>
        <v>2</v>
      </c>
      <c r="O3696" s="87"/>
    </row>
    <row r="3697" spans="1:15" ht="15.75" hidden="1" x14ac:dyDescent="0.25">
      <c r="A3697" s="1" t="str">
        <f t="shared" si="179"/>
        <v>453424534548MASTER CCFOODTALABAT</v>
      </c>
      <c r="B3697" s="154">
        <v>45342</v>
      </c>
      <c r="C3697" s="154">
        <v>45345</v>
      </c>
      <c r="D3697" s="3" t="s">
        <v>4305</v>
      </c>
      <c r="E3697" s="3">
        <v>-48</v>
      </c>
      <c r="F3697" s="3">
        <v>1</v>
      </c>
      <c r="G3697" s="3">
        <f t="shared" si="181"/>
        <v>48</v>
      </c>
      <c r="H3697" s="3" t="s">
        <v>291</v>
      </c>
      <c r="I3697" s="1" t="s">
        <v>10</v>
      </c>
      <c r="J3697" s="1" t="s">
        <v>865</v>
      </c>
      <c r="K3697" s="1" t="s">
        <v>298</v>
      </c>
      <c r="L3697" s="1" t="s">
        <v>267</v>
      </c>
      <c r="M3697" s="1"/>
      <c r="N3697" s="1">
        <f t="shared" si="180"/>
        <v>2</v>
      </c>
      <c r="O3697" s="87"/>
    </row>
    <row r="3698" spans="1:15" ht="15.75" hidden="1" x14ac:dyDescent="0.25">
      <c r="A3698" s="1" t="str">
        <f t="shared" si="179"/>
        <v>453434534337CURRENTGROCERYREDROSE</v>
      </c>
      <c r="B3698" s="154">
        <v>45343</v>
      </c>
      <c r="C3698" s="154">
        <v>45343</v>
      </c>
      <c r="D3698" s="3" t="s">
        <v>4146</v>
      </c>
      <c r="E3698" s="3">
        <v>-37</v>
      </c>
      <c r="F3698" s="3">
        <v>1</v>
      </c>
      <c r="G3698" s="3">
        <f t="shared" si="181"/>
        <v>37</v>
      </c>
      <c r="H3698" s="3" t="s">
        <v>293</v>
      </c>
      <c r="I3698" s="1" t="s">
        <v>43</v>
      </c>
      <c r="J3698" s="1" t="s">
        <v>4082</v>
      </c>
      <c r="K3698" s="1" t="s">
        <v>298</v>
      </c>
      <c r="L3698" s="1" t="s">
        <v>257</v>
      </c>
      <c r="M3698" s="1"/>
      <c r="N3698" s="1">
        <f t="shared" si="180"/>
        <v>2</v>
      </c>
      <c r="O3698" s="87"/>
    </row>
    <row r="3699" spans="1:15" ht="15.75" hidden="1" x14ac:dyDescent="0.25">
      <c r="A3699" s="1" t="str">
        <f t="shared" si="179"/>
        <v>453434534524.96MASTER CCTRANSPORTUBER</v>
      </c>
      <c r="B3699" s="154">
        <v>45343</v>
      </c>
      <c r="C3699" s="154">
        <v>45345</v>
      </c>
      <c r="D3699" s="3" t="s">
        <v>4306</v>
      </c>
      <c r="E3699" s="3">
        <v>-24.96</v>
      </c>
      <c r="F3699" s="3">
        <v>1</v>
      </c>
      <c r="G3699" s="3">
        <f t="shared" si="181"/>
        <v>24.96</v>
      </c>
      <c r="H3699" s="3" t="s">
        <v>291</v>
      </c>
      <c r="I3699" s="1" t="s">
        <v>296</v>
      </c>
      <c r="J3699" s="1" t="s">
        <v>299</v>
      </c>
      <c r="K3699" s="1" t="s">
        <v>298</v>
      </c>
      <c r="L3699" s="1" t="s">
        <v>267</v>
      </c>
      <c r="M3699" s="1"/>
      <c r="N3699" s="1">
        <f t="shared" si="180"/>
        <v>2</v>
      </c>
      <c r="O3699" s="87"/>
    </row>
    <row r="3700" spans="1:15" ht="15.75" hidden="1" x14ac:dyDescent="0.25">
      <c r="A3700" s="1" t="str">
        <f t="shared" si="179"/>
        <v>4534445349100MASTER CCVISAMOI</v>
      </c>
      <c r="B3700" s="154">
        <v>45344</v>
      </c>
      <c r="C3700" s="154">
        <v>45349</v>
      </c>
      <c r="D3700" s="3" t="s">
        <v>4307</v>
      </c>
      <c r="E3700" s="3">
        <v>-100</v>
      </c>
      <c r="F3700" s="3">
        <v>1</v>
      </c>
      <c r="G3700" s="3">
        <f t="shared" si="181"/>
        <v>100</v>
      </c>
      <c r="H3700" s="3" t="s">
        <v>291</v>
      </c>
      <c r="I3700" s="1" t="s">
        <v>29</v>
      </c>
      <c r="J3700" s="1" t="s">
        <v>1564</v>
      </c>
      <c r="K3700" s="1" t="s">
        <v>298</v>
      </c>
      <c r="L3700" s="1" t="s">
        <v>267</v>
      </c>
      <c r="M3700" s="1"/>
      <c r="N3700" s="1">
        <f t="shared" si="180"/>
        <v>2</v>
      </c>
      <c r="O3700" s="87"/>
    </row>
    <row r="3701" spans="1:15" ht="15.75" hidden="1" x14ac:dyDescent="0.25">
      <c r="A3701" s="1" t="str">
        <f t="shared" si="179"/>
        <v>4534445347124.5MASTER CCFOODCAFÉ/REST.</v>
      </c>
      <c r="B3701" s="154">
        <v>45344</v>
      </c>
      <c r="C3701" s="154">
        <v>45347</v>
      </c>
      <c r="D3701" s="3" t="s">
        <v>4308</v>
      </c>
      <c r="E3701" s="3">
        <v>-124.5</v>
      </c>
      <c r="F3701" s="3">
        <v>1</v>
      </c>
      <c r="G3701" s="3">
        <f t="shared" si="181"/>
        <v>124.5</v>
      </c>
      <c r="H3701" s="3" t="s">
        <v>291</v>
      </c>
      <c r="I3701" s="1" t="s">
        <v>10</v>
      </c>
      <c r="J3701" s="1" t="s">
        <v>11</v>
      </c>
      <c r="K3701" s="1" t="s">
        <v>298</v>
      </c>
      <c r="L3701" s="1" t="s">
        <v>267</v>
      </c>
      <c r="M3701" s="1"/>
      <c r="N3701" s="1">
        <f t="shared" si="180"/>
        <v>2</v>
      </c>
      <c r="O3701" s="87"/>
    </row>
    <row r="3702" spans="1:15" ht="15.75" hidden="1" x14ac:dyDescent="0.25">
      <c r="A3702" s="1" t="str">
        <f t="shared" si="179"/>
        <v>453444534713MASTER CCFOODCAFÉ/REST.</v>
      </c>
      <c r="B3702" s="154">
        <v>45344</v>
      </c>
      <c r="C3702" s="154">
        <v>45347</v>
      </c>
      <c r="D3702" s="3" t="s">
        <v>4309</v>
      </c>
      <c r="E3702" s="3">
        <v>-13</v>
      </c>
      <c r="F3702" s="3">
        <v>1</v>
      </c>
      <c r="G3702" s="3">
        <f t="shared" si="181"/>
        <v>13</v>
      </c>
      <c r="H3702" s="3" t="s">
        <v>291</v>
      </c>
      <c r="I3702" s="1" t="s">
        <v>10</v>
      </c>
      <c r="J3702" s="1" t="s">
        <v>11</v>
      </c>
      <c r="K3702" s="1" t="s">
        <v>298</v>
      </c>
      <c r="L3702" s="1" t="s">
        <v>267</v>
      </c>
      <c r="M3702" s="1"/>
      <c r="N3702" s="1">
        <f t="shared" si="180"/>
        <v>2</v>
      </c>
      <c r="O3702" s="87"/>
    </row>
    <row r="3703" spans="1:15" ht="15.75" hidden="1" x14ac:dyDescent="0.25">
      <c r="A3703" s="1" t="str">
        <f t="shared" si="179"/>
        <v>453454534950MASTER CCSHOPPINGR&amp;B</v>
      </c>
      <c r="B3703" s="154">
        <v>45345</v>
      </c>
      <c r="C3703" s="154">
        <v>45349</v>
      </c>
      <c r="D3703" s="3" t="s">
        <v>4310</v>
      </c>
      <c r="E3703" s="3">
        <v>-50</v>
      </c>
      <c r="F3703" s="3">
        <v>1</v>
      </c>
      <c r="G3703" s="3">
        <f t="shared" si="181"/>
        <v>50</v>
      </c>
      <c r="H3703" s="3" t="s">
        <v>291</v>
      </c>
      <c r="I3703" s="1" t="s">
        <v>194</v>
      </c>
      <c r="J3703" s="1" t="s">
        <v>195</v>
      </c>
      <c r="K3703" s="1" t="s">
        <v>298</v>
      </c>
      <c r="L3703" s="1" t="s">
        <v>267</v>
      </c>
      <c r="M3703" s="1"/>
      <c r="N3703" s="1">
        <f t="shared" si="180"/>
        <v>2</v>
      </c>
      <c r="O3703" s="87"/>
    </row>
    <row r="3704" spans="1:15" ht="15.75" hidden="1" x14ac:dyDescent="0.25">
      <c r="A3704" s="1" t="str">
        <f t="shared" si="179"/>
        <v>4534545348135MASTER CCENTERTAINMENTFUNVILLE</v>
      </c>
      <c r="B3704" s="154">
        <v>45345</v>
      </c>
      <c r="C3704" s="154">
        <v>45348</v>
      </c>
      <c r="D3704" s="3" t="s">
        <v>4311</v>
      </c>
      <c r="E3704" s="3">
        <v>-135</v>
      </c>
      <c r="F3704" s="3">
        <v>1</v>
      </c>
      <c r="G3704" s="3">
        <f t="shared" si="181"/>
        <v>135</v>
      </c>
      <c r="H3704" s="3" t="s">
        <v>291</v>
      </c>
      <c r="I3704" s="1" t="s">
        <v>2476</v>
      </c>
      <c r="J3704" s="1" t="s">
        <v>4107</v>
      </c>
      <c r="K3704" s="1" t="s">
        <v>298</v>
      </c>
      <c r="L3704" s="1" t="s">
        <v>267</v>
      </c>
      <c r="M3704" s="1"/>
      <c r="N3704" s="1">
        <f t="shared" si="180"/>
        <v>2</v>
      </c>
      <c r="O3704" s="87"/>
    </row>
    <row r="3705" spans="1:15" ht="15.75" hidden="1" x14ac:dyDescent="0.25">
      <c r="A3705" s="1" t="str">
        <f t="shared" si="179"/>
        <v>453454534826MASTER CCFOODPAPA JOHN'S</v>
      </c>
      <c r="B3705" s="154">
        <v>45345</v>
      </c>
      <c r="C3705" s="154">
        <v>45348</v>
      </c>
      <c r="D3705" s="3" t="s">
        <v>4312</v>
      </c>
      <c r="E3705" s="3">
        <v>-26</v>
      </c>
      <c r="F3705" s="3">
        <v>1</v>
      </c>
      <c r="G3705" s="3">
        <f t="shared" si="181"/>
        <v>26</v>
      </c>
      <c r="H3705" s="3" t="s">
        <v>291</v>
      </c>
      <c r="I3705" s="1" t="s">
        <v>10</v>
      </c>
      <c r="J3705" s="1" t="s">
        <v>1657</v>
      </c>
      <c r="K3705" s="1" t="s">
        <v>298</v>
      </c>
      <c r="L3705" s="1" t="s">
        <v>267</v>
      </c>
      <c r="M3705" s="1"/>
      <c r="N3705" s="1">
        <f t="shared" si="180"/>
        <v>2</v>
      </c>
      <c r="O3705" s="87"/>
    </row>
    <row r="3706" spans="1:15" ht="15.75" hidden="1" x14ac:dyDescent="0.25">
      <c r="A3706" s="1" t="str">
        <f t="shared" si="179"/>
        <v>453464534971MASTER CCFOODCAFÉ/REST.</v>
      </c>
      <c r="B3706" s="154">
        <v>45346</v>
      </c>
      <c r="C3706" s="154">
        <v>45349</v>
      </c>
      <c r="D3706" s="3" t="s">
        <v>4313</v>
      </c>
      <c r="E3706" s="3">
        <v>-71</v>
      </c>
      <c r="F3706" s="3">
        <v>1</v>
      </c>
      <c r="G3706" s="3">
        <f t="shared" si="181"/>
        <v>71</v>
      </c>
      <c r="H3706" s="3" t="s">
        <v>291</v>
      </c>
      <c r="I3706" s="1" t="s">
        <v>10</v>
      </c>
      <c r="J3706" s="1" t="s">
        <v>11</v>
      </c>
      <c r="K3706" s="1" t="s">
        <v>298</v>
      </c>
      <c r="L3706" s="1" t="s">
        <v>267</v>
      </c>
      <c r="M3706" s="1"/>
      <c r="N3706" s="1">
        <f t="shared" si="180"/>
        <v>2</v>
      </c>
      <c r="O3706" s="87"/>
    </row>
    <row r="3707" spans="1:15" ht="15.75" hidden="1" x14ac:dyDescent="0.25">
      <c r="A3707" s="1" t="str">
        <f t="shared" si="179"/>
        <v>453464534819MASTER CCGROCERYREDROSE</v>
      </c>
      <c r="B3707" s="154">
        <v>45346</v>
      </c>
      <c r="C3707" s="154">
        <v>45348</v>
      </c>
      <c r="D3707" s="3" t="s">
        <v>4314</v>
      </c>
      <c r="E3707" s="3">
        <v>-19</v>
      </c>
      <c r="F3707" s="3">
        <v>1</v>
      </c>
      <c r="G3707" s="3">
        <f t="shared" si="181"/>
        <v>19</v>
      </c>
      <c r="H3707" s="3" t="s">
        <v>291</v>
      </c>
      <c r="I3707" s="1" t="s">
        <v>43</v>
      </c>
      <c r="J3707" s="1" t="s">
        <v>4082</v>
      </c>
      <c r="K3707" s="1" t="s">
        <v>298</v>
      </c>
      <c r="L3707" s="1" t="s">
        <v>267</v>
      </c>
      <c r="M3707" s="1"/>
      <c r="N3707" s="1">
        <f t="shared" si="180"/>
        <v>2</v>
      </c>
      <c r="O3707" s="87"/>
    </row>
    <row r="3708" spans="1:15" ht="15.75" hidden="1" x14ac:dyDescent="0.25">
      <c r="A3708" s="1" t="str">
        <f t="shared" si="179"/>
        <v>453464534710200CURRENTEDUCATIONORYX</v>
      </c>
      <c r="B3708" s="154">
        <v>45346</v>
      </c>
      <c r="C3708" s="154">
        <v>45347</v>
      </c>
      <c r="D3708" s="3" t="s">
        <v>4680</v>
      </c>
      <c r="E3708" s="3">
        <v>-10200</v>
      </c>
      <c r="F3708" s="3">
        <v>1</v>
      </c>
      <c r="G3708" s="3">
        <f t="shared" si="181"/>
        <v>10200</v>
      </c>
      <c r="H3708" s="3" t="s">
        <v>293</v>
      </c>
      <c r="I3708" s="1" t="s">
        <v>543</v>
      </c>
      <c r="J3708" s="1" t="s">
        <v>2073</v>
      </c>
      <c r="K3708" s="1" t="s">
        <v>298</v>
      </c>
      <c r="L3708" s="1" t="s">
        <v>257</v>
      </c>
      <c r="M3708" s="1"/>
      <c r="N3708" s="1">
        <f t="shared" si="180"/>
        <v>2</v>
      </c>
      <c r="O3708" s="87"/>
    </row>
    <row r="3709" spans="1:15" ht="15.75" hidden="1" x14ac:dyDescent="0.25">
      <c r="A3709" s="1" t="str">
        <f t="shared" si="179"/>
        <v>453464534710200SAVINGTRANSFERSELF</v>
      </c>
      <c r="B3709" s="154">
        <v>45346</v>
      </c>
      <c r="C3709" s="154">
        <v>45347</v>
      </c>
      <c r="D3709" s="3" t="s">
        <v>4681</v>
      </c>
      <c r="E3709" s="3">
        <v>-10200</v>
      </c>
      <c r="F3709" s="3">
        <v>1</v>
      </c>
      <c r="G3709" s="3">
        <f t="shared" si="181"/>
        <v>10200</v>
      </c>
      <c r="H3709" s="3" t="s">
        <v>302</v>
      </c>
      <c r="I3709" s="1" t="s">
        <v>22</v>
      </c>
      <c r="J3709" s="1" t="s">
        <v>14</v>
      </c>
      <c r="K3709" s="1" t="s">
        <v>298</v>
      </c>
      <c r="L3709" s="1" t="s">
        <v>257</v>
      </c>
      <c r="M3709" s="1"/>
      <c r="N3709" s="1">
        <f t="shared" si="180"/>
        <v>2</v>
      </c>
      <c r="O3709" s="87"/>
    </row>
    <row r="3710" spans="1:15" ht="15.75" hidden="1" x14ac:dyDescent="0.25">
      <c r="A3710" s="1" t="str">
        <f t="shared" si="179"/>
        <v>453464534710200CURRENTTRANSFERSELF</v>
      </c>
      <c r="B3710" s="154">
        <v>45346</v>
      </c>
      <c r="C3710" s="154">
        <v>45347</v>
      </c>
      <c r="D3710" s="3" t="s">
        <v>4681</v>
      </c>
      <c r="E3710" s="3">
        <v>-10200</v>
      </c>
      <c r="F3710" s="3">
        <v>1</v>
      </c>
      <c r="G3710" s="3">
        <f t="shared" si="181"/>
        <v>10200</v>
      </c>
      <c r="H3710" s="3" t="s">
        <v>293</v>
      </c>
      <c r="I3710" s="1" t="s">
        <v>22</v>
      </c>
      <c r="J3710" s="1" t="s">
        <v>14</v>
      </c>
      <c r="K3710" s="1" t="s">
        <v>300</v>
      </c>
      <c r="L3710" s="1" t="s">
        <v>257</v>
      </c>
      <c r="M3710" s="1"/>
      <c r="N3710" s="1">
        <f t="shared" si="180"/>
        <v>2</v>
      </c>
      <c r="O3710" s="87"/>
    </row>
    <row r="3711" spans="1:15" ht="15.75" hidden="1" x14ac:dyDescent="0.25">
      <c r="A3711" s="1" t="str">
        <f t="shared" si="179"/>
        <v>4534745347102CURRENTTRANSPORTWOQOD</v>
      </c>
      <c r="B3711" s="154">
        <v>45347</v>
      </c>
      <c r="C3711" s="154">
        <v>45347</v>
      </c>
      <c r="D3711" s="3" t="s">
        <v>4144</v>
      </c>
      <c r="E3711" s="3">
        <v>-102</v>
      </c>
      <c r="F3711" s="3">
        <v>1</v>
      </c>
      <c r="G3711" s="3">
        <f t="shared" si="181"/>
        <v>102</v>
      </c>
      <c r="H3711" s="3" t="s">
        <v>293</v>
      </c>
      <c r="I3711" s="1" t="s">
        <v>296</v>
      </c>
      <c r="J3711" s="1" t="s">
        <v>1942</v>
      </c>
      <c r="K3711" s="1" t="s">
        <v>298</v>
      </c>
      <c r="L3711" s="1" t="s">
        <v>257</v>
      </c>
      <c r="M3711" s="1"/>
      <c r="N3711" s="1">
        <f t="shared" si="180"/>
        <v>2</v>
      </c>
      <c r="O3711" s="87"/>
    </row>
    <row r="3712" spans="1:15" ht="15.75" hidden="1" x14ac:dyDescent="0.25">
      <c r="A3712" s="1" t="str">
        <f t="shared" si="179"/>
        <v>45347453472000CURRENTEDUCATIONORYX</v>
      </c>
      <c r="B3712" s="154">
        <v>45347</v>
      </c>
      <c r="C3712" s="154">
        <v>45347</v>
      </c>
      <c r="D3712" s="3" t="s">
        <v>4145</v>
      </c>
      <c r="E3712" s="3">
        <v>-2000</v>
      </c>
      <c r="F3712" s="3">
        <v>1</v>
      </c>
      <c r="G3712" s="3">
        <f t="shared" si="181"/>
        <v>2000</v>
      </c>
      <c r="H3712" s="3" t="s">
        <v>293</v>
      </c>
      <c r="I3712" s="1" t="s">
        <v>543</v>
      </c>
      <c r="J3712" s="1" t="s">
        <v>2073</v>
      </c>
      <c r="K3712" s="1" t="s">
        <v>298</v>
      </c>
      <c r="L3712" s="1" t="s">
        <v>257</v>
      </c>
      <c r="M3712" s="1"/>
      <c r="N3712" s="1">
        <f t="shared" si="180"/>
        <v>2</v>
      </c>
      <c r="O3712" s="87"/>
    </row>
    <row r="3713" spans="1:15" ht="15.75" hidden="1" x14ac:dyDescent="0.25">
      <c r="A3713" s="1" t="str">
        <f t="shared" si="179"/>
        <v>453474534913.5MASTER CCLAUNDRYAL RAYES</v>
      </c>
      <c r="B3713" s="154">
        <v>45347</v>
      </c>
      <c r="C3713" s="154">
        <v>45349</v>
      </c>
      <c r="D3713" s="3" t="s">
        <v>4315</v>
      </c>
      <c r="E3713" s="3">
        <v>-13.5</v>
      </c>
      <c r="F3713" s="3">
        <v>1</v>
      </c>
      <c r="G3713" s="3">
        <f t="shared" si="181"/>
        <v>13.5</v>
      </c>
      <c r="H3713" s="3" t="s">
        <v>291</v>
      </c>
      <c r="I3713" s="1" t="s">
        <v>3164</v>
      </c>
      <c r="J3713" s="1" t="s">
        <v>3165</v>
      </c>
      <c r="K3713" s="1" t="s">
        <v>298</v>
      </c>
      <c r="L3713" s="1" t="s">
        <v>267</v>
      </c>
      <c r="M3713" s="1"/>
      <c r="N3713" s="1">
        <f t="shared" si="180"/>
        <v>2</v>
      </c>
      <c r="O3713" s="87"/>
    </row>
    <row r="3714" spans="1:15" ht="15.75" hidden="1" x14ac:dyDescent="0.25">
      <c r="A3714" s="1" t="str">
        <f t="shared" ref="A3714:A3777" si="182">B3714&amp;C3714&amp;G3714&amp;H3714&amp;I3714&amp;J3714</f>
        <v>453484534827492CURRENTSALARYQATAR AIR</v>
      </c>
      <c r="B3714" s="154">
        <v>45348</v>
      </c>
      <c r="C3714" s="154">
        <v>45348</v>
      </c>
      <c r="D3714" s="3" t="s">
        <v>4143</v>
      </c>
      <c r="E3714" s="3">
        <v>27492</v>
      </c>
      <c r="F3714" s="3">
        <v>1</v>
      </c>
      <c r="G3714" s="3">
        <f t="shared" si="181"/>
        <v>27492</v>
      </c>
      <c r="H3714" s="3" t="s">
        <v>293</v>
      </c>
      <c r="I3714" s="1" t="s">
        <v>18</v>
      </c>
      <c r="J3714" s="1" t="s">
        <v>19</v>
      </c>
      <c r="K3714" s="1" t="s">
        <v>300</v>
      </c>
      <c r="L3714" s="1" t="s">
        <v>257</v>
      </c>
      <c r="M3714" s="1"/>
      <c r="N3714" s="1">
        <f t="shared" ref="N3714:N3777" si="183">MONTH(C3714)</f>
        <v>2</v>
      </c>
      <c r="O3714" s="87"/>
    </row>
    <row r="3715" spans="1:15" ht="15.75" hidden="1" x14ac:dyDescent="0.25">
      <c r="A3715" s="1" t="str">
        <f t="shared" si="182"/>
        <v>453484535139MASTER CCFOODCAFÉ/REST.</v>
      </c>
      <c r="B3715" s="154">
        <v>45348</v>
      </c>
      <c r="C3715" s="154">
        <v>45351</v>
      </c>
      <c r="D3715" s="3" t="s">
        <v>4316</v>
      </c>
      <c r="E3715" s="3">
        <v>-39</v>
      </c>
      <c r="F3715" s="3">
        <v>1</v>
      </c>
      <c r="G3715" s="3">
        <f t="shared" si="181"/>
        <v>39</v>
      </c>
      <c r="H3715" s="3" t="s">
        <v>291</v>
      </c>
      <c r="I3715" s="1" t="s">
        <v>10</v>
      </c>
      <c r="J3715" s="1" t="s">
        <v>11</v>
      </c>
      <c r="K3715" s="1" t="s">
        <v>298</v>
      </c>
      <c r="L3715" s="1" t="s">
        <v>267</v>
      </c>
      <c r="M3715" s="1"/>
      <c r="N3715" s="1">
        <f t="shared" si="183"/>
        <v>2</v>
      </c>
      <c r="O3715" s="87"/>
    </row>
    <row r="3716" spans="1:15" ht="15.75" hidden="1" x14ac:dyDescent="0.25">
      <c r="A3716" s="1" t="str">
        <f t="shared" si="182"/>
        <v>453484535148MASTER CCFOODTALABAT</v>
      </c>
      <c r="B3716" s="154">
        <v>45348</v>
      </c>
      <c r="C3716" s="154">
        <v>45351</v>
      </c>
      <c r="D3716" s="3" t="s">
        <v>4317</v>
      </c>
      <c r="E3716" s="3">
        <v>-48</v>
      </c>
      <c r="F3716" s="3">
        <v>1</v>
      </c>
      <c r="G3716" s="3">
        <f t="shared" si="181"/>
        <v>48</v>
      </c>
      <c r="H3716" s="3" t="s">
        <v>291</v>
      </c>
      <c r="I3716" s="1" t="s">
        <v>10</v>
      </c>
      <c r="J3716" s="1" t="s">
        <v>865</v>
      </c>
      <c r="K3716" s="1" t="s">
        <v>298</v>
      </c>
      <c r="L3716" s="1" t="s">
        <v>267</v>
      </c>
      <c r="M3716" s="1"/>
      <c r="N3716" s="1">
        <f t="shared" si="183"/>
        <v>2</v>
      </c>
      <c r="O3716" s="87"/>
    </row>
    <row r="3717" spans="1:15" ht="15.75" hidden="1" x14ac:dyDescent="0.25">
      <c r="A3717" s="1" t="str">
        <f t="shared" si="182"/>
        <v>45348453503.5MASTER CCGROCERYMANGO</v>
      </c>
      <c r="B3717" s="154">
        <v>45348</v>
      </c>
      <c r="C3717" s="154">
        <v>45350</v>
      </c>
      <c r="D3717" s="3" t="s">
        <v>4318</v>
      </c>
      <c r="E3717" s="3">
        <v>-3.5</v>
      </c>
      <c r="F3717" s="3">
        <v>1</v>
      </c>
      <c r="G3717" s="3">
        <f t="shared" si="181"/>
        <v>3.5</v>
      </c>
      <c r="H3717" s="3" t="s">
        <v>291</v>
      </c>
      <c r="I3717" s="1" t="s">
        <v>43</v>
      </c>
      <c r="J3717" s="1" t="s">
        <v>3634</v>
      </c>
      <c r="K3717" s="1" t="s">
        <v>298</v>
      </c>
      <c r="L3717" s="1" t="s">
        <v>267</v>
      </c>
      <c r="M3717" s="1"/>
      <c r="N3717" s="1">
        <f t="shared" si="183"/>
        <v>2</v>
      </c>
      <c r="O3717" s="87"/>
    </row>
    <row r="3718" spans="1:15" ht="15.75" hidden="1" x14ac:dyDescent="0.25">
      <c r="A3718" s="1" t="str">
        <f t="shared" si="182"/>
        <v>453494534922CURRENTGROCERYLULU</v>
      </c>
      <c r="B3718" s="154">
        <v>45349</v>
      </c>
      <c r="C3718" s="154">
        <v>45349</v>
      </c>
      <c r="D3718" s="3" t="s">
        <v>4138</v>
      </c>
      <c r="E3718" s="3">
        <v>-22</v>
      </c>
      <c r="F3718" s="3">
        <v>1</v>
      </c>
      <c r="G3718" s="3">
        <f t="shared" si="181"/>
        <v>22</v>
      </c>
      <c r="H3718" s="3" t="s">
        <v>293</v>
      </c>
      <c r="I3718" s="1" t="s">
        <v>43</v>
      </c>
      <c r="J3718" s="1" t="s">
        <v>44</v>
      </c>
      <c r="K3718" s="1" t="s">
        <v>298</v>
      </c>
      <c r="L3718" s="1" t="s">
        <v>257</v>
      </c>
      <c r="M3718" s="1"/>
      <c r="N3718" s="1">
        <f t="shared" si="183"/>
        <v>2</v>
      </c>
      <c r="O3718" s="87"/>
    </row>
    <row r="3719" spans="1:15" ht="15.75" hidden="1" x14ac:dyDescent="0.25">
      <c r="A3719" s="1" t="str">
        <f t="shared" si="182"/>
        <v>453494534921CURRENTGROCERYLULU</v>
      </c>
      <c r="B3719" s="154">
        <v>45349</v>
      </c>
      <c r="C3719" s="154">
        <v>45349</v>
      </c>
      <c r="D3719" s="3" t="s">
        <v>4139</v>
      </c>
      <c r="E3719" s="3">
        <v>-21</v>
      </c>
      <c r="F3719" s="3">
        <v>1</v>
      </c>
      <c r="G3719" s="3">
        <f t="shared" si="181"/>
        <v>21</v>
      </c>
      <c r="H3719" s="3" t="s">
        <v>293</v>
      </c>
      <c r="I3719" s="1" t="s">
        <v>43</v>
      </c>
      <c r="J3719" s="1" t="s">
        <v>44</v>
      </c>
      <c r="K3719" s="1" t="s">
        <v>298</v>
      </c>
      <c r="L3719" s="1" t="s">
        <v>257</v>
      </c>
      <c r="M3719" s="1"/>
      <c r="N3719" s="1">
        <f t="shared" si="183"/>
        <v>2</v>
      </c>
      <c r="O3719" s="87"/>
    </row>
    <row r="3720" spans="1:15" ht="15.75" hidden="1" x14ac:dyDescent="0.25">
      <c r="A3720" s="1" t="str">
        <f t="shared" si="182"/>
        <v>4534945349212.16CURRENTGROCERYLULU</v>
      </c>
      <c r="B3720" s="154">
        <v>45349</v>
      </c>
      <c r="C3720" s="154">
        <v>45349</v>
      </c>
      <c r="D3720" s="3" t="s">
        <v>4140</v>
      </c>
      <c r="E3720" s="3">
        <v>-212.16</v>
      </c>
      <c r="F3720" s="3">
        <v>1</v>
      </c>
      <c r="G3720" s="3">
        <f t="shared" si="181"/>
        <v>212.16</v>
      </c>
      <c r="H3720" s="3" t="s">
        <v>293</v>
      </c>
      <c r="I3720" s="1" t="s">
        <v>43</v>
      </c>
      <c r="J3720" s="1" t="s">
        <v>44</v>
      </c>
      <c r="K3720" s="1" t="s">
        <v>298</v>
      </c>
      <c r="L3720" s="1" t="s">
        <v>257</v>
      </c>
      <c r="M3720" s="1"/>
      <c r="N3720" s="1">
        <f t="shared" si="183"/>
        <v>2</v>
      </c>
      <c r="O3720" s="87"/>
    </row>
    <row r="3721" spans="1:15" ht="15.75" hidden="1" x14ac:dyDescent="0.25">
      <c r="A3721" s="1" t="str">
        <f t="shared" si="182"/>
        <v>453494534920000CURRENTSAVINGSELF</v>
      </c>
      <c r="B3721" s="154">
        <v>45349</v>
      </c>
      <c r="C3721" s="154">
        <v>45349</v>
      </c>
      <c r="D3721" s="3" t="s">
        <v>4141</v>
      </c>
      <c r="E3721" s="3">
        <v>-20000</v>
      </c>
      <c r="F3721" s="3">
        <v>1</v>
      </c>
      <c r="G3721" s="3">
        <f t="shared" si="181"/>
        <v>20000</v>
      </c>
      <c r="H3721" s="3" t="s">
        <v>293</v>
      </c>
      <c r="I3721" s="1" t="s">
        <v>302</v>
      </c>
      <c r="J3721" s="1" t="s">
        <v>14</v>
      </c>
      <c r="K3721" s="1" t="s">
        <v>298</v>
      </c>
      <c r="L3721" s="1" t="s">
        <v>257</v>
      </c>
      <c r="M3721" s="1"/>
      <c r="N3721" s="1">
        <f t="shared" si="183"/>
        <v>2</v>
      </c>
      <c r="O3721" s="87"/>
    </row>
    <row r="3722" spans="1:15" ht="15.75" hidden="1" x14ac:dyDescent="0.25">
      <c r="A3722" s="1" t="str">
        <f t="shared" si="182"/>
        <v>45349453493683.39CURRENTCC BILL PAYMENTBANK</v>
      </c>
      <c r="B3722" s="154">
        <v>45349</v>
      </c>
      <c r="C3722" s="154">
        <v>45349</v>
      </c>
      <c r="D3722" s="3" t="s">
        <v>4142</v>
      </c>
      <c r="E3722" s="3">
        <v>-3683.39</v>
      </c>
      <c r="F3722" s="3">
        <v>1</v>
      </c>
      <c r="G3722" s="3">
        <f t="shared" si="181"/>
        <v>3683.39</v>
      </c>
      <c r="H3722" s="3" t="s">
        <v>293</v>
      </c>
      <c r="I3722" s="1" t="s">
        <v>81</v>
      </c>
      <c r="J3722" s="1" t="s">
        <v>8</v>
      </c>
      <c r="K3722" s="1" t="s">
        <v>298</v>
      </c>
      <c r="L3722" s="1" t="s">
        <v>257</v>
      </c>
      <c r="M3722" s="1"/>
      <c r="N3722" s="1">
        <f t="shared" si="183"/>
        <v>2</v>
      </c>
      <c r="O3722" s="87"/>
    </row>
    <row r="3723" spans="1:15" ht="15.75" hidden="1" x14ac:dyDescent="0.25">
      <c r="A3723" s="1" t="str">
        <f t="shared" si="182"/>
        <v>45349453493683.39DINERSCC BILL PAYMENTBANK</v>
      </c>
      <c r="B3723" s="154">
        <v>45349</v>
      </c>
      <c r="C3723" s="154">
        <v>45349</v>
      </c>
      <c r="D3723" s="3" t="s">
        <v>80</v>
      </c>
      <c r="E3723" s="3">
        <v>3683.39</v>
      </c>
      <c r="F3723" s="3">
        <v>1</v>
      </c>
      <c r="G3723" s="3">
        <f t="shared" ref="G3723:G3786" si="184">ABS(E3723)*F3723</f>
        <v>3683.39</v>
      </c>
      <c r="H3723" s="3" t="s">
        <v>266</v>
      </c>
      <c r="I3723" s="1" t="s">
        <v>81</v>
      </c>
      <c r="J3723" s="1" t="s">
        <v>8</v>
      </c>
      <c r="K3723" s="1" t="s">
        <v>300</v>
      </c>
      <c r="L3723" s="1" t="s">
        <v>267</v>
      </c>
      <c r="M3723" s="1"/>
      <c r="N3723" s="1">
        <f t="shared" si="183"/>
        <v>2</v>
      </c>
      <c r="O3723" s="87"/>
    </row>
    <row r="3724" spans="1:15" ht="15.75" hidden="1" x14ac:dyDescent="0.25">
      <c r="A3724" s="1" t="str">
        <f t="shared" si="182"/>
        <v>4535045350100CURRENTEDUCATIONPROP</v>
      </c>
      <c r="B3724" s="154">
        <v>45350</v>
      </c>
      <c r="C3724" s="154">
        <v>45350</v>
      </c>
      <c r="D3724" s="3" t="s">
        <v>4137</v>
      </c>
      <c r="E3724" s="3">
        <v>-100</v>
      </c>
      <c r="F3724" s="3">
        <v>1</v>
      </c>
      <c r="G3724" s="3">
        <f t="shared" si="184"/>
        <v>100</v>
      </c>
      <c r="H3724" s="3" t="s">
        <v>293</v>
      </c>
      <c r="I3724" s="1" t="s">
        <v>543</v>
      </c>
      <c r="J3724" s="1" t="s">
        <v>4395</v>
      </c>
      <c r="K3724" s="1" t="s">
        <v>298</v>
      </c>
      <c r="L3724" s="1" t="s">
        <v>257</v>
      </c>
      <c r="M3724" s="1"/>
      <c r="N3724" s="1">
        <f t="shared" si="183"/>
        <v>2</v>
      </c>
      <c r="O3724" s="87"/>
    </row>
    <row r="3725" spans="1:15" ht="15.75" hidden="1" x14ac:dyDescent="0.25">
      <c r="A3725" s="1" t="str">
        <f t="shared" si="182"/>
        <v>453514535115.4CURRENTGROCERYMANGO</v>
      </c>
      <c r="B3725" s="154">
        <v>45351</v>
      </c>
      <c r="C3725" s="154">
        <v>45351</v>
      </c>
      <c r="D3725" s="3" t="s">
        <v>4136</v>
      </c>
      <c r="E3725" s="3">
        <v>-15.4</v>
      </c>
      <c r="F3725" s="3">
        <v>1</v>
      </c>
      <c r="G3725" s="3">
        <f t="shared" si="184"/>
        <v>15.4</v>
      </c>
      <c r="H3725" s="3" t="s">
        <v>293</v>
      </c>
      <c r="I3725" s="1" t="s">
        <v>43</v>
      </c>
      <c r="J3725" s="1" t="s">
        <v>3634</v>
      </c>
      <c r="K3725" s="1" t="s">
        <v>298</v>
      </c>
      <c r="L3725" s="1" t="s">
        <v>257</v>
      </c>
      <c r="M3725" s="1"/>
      <c r="N3725" s="1">
        <f t="shared" si="183"/>
        <v>2</v>
      </c>
      <c r="O3725" s="87"/>
    </row>
    <row r="3726" spans="1:15" ht="15.75" hidden="1" x14ac:dyDescent="0.25">
      <c r="A3726" s="1" t="str">
        <f t="shared" si="182"/>
        <v>453524535584MASTER CCFOODTALABAT</v>
      </c>
      <c r="B3726" s="154">
        <v>45352</v>
      </c>
      <c r="C3726" s="154">
        <v>45355</v>
      </c>
      <c r="D3726" s="3" t="s">
        <v>4319</v>
      </c>
      <c r="E3726" s="3">
        <v>-84</v>
      </c>
      <c r="F3726" s="3">
        <v>1</v>
      </c>
      <c r="G3726" s="3">
        <f t="shared" si="184"/>
        <v>84</v>
      </c>
      <c r="H3726" s="3" t="s">
        <v>291</v>
      </c>
      <c r="I3726" s="1" t="s">
        <v>10</v>
      </c>
      <c r="J3726" s="1" t="s">
        <v>865</v>
      </c>
      <c r="K3726" s="1" t="s">
        <v>298</v>
      </c>
      <c r="L3726" s="1" t="s">
        <v>267</v>
      </c>
      <c r="M3726" s="1"/>
      <c r="N3726" s="1">
        <f t="shared" si="183"/>
        <v>3</v>
      </c>
      <c r="O3726" s="87"/>
    </row>
    <row r="3727" spans="1:15" ht="15.75" hidden="1" x14ac:dyDescent="0.25">
      <c r="A3727" s="1" t="str">
        <f t="shared" si="182"/>
        <v>453534535548.21MASTER CCGROCERYREDROSE</v>
      </c>
      <c r="B3727" s="154">
        <v>45353</v>
      </c>
      <c r="C3727" s="154">
        <v>45355</v>
      </c>
      <c r="D3727" s="3" t="s">
        <v>4320</v>
      </c>
      <c r="E3727" s="3">
        <v>-48.21</v>
      </c>
      <c r="F3727" s="3">
        <v>1</v>
      </c>
      <c r="G3727" s="3">
        <f t="shared" si="184"/>
        <v>48.21</v>
      </c>
      <c r="H3727" s="3" t="s">
        <v>291</v>
      </c>
      <c r="I3727" s="1" t="s">
        <v>43</v>
      </c>
      <c r="J3727" s="1" t="s">
        <v>4082</v>
      </c>
      <c r="K3727" s="1" t="s">
        <v>298</v>
      </c>
      <c r="L3727" s="1" t="s">
        <v>267</v>
      </c>
      <c r="M3727" s="1"/>
      <c r="N3727" s="1">
        <f t="shared" si="183"/>
        <v>3</v>
      </c>
      <c r="O3727" s="87"/>
    </row>
    <row r="3728" spans="1:15" ht="15.75" hidden="1" x14ac:dyDescent="0.25">
      <c r="A3728" s="1" t="str">
        <f t="shared" si="182"/>
        <v>4535445354250DINERSRENTVODAFONE</v>
      </c>
      <c r="B3728" s="154">
        <v>45354</v>
      </c>
      <c r="C3728" s="154">
        <v>45354</v>
      </c>
      <c r="D3728" s="3" t="s">
        <v>4195</v>
      </c>
      <c r="E3728" s="3">
        <v>-250</v>
      </c>
      <c r="F3728" s="3">
        <v>1</v>
      </c>
      <c r="G3728" s="3">
        <f t="shared" si="184"/>
        <v>250</v>
      </c>
      <c r="H3728" s="3" t="s">
        <v>266</v>
      </c>
      <c r="I3728" s="1" t="s">
        <v>83</v>
      </c>
      <c r="J3728" s="1" t="s">
        <v>78</v>
      </c>
      <c r="K3728" s="1" t="s">
        <v>298</v>
      </c>
      <c r="L3728" s="1" t="s">
        <v>267</v>
      </c>
      <c r="M3728" s="1"/>
      <c r="N3728" s="1">
        <f t="shared" si="183"/>
        <v>3</v>
      </c>
      <c r="O3728" s="87"/>
    </row>
    <row r="3729" spans="1:15" ht="15.75" hidden="1" x14ac:dyDescent="0.25">
      <c r="A3729" s="1" t="str">
        <f t="shared" si="182"/>
        <v>453544535747MASTER CCFOODTALABAT</v>
      </c>
      <c r="B3729" s="154">
        <v>45354</v>
      </c>
      <c r="C3729" s="154">
        <v>45357</v>
      </c>
      <c r="D3729" s="3" t="s">
        <v>4321</v>
      </c>
      <c r="E3729" s="3">
        <v>-47</v>
      </c>
      <c r="F3729" s="3">
        <v>1</v>
      </c>
      <c r="G3729" s="3">
        <f t="shared" si="184"/>
        <v>47</v>
      </c>
      <c r="H3729" s="3" t="s">
        <v>291</v>
      </c>
      <c r="I3729" s="1" t="s">
        <v>10</v>
      </c>
      <c r="J3729" s="1" t="s">
        <v>865</v>
      </c>
      <c r="K3729" s="1" t="s">
        <v>298</v>
      </c>
      <c r="L3729" s="1" t="s">
        <v>267</v>
      </c>
      <c r="M3729" s="1"/>
      <c r="N3729" s="1">
        <f t="shared" si="183"/>
        <v>3</v>
      </c>
      <c r="O3729" s="87"/>
    </row>
    <row r="3730" spans="1:15" ht="15.75" hidden="1" x14ac:dyDescent="0.25">
      <c r="A3730" s="1" t="str">
        <f t="shared" si="182"/>
        <v>453544535760MASTER CCTELECOMOOREDOO</v>
      </c>
      <c r="B3730" s="154">
        <v>45354</v>
      </c>
      <c r="C3730" s="154">
        <v>45357</v>
      </c>
      <c r="D3730" s="3" t="s">
        <v>4322</v>
      </c>
      <c r="E3730" s="3">
        <v>-60</v>
      </c>
      <c r="F3730" s="3">
        <v>1</v>
      </c>
      <c r="G3730" s="3">
        <f t="shared" si="184"/>
        <v>60</v>
      </c>
      <c r="H3730" s="3" t="s">
        <v>291</v>
      </c>
      <c r="I3730" s="1" t="s">
        <v>58</v>
      </c>
      <c r="J3730" s="1" t="s">
        <v>59</v>
      </c>
      <c r="K3730" s="1" t="s">
        <v>298</v>
      </c>
      <c r="L3730" s="1" t="s">
        <v>267</v>
      </c>
      <c r="M3730" s="1"/>
      <c r="N3730" s="1">
        <f t="shared" si="183"/>
        <v>3</v>
      </c>
      <c r="O3730" s="87"/>
    </row>
    <row r="3731" spans="1:15" ht="15.75" hidden="1" x14ac:dyDescent="0.25">
      <c r="A3731" s="1" t="str">
        <f t="shared" si="182"/>
        <v>453544535710MASTER CCTELECOMOOREDOO</v>
      </c>
      <c r="B3731" s="154">
        <v>45354</v>
      </c>
      <c r="C3731" s="154">
        <v>45357</v>
      </c>
      <c r="D3731" s="3" t="s">
        <v>4323</v>
      </c>
      <c r="E3731" s="3">
        <v>-10</v>
      </c>
      <c r="F3731" s="3">
        <v>1</v>
      </c>
      <c r="G3731" s="3">
        <f t="shared" si="184"/>
        <v>10</v>
      </c>
      <c r="H3731" s="3" t="s">
        <v>291</v>
      </c>
      <c r="I3731" s="1" t="s">
        <v>58</v>
      </c>
      <c r="J3731" s="1" t="s">
        <v>59</v>
      </c>
      <c r="K3731" s="1" t="s">
        <v>298</v>
      </c>
      <c r="L3731" s="1" t="s">
        <v>267</v>
      </c>
      <c r="M3731" s="1"/>
      <c r="N3731" s="1">
        <f t="shared" si="183"/>
        <v>3</v>
      </c>
      <c r="O3731" s="87"/>
    </row>
    <row r="3732" spans="1:15" ht="15.75" hidden="1" x14ac:dyDescent="0.25">
      <c r="A3732" s="1" t="str">
        <f t="shared" si="182"/>
        <v>453554535562CURRENTFOODCAFÉ/REST.</v>
      </c>
      <c r="B3732" s="154">
        <v>45355</v>
      </c>
      <c r="C3732" s="154">
        <v>45355</v>
      </c>
      <c r="D3732" s="3" t="s">
        <v>4131</v>
      </c>
      <c r="E3732" s="3">
        <v>-62</v>
      </c>
      <c r="F3732" s="3">
        <v>1</v>
      </c>
      <c r="G3732" s="3">
        <f t="shared" si="184"/>
        <v>62</v>
      </c>
      <c r="H3732" s="3" t="s">
        <v>293</v>
      </c>
      <c r="I3732" s="1" t="s">
        <v>10</v>
      </c>
      <c r="J3732" s="1" t="s">
        <v>11</v>
      </c>
      <c r="K3732" s="1" t="s">
        <v>298</v>
      </c>
      <c r="L3732" s="1" t="s">
        <v>257</v>
      </c>
      <c r="M3732" s="1"/>
      <c r="N3732" s="1">
        <f t="shared" si="183"/>
        <v>3</v>
      </c>
      <c r="O3732" s="87"/>
    </row>
    <row r="3733" spans="1:15" ht="15.75" hidden="1" x14ac:dyDescent="0.25">
      <c r="A3733" s="1" t="str">
        <f t="shared" si="182"/>
        <v>453554535545.94CURRENTGROCERYMANGO</v>
      </c>
      <c r="B3733" s="154">
        <v>45355</v>
      </c>
      <c r="C3733" s="154">
        <v>45355</v>
      </c>
      <c r="D3733" s="3" t="s">
        <v>4132</v>
      </c>
      <c r="E3733" s="3">
        <v>-45.94</v>
      </c>
      <c r="F3733" s="3">
        <v>1</v>
      </c>
      <c r="G3733" s="3">
        <f t="shared" si="184"/>
        <v>45.94</v>
      </c>
      <c r="H3733" s="3" t="s">
        <v>293</v>
      </c>
      <c r="I3733" s="1" t="s">
        <v>43</v>
      </c>
      <c r="J3733" s="1" t="s">
        <v>3634</v>
      </c>
      <c r="K3733" s="1" t="s">
        <v>298</v>
      </c>
      <c r="L3733" s="1" t="s">
        <v>257</v>
      </c>
      <c r="M3733" s="1"/>
      <c r="N3733" s="1">
        <f t="shared" si="183"/>
        <v>3</v>
      </c>
      <c r="O3733" s="87"/>
    </row>
    <row r="3734" spans="1:15" ht="15.75" hidden="1" x14ac:dyDescent="0.25">
      <c r="A3734" s="1" t="str">
        <f t="shared" si="182"/>
        <v>453554535550CURRENTFOODCAFÉ/REST.</v>
      </c>
      <c r="B3734" s="154">
        <v>45355</v>
      </c>
      <c r="C3734" s="154">
        <v>45355</v>
      </c>
      <c r="D3734" s="3" t="s">
        <v>4133</v>
      </c>
      <c r="E3734" s="3">
        <v>-50</v>
      </c>
      <c r="F3734" s="3">
        <v>1</v>
      </c>
      <c r="G3734" s="3">
        <f t="shared" si="184"/>
        <v>50</v>
      </c>
      <c r="H3734" s="3" t="s">
        <v>293</v>
      </c>
      <c r="I3734" s="1" t="s">
        <v>10</v>
      </c>
      <c r="J3734" s="1" t="s">
        <v>11</v>
      </c>
      <c r="K3734" s="1" t="s">
        <v>298</v>
      </c>
      <c r="L3734" s="1" t="s">
        <v>257</v>
      </c>
      <c r="M3734" s="1"/>
      <c r="N3734" s="1">
        <f t="shared" si="183"/>
        <v>3</v>
      </c>
      <c r="O3734" s="87"/>
    </row>
    <row r="3735" spans="1:15" ht="15.75" hidden="1" x14ac:dyDescent="0.25">
      <c r="A3735" s="1" t="str">
        <f t="shared" si="182"/>
        <v>453554535530CURRENTFOODQATAR AIR</v>
      </c>
      <c r="B3735" s="154">
        <v>45355</v>
      </c>
      <c r="C3735" s="154">
        <v>45355</v>
      </c>
      <c r="D3735" s="3" t="s">
        <v>4134</v>
      </c>
      <c r="E3735" s="3">
        <v>-30</v>
      </c>
      <c r="F3735" s="3">
        <v>1</v>
      </c>
      <c r="G3735" s="3">
        <f t="shared" si="184"/>
        <v>30</v>
      </c>
      <c r="H3735" s="3" t="s">
        <v>293</v>
      </c>
      <c r="I3735" s="1" t="s">
        <v>10</v>
      </c>
      <c r="J3735" s="1" t="s">
        <v>19</v>
      </c>
      <c r="K3735" s="1" t="s">
        <v>298</v>
      </c>
      <c r="L3735" s="1" t="s">
        <v>257</v>
      </c>
      <c r="M3735" s="1"/>
      <c r="N3735" s="1">
        <f t="shared" si="183"/>
        <v>3</v>
      </c>
      <c r="O3735" s="87"/>
    </row>
    <row r="3736" spans="1:15" ht="15.75" hidden="1" x14ac:dyDescent="0.25">
      <c r="A3736" s="1" t="str">
        <f t="shared" si="182"/>
        <v>45355453556CURRENTFOODCAFÉ/REST.</v>
      </c>
      <c r="B3736" s="154">
        <v>45355</v>
      </c>
      <c r="C3736" s="154">
        <v>45355</v>
      </c>
      <c r="D3736" s="3" t="s">
        <v>4135</v>
      </c>
      <c r="E3736" s="3">
        <v>-6</v>
      </c>
      <c r="F3736" s="3">
        <v>1</v>
      </c>
      <c r="G3736" s="3">
        <f t="shared" si="184"/>
        <v>6</v>
      </c>
      <c r="H3736" s="3" t="s">
        <v>293</v>
      </c>
      <c r="I3736" s="1" t="s">
        <v>10</v>
      </c>
      <c r="J3736" s="1" t="s">
        <v>11</v>
      </c>
      <c r="K3736" s="1" t="s">
        <v>298</v>
      </c>
      <c r="L3736" s="1" t="s">
        <v>257</v>
      </c>
      <c r="M3736" s="1"/>
      <c r="N3736" s="1">
        <f t="shared" si="183"/>
        <v>3</v>
      </c>
      <c r="O3736" s="87"/>
    </row>
    <row r="3737" spans="1:15" ht="15.75" hidden="1" x14ac:dyDescent="0.25">
      <c r="A3737" s="1" t="str">
        <f t="shared" si="182"/>
        <v>4535545355500CURRENTSAVINGARTI</v>
      </c>
      <c r="B3737" s="154">
        <v>45355</v>
      </c>
      <c r="C3737" s="154">
        <v>45355</v>
      </c>
      <c r="D3737" s="3" t="s">
        <v>3703</v>
      </c>
      <c r="E3737" s="3">
        <v>-500</v>
      </c>
      <c r="F3737" s="3">
        <v>1</v>
      </c>
      <c r="G3737" s="3">
        <f t="shared" si="184"/>
        <v>500</v>
      </c>
      <c r="H3737" s="3" t="s">
        <v>293</v>
      </c>
      <c r="I3737" s="1" t="s">
        <v>302</v>
      </c>
      <c r="J3737" s="1" t="s">
        <v>453</v>
      </c>
      <c r="K3737" s="1" t="s">
        <v>298</v>
      </c>
      <c r="L3737" s="1" t="s">
        <v>257</v>
      </c>
      <c r="M3737" s="1"/>
      <c r="N3737" s="1">
        <f t="shared" si="183"/>
        <v>3</v>
      </c>
      <c r="O3737" s="87"/>
    </row>
    <row r="3738" spans="1:15" ht="15.75" hidden="1" x14ac:dyDescent="0.25">
      <c r="A3738" s="1" t="str">
        <f t="shared" si="182"/>
        <v>4535545355500CURRENTSAVINGARTI</v>
      </c>
      <c r="B3738" s="154">
        <v>45355</v>
      </c>
      <c r="C3738" s="154">
        <v>45355</v>
      </c>
      <c r="D3738" s="3" t="s">
        <v>2909</v>
      </c>
      <c r="E3738" s="3">
        <v>-500</v>
      </c>
      <c r="F3738" s="3">
        <v>1</v>
      </c>
      <c r="G3738" s="3">
        <f t="shared" si="184"/>
        <v>500</v>
      </c>
      <c r="H3738" s="3" t="s">
        <v>293</v>
      </c>
      <c r="I3738" s="1" t="s">
        <v>302</v>
      </c>
      <c r="J3738" s="1" t="s">
        <v>453</v>
      </c>
      <c r="K3738" s="1" t="s">
        <v>298</v>
      </c>
      <c r="L3738" s="1" t="s">
        <v>257</v>
      </c>
      <c r="M3738" s="1"/>
      <c r="N3738" s="1">
        <f t="shared" si="183"/>
        <v>3</v>
      </c>
      <c r="O3738" s="87"/>
    </row>
    <row r="3739" spans="1:15" ht="15.75" hidden="1" x14ac:dyDescent="0.25">
      <c r="A3739" s="1" t="str">
        <f t="shared" si="182"/>
        <v>45355453579MASTER CCFOODQATAR AIR</v>
      </c>
      <c r="B3739" s="154">
        <v>45355</v>
      </c>
      <c r="C3739" s="154">
        <v>45357</v>
      </c>
      <c r="D3739" s="3" t="s">
        <v>4324</v>
      </c>
      <c r="E3739" s="3">
        <v>-9</v>
      </c>
      <c r="F3739" s="3">
        <v>1</v>
      </c>
      <c r="G3739" s="3">
        <f t="shared" si="184"/>
        <v>9</v>
      </c>
      <c r="H3739" s="3" t="s">
        <v>291</v>
      </c>
      <c r="I3739" s="1" t="s">
        <v>10</v>
      </c>
      <c r="J3739" s="1" t="s">
        <v>19</v>
      </c>
      <c r="K3739" s="1" t="s">
        <v>298</v>
      </c>
      <c r="L3739" s="1" t="s">
        <v>267</v>
      </c>
      <c r="M3739" s="1"/>
      <c r="N3739" s="1">
        <f t="shared" si="183"/>
        <v>3</v>
      </c>
      <c r="O3739" s="87"/>
    </row>
    <row r="3740" spans="1:15" ht="15.75" hidden="1" x14ac:dyDescent="0.25">
      <c r="A3740" s="1" t="str">
        <f t="shared" si="182"/>
        <v>4535645359121MASTER CCFOODCAFÉ/REST.</v>
      </c>
      <c r="B3740" s="154">
        <v>45356</v>
      </c>
      <c r="C3740" s="154">
        <v>45359</v>
      </c>
      <c r="D3740" s="3" t="s">
        <v>4325</v>
      </c>
      <c r="E3740" s="3">
        <v>-121</v>
      </c>
      <c r="F3740" s="3">
        <v>1</v>
      </c>
      <c r="G3740" s="3">
        <f t="shared" si="184"/>
        <v>121</v>
      </c>
      <c r="H3740" s="3" t="s">
        <v>291</v>
      </c>
      <c r="I3740" s="1" t="s">
        <v>10</v>
      </c>
      <c r="J3740" s="1" t="s">
        <v>11</v>
      </c>
      <c r="K3740" s="1" t="s">
        <v>298</v>
      </c>
      <c r="L3740" s="1" t="s">
        <v>267</v>
      </c>
      <c r="M3740" s="1"/>
      <c r="N3740" s="1">
        <f t="shared" si="183"/>
        <v>3</v>
      </c>
      <c r="O3740" s="87"/>
    </row>
    <row r="3741" spans="1:15" ht="15.75" hidden="1" x14ac:dyDescent="0.25">
      <c r="A3741" s="1" t="str">
        <f t="shared" si="182"/>
        <v>453564535934MASTER CCFOODCAFÉ/REST.</v>
      </c>
      <c r="B3741" s="154">
        <v>45356</v>
      </c>
      <c r="C3741" s="154">
        <v>45359</v>
      </c>
      <c r="D3741" s="3" t="s">
        <v>4326</v>
      </c>
      <c r="E3741" s="3">
        <v>-34</v>
      </c>
      <c r="F3741" s="3">
        <v>1</v>
      </c>
      <c r="G3741" s="3">
        <f t="shared" si="184"/>
        <v>34</v>
      </c>
      <c r="H3741" s="3" t="s">
        <v>291</v>
      </c>
      <c r="I3741" s="1" t="s">
        <v>10</v>
      </c>
      <c r="J3741" s="1" t="s">
        <v>11</v>
      </c>
      <c r="K3741" s="1" t="s">
        <v>298</v>
      </c>
      <c r="L3741" s="1" t="s">
        <v>267</v>
      </c>
      <c r="M3741" s="1"/>
      <c r="N3741" s="1">
        <f t="shared" si="183"/>
        <v>3</v>
      </c>
      <c r="O3741" s="87"/>
    </row>
    <row r="3742" spans="1:15" ht="15.75" hidden="1" x14ac:dyDescent="0.25">
      <c r="A3742" s="1" t="str">
        <f t="shared" si="182"/>
        <v>45356453587MASTER CCFOODCAFÉ/REST.</v>
      </c>
      <c r="B3742" s="154">
        <v>45356</v>
      </c>
      <c r="C3742" s="154">
        <v>45358</v>
      </c>
      <c r="D3742" s="3" t="s">
        <v>4327</v>
      </c>
      <c r="E3742" s="3">
        <v>-7</v>
      </c>
      <c r="F3742" s="3">
        <v>1</v>
      </c>
      <c r="G3742" s="3">
        <f t="shared" si="184"/>
        <v>7</v>
      </c>
      <c r="H3742" s="3" t="s">
        <v>291</v>
      </c>
      <c r="I3742" s="1" t="s">
        <v>10</v>
      </c>
      <c r="J3742" s="1" t="s">
        <v>11</v>
      </c>
      <c r="K3742" s="1" t="s">
        <v>298</v>
      </c>
      <c r="L3742" s="1" t="s">
        <v>267</v>
      </c>
      <c r="M3742" s="1"/>
      <c r="N3742" s="1">
        <f t="shared" si="183"/>
        <v>3</v>
      </c>
      <c r="O3742" s="87"/>
    </row>
    <row r="3743" spans="1:15" ht="15.75" hidden="1" x14ac:dyDescent="0.25">
      <c r="A3743" s="1" t="str">
        <f t="shared" si="182"/>
        <v>453574535963.12MASTER CCGROCERYMANGO</v>
      </c>
      <c r="B3743" s="154">
        <v>45357</v>
      </c>
      <c r="C3743" s="154">
        <v>45359</v>
      </c>
      <c r="D3743" s="3" t="s">
        <v>4328</v>
      </c>
      <c r="E3743" s="3">
        <v>-63.12</v>
      </c>
      <c r="F3743" s="3">
        <v>1</v>
      </c>
      <c r="G3743" s="3">
        <f t="shared" si="184"/>
        <v>63.12</v>
      </c>
      <c r="H3743" s="3" t="s">
        <v>291</v>
      </c>
      <c r="I3743" s="1" t="s">
        <v>43</v>
      </c>
      <c r="J3743" s="1" t="s">
        <v>3634</v>
      </c>
      <c r="K3743" s="1" t="s">
        <v>298</v>
      </c>
      <c r="L3743" s="1" t="s">
        <v>267</v>
      </c>
      <c r="M3743" s="1"/>
      <c r="N3743" s="1">
        <f t="shared" si="183"/>
        <v>3</v>
      </c>
      <c r="O3743" s="87"/>
    </row>
    <row r="3744" spans="1:15" ht="15.75" hidden="1" x14ac:dyDescent="0.25">
      <c r="A3744" s="1" t="str">
        <f t="shared" si="182"/>
        <v>4535845358105CURRENTTRANSPORTWOQOD</v>
      </c>
      <c r="B3744" s="154">
        <v>45358</v>
      </c>
      <c r="C3744" s="154">
        <v>45358</v>
      </c>
      <c r="D3744" s="3" t="s">
        <v>4129</v>
      </c>
      <c r="E3744" s="3">
        <v>-105</v>
      </c>
      <c r="F3744" s="3">
        <v>1</v>
      </c>
      <c r="G3744" s="3">
        <f t="shared" si="184"/>
        <v>105</v>
      </c>
      <c r="H3744" s="3" t="s">
        <v>293</v>
      </c>
      <c r="I3744" s="1" t="s">
        <v>296</v>
      </c>
      <c r="J3744" s="1" t="s">
        <v>1942</v>
      </c>
      <c r="K3744" s="1" t="s">
        <v>298</v>
      </c>
      <c r="L3744" s="1" t="s">
        <v>257</v>
      </c>
      <c r="M3744" s="1"/>
      <c r="N3744" s="1">
        <f t="shared" si="183"/>
        <v>3</v>
      </c>
      <c r="O3744" s="87"/>
    </row>
    <row r="3745" spans="1:15" ht="15.75" hidden="1" x14ac:dyDescent="0.25">
      <c r="A3745" s="1" t="str">
        <f t="shared" si="182"/>
        <v>45358453585000CURRENTRENTBARWA</v>
      </c>
      <c r="B3745" s="154">
        <v>45358</v>
      </c>
      <c r="C3745" s="154">
        <v>45358</v>
      </c>
      <c r="D3745" s="3" t="s">
        <v>4130</v>
      </c>
      <c r="E3745" s="3">
        <v>-5000</v>
      </c>
      <c r="F3745" s="3">
        <v>1</v>
      </c>
      <c r="G3745" s="3">
        <f t="shared" si="184"/>
        <v>5000</v>
      </c>
      <c r="H3745" s="3" t="s">
        <v>293</v>
      </c>
      <c r="I3745" s="1" t="s">
        <v>83</v>
      </c>
      <c r="J3745" s="1" t="s">
        <v>3633</v>
      </c>
      <c r="K3745" s="1" t="s">
        <v>298</v>
      </c>
      <c r="L3745" s="1" t="s">
        <v>257</v>
      </c>
      <c r="M3745" s="1"/>
      <c r="N3745" s="1">
        <f t="shared" si="183"/>
        <v>3</v>
      </c>
      <c r="O3745" s="87"/>
    </row>
    <row r="3746" spans="1:15" ht="15.75" hidden="1" x14ac:dyDescent="0.25">
      <c r="A3746" s="1" t="str">
        <f t="shared" si="182"/>
        <v>45358453615MASTER CCFOODCAFÉ/REST.</v>
      </c>
      <c r="B3746" s="154">
        <v>45358</v>
      </c>
      <c r="C3746" s="154">
        <v>45361</v>
      </c>
      <c r="D3746" s="3" t="s">
        <v>4329</v>
      </c>
      <c r="E3746" s="3">
        <v>-5</v>
      </c>
      <c r="F3746" s="3">
        <v>1</v>
      </c>
      <c r="G3746" s="3">
        <f t="shared" si="184"/>
        <v>5</v>
      </c>
      <c r="H3746" s="3" t="s">
        <v>291</v>
      </c>
      <c r="I3746" s="1" t="s">
        <v>10</v>
      </c>
      <c r="J3746" s="1" t="s">
        <v>11</v>
      </c>
      <c r="K3746" s="1" t="s">
        <v>298</v>
      </c>
      <c r="L3746" s="1" t="s">
        <v>267</v>
      </c>
      <c r="M3746" s="1"/>
      <c r="N3746" s="1">
        <f t="shared" si="183"/>
        <v>3</v>
      </c>
      <c r="O3746" s="87"/>
    </row>
    <row r="3747" spans="1:15" ht="15.75" hidden="1" x14ac:dyDescent="0.25">
      <c r="A3747" s="1" t="str">
        <f t="shared" si="182"/>
        <v>4535845361250.6MASTER CCGROCERYINDIAN SUPER</v>
      </c>
      <c r="B3747" s="154">
        <v>45358</v>
      </c>
      <c r="C3747" s="154">
        <v>45361</v>
      </c>
      <c r="D3747" s="3" t="s">
        <v>4330</v>
      </c>
      <c r="E3747" s="3">
        <v>-250.6</v>
      </c>
      <c r="F3747" s="3">
        <v>1</v>
      </c>
      <c r="G3747" s="3">
        <f t="shared" si="184"/>
        <v>250.6</v>
      </c>
      <c r="H3747" s="3" t="s">
        <v>291</v>
      </c>
      <c r="I3747" s="1" t="s">
        <v>43</v>
      </c>
      <c r="J3747" s="1" t="s">
        <v>2273</v>
      </c>
      <c r="K3747" s="1" t="s">
        <v>298</v>
      </c>
      <c r="L3747" s="1" t="s">
        <v>267</v>
      </c>
      <c r="M3747" s="1"/>
      <c r="N3747" s="1">
        <f t="shared" si="183"/>
        <v>3</v>
      </c>
      <c r="O3747" s="87"/>
    </row>
    <row r="3748" spans="1:15" ht="15.75" hidden="1" x14ac:dyDescent="0.25">
      <c r="A3748" s="1" t="str">
        <f t="shared" si="182"/>
        <v>453584536032.76MASTER CCGROCERYREDROSE</v>
      </c>
      <c r="B3748" s="154">
        <v>45358</v>
      </c>
      <c r="C3748" s="154">
        <v>45360</v>
      </c>
      <c r="D3748" s="3" t="s">
        <v>4331</v>
      </c>
      <c r="E3748" s="3">
        <v>-32.76</v>
      </c>
      <c r="F3748" s="3">
        <v>1</v>
      </c>
      <c r="G3748" s="3">
        <f t="shared" si="184"/>
        <v>32.76</v>
      </c>
      <c r="H3748" s="3" t="s">
        <v>291</v>
      </c>
      <c r="I3748" s="1" t="s">
        <v>43</v>
      </c>
      <c r="J3748" s="1" t="s">
        <v>4082</v>
      </c>
      <c r="K3748" s="1" t="s">
        <v>298</v>
      </c>
      <c r="L3748" s="1" t="s">
        <v>267</v>
      </c>
      <c r="M3748" s="1"/>
      <c r="N3748" s="1">
        <f t="shared" si="183"/>
        <v>3</v>
      </c>
      <c r="O3748" s="87"/>
    </row>
    <row r="3749" spans="1:15" ht="15.75" hidden="1" x14ac:dyDescent="0.25">
      <c r="A3749" s="1" t="str">
        <f t="shared" si="182"/>
        <v>4535945362123MASTER CCGROCERYLULU</v>
      </c>
      <c r="B3749" s="154">
        <v>45359</v>
      </c>
      <c r="C3749" s="154">
        <v>45362</v>
      </c>
      <c r="D3749" s="3" t="s">
        <v>4332</v>
      </c>
      <c r="E3749" s="3">
        <v>-123</v>
      </c>
      <c r="F3749" s="3">
        <v>1</v>
      </c>
      <c r="G3749" s="3">
        <f t="shared" si="184"/>
        <v>123</v>
      </c>
      <c r="H3749" s="3" t="s">
        <v>291</v>
      </c>
      <c r="I3749" s="1" t="s">
        <v>43</v>
      </c>
      <c r="J3749" s="1" t="s">
        <v>44</v>
      </c>
      <c r="K3749" s="1" t="s">
        <v>298</v>
      </c>
      <c r="L3749" s="1" t="s">
        <v>267</v>
      </c>
      <c r="M3749" s="1"/>
      <c r="N3749" s="1">
        <f t="shared" si="183"/>
        <v>3</v>
      </c>
      <c r="O3749" s="87"/>
    </row>
    <row r="3750" spans="1:15" ht="15.75" hidden="1" x14ac:dyDescent="0.25">
      <c r="A3750" s="1" t="str">
        <f t="shared" si="182"/>
        <v>453604536378MASTER CCFOODCAFÉ/REST.</v>
      </c>
      <c r="B3750" s="154">
        <v>45360</v>
      </c>
      <c r="C3750" s="154">
        <v>45363</v>
      </c>
      <c r="D3750" s="3" t="s">
        <v>4333</v>
      </c>
      <c r="E3750" s="3">
        <v>-78</v>
      </c>
      <c r="F3750" s="3">
        <v>1</v>
      </c>
      <c r="G3750" s="3">
        <f t="shared" si="184"/>
        <v>78</v>
      </c>
      <c r="H3750" s="3" t="s">
        <v>291</v>
      </c>
      <c r="I3750" s="1" t="s">
        <v>10</v>
      </c>
      <c r="J3750" s="1" t="s">
        <v>11</v>
      </c>
      <c r="K3750" s="1" t="s">
        <v>298</v>
      </c>
      <c r="L3750" s="1" t="s">
        <v>267</v>
      </c>
      <c r="M3750" s="1"/>
      <c r="N3750" s="1">
        <f t="shared" si="183"/>
        <v>3</v>
      </c>
      <c r="O3750" s="87"/>
    </row>
    <row r="3751" spans="1:15" ht="15.75" hidden="1" x14ac:dyDescent="0.25">
      <c r="A3751" s="1" t="str">
        <f t="shared" si="182"/>
        <v>45361453616CURRENTFOODCAFÉ/REST.</v>
      </c>
      <c r="B3751" s="154">
        <v>45361</v>
      </c>
      <c r="C3751" s="154">
        <v>45361</v>
      </c>
      <c r="D3751" s="3" t="s">
        <v>4128</v>
      </c>
      <c r="E3751" s="3">
        <v>-6</v>
      </c>
      <c r="F3751" s="3">
        <v>1</v>
      </c>
      <c r="G3751" s="3">
        <f t="shared" si="184"/>
        <v>6</v>
      </c>
      <c r="H3751" s="3" t="s">
        <v>293</v>
      </c>
      <c r="I3751" s="1" t="s">
        <v>10</v>
      </c>
      <c r="J3751" s="1" t="s">
        <v>11</v>
      </c>
      <c r="K3751" s="1" t="s">
        <v>298</v>
      </c>
      <c r="L3751" s="1" t="s">
        <v>257</v>
      </c>
      <c r="M3751" s="1"/>
      <c r="N3751" s="1">
        <f t="shared" si="183"/>
        <v>3</v>
      </c>
      <c r="O3751" s="87"/>
    </row>
    <row r="3752" spans="1:15" ht="15.75" hidden="1" x14ac:dyDescent="0.25">
      <c r="A3752" s="1" t="str">
        <f t="shared" si="182"/>
        <v>45361453648MASTER CCFOODCAFÉ/REST.</v>
      </c>
      <c r="B3752" s="154">
        <v>45361</v>
      </c>
      <c r="C3752" s="154">
        <v>45364</v>
      </c>
      <c r="D3752" s="3" t="s">
        <v>4334</v>
      </c>
      <c r="E3752" s="3">
        <v>-8</v>
      </c>
      <c r="F3752" s="3">
        <v>1</v>
      </c>
      <c r="G3752" s="3">
        <f t="shared" si="184"/>
        <v>8</v>
      </c>
      <c r="H3752" s="3" t="s">
        <v>291</v>
      </c>
      <c r="I3752" s="1" t="s">
        <v>10</v>
      </c>
      <c r="J3752" s="1" t="s">
        <v>11</v>
      </c>
      <c r="K3752" s="1" t="s">
        <v>298</v>
      </c>
      <c r="L3752" s="1" t="s">
        <v>267</v>
      </c>
      <c r="M3752" s="1"/>
      <c r="N3752" s="1">
        <f t="shared" si="183"/>
        <v>3</v>
      </c>
      <c r="O3752" s="87"/>
    </row>
    <row r="3753" spans="1:15" ht="15.75" hidden="1" x14ac:dyDescent="0.25">
      <c r="A3753" s="1" t="str">
        <f t="shared" si="182"/>
        <v>453614536447MASTER CCFOODTALABAT</v>
      </c>
      <c r="B3753" s="154">
        <v>45361</v>
      </c>
      <c r="C3753" s="154">
        <v>45364</v>
      </c>
      <c r="D3753" s="3" t="s">
        <v>4335</v>
      </c>
      <c r="E3753" s="3">
        <v>-47</v>
      </c>
      <c r="F3753" s="3">
        <v>1</v>
      </c>
      <c r="G3753" s="3">
        <f t="shared" si="184"/>
        <v>47</v>
      </c>
      <c r="H3753" s="3" t="s">
        <v>291</v>
      </c>
      <c r="I3753" s="1" t="s">
        <v>10</v>
      </c>
      <c r="J3753" s="1" t="s">
        <v>865</v>
      </c>
      <c r="K3753" s="1" t="s">
        <v>298</v>
      </c>
      <c r="L3753" s="1" t="s">
        <v>267</v>
      </c>
      <c r="M3753" s="1"/>
      <c r="N3753" s="1">
        <f t="shared" si="183"/>
        <v>3</v>
      </c>
      <c r="O3753" s="87"/>
    </row>
    <row r="3754" spans="1:15" ht="15.75" hidden="1" x14ac:dyDescent="0.25">
      <c r="A3754" s="1" t="str">
        <f t="shared" si="182"/>
        <v>453614536333.5MASTER CCGROCERYMANGO</v>
      </c>
      <c r="B3754" s="154">
        <v>45361</v>
      </c>
      <c r="C3754" s="154">
        <v>45363</v>
      </c>
      <c r="D3754" s="3" t="s">
        <v>4336</v>
      </c>
      <c r="E3754" s="3">
        <v>-33.5</v>
      </c>
      <c r="F3754" s="3">
        <v>1</v>
      </c>
      <c r="G3754" s="3">
        <f t="shared" si="184"/>
        <v>33.5</v>
      </c>
      <c r="H3754" s="3" t="s">
        <v>291</v>
      </c>
      <c r="I3754" s="1" t="s">
        <v>43</v>
      </c>
      <c r="J3754" s="1" t="s">
        <v>3634</v>
      </c>
      <c r="K3754" s="1" t="s">
        <v>298</v>
      </c>
      <c r="L3754" s="1" t="s">
        <v>267</v>
      </c>
      <c r="M3754" s="1"/>
      <c r="N3754" s="1">
        <f t="shared" si="183"/>
        <v>3</v>
      </c>
      <c r="O3754" s="87"/>
    </row>
    <row r="3755" spans="1:15" ht="15.75" hidden="1" x14ac:dyDescent="0.25">
      <c r="A3755" s="1" t="str">
        <f t="shared" si="182"/>
        <v>4536245362136CURRENTGROCERYLULU</v>
      </c>
      <c r="B3755" s="154">
        <v>45362</v>
      </c>
      <c r="C3755" s="154">
        <v>45362</v>
      </c>
      <c r="D3755" s="3" t="s">
        <v>4127</v>
      </c>
      <c r="E3755" s="3">
        <v>-136</v>
      </c>
      <c r="F3755" s="3">
        <v>1</v>
      </c>
      <c r="G3755" s="3">
        <f t="shared" si="184"/>
        <v>136</v>
      </c>
      <c r="H3755" s="3" t="s">
        <v>293</v>
      </c>
      <c r="I3755" s="1" t="s">
        <v>43</v>
      </c>
      <c r="J3755" s="1" t="s">
        <v>44</v>
      </c>
      <c r="K3755" s="1" t="s">
        <v>298</v>
      </c>
      <c r="L3755" s="1" t="s">
        <v>257</v>
      </c>
      <c r="M3755" s="1"/>
      <c r="N3755" s="1">
        <f t="shared" si="183"/>
        <v>3</v>
      </c>
      <c r="O3755" s="87"/>
    </row>
    <row r="3756" spans="1:15" ht="15.75" hidden="1" x14ac:dyDescent="0.25">
      <c r="A3756" s="1" t="str">
        <f t="shared" si="182"/>
        <v>4536245363103.5DINERSSHOPPINGLULU</v>
      </c>
      <c r="B3756" s="154">
        <v>45362</v>
      </c>
      <c r="C3756" s="154">
        <v>45363</v>
      </c>
      <c r="D3756" s="3" t="s">
        <v>4194</v>
      </c>
      <c r="E3756" s="3">
        <v>-103.5</v>
      </c>
      <c r="F3756" s="3">
        <v>1</v>
      </c>
      <c r="G3756" s="3">
        <f t="shared" si="184"/>
        <v>103.5</v>
      </c>
      <c r="H3756" s="3" t="s">
        <v>266</v>
      </c>
      <c r="I3756" s="1" t="s">
        <v>194</v>
      </c>
      <c r="J3756" s="1" t="s">
        <v>44</v>
      </c>
      <c r="K3756" s="1" t="s">
        <v>298</v>
      </c>
      <c r="L3756" s="1" t="s">
        <v>267</v>
      </c>
      <c r="M3756" s="1"/>
      <c r="N3756" s="1">
        <f t="shared" si="183"/>
        <v>3</v>
      </c>
      <c r="O3756" s="87"/>
    </row>
    <row r="3757" spans="1:15" ht="15.75" hidden="1" x14ac:dyDescent="0.25">
      <c r="A3757" s="1" t="str">
        <f t="shared" si="182"/>
        <v>4536245365369MASTER CCSHOPPINGLULU</v>
      </c>
      <c r="B3757" s="154">
        <v>45362</v>
      </c>
      <c r="C3757" s="154">
        <v>45365</v>
      </c>
      <c r="D3757" s="3" t="s">
        <v>4337</v>
      </c>
      <c r="E3757" s="3">
        <v>-369</v>
      </c>
      <c r="F3757" s="3">
        <v>1</v>
      </c>
      <c r="G3757" s="3">
        <f t="shared" si="184"/>
        <v>369</v>
      </c>
      <c r="H3757" s="3" t="s">
        <v>291</v>
      </c>
      <c r="I3757" s="1" t="s">
        <v>194</v>
      </c>
      <c r="J3757" s="1" t="s">
        <v>44</v>
      </c>
      <c r="K3757" s="1" t="s">
        <v>298</v>
      </c>
      <c r="L3757" s="1" t="s">
        <v>267</v>
      </c>
      <c r="M3757" s="1"/>
      <c r="N3757" s="1">
        <f t="shared" si="183"/>
        <v>3</v>
      </c>
      <c r="O3757" s="87"/>
    </row>
    <row r="3758" spans="1:15" ht="15.75" hidden="1" x14ac:dyDescent="0.25">
      <c r="A3758" s="1" t="str">
        <f t="shared" si="182"/>
        <v>453644536733MASTER CCFOODCAFÉ/REST.</v>
      </c>
      <c r="B3758" s="154">
        <v>45364</v>
      </c>
      <c r="C3758" s="154">
        <v>45367</v>
      </c>
      <c r="D3758" s="3" t="s">
        <v>4338</v>
      </c>
      <c r="E3758" s="3">
        <v>-33</v>
      </c>
      <c r="F3758" s="3">
        <v>1</v>
      </c>
      <c r="G3758" s="3">
        <f t="shared" si="184"/>
        <v>33</v>
      </c>
      <c r="H3758" s="3" t="s">
        <v>291</v>
      </c>
      <c r="I3758" s="1" t="s">
        <v>10</v>
      </c>
      <c r="J3758" s="1" t="s">
        <v>11</v>
      </c>
      <c r="K3758" s="1" t="s">
        <v>298</v>
      </c>
      <c r="L3758" s="1" t="s">
        <v>267</v>
      </c>
      <c r="M3758" s="1"/>
      <c r="N3758" s="1">
        <f t="shared" si="183"/>
        <v>3</v>
      </c>
      <c r="O3758" s="87"/>
    </row>
    <row r="3759" spans="1:15" ht="15.75" hidden="1" x14ac:dyDescent="0.25">
      <c r="A3759" s="1" t="str">
        <f t="shared" si="182"/>
        <v>45365453653.25CURRENTGROCERYCARREFOUR</v>
      </c>
      <c r="B3759" s="154">
        <v>45365</v>
      </c>
      <c r="C3759" s="154">
        <v>45365</v>
      </c>
      <c r="D3759" s="3" t="s">
        <v>4126</v>
      </c>
      <c r="E3759" s="3">
        <v>-3.25</v>
      </c>
      <c r="F3759" s="3">
        <v>1</v>
      </c>
      <c r="G3759" s="3">
        <f t="shared" si="184"/>
        <v>3.25</v>
      </c>
      <c r="H3759" s="3" t="s">
        <v>293</v>
      </c>
      <c r="I3759" s="1" t="s">
        <v>43</v>
      </c>
      <c r="J3759" s="1" t="s">
        <v>67</v>
      </c>
      <c r="K3759" s="1" t="s">
        <v>298</v>
      </c>
      <c r="L3759" s="1" t="s">
        <v>257</v>
      </c>
      <c r="M3759" s="1"/>
      <c r="N3759" s="1">
        <f t="shared" si="183"/>
        <v>3</v>
      </c>
      <c r="O3759" s="87"/>
    </row>
    <row r="3760" spans="1:15" ht="15.75" hidden="1" x14ac:dyDescent="0.25">
      <c r="A3760" s="1" t="str">
        <f t="shared" si="182"/>
        <v>453654537028.17MASTER CCGROCERYMANGO</v>
      </c>
      <c r="B3760" s="154">
        <v>45365</v>
      </c>
      <c r="C3760" s="154">
        <v>45370</v>
      </c>
      <c r="D3760" s="3" t="s">
        <v>4339</v>
      </c>
      <c r="E3760" s="3">
        <v>-28.17</v>
      </c>
      <c r="F3760" s="3">
        <v>1</v>
      </c>
      <c r="G3760" s="3">
        <f t="shared" si="184"/>
        <v>28.17</v>
      </c>
      <c r="H3760" s="3" t="s">
        <v>291</v>
      </c>
      <c r="I3760" s="1" t="s">
        <v>43</v>
      </c>
      <c r="J3760" s="1" t="s">
        <v>3634</v>
      </c>
      <c r="K3760" s="1" t="s">
        <v>298</v>
      </c>
      <c r="L3760" s="1" t="s">
        <v>267</v>
      </c>
      <c r="M3760" s="1"/>
      <c r="N3760" s="1">
        <f t="shared" si="183"/>
        <v>3</v>
      </c>
      <c r="O3760" s="87"/>
    </row>
    <row r="3761" spans="1:15" ht="15.75" hidden="1" x14ac:dyDescent="0.25">
      <c r="A3761" s="1" t="str">
        <f t="shared" si="182"/>
        <v>453654537049MASTER CCSHOPPINGDAISO</v>
      </c>
      <c r="B3761" s="154">
        <v>45365</v>
      </c>
      <c r="C3761" s="154">
        <v>45370</v>
      </c>
      <c r="D3761" s="3" t="s">
        <v>4340</v>
      </c>
      <c r="E3761" s="3">
        <v>-49</v>
      </c>
      <c r="F3761" s="3">
        <v>1</v>
      </c>
      <c r="G3761" s="3">
        <f t="shared" si="184"/>
        <v>49</v>
      </c>
      <c r="H3761" s="3" t="s">
        <v>291</v>
      </c>
      <c r="I3761" s="1" t="s">
        <v>194</v>
      </c>
      <c r="J3761" s="1" t="s">
        <v>4385</v>
      </c>
      <c r="K3761" s="1" t="s">
        <v>298</v>
      </c>
      <c r="L3761" s="1" t="s">
        <v>267</v>
      </c>
      <c r="M3761" s="1"/>
      <c r="N3761" s="1">
        <f t="shared" si="183"/>
        <v>3</v>
      </c>
      <c r="O3761" s="87"/>
    </row>
    <row r="3762" spans="1:15" ht="15.75" hidden="1" x14ac:dyDescent="0.25">
      <c r="A3762" s="1" t="str">
        <f t="shared" si="182"/>
        <v>453654537028MASTER CCFOODQATAR AIR</v>
      </c>
      <c r="B3762" s="154">
        <v>45365</v>
      </c>
      <c r="C3762" s="154">
        <v>45370</v>
      </c>
      <c r="D3762" s="3" t="s">
        <v>4341</v>
      </c>
      <c r="E3762" s="3">
        <v>-28</v>
      </c>
      <c r="F3762" s="3">
        <v>1</v>
      </c>
      <c r="G3762" s="3">
        <f t="shared" si="184"/>
        <v>28</v>
      </c>
      <c r="H3762" s="3" t="s">
        <v>291</v>
      </c>
      <c r="I3762" s="1" t="s">
        <v>10</v>
      </c>
      <c r="J3762" s="1" t="s">
        <v>19</v>
      </c>
      <c r="K3762" s="1" t="s">
        <v>298</v>
      </c>
      <c r="L3762" s="1" t="s">
        <v>267</v>
      </c>
      <c r="M3762" s="1"/>
      <c r="N3762" s="1">
        <f t="shared" si="183"/>
        <v>3</v>
      </c>
      <c r="O3762" s="87"/>
    </row>
    <row r="3763" spans="1:15" ht="15.75" hidden="1" x14ac:dyDescent="0.25">
      <c r="A3763" s="1" t="str">
        <f t="shared" si="182"/>
        <v>4536545368250MASTER CCSHOPPINGREDTAG</v>
      </c>
      <c r="B3763" s="154">
        <v>45365</v>
      </c>
      <c r="C3763" s="154">
        <v>45368</v>
      </c>
      <c r="D3763" s="3" t="s">
        <v>4342</v>
      </c>
      <c r="E3763" s="3">
        <v>-250</v>
      </c>
      <c r="F3763" s="3">
        <v>1</v>
      </c>
      <c r="G3763" s="3">
        <f t="shared" si="184"/>
        <v>250</v>
      </c>
      <c r="H3763" s="3" t="s">
        <v>291</v>
      </c>
      <c r="I3763" s="1" t="s">
        <v>194</v>
      </c>
      <c r="J3763" s="1" t="s">
        <v>2704</v>
      </c>
      <c r="K3763" s="1" t="s">
        <v>298</v>
      </c>
      <c r="L3763" s="1" t="s">
        <v>267</v>
      </c>
      <c r="M3763" s="1"/>
      <c r="N3763" s="1">
        <f t="shared" si="183"/>
        <v>3</v>
      </c>
      <c r="O3763" s="87"/>
    </row>
    <row r="3764" spans="1:15" ht="15.75" hidden="1" x14ac:dyDescent="0.25">
      <c r="A3764" s="1" t="str">
        <f t="shared" si="182"/>
        <v>453654536736MASTER CCLAUNDRYAL RAYES</v>
      </c>
      <c r="B3764" s="154">
        <v>45365</v>
      </c>
      <c r="C3764" s="154">
        <v>45367</v>
      </c>
      <c r="D3764" s="3" t="s">
        <v>4343</v>
      </c>
      <c r="E3764" s="3">
        <v>-36</v>
      </c>
      <c r="F3764" s="3">
        <v>1</v>
      </c>
      <c r="G3764" s="3">
        <f t="shared" si="184"/>
        <v>36</v>
      </c>
      <c r="H3764" s="3" t="s">
        <v>291</v>
      </c>
      <c r="I3764" s="1" t="s">
        <v>3164</v>
      </c>
      <c r="J3764" s="1" t="s">
        <v>3165</v>
      </c>
      <c r="K3764" s="1" t="s">
        <v>298</v>
      </c>
      <c r="L3764" s="1" t="s">
        <v>267</v>
      </c>
      <c r="M3764" s="1"/>
      <c r="N3764" s="1">
        <f t="shared" si="183"/>
        <v>3</v>
      </c>
      <c r="O3764" s="87"/>
    </row>
    <row r="3765" spans="1:15" ht="15.75" hidden="1" x14ac:dyDescent="0.25">
      <c r="A3765" s="1" t="str">
        <f t="shared" si="182"/>
        <v>453664536917MASTER CCGROCERYMANGO</v>
      </c>
      <c r="B3765" s="154">
        <v>45366</v>
      </c>
      <c r="C3765" s="154">
        <v>45369</v>
      </c>
      <c r="D3765" s="3" t="s">
        <v>4344</v>
      </c>
      <c r="E3765" s="3">
        <v>-17</v>
      </c>
      <c r="F3765" s="3">
        <v>1</v>
      </c>
      <c r="G3765" s="3">
        <f t="shared" si="184"/>
        <v>17</v>
      </c>
      <c r="H3765" s="3" t="s">
        <v>291</v>
      </c>
      <c r="I3765" s="1" t="s">
        <v>43</v>
      </c>
      <c r="J3765" s="1" t="s">
        <v>3634</v>
      </c>
      <c r="K3765" s="1" t="s">
        <v>298</v>
      </c>
      <c r="L3765" s="1" t="s">
        <v>267</v>
      </c>
      <c r="M3765" s="1"/>
      <c r="N3765" s="1">
        <f t="shared" si="183"/>
        <v>3</v>
      </c>
      <c r="O3765" s="87"/>
    </row>
    <row r="3766" spans="1:15" ht="15.75" hidden="1" x14ac:dyDescent="0.25">
      <c r="A3766" s="1" t="str">
        <f t="shared" si="182"/>
        <v>453664536972MASTER CCFOODTALABAT</v>
      </c>
      <c r="B3766" s="154">
        <v>45366</v>
      </c>
      <c r="C3766" s="154">
        <v>45369</v>
      </c>
      <c r="D3766" s="3" t="s">
        <v>4345</v>
      </c>
      <c r="E3766" s="3">
        <v>-72</v>
      </c>
      <c r="F3766" s="3">
        <v>1</v>
      </c>
      <c r="G3766" s="3">
        <f t="shared" si="184"/>
        <v>72</v>
      </c>
      <c r="H3766" s="3" t="s">
        <v>291</v>
      </c>
      <c r="I3766" s="1" t="s">
        <v>10</v>
      </c>
      <c r="J3766" s="1" t="s">
        <v>865</v>
      </c>
      <c r="K3766" s="1" t="s">
        <v>298</v>
      </c>
      <c r="L3766" s="1" t="s">
        <v>267</v>
      </c>
      <c r="M3766" s="1"/>
      <c r="N3766" s="1">
        <f t="shared" si="183"/>
        <v>3</v>
      </c>
      <c r="O3766" s="87"/>
    </row>
    <row r="3767" spans="1:15" ht="15.75" hidden="1" x14ac:dyDescent="0.25">
      <c r="A3767" s="1" t="str">
        <f t="shared" si="182"/>
        <v>453674537057MASTER CCGROCERYMANGO</v>
      </c>
      <c r="B3767" s="154">
        <v>45367</v>
      </c>
      <c r="C3767" s="154">
        <v>45370</v>
      </c>
      <c r="D3767" s="3" t="s">
        <v>4346</v>
      </c>
      <c r="E3767" s="3">
        <v>-57</v>
      </c>
      <c r="F3767" s="3">
        <v>1</v>
      </c>
      <c r="G3767" s="3">
        <f t="shared" si="184"/>
        <v>57</v>
      </c>
      <c r="H3767" s="3" t="s">
        <v>291</v>
      </c>
      <c r="I3767" s="1" t="s">
        <v>43</v>
      </c>
      <c r="J3767" s="1" t="s">
        <v>3634</v>
      </c>
      <c r="K3767" s="1" t="s">
        <v>298</v>
      </c>
      <c r="L3767" s="1" t="s">
        <v>267</v>
      </c>
      <c r="M3767" s="1"/>
      <c r="N3767" s="1">
        <f t="shared" si="183"/>
        <v>3</v>
      </c>
      <c r="O3767" s="87"/>
    </row>
    <row r="3768" spans="1:15" ht="15.75" hidden="1" x14ac:dyDescent="0.25">
      <c r="A3768" s="1" t="str">
        <f t="shared" si="182"/>
        <v>4536745370202.5MASTER CCGROCERYLULU</v>
      </c>
      <c r="B3768" s="154">
        <v>45367</v>
      </c>
      <c r="C3768" s="154">
        <v>45370</v>
      </c>
      <c r="D3768" s="3" t="s">
        <v>4347</v>
      </c>
      <c r="E3768" s="3">
        <v>-202.5</v>
      </c>
      <c r="F3768" s="3">
        <v>1</v>
      </c>
      <c r="G3768" s="3">
        <f t="shared" si="184"/>
        <v>202.5</v>
      </c>
      <c r="H3768" s="3" t="s">
        <v>291</v>
      </c>
      <c r="I3768" s="1" t="s">
        <v>43</v>
      </c>
      <c r="J3768" s="1" t="s">
        <v>44</v>
      </c>
      <c r="K3768" s="1" t="s">
        <v>298</v>
      </c>
      <c r="L3768" s="1" t="s">
        <v>267</v>
      </c>
      <c r="M3768" s="1"/>
      <c r="N3768" s="1">
        <f t="shared" si="183"/>
        <v>3</v>
      </c>
      <c r="O3768" s="87"/>
    </row>
    <row r="3769" spans="1:15" ht="15.75" hidden="1" x14ac:dyDescent="0.25">
      <c r="A3769" s="1" t="str">
        <f t="shared" si="182"/>
        <v>453674537054.2MASTER CCFOODTALABAT</v>
      </c>
      <c r="B3769" s="154">
        <v>45367</v>
      </c>
      <c r="C3769" s="154">
        <v>45370</v>
      </c>
      <c r="D3769" s="3" t="s">
        <v>4348</v>
      </c>
      <c r="E3769" s="3">
        <v>-54.2</v>
      </c>
      <c r="F3769" s="3">
        <v>1</v>
      </c>
      <c r="G3769" s="3">
        <f t="shared" si="184"/>
        <v>54.2</v>
      </c>
      <c r="H3769" s="3" t="s">
        <v>291</v>
      </c>
      <c r="I3769" s="1" t="s">
        <v>10</v>
      </c>
      <c r="J3769" s="1" t="s">
        <v>865</v>
      </c>
      <c r="K3769" s="1" t="s">
        <v>298</v>
      </c>
      <c r="L3769" s="1" t="s">
        <v>267</v>
      </c>
      <c r="M3769" s="1"/>
      <c r="N3769" s="1">
        <f t="shared" si="183"/>
        <v>3</v>
      </c>
      <c r="O3769" s="87"/>
    </row>
    <row r="3770" spans="1:15" ht="15.75" hidden="1" x14ac:dyDescent="0.25">
      <c r="A3770" s="1" t="str">
        <f t="shared" si="182"/>
        <v>453684536837CURRENTVISAUAE</v>
      </c>
      <c r="B3770" s="154">
        <v>45368</v>
      </c>
      <c r="C3770" s="154">
        <v>45368</v>
      </c>
      <c r="D3770" s="3" t="s">
        <v>4123</v>
      </c>
      <c r="E3770" s="3">
        <v>-37</v>
      </c>
      <c r="F3770" s="3">
        <v>1</v>
      </c>
      <c r="G3770" s="3">
        <f t="shared" si="184"/>
        <v>37</v>
      </c>
      <c r="H3770" s="3" t="s">
        <v>293</v>
      </c>
      <c r="I3770" s="1" t="s">
        <v>29</v>
      </c>
      <c r="J3770" s="1" t="s">
        <v>3303</v>
      </c>
      <c r="K3770" s="1" t="s">
        <v>298</v>
      </c>
      <c r="L3770" s="1" t="s">
        <v>257</v>
      </c>
      <c r="M3770" s="1"/>
      <c r="N3770" s="1">
        <f t="shared" si="183"/>
        <v>3</v>
      </c>
      <c r="O3770" s="87"/>
    </row>
    <row r="3771" spans="1:15" ht="15.75" hidden="1" x14ac:dyDescent="0.25">
      <c r="A3771" s="1" t="str">
        <f t="shared" si="182"/>
        <v>4536845368661CURRENTVISAUAE</v>
      </c>
      <c r="B3771" s="154">
        <v>45368</v>
      </c>
      <c r="C3771" s="154">
        <v>45368</v>
      </c>
      <c r="D3771" s="3" t="s">
        <v>4124</v>
      </c>
      <c r="E3771" s="3">
        <v>-661</v>
      </c>
      <c r="F3771" s="3">
        <v>1</v>
      </c>
      <c r="G3771" s="3">
        <f t="shared" si="184"/>
        <v>661</v>
      </c>
      <c r="H3771" s="3" t="s">
        <v>293</v>
      </c>
      <c r="I3771" s="1" t="s">
        <v>29</v>
      </c>
      <c r="J3771" s="1" t="s">
        <v>3303</v>
      </c>
      <c r="K3771" s="1" t="s">
        <v>298</v>
      </c>
      <c r="L3771" s="1" t="s">
        <v>257</v>
      </c>
      <c r="M3771" s="1"/>
      <c r="N3771" s="1">
        <f t="shared" si="183"/>
        <v>3</v>
      </c>
      <c r="O3771" s="87"/>
    </row>
    <row r="3772" spans="1:15" ht="15.75" hidden="1" x14ac:dyDescent="0.25">
      <c r="A3772" s="1" t="str">
        <f t="shared" si="182"/>
        <v>45368453683030CURRENTTRANSFERINDIA</v>
      </c>
      <c r="B3772" s="154">
        <v>45368</v>
      </c>
      <c r="C3772" s="154">
        <v>45368</v>
      </c>
      <c r="D3772" s="3" t="s">
        <v>4125</v>
      </c>
      <c r="E3772" s="3">
        <v>-3030</v>
      </c>
      <c r="F3772" s="3">
        <v>1</v>
      </c>
      <c r="G3772" s="3">
        <f t="shared" si="184"/>
        <v>3030</v>
      </c>
      <c r="H3772" s="3" t="s">
        <v>293</v>
      </c>
      <c r="I3772" s="1" t="s">
        <v>22</v>
      </c>
      <c r="J3772" s="1" t="s">
        <v>23</v>
      </c>
      <c r="K3772" s="1" t="s">
        <v>298</v>
      </c>
      <c r="L3772" s="1" t="s">
        <v>257</v>
      </c>
      <c r="M3772" s="1"/>
      <c r="N3772" s="1">
        <f t="shared" si="183"/>
        <v>3</v>
      </c>
      <c r="O3772" s="87" t="s">
        <v>4394</v>
      </c>
    </row>
    <row r="3773" spans="1:15" ht="15.75" hidden="1" x14ac:dyDescent="0.25">
      <c r="A3773" s="1" t="str">
        <f t="shared" si="182"/>
        <v>453684537122.01MASTER CCGROCERYMANGO</v>
      </c>
      <c r="B3773" s="154">
        <v>45368</v>
      </c>
      <c r="C3773" s="154">
        <v>45371</v>
      </c>
      <c r="D3773" s="3" t="s">
        <v>4349</v>
      </c>
      <c r="E3773" s="3">
        <v>-22.01</v>
      </c>
      <c r="F3773" s="3">
        <v>1</v>
      </c>
      <c r="G3773" s="3">
        <f t="shared" si="184"/>
        <v>22.01</v>
      </c>
      <c r="H3773" s="3" t="s">
        <v>291</v>
      </c>
      <c r="I3773" s="1" t="s">
        <v>43</v>
      </c>
      <c r="J3773" s="1" t="s">
        <v>3634</v>
      </c>
      <c r="K3773" s="1" t="s">
        <v>298</v>
      </c>
      <c r="L3773" s="1" t="s">
        <v>267</v>
      </c>
      <c r="M3773" s="1"/>
      <c r="N3773" s="1">
        <f t="shared" si="183"/>
        <v>3</v>
      </c>
      <c r="O3773" s="87"/>
    </row>
    <row r="3774" spans="1:15" ht="15.75" hidden="1" x14ac:dyDescent="0.25">
      <c r="A3774" s="1" t="str">
        <f t="shared" si="182"/>
        <v>45368453715.2MASTER CCMEDICALNASEEM AL</v>
      </c>
      <c r="B3774" s="154">
        <v>45368</v>
      </c>
      <c r="C3774" s="154">
        <v>45371</v>
      </c>
      <c r="D3774" s="3" t="s">
        <v>4350</v>
      </c>
      <c r="E3774" s="3">
        <v>-5.2</v>
      </c>
      <c r="F3774" s="3">
        <v>1</v>
      </c>
      <c r="G3774" s="3">
        <f t="shared" si="184"/>
        <v>5.2</v>
      </c>
      <c r="H3774" s="3" t="s">
        <v>291</v>
      </c>
      <c r="I3774" s="1" t="s">
        <v>301</v>
      </c>
      <c r="J3774" s="1" t="s">
        <v>1000</v>
      </c>
      <c r="K3774" s="1" t="s">
        <v>298</v>
      </c>
      <c r="L3774" s="1" t="s">
        <v>267</v>
      </c>
      <c r="M3774" s="1"/>
      <c r="N3774" s="1">
        <f t="shared" si="183"/>
        <v>3</v>
      </c>
      <c r="O3774" s="87"/>
    </row>
    <row r="3775" spans="1:15" ht="15.75" hidden="1" x14ac:dyDescent="0.25">
      <c r="A3775" s="1" t="str">
        <f t="shared" si="182"/>
        <v>453684537141.76MASTER CCMEDICALNASEEM AL</v>
      </c>
      <c r="B3775" s="154">
        <v>45368</v>
      </c>
      <c r="C3775" s="154">
        <v>45371</v>
      </c>
      <c r="D3775" s="3" t="s">
        <v>4351</v>
      </c>
      <c r="E3775" s="3">
        <v>-41.76</v>
      </c>
      <c r="F3775" s="3">
        <v>1</v>
      </c>
      <c r="G3775" s="3">
        <f t="shared" si="184"/>
        <v>41.76</v>
      </c>
      <c r="H3775" s="3" t="s">
        <v>291</v>
      </c>
      <c r="I3775" s="1" t="s">
        <v>301</v>
      </c>
      <c r="J3775" s="1" t="s">
        <v>1000</v>
      </c>
      <c r="K3775" s="1" t="s">
        <v>298</v>
      </c>
      <c r="L3775" s="1" t="s">
        <v>267</v>
      </c>
      <c r="M3775" s="1"/>
      <c r="N3775" s="1">
        <f t="shared" si="183"/>
        <v>3</v>
      </c>
      <c r="O3775" s="87"/>
    </row>
    <row r="3776" spans="1:15" ht="15.75" hidden="1" x14ac:dyDescent="0.25">
      <c r="A3776" s="1" t="str">
        <f t="shared" si="182"/>
        <v>4536945372207.9MASTER CCGROCERYINDIAN SUPER</v>
      </c>
      <c r="B3776" s="154">
        <v>45369</v>
      </c>
      <c r="C3776" s="154">
        <v>45372</v>
      </c>
      <c r="D3776" s="3" t="s">
        <v>4352</v>
      </c>
      <c r="E3776" s="3">
        <v>-207.9</v>
      </c>
      <c r="F3776" s="3">
        <v>1</v>
      </c>
      <c r="G3776" s="3">
        <f t="shared" si="184"/>
        <v>207.9</v>
      </c>
      <c r="H3776" s="3" t="s">
        <v>291</v>
      </c>
      <c r="I3776" s="1" t="s">
        <v>43</v>
      </c>
      <c r="J3776" s="1" t="s">
        <v>2273</v>
      </c>
      <c r="K3776" s="1" t="s">
        <v>298</v>
      </c>
      <c r="L3776" s="1" t="s">
        <v>267</v>
      </c>
      <c r="M3776" s="1"/>
      <c r="N3776" s="1">
        <f t="shared" si="183"/>
        <v>3</v>
      </c>
      <c r="O3776" s="87"/>
    </row>
    <row r="3777" spans="1:15" ht="15.75" hidden="1" x14ac:dyDescent="0.25">
      <c r="A3777" s="1" t="str">
        <f t="shared" si="182"/>
        <v>453714537332.5MASTER CCGROCERYMANGO</v>
      </c>
      <c r="B3777" s="154">
        <v>45371</v>
      </c>
      <c r="C3777" s="154">
        <v>45373</v>
      </c>
      <c r="D3777" s="3" t="s">
        <v>4353</v>
      </c>
      <c r="E3777" s="3">
        <v>-32.5</v>
      </c>
      <c r="F3777" s="3">
        <v>1</v>
      </c>
      <c r="G3777" s="3">
        <f t="shared" si="184"/>
        <v>32.5</v>
      </c>
      <c r="H3777" s="3" t="s">
        <v>291</v>
      </c>
      <c r="I3777" s="1" t="s">
        <v>43</v>
      </c>
      <c r="J3777" s="1" t="s">
        <v>3634</v>
      </c>
      <c r="K3777" s="1" t="s">
        <v>298</v>
      </c>
      <c r="L3777" s="1" t="s">
        <v>267</v>
      </c>
      <c r="M3777" s="1"/>
      <c r="N3777" s="1">
        <f t="shared" si="183"/>
        <v>3</v>
      </c>
      <c r="O3777" s="87"/>
    </row>
    <row r="3778" spans="1:15" ht="15.75" hidden="1" x14ac:dyDescent="0.25">
      <c r="A3778" s="1" t="str">
        <f t="shared" ref="A3778:A3841" si="185">B3778&amp;C3778&amp;G3778&amp;H3778&amp;I3778&amp;J3778</f>
        <v>4537245375103MASTER CCTRANSPORTWOQOD</v>
      </c>
      <c r="B3778" s="154">
        <v>45372</v>
      </c>
      <c r="C3778" s="154">
        <v>45375</v>
      </c>
      <c r="D3778" s="3" t="s">
        <v>4354</v>
      </c>
      <c r="E3778" s="3">
        <v>-103</v>
      </c>
      <c r="F3778" s="3">
        <v>1</v>
      </c>
      <c r="G3778" s="3">
        <f t="shared" si="184"/>
        <v>103</v>
      </c>
      <c r="H3778" s="3" t="s">
        <v>291</v>
      </c>
      <c r="I3778" s="1" t="s">
        <v>296</v>
      </c>
      <c r="J3778" s="1" t="s">
        <v>1942</v>
      </c>
      <c r="K3778" s="1" t="s">
        <v>298</v>
      </c>
      <c r="L3778" s="1" t="s">
        <v>267</v>
      </c>
      <c r="M3778" s="1"/>
      <c r="N3778" s="1">
        <f t="shared" ref="N3778:N3841" si="186">MONTH(C3778)</f>
        <v>3</v>
      </c>
      <c r="O3778" s="87"/>
    </row>
    <row r="3779" spans="1:15" ht="15.75" hidden="1" x14ac:dyDescent="0.25">
      <c r="A3779" s="1" t="str">
        <f t="shared" si="185"/>
        <v>453724537590MASTER CCFOODTALABAT</v>
      </c>
      <c r="B3779" s="154">
        <v>45372</v>
      </c>
      <c r="C3779" s="154">
        <v>45375</v>
      </c>
      <c r="D3779" s="3" t="s">
        <v>4355</v>
      </c>
      <c r="E3779" s="3">
        <v>-90</v>
      </c>
      <c r="F3779" s="3">
        <v>1</v>
      </c>
      <c r="G3779" s="3">
        <f t="shared" si="184"/>
        <v>90</v>
      </c>
      <c r="H3779" s="3" t="s">
        <v>291</v>
      </c>
      <c r="I3779" s="1" t="s">
        <v>10</v>
      </c>
      <c r="J3779" s="1" t="s">
        <v>865</v>
      </c>
      <c r="K3779" s="1" t="s">
        <v>298</v>
      </c>
      <c r="L3779" s="1" t="s">
        <v>267</v>
      </c>
      <c r="M3779" s="1"/>
      <c r="N3779" s="1">
        <f t="shared" si="186"/>
        <v>3</v>
      </c>
      <c r="O3779" s="87"/>
    </row>
    <row r="3780" spans="1:15" ht="15.75" hidden="1" x14ac:dyDescent="0.25">
      <c r="A3780" s="1" t="str">
        <f t="shared" si="185"/>
        <v>45373453744DINERSGROCERYMANGO</v>
      </c>
      <c r="B3780" s="154">
        <v>45373</v>
      </c>
      <c r="C3780" s="154">
        <v>45374</v>
      </c>
      <c r="D3780" s="3" t="s">
        <v>4193</v>
      </c>
      <c r="E3780" s="3">
        <v>-4</v>
      </c>
      <c r="F3780" s="3">
        <v>1</v>
      </c>
      <c r="G3780" s="3">
        <f t="shared" si="184"/>
        <v>4</v>
      </c>
      <c r="H3780" s="3" t="s">
        <v>266</v>
      </c>
      <c r="I3780" s="1" t="s">
        <v>43</v>
      </c>
      <c r="J3780" s="1" t="s">
        <v>3634</v>
      </c>
      <c r="K3780" s="1" t="s">
        <v>298</v>
      </c>
      <c r="L3780" s="1" t="s">
        <v>267</v>
      </c>
      <c r="M3780" s="1"/>
      <c r="N3780" s="1">
        <f t="shared" si="186"/>
        <v>3</v>
      </c>
      <c r="O3780" s="87"/>
    </row>
    <row r="3781" spans="1:15" ht="15.75" hidden="1" x14ac:dyDescent="0.25">
      <c r="A3781" s="1" t="str">
        <f t="shared" si="185"/>
        <v>453734537656MASTER CCFOODTALABAT</v>
      </c>
      <c r="B3781" s="154">
        <v>45373</v>
      </c>
      <c r="C3781" s="154">
        <v>45376</v>
      </c>
      <c r="D3781" s="3" t="s">
        <v>4356</v>
      </c>
      <c r="E3781" s="3">
        <v>-56</v>
      </c>
      <c r="F3781" s="3">
        <v>1</v>
      </c>
      <c r="G3781" s="3">
        <f t="shared" si="184"/>
        <v>56</v>
      </c>
      <c r="H3781" s="3" t="s">
        <v>291</v>
      </c>
      <c r="I3781" s="1" t="s">
        <v>10</v>
      </c>
      <c r="J3781" s="1" t="s">
        <v>865</v>
      </c>
      <c r="K3781" s="1" t="s">
        <v>298</v>
      </c>
      <c r="L3781" s="1" t="s">
        <v>267</v>
      </c>
      <c r="M3781" s="1"/>
      <c r="N3781" s="1">
        <f t="shared" si="186"/>
        <v>3</v>
      </c>
      <c r="O3781" s="87"/>
    </row>
    <row r="3782" spans="1:15" ht="15.75" hidden="1" x14ac:dyDescent="0.25">
      <c r="A3782" s="1" t="str">
        <f t="shared" si="185"/>
        <v>45373453758.8MASTER CCTRANSPORTUBER</v>
      </c>
      <c r="B3782" s="154">
        <v>45373</v>
      </c>
      <c r="C3782" s="154">
        <v>45375</v>
      </c>
      <c r="D3782" s="3" t="s">
        <v>4357</v>
      </c>
      <c r="E3782" s="3">
        <v>-8.8000000000000007</v>
      </c>
      <c r="F3782" s="3">
        <v>1</v>
      </c>
      <c r="G3782" s="3">
        <f t="shared" si="184"/>
        <v>8.8000000000000007</v>
      </c>
      <c r="H3782" s="3" t="s">
        <v>291</v>
      </c>
      <c r="I3782" s="1" t="s">
        <v>296</v>
      </c>
      <c r="J3782" s="1" t="s">
        <v>299</v>
      </c>
      <c r="K3782" s="1" t="s">
        <v>298</v>
      </c>
      <c r="L3782" s="1" t="s">
        <v>267</v>
      </c>
      <c r="M3782" s="1"/>
      <c r="N3782" s="1">
        <f t="shared" si="186"/>
        <v>3</v>
      </c>
      <c r="O3782" s="87"/>
    </row>
    <row r="3783" spans="1:15" ht="15.75" hidden="1" x14ac:dyDescent="0.25">
      <c r="A3783" s="1" t="str">
        <f t="shared" si="185"/>
        <v>453744537756MASTER CCGROCERYMANGO</v>
      </c>
      <c r="B3783" s="154">
        <v>45374</v>
      </c>
      <c r="C3783" s="154">
        <v>45377</v>
      </c>
      <c r="D3783" s="3" t="s">
        <v>4358</v>
      </c>
      <c r="E3783" s="3">
        <v>-56</v>
      </c>
      <c r="F3783" s="3">
        <v>1</v>
      </c>
      <c r="G3783" s="3">
        <f t="shared" si="184"/>
        <v>56</v>
      </c>
      <c r="H3783" s="3" t="s">
        <v>291</v>
      </c>
      <c r="I3783" s="1" t="s">
        <v>43</v>
      </c>
      <c r="J3783" s="1" t="s">
        <v>3634</v>
      </c>
      <c r="K3783" s="1" t="s">
        <v>298</v>
      </c>
      <c r="L3783" s="1" t="s">
        <v>267</v>
      </c>
      <c r="M3783" s="1"/>
      <c r="N3783" s="1">
        <f t="shared" si="186"/>
        <v>3</v>
      </c>
      <c r="O3783" s="87"/>
    </row>
    <row r="3784" spans="1:15" ht="15.75" hidden="1" x14ac:dyDescent="0.25">
      <c r="A3784" s="1" t="str">
        <f t="shared" si="185"/>
        <v>45374453758.1MASTER CCTRANSPORTUBER</v>
      </c>
      <c r="B3784" s="154">
        <v>45374</v>
      </c>
      <c r="C3784" s="154">
        <v>45375</v>
      </c>
      <c r="D3784" s="3" t="s">
        <v>4359</v>
      </c>
      <c r="E3784" s="3">
        <v>-8.1</v>
      </c>
      <c r="F3784" s="3">
        <v>1</v>
      </c>
      <c r="G3784" s="3">
        <f t="shared" si="184"/>
        <v>8.1</v>
      </c>
      <c r="H3784" s="3" t="s">
        <v>291</v>
      </c>
      <c r="I3784" s="1" t="s">
        <v>296</v>
      </c>
      <c r="J3784" s="1" t="s">
        <v>299</v>
      </c>
      <c r="K3784" s="1" t="s">
        <v>298</v>
      </c>
      <c r="L3784" s="1" t="s">
        <v>267</v>
      </c>
      <c r="M3784" s="1"/>
      <c r="N3784" s="1">
        <f t="shared" si="186"/>
        <v>3</v>
      </c>
      <c r="O3784" s="87"/>
    </row>
    <row r="3785" spans="1:15" ht="15.75" hidden="1" x14ac:dyDescent="0.25">
      <c r="A3785" s="1" t="str">
        <f t="shared" si="185"/>
        <v>453754537862.5MASTER CCFOODCAFÉ/REST.</v>
      </c>
      <c r="B3785" s="154">
        <v>45375</v>
      </c>
      <c r="C3785" s="154">
        <v>45378</v>
      </c>
      <c r="D3785" s="3" t="s">
        <v>4360</v>
      </c>
      <c r="E3785" s="3">
        <v>-62.5</v>
      </c>
      <c r="F3785" s="3">
        <v>1</v>
      </c>
      <c r="G3785" s="3">
        <f t="shared" si="184"/>
        <v>62.5</v>
      </c>
      <c r="H3785" s="3" t="s">
        <v>291</v>
      </c>
      <c r="I3785" s="1" t="s">
        <v>10</v>
      </c>
      <c r="J3785" s="1" t="s">
        <v>11</v>
      </c>
      <c r="K3785" s="1" t="s">
        <v>298</v>
      </c>
      <c r="L3785" s="1" t="s">
        <v>267</v>
      </c>
      <c r="M3785" s="1"/>
      <c r="N3785" s="1">
        <f t="shared" si="186"/>
        <v>3</v>
      </c>
      <c r="O3785" s="87"/>
    </row>
    <row r="3786" spans="1:15" ht="15.75" hidden="1" x14ac:dyDescent="0.25">
      <c r="A3786" s="1" t="str">
        <f t="shared" si="185"/>
        <v>4537545377122MASTER CCSHOPPINGRNB</v>
      </c>
      <c r="B3786" s="154">
        <v>45375</v>
      </c>
      <c r="C3786" s="154">
        <v>45377</v>
      </c>
      <c r="D3786" s="3" t="s">
        <v>4361</v>
      </c>
      <c r="E3786" s="3">
        <v>-122</v>
      </c>
      <c r="F3786" s="3">
        <v>1</v>
      </c>
      <c r="G3786" s="3">
        <f t="shared" si="184"/>
        <v>122</v>
      </c>
      <c r="H3786" s="3" t="s">
        <v>291</v>
      </c>
      <c r="I3786" s="1" t="s">
        <v>194</v>
      </c>
      <c r="J3786" s="1" t="s">
        <v>1658</v>
      </c>
      <c r="K3786" s="1" t="s">
        <v>298</v>
      </c>
      <c r="L3786" s="1" t="s">
        <v>267</v>
      </c>
      <c r="M3786" s="1"/>
      <c r="N3786" s="1">
        <f t="shared" si="186"/>
        <v>3</v>
      </c>
      <c r="O3786" s="87"/>
    </row>
    <row r="3787" spans="1:15" ht="15.75" hidden="1" x14ac:dyDescent="0.25">
      <c r="A3787" s="1" t="str">
        <f t="shared" si="185"/>
        <v>4537545376197.32MASTER CCGROCERYINDIAN SUPER</v>
      </c>
      <c r="B3787" s="154">
        <v>45375</v>
      </c>
      <c r="C3787" s="154">
        <v>45376</v>
      </c>
      <c r="D3787" s="3" t="s">
        <v>4362</v>
      </c>
      <c r="E3787" s="3">
        <v>-197.32</v>
      </c>
      <c r="F3787" s="3">
        <v>1</v>
      </c>
      <c r="G3787" s="3">
        <f t="shared" ref="G3787:G3850" si="187">ABS(E3787)*F3787</f>
        <v>197.32</v>
      </c>
      <c r="H3787" s="3" t="s">
        <v>291</v>
      </c>
      <c r="I3787" s="1" t="s">
        <v>43</v>
      </c>
      <c r="J3787" s="1" t="s">
        <v>2273</v>
      </c>
      <c r="K3787" s="1" t="s">
        <v>298</v>
      </c>
      <c r="L3787" s="1" t="s">
        <v>267</v>
      </c>
      <c r="M3787" s="1"/>
      <c r="N3787" s="1">
        <f t="shared" si="186"/>
        <v>3</v>
      </c>
      <c r="O3787" s="87"/>
    </row>
    <row r="3788" spans="1:15" ht="15.75" hidden="1" x14ac:dyDescent="0.25">
      <c r="A3788" s="1" t="str">
        <f t="shared" si="185"/>
        <v>4537645376576.2MASTER CCTRAVELHOTEL</v>
      </c>
      <c r="B3788" s="154">
        <v>45376</v>
      </c>
      <c r="C3788" s="154">
        <f>B3788</f>
        <v>45376</v>
      </c>
      <c r="D3788" s="3" t="s">
        <v>4363</v>
      </c>
      <c r="E3788" s="3">
        <v>-576.20000000000005</v>
      </c>
      <c r="F3788" s="3">
        <v>1</v>
      </c>
      <c r="G3788" s="3">
        <f t="shared" si="187"/>
        <v>576.20000000000005</v>
      </c>
      <c r="H3788" s="3" t="s">
        <v>291</v>
      </c>
      <c r="I3788" s="1" t="s">
        <v>393</v>
      </c>
      <c r="J3788" s="1" t="s">
        <v>1128</v>
      </c>
      <c r="K3788" s="1" t="s">
        <v>298</v>
      </c>
      <c r="L3788" s="1" t="s">
        <v>267</v>
      </c>
      <c r="M3788" s="1"/>
      <c r="N3788" s="1">
        <f t="shared" si="186"/>
        <v>3</v>
      </c>
      <c r="O3788" s="87"/>
    </row>
    <row r="3789" spans="1:15" ht="15.75" hidden="1" x14ac:dyDescent="0.25">
      <c r="A3789" s="1" t="str">
        <f t="shared" si="185"/>
        <v>453764537942.5MASTER CCFOODCAFÉ/REST.</v>
      </c>
      <c r="B3789" s="154">
        <v>45376</v>
      </c>
      <c r="C3789" s="154">
        <v>45379</v>
      </c>
      <c r="D3789" s="3" t="s">
        <v>4364</v>
      </c>
      <c r="E3789" s="3">
        <v>-42.5</v>
      </c>
      <c r="F3789" s="3">
        <v>1</v>
      </c>
      <c r="G3789" s="3">
        <f t="shared" si="187"/>
        <v>42.5</v>
      </c>
      <c r="H3789" s="3" t="s">
        <v>291</v>
      </c>
      <c r="I3789" s="1" t="s">
        <v>10</v>
      </c>
      <c r="J3789" s="1" t="s">
        <v>11</v>
      </c>
      <c r="K3789" s="1" t="s">
        <v>298</v>
      </c>
      <c r="L3789" s="1" t="s">
        <v>267</v>
      </c>
      <c r="M3789" s="1"/>
      <c r="N3789" s="1">
        <f t="shared" si="186"/>
        <v>3</v>
      </c>
      <c r="O3789" s="87"/>
    </row>
    <row r="3790" spans="1:15" ht="15.75" hidden="1" x14ac:dyDescent="0.25">
      <c r="A3790" s="1" t="str">
        <f t="shared" si="185"/>
        <v>453764537924MASTER CCFOODCAFÉ/REST.</v>
      </c>
      <c r="B3790" s="154">
        <v>45376</v>
      </c>
      <c r="C3790" s="154">
        <v>45379</v>
      </c>
      <c r="D3790" s="3" t="s">
        <v>4365</v>
      </c>
      <c r="E3790" s="3">
        <v>-24</v>
      </c>
      <c r="F3790" s="3">
        <v>1</v>
      </c>
      <c r="G3790" s="3">
        <f t="shared" si="187"/>
        <v>24</v>
      </c>
      <c r="H3790" s="3" t="s">
        <v>291</v>
      </c>
      <c r="I3790" s="1" t="s">
        <v>10</v>
      </c>
      <c r="J3790" s="1" t="s">
        <v>11</v>
      </c>
      <c r="K3790" s="1" t="s">
        <v>298</v>
      </c>
      <c r="L3790" s="1" t="s">
        <v>267</v>
      </c>
      <c r="M3790" s="1"/>
      <c r="N3790" s="1">
        <f t="shared" si="186"/>
        <v>3</v>
      </c>
      <c r="O3790" s="87"/>
    </row>
    <row r="3791" spans="1:15" ht="15.75" hidden="1" x14ac:dyDescent="0.25">
      <c r="A3791" s="1" t="str">
        <f t="shared" si="185"/>
        <v>4537645379129MASTER CCFOODTALABAT</v>
      </c>
      <c r="B3791" s="154">
        <v>45376</v>
      </c>
      <c r="C3791" s="154">
        <v>45379</v>
      </c>
      <c r="D3791" s="3" t="s">
        <v>4366</v>
      </c>
      <c r="E3791" s="3">
        <v>-129</v>
      </c>
      <c r="F3791" s="3">
        <v>1</v>
      </c>
      <c r="G3791" s="3">
        <f t="shared" si="187"/>
        <v>129</v>
      </c>
      <c r="H3791" s="3" t="s">
        <v>291</v>
      </c>
      <c r="I3791" s="1" t="s">
        <v>10</v>
      </c>
      <c r="J3791" s="1" t="s">
        <v>865</v>
      </c>
      <c r="K3791" s="1" t="s">
        <v>298</v>
      </c>
      <c r="L3791" s="1" t="s">
        <v>267</v>
      </c>
      <c r="M3791" s="1"/>
      <c r="N3791" s="1">
        <f t="shared" si="186"/>
        <v>3</v>
      </c>
      <c r="O3791" s="87"/>
    </row>
    <row r="3792" spans="1:15" ht="15.75" hidden="1" x14ac:dyDescent="0.25">
      <c r="A3792" s="1" t="str">
        <f t="shared" si="185"/>
        <v>453764537913.25MASTER CCGROCERYMANGO</v>
      </c>
      <c r="B3792" s="154">
        <v>45376</v>
      </c>
      <c r="C3792" s="154">
        <v>45379</v>
      </c>
      <c r="D3792" s="3" t="s">
        <v>4367</v>
      </c>
      <c r="E3792" s="3">
        <v>-13.25</v>
      </c>
      <c r="F3792" s="3">
        <v>1</v>
      </c>
      <c r="G3792" s="3">
        <f t="shared" si="187"/>
        <v>13.25</v>
      </c>
      <c r="H3792" s="3" t="s">
        <v>291</v>
      </c>
      <c r="I3792" s="1" t="s">
        <v>43</v>
      </c>
      <c r="J3792" s="1" t="s">
        <v>3634</v>
      </c>
      <c r="K3792" s="1" t="s">
        <v>298</v>
      </c>
      <c r="L3792" s="1" t="s">
        <v>267</v>
      </c>
      <c r="M3792" s="1"/>
      <c r="N3792" s="1">
        <f t="shared" si="186"/>
        <v>3</v>
      </c>
      <c r="O3792" s="87"/>
    </row>
    <row r="3793" spans="1:15" ht="15.75" hidden="1" x14ac:dyDescent="0.25">
      <c r="A3793" s="1" t="str">
        <f t="shared" si="185"/>
        <v>453764537830.89MASTER CCGROCERYMANGO</v>
      </c>
      <c r="B3793" s="154">
        <v>45376</v>
      </c>
      <c r="C3793" s="154">
        <v>45378</v>
      </c>
      <c r="D3793" s="3" t="s">
        <v>4368</v>
      </c>
      <c r="E3793" s="3">
        <v>-30.89</v>
      </c>
      <c r="F3793" s="3">
        <v>1</v>
      </c>
      <c r="G3793" s="3">
        <f t="shared" si="187"/>
        <v>30.89</v>
      </c>
      <c r="H3793" s="3" t="s">
        <v>291</v>
      </c>
      <c r="I3793" s="1" t="s">
        <v>43</v>
      </c>
      <c r="J3793" s="1" t="s">
        <v>3634</v>
      </c>
      <c r="K3793" s="1" t="s">
        <v>298</v>
      </c>
      <c r="L3793" s="1" t="s">
        <v>267</v>
      </c>
      <c r="M3793" s="1"/>
      <c r="N3793" s="1">
        <f t="shared" si="186"/>
        <v>3</v>
      </c>
      <c r="O3793" s="87"/>
    </row>
    <row r="3794" spans="1:15" ht="15.75" hidden="1" x14ac:dyDescent="0.25">
      <c r="A3794" s="1" t="str">
        <f t="shared" si="185"/>
        <v>453764537820MASTER CCGROCERYMANGO</v>
      </c>
      <c r="B3794" s="154">
        <v>45376</v>
      </c>
      <c r="C3794" s="154">
        <v>45378</v>
      </c>
      <c r="D3794" s="3" t="s">
        <v>4369</v>
      </c>
      <c r="E3794" s="3">
        <v>-20</v>
      </c>
      <c r="F3794" s="3">
        <v>1</v>
      </c>
      <c r="G3794" s="3">
        <f t="shared" si="187"/>
        <v>20</v>
      </c>
      <c r="H3794" s="3" t="s">
        <v>291</v>
      </c>
      <c r="I3794" s="1" t="s">
        <v>43</v>
      </c>
      <c r="J3794" s="1" t="s">
        <v>3634</v>
      </c>
      <c r="K3794" s="1" t="s">
        <v>298</v>
      </c>
      <c r="L3794" s="1" t="s">
        <v>267</v>
      </c>
      <c r="M3794" s="1"/>
      <c r="N3794" s="1">
        <f t="shared" si="186"/>
        <v>3</v>
      </c>
      <c r="O3794" s="87"/>
    </row>
    <row r="3795" spans="1:15" ht="15.75" hidden="1" x14ac:dyDescent="0.25">
      <c r="A3795" s="1" t="str">
        <f t="shared" si="185"/>
        <v>453774537737162CURRENTSALARYQATAR AIR</v>
      </c>
      <c r="B3795" s="154">
        <v>45377</v>
      </c>
      <c r="C3795" s="154">
        <v>45377</v>
      </c>
      <c r="D3795" s="3" t="s">
        <v>4122</v>
      </c>
      <c r="E3795" s="3">
        <v>37162</v>
      </c>
      <c r="F3795" s="3">
        <v>1</v>
      </c>
      <c r="G3795" s="3">
        <f t="shared" si="187"/>
        <v>37162</v>
      </c>
      <c r="H3795" s="3" t="s">
        <v>293</v>
      </c>
      <c r="I3795" s="1" t="s">
        <v>18</v>
      </c>
      <c r="J3795" s="1" t="s">
        <v>19</v>
      </c>
      <c r="K3795" s="1" t="s">
        <v>300</v>
      </c>
      <c r="L3795" s="1" t="s">
        <v>257</v>
      </c>
      <c r="M3795" s="1"/>
      <c r="N3795" s="1">
        <f t="shared" si="186"/>
        <v>3</v>
      </c>
      <c r="O3795" s="87"/>
    </row>
    <row r="3796" spans="1:15" ht="15.75" hidden="1" x14ac:dyDescent="0.25">
      <c r="A3796" s="1" t="str">
        <f t="shared" si="185"/>
        <v>453774538021MASTER CCTRANSPORTWOQOD</v>
      </c>
      <c r="B3796" s="154">
        <v>45377</v>
      </c>
      <c r="C3796" s="154">
        <v>45380</v>
      </c>
      <c r="D3796" s="3" t="s">
        <v>4370</v>
      </c>
      <c r="E3796" s="3">
        <v>-21</v>
      </c>
      <c r="F3796" s="3">
        <v>1</v>
      </c>
      <c r="G3796" s="3">
        <f t="shared" si="187"/>
        <v>21</v>
      </c>
      <c r="H3796" s="3" t="s">
        <v>291</v>
      </c>
      <c r="I3796" s="1" t="s">
        <v>296</v>
      </c>
      <c r="J3796" s="1" t="s">
        <v>1942</v>
      </c>
      <c r="K3796" s="1" t="s">
        <v>298</v>
      </c>
      <c r="L3796" s="1" t="s">
        <v>267</v>
      </c>
      <c r="M3796" s="1"/>
      <c r="N3796" s="1">
        <f t="shared" si="186"/>
        <v>3</v>
      </c>
      <c r="O3796" s="87"/>
    </row>
    <row r="3797" spans="1:15" ht="15.75" hidden="1" x14ac:dyDescent="0.25">
      <c r="A3797" s="1" t="str">
        <f t="shared" si="185"/>
        <v>45377453805MASTER CCENTERTAINMENTFUNVILLE</v>
      </c>
      <c r="B3797" s="154">
        <v>45377</v>
      </c>
      <c r="C3797" s="154">
        <v>45380</v>
      </c>
      <c r="D3797" s="3" t="s">
        <v>4371</v>
      </c>
      <c r="E3797" s="3">
        <v>-5</v>
      </c>
      <c r="F3797" s="3">
        <v>1</v>
      </c>
      <c r="G3797" s="3">
        <f t="shared" si="187"/>
        <v>5</v>
      </c>
      <c r="H3797" s="3" t="s">
        <v>291</v>
      </c>
      <c r="I3797" s="1" t="s">
        <v>2476</v>
      </c>
      <c r="J3797" s="1" t="s">
        <v>4107</v>
      </c>
      <c r="K3797" s="1" t="s">
        <v>298</v>
      </c>
      <c r="L3797" s="1" t="s">
        <v>267</v>
      </c>
      <c r="M3797" s="1"/>
      <c r="N3797" s="1">
        <f t="shared" si="186"/>
        <v>3</v>
      </c>
      <c r="O3797" s="87"/>
    </row>
    <row r="3798" spans="1:15" ht="15.75" hidden="1" x14ac:dyDescent="0.25">
      <c r="A3798" s="1" t="str">
        <f t="shared" si="185"/>
        <v>4537745380108MASTER CCENTERTAINMENTFUNVILLE</v>
      </c>
      <c r="B3798" s="154">
        <v>45377</v>
      </c>
      <c r="C3798" s="154">
        <v>45380</v>
      </c>
      <c r="D3798" s="3" t="s">
        <v>4372</v>
      </c>
      <c r="E3798" s="3">
        <v>-108</v>
      </c>
      <c r="F3798" s="3">
        <v>1</v>
      </c>
      <c r="G3798" s="3">
        <f t="shared" si="187"/>
        <v>108</v>
      </c>
      <c r="H3798" s="3" t="s">
        <v>291</v>
      </c>
      <c r="I3798" s="1" t="s">
        <v>2476</v>
      </c>
      <c r="J3798" s="1" t="s">
        <v>4107</v>
      </c>
      <c r="K3798" s="1" t="s">
        <v>298</v>
      </c>
      <c r="L3798" s="1" t="s">
        <v>267</v>
      </c>
      <c r="M3798" s="1"/>
      <c r="N3798" s="1">
        <f t="shared" si="186"/>
        <v>3</v>
      </c>
      <c r="O3798" s="87"/>
    </row>
    <row r="3799" spans="1:15" ht="15.75" hidden="1" x14ac:dyDescent="0.25">
      <c r="A3799" s="1" t="str">
        <f t="shared" si="185"/>
        <v>453774538050.98MASTER CCGROCERYMANGO</v>
      </c>
      <c r="B3799" s="154">
        <v>45377</v>
      </c>
      <c r="C3799" s="154">
        <v>45380</v>
      </c>
      <c r="D3799" s="3" t="s">
        <v>4373</v>
      </c>
      <c r="E3799" s="3">
        <v>-50.98</v>
      </c>
      <c r="F3799" s="3">
        <v>1</v>
      </c>
      <c r="G3799" s="3">
        <f t="shared" si="187"/>
        <v>50.98</v>
      </c>
      <c r="H3799" s="3" t="s">
        <v>291</v>
      </c>
      <c r="I3799" s="1" t="s">
        <v>43</v>
      </c>
      <c r="J3799" s="1" t="s">
        <v>3634</v>
      </c>
      <c r="K3799" s="1" t="s">
        <v>298</v>
      </c>
      <c r="L3799" s="1" t="s">
        <v>267</v>
      </c>
      <c r="M3799" s="1"/>
      <c r="N3799" s="1">
        <f t="shared" si="186"/>
        <v>3</v>
      </c>
      <c r="O3799" s="87"/>
    </row>
    <row r="3800" spans="1:15" ht="15.75" hidden="1" x14ac:dyDescent="0.25">
      <c r="A3800" s="1" t="str">
        <f t="shared" si="185"/>
        <v>453774537855MASTER CCSHOPPINGREDTAG</v>
      </c>
      <c r="B3800" s="154">
        <v>45377</v>
      </c>
      <c r="C3800" s="154">
        <v>45378</v>
      </c>
      <c r="D3800" s="3" t="s">
        <v>4374</v>
      </c>
      <c r="E3800" s="3">
        <v>-55</v>
      </c>
      <c r="F3800" s="3">
        <v>1</v>
      </c>
      <c r="G3800" s="3">
        <f t="shared" si="187"/>
        <v>55</v>
      </c>
      <c r="H3800" s="3" t="s">
        <v>291</v>
      </c>
      <c r="I3800" s="1" t="s">
        <v>194</v>
      </c>
      <c r="J3800" s="1" t="s">
        <v>2704</v>
      </c>
      <c r="K3800" s="1" t="s">
        <v>298</v>
      </c>
      <c r="L3800" s="1" t="s">
        <v>267</v>
      </c>
      <c r="M3800" s="1"/>
      <c r="N3800" s="1">
        <f t="shared" si="186"/>
        <v>3</v>
      </c>
      <c r="O3800" s="87"/>
    </row>
    <row r="3801" spans="1:15" ht="15.75" hidden="1" x14ac:dyDescent="0.25">
      <c r="A3801" s="1" t="str">
        <f t="shared" si="185"/>
        <v>45378453809.98MASTER CCTRANSPORTUBER</v>
      </c>
      <c r="B3801" s="154">
        <v>45378</v>
      </c>
      <c r="C3801" s="154">
        <v>45380</v>
      </c>
      <c r="D3801" s="3" t="s">
        <v>4375</v>
      </c>
      <c r="E3801" s="3">
        <v>-9.98</v>
      </c>
      <c r="F3801" s="3">
        <v>1</v>
      </c>
      <c r="G3801" s="3">
        <f t="shared" si="187"/>
        <v>9.98</v>
      </c>
      <c r="H3801" s="3" t="s">
        <v>291</v>
      </c>
      <c r="I3801" s="1" t="s">
        <v>296</v>
      </c>
      <c r="J3801" s="1" t="s">
        <v>299</v>
      </c>
      <c r="K3801" s="1" t="s">
        <v>298</v>
      </c>
      <c r="L3801" s="1" t="s">
        <v>267</v>
      </c>
      <c r="M3801" s="1"/>
      <c r="N3801" s="1">
        <f t="shared" si="186"/>
        <v>3</v>
      </c>
      <c r="O3801" s="87"/>
    </row>
    <row r="3802" spans="1:15" ht="15.75" hidden="1" x14ac:dyDescent="0.25">
      <c r="A3802" s="1" t="str">
        <f t="shared" si="185"/>
        <v>453784538010.97MASTER CCTRANSPORTUBER</v>
      </c>
      <c r="B3802" s="154">
        <v>45378</v>
      </c>
      <c r="C3802" s="154">
        <v>45380</v>
      </c>
      <c r="D3802" s="3" t="s">
        <v>4376</v>
      </c>
      <c r="E3802" s="3">
        <v>-10.97</v>
      </c>
      <c r="F3802" s="3">
        <v>1</v>
      </c>
      <c r="G3802" s="3">
        <f t="shared" si="187"/>
        <v>10.97</v>
      </c>
      <c r="H3802" s="3" t="s">
        <v>291</v>
      </c>
      <c r="I3802" s="1" t="s">
        <v>296</v>
      </c>
      <c r="J3802" s="1" t="s">
        <v>299</v>
      </c>
      <c r="K3802" s="1" t="s">
        <v>298</v>
      </c>
      <c r="L3802" s="1" t="s">
        <v>267</v>
      </c>
      <c r="M3802" s="1"/>
      <c r="N3802" s="1">
        <f t="shared" si="186"/>
        <v>3</v>
      </c>
      <c r="O3802" s="87"/>
    </row>
    <row r="3803" spans="1:15" ht="15.75" hidden="1" x14ac:dyDescent="0.25">
      <c r="A3803" s="1" t="str">
        <f t="shared" si="185"/>
        <v>453794537920000CURRENTSAVINGSELF</v>
      </c>
      <c r="B3803" s="154">
        <v>45379</v>
      </c>
      <c r="C3803" s="154">
        <v>45379</v>
      </c>
      <c r="D3803" s="3" t="s">
        <v>4121</v>
      </c>
      <c r="E3803" s="3">
        <v>-20000</v>
      </c>
      <c r="F3803" s="3">
        <v>1</v>
      </c>
      <c r="G3803" s="3">
        <f t="shared" si="187"/>
        <v>20000</v>
      </c>
      <c r="H3803" s="3" t="s">
        <v>293</v>
      </c>
      <c r="I3803" s="1" t="s">
        <v>302</v>
      </c>
      <c r="J3803" s="1" t="s">
        <v>14</v>
      </c>
      <c r="K3803" s="1" t="s">
        <v>298</v>
      </c>
      <c r="L3803" s="1" t="s">
        <v>257</v>
      </c>
      <c r="M3803" s="1"/>
      <c r="N3803" s="1">
        <f t="shared" si="186"/>
        <v>3</v>
      </c>
      <c r="O3803" s="87"/>
    </row>
    <row r="3804" spans="1:15" ht="15.75" hidden="1" x14ac:dyDescent="0.25">
      <c r="A3804" s="1" t="str">
        <f t="shared" si="185"/>
        <v>45380453803.6DINERSSHOPPINGAMAZON</v>
      </c>
      <c r="B3804" s="154">
        <v>45380</v>
      </c>
      <c r="C3804" s="154">
        <f>B3804</f>
        <v>45380</v>
      </c>
      <c r="D3804" s="3" t="s">
        <v>4191</v>
      </c>
      <c r="E3804" s="3">
        <v>-3.6</v>
      </c>
      <c r="F3804" s="3">
        <v>1</v>
      </c>
      <c r="G3804" s="3">
        <f t="shared" si="187"/>
        <v>3.6</v>
      </c>
      <c r="H3804" s="3" t="s">
        <v>266</v>
      </c>
      <c r="I3804" s="1" t="s">
        <v>194</v>
      </c>
      <c r="J3804" s="1" t="s">
        <v>4396</v>
      </c>
      <c r="K3804" s="1" t="s">
        <v>298</v>
      </c>
      <c r="L3804" s="1" t="s">
        <v>267</v>
      </c>
      <c r="M3804" s="1"/>
      <c r="N3804" s="1">
        <f t="shared" si="186"/>
        <v>3</v>
      </c>
      <c r="O3804" s="87"/>
    </row>
    <row r="3805" spans="1:15" ht="15.75" hidden="1" x14ac:dyDescent="0.25">
      <c r="A3805" s="1" t="str">
        <f t="shared" si="185"/>
        <v>4538045380130DINERSTELECOMOOREDOO</v>
      </c>
      <c r="B3805" s="154">
        <v>45380</v>
      </c>
      <c r="C3805" s="154">
        <f>B3805</f>
        <v>45380</v>
      </c>
      <c r="D3805" s="3" t="s">
        <v>4192</v>
      </c>
      <c r="E3805" s="3">
        <v>-130</v>
      </c>
      <c r="F3805" s="3">
        <v>1</v>
      </c>
      <c r="G3805" s="3">
        <f t="shared" si="187"/>
        <v>130</v>
      </c>
      <c r="H3805" s="3" t="s">
        <v>266</v>
      </c>
      <c r="I3805" s="1" t="s">
        <v>58</v>
      </c>
      <c r="J3805" s="1" t="s">
        <v>59</v>
      </c>
      <c r="K3805" s="1" t="s">
        <v>298</v>
      </c>
      <c r="L3805" s="1" t="s">
        <v>267</v>
      </c>
      <c r="M3805" s="1"/>
      <c r="N3805" s="1">
        <f t="shared" si="186"/>
        <v>3</v>
      </c>
      <c r="O3805" s="87"/>
    </row>
    <row r="3806" spans="1:15" ht="15.75" hidden="1" x14ac:dyDescent="0.25">
      <c r="A3806" s="1" t="str">
        <f t="shared" si="185"/>
        <v>45380453806MASTER CCGROCERYMANGO</v>
      </c>
      <c r="B3806" s="154">
        <v>45380</v>
      </c>
      <c r="C3806" s="154">
        <f>B3806</f>
        <v>45380</v>
      </c>
      <c r="D3806" s="3" t="s">
        <v>4377</v>
      </c>
      <c r="E3806" s="3">
        <v>-6</v>
      </c>
      <c r="F3806" s="3">
        <v>1</v>
      </c>
      <c r="G3806" s="3">
        <f t="shared" si="187"/>
        <v>6</v>
      </c>
      <c r="H3806" s="3" t="s">
        <v>291</v>
      </c>
      <c r="I3806" s="1" t="s">
        <v>43</v>
      </c>
      <c r="J3806" s="1" t="s">
        <v>3634</v>
      </c>
      <c r="K3806" s="1" t="s">
        <v>298</v>
      </c>
      <c r="L3806" s="1" t="s">
        <v>267</v>
      </c>
      <c r="M3806" s="1"/>
      <c r="N3806" s="1">
        <f t="shared" si="186"/>
        <v>3</v>
      </c>
      <c r="O3806" s="87"/>
    </row>
    <row r="3807" spans="1:15" ht="15.75" hidden="1" x14ac:dyDescent="0.25">
      <c r="A3807" s="1" t="str">
        <f t="shared" si="185"/>
        <v>453804538027.5MASTER CCGROCERYMANGO</v>
      </c>
      <c r="B3807" s="154">
        <v>45380</v>
      </c>
      <c r="C3807" s="154">
        <f>B3807</f>
        <v>45380</v>
      </c>
      <c r="D3807" s="3" t="s">
        <v>4378</v>
      </c>
      <c r="E3807" s="3">
        <v>-27.5</v>
      </c>
      <c r="F3807" s="3">
        <v>1</v>
      </c>
      <c r="G3807" s="3">
        <f t="shared" si="187"/>
        <v>27.5</v>
      </c>
      <c r="H3807" s="3" t="s">
        <v>291</v>
      </c>
      <c r="I3807" s="1" t="s">
        <v>43</v>
      </c>
      <c r="J3807" s="1" t="s">
        <v>3634</v>
      </c>
      <c r="K3807" s="1" t="s">
        <v>298</v>
      </c>
      <c r="L3807" s="1" t="s">
        <v>267</v>
      </c>
      <c r="M3807" s="1"/>
      <c r="N3807" s="1">
        <f t="shared" si="186"/>
        <v>3</v>
      </c>
      <c r="O3807" s="87"/>
    </row>
    <row r="3808" spans="1:15" ht="15.75" hidden="1" x14ac:dyDescent="0.25">
      <c r="A3808" s="1" t="str">
        <f t="shared" si="185"/>
        <v>4538045380857MASTER CCRENTKAHRAMAA</v>
      </c>
      <c r="B3808" s="154">
        <v>45380</v>
      </c>
      <c r="C3808" s="154">
        <f>B3808</f>
        <v>45380</v>
      </c>
      <c r="D3808" s="3" t="s">
        <v>4379</v>
      </c>
      <c r="E3808" s="3">
        <v>-857</v>
      </c>
      <c r="F3808" s="3">
        <v>1</v>
      </c>
      <c r="G3808" s="3">
        <f t="shared" si="187"/>
        <v>857</v>
      </c>
      <c r="H3808" s="3" t="s">
        <v>291</v>
      </c>
      <c r="I3808" s="1" t="s">
        <v>83</v>
      </c>
      <c r="J3808" s="1" t="s">
        <v>4113</v>
      </c>
      <c r="K3808" s="1" t="s">
        <v>298</v>
      </c>
      <c r="L3808" s="1" t="s">
        <v>267</v>
      </c>
      <c r="M3808" s="1"/>
      <c r="N3808" s="1">
        <f t="shared" si="186"/>
        <v>3</v>
      </c>
      <c r="O3808" s="87" t="s">
        <v>4381</v>
      </c>
    </row>
    <row r="3809" spans="1:15" ht="15.75" hidden="1" x14ac:dyDescent="0.25">
      <c r="A3809" s="1" t="str">
        <f t="shared" si="185"/>
        <v>45381453815736.72DINERSCC BILL PAYMENTBANK</v>
      </c>
      <c r="B3809" s="154">
        <v>45381</v>
      </c>
      <c r="C3809" s="154">
        <v>45381</v>
      </c>
      <c r="D3809" s="3" t="s">
        <v>80</v>
      </c>
      <c r="E3809" s="3">
        <v>5736.72</v>
      </c>
      <c r="F3809" s="3">
        <v>1</v>
      </c>
      <c r="G3809" s="3">
        <f t="shared" si="187"/>
        <v>5736.72</v>
      </c>
      <c r="H3809" s="3" t="s">
        <v>266</v>
      </c>
      <c r="I3809" s="1" t="s">
        <v>81</v>
      </c>
      <c r="J3809" s="1" t="s">
        <v>8</v>
      </c>
      <c r="K3809" s="1" t="s">
        <v>300</v>
      </c>
      <c r="L3809" s="1" t="s">
        <v>267</v>
      </c>
      <c r="M3809" s="1"/>
      <c r="N3809" s="1">
        <f t="shared" si="186"/>
        <v>3</v>
      </c>
      <c r="O3809" s="87"/>
    </row>
    <row r="3810" spans="1:15" ht="15.75" hidden="1" x14ac:dyDescent="0.25">
      <c r="A3810" s="1" t="str">
        <f t="shared" si="185"/>
        <v>4538245382277.5CURRENTMEDICALPHARMACY</v>
      </c>
      <c r="B3810" s="154">
        <v>45382</v>
      </c>
      <c r="C3810" s="154">
        <v>45382</v>
      </c>
      <c r="D3810" s="3" t="s">
        <v>4120</v>
      </c>
      <c r="E3810" s="3">
        <v>-277.5</v>
      </c>
      <c r="F3810" s="3">
        <v>1</v>
      </c>
      <c r="G3810" s="3">
        <f t="shared" si="187"/>
        <v>277.5</v>
      </c>
      <c r="H3810" s="3" t="s">
        <v>293</v>
      </c>
      <c r="I3810" s="1" t="s">
        <v>301</v>
      </c>
      <c r="J3810" s="1" t="s">
        <v>304</v>
      </c>
      <c r="K3810" s="1" t="s">
        <v>298</v>
      </c>
      <c r="L3810" s="1" t="s">
        <v>257</v>
      </c>
      <c r="M3810" s="1"/>
      <c r="N3810" s="1">
        <f t="shared" si="186"/>
        <v>3</v>
      </c>
      <c r="O3810" s="87"/>
    </row>
    <row r="3811" spans="1:15" ht="15.75" hidden="1" x14ac:dyDescent="0.25">
      <c r="A3811" s="1" t="str">
        <f t="shared" si="185"/>
        <v>453824538516.9MASTER CCTRANSPORTUBER</v>
      </c>
      <c r="B3811" s="154">
        <v>45382</v>
      </c>
      <c r="C3811" s="154">
        <v>45385</v>
      </c>
      <c r="D3811" s="3" t="s">
        <v>4483</v>
      </c>
      <c r="E3811" s="3">
        <v>-16.899999999999999</v>
      </c>
      <c r="F3811" s="3">
        <v>1</v>
      </c>
      <c r="G3811" s="3">
        <f t="shared" si="187"/>
        <v>16.899999999999999</v>
      </c>
      <c r="H3811" s="3" t="s">
        <v>291</v>
      </c>
      <c r="I3811" s="1" t="s">
        <v>296</v>
      </c>
      <c r="J3811" s="1" t="s">
        <v>299</v>
      </c>
      <c r="K3811" s="1" t="s">
        <v>298</v>
      </c>
      <c r="L3811" s="1" t="s">
        <v>267</v>
      </c>
      <c r="M3811" s="1"/>
      <c r="N3811" s="1">
        <f t="shared" si="186"/>
        <v>4</v>
      </c>
      <c r="O3811" s="87"/>
    </row>
    <row r="3812" spans="1:15" ht="15.75" hidden="1" x14ac:dyDescent="0.25">
      <c r="A3812" s="1" t="str">
        <f t="shared" si="185"/>
        <v>453824538519.91MASTER CCTRANSPORTUBER</v>
      </c>
      <c r="B3812" s="154">
        <v>45382</v>
      </c>
      <c r="C3812" s="154">
        <v>45385</v>
      </c>
      <c r="D3812" s="3" t="s">
        <v>4484</v>
      </c>
      <c r="E3812" s="3">
        <v>-19.91</v>
      </c>
      <c r="F3812" s="3">
        <v>1</v>
      </c>
      <c r="G3812" s="3">
        <f t="shared" si="187"/>
        <v>19.91</v>
      </c>
      <c r="H3812" s="3" t="s">
        <v>291</v>
      </c>
      <c r="I3812" s="1" t="s">
        <v>296</v>
      </c>
      <c r="J3812" s="1" t="s">
        <v>299</v>
      </c>
      <c r="K3812" s="1" t="s">
        <v>298</v>
      </c>
      <c r="L3812" s="1" t="s">
        <v>267</v>
      </c>
      <c r="M3812" s="1"/>
      <c r="N3812" s="1">
        <f t="shared" si="186"/>
        <v>4</v>
      </c>
      <c r="O3812" s="87"/>
    </row>
    <row r="3813" spans="1:15" ht="15.75" hidden="1" x14ac:dyDescent="0.25">
      <c r="A3813" s="1" t="str">
        <f t="shared" si="185"/>
        <v>453824538421.96MASTER CCTRANSPORTUBER</v>
      </c>
      <c r="B3813" s="154">
        <v>45382</v>
      </c>
      <c r="C3813" s="154">
        <v>45384</v>
      </c>
      <c r="D3813" s="3" t="s">
        <v>4485</v>
      </c>
      <c r="E3813" s="3">
        <v>-21.96</v>
      </c>
      <c r="F3813" s="3">
        <v>1</v>
      </c>
      <c r="G3813" s="3">
        <f t="shared" si="187"/>
        <v>21.96</v>
      </c>
      <c r="H3813" s="3" t="s">
        <v>291</v>
      </c>
      <c r="I3813" s="1" t="s">
        <v>296</v>
      </c>
      <c r="J3813" s="1" t="s">
        <v>299</v>
      </c>
      <c r="K3813" s="1" t="s">
        <v>298</v>
      </c>
      <c r="L3813" s="1" t="s">
        <v>267</v>
      </c>
      <c r="M3813" s="1"/>
      <c r="N3813" s="1">
        <f t="shared" si="186"/>
        <v>4</v>
      </c>
      <c r="O3813" s="87"/>
    </row>
    <row r="3814" spans="1:15" ht="15.75" hidden="1" x14ac:dyDescent="0.25">
      <c r="A3814" s="1" t="str">
        <f t="shared" si="185"/>
        <v>4538245382665CURRENTTRANSPORTQATAR AUTOMOBILES</v>
      </c>
      <c r="B3814" s="154">
        <v>45382</v>
      </c>
      <c r="C3814" s="154">
        <v>45382</v>
      </c>
      <c r="D3814" s="3" t="s">
        <v>4501</v>
      </c>
      <c r="E3814" s="3">
        <v>-665</v>
      </c>
      <c r="F3814" s="3">
        <v>1</v>
      </c>
      <c r="G3814" s="3">
        <f t="shared" si="187"/>
        <v>665</v>
      </c>
      <c r="H3814" s="3" t="s">
        <v>293</v>
      </c>
      <c r="I3814" s="1" t="s">
        <v>296</v>
      </c>
      <c r="J3814" s="1" t="s">
        <v>3632</v>
      </c>
      <c r="K3814" s="1" t="s">
        <v>298</v>
      </c>
      <c r="L3814" s="1" t="s">
        <v>257</v>
      </c>
      <c r="M3814" s="1"/>
      <c r="N3814" s="1">
        <f t="shared" si="186"/>
        <v>3</v>
      </c>
      <c r="O3814" s="87"/>
    </row>
    <row r="3815" spans="1:15" ht="15.75" hidden="1" x14ac:dyDescent="0.25">
      <c r="A3815" s="1" t="str">
        <f t="shared" si="185"/>
        <v>45382453823.8CURRENTMEDICALNASEEM AL</v>
      </c>
      <c r="B3815" s="154">
        <v>45382</v>
      </c>
      <c r="C3815" s="154">
        <v>45382</v>
      </c>
      <c r="D3815" s="3" t="s">
        <v>4502</v>
      </c>
      <c r="E3815" s="3">
        <v>-3.8</v>
      </c>
      <c r="F3815" s="3">
        <v>1</v>
      </c>
      <c r="G3815" s="3">
        <f t="shared" si="187"/>
        <v>3.8</v>
      </c>
      <c r="H3815" s="3" t="s">
        <v>293</v>
      </c>
      <c r="I3815" s="1" t="s">
        <v>301</v>
      </c>
      <c r="J3815" s="1" t="s">
        <v>1000</v>
      </c>
      <c r="K3815" s="1" t="s">
        <v>298</v>
      </c>
      <c r="L3815" s="1" t="s">
        <v>257</v>
      </c>
      <c r="M3815" s="1"/>
      <c r="N3815" s="1">
        <f t="shared" si="186"/>
        <v>3</v>
      </c>
      <c r="O3815" s="87"/>
    </row>
    <row r="3816" spans="1:15" ht="15.75" hidden="1" x14ac:dyDescent="0.25">
      <c r="A3816" s="1" t="str">
        <f t="shared" si="185"/>
        <v>45382453825.2CURRENTMEDICALNASEEM AL</v>
      </c>
      <c r="B3816" s="154">
        <v>45382</v>
      </c>
      <c r="C3816" s="154">
        <v>45382</v>
      </c>
      <c r="D3816" s="3" t="s">
        <v>4503</v>
      </c>
      <c r="E3816" s="3">
        <v>-5.2</v>
      </c>
      <c r="F3816" s="3">
        <v>1</v>
      </c>
      <c r="G3816" s="3">
        <f t="shared" si="187"/>
        <v>5.2</v>
      </c>
      <c r="H3816" s="3" t="s">
        <v>293</v>
      </c>
      <c r="I3816" s="1" t="s">
        <v>301</v>
      </c>
      <c r="J3816" s="1" t="s">
        <v>1000</v>
      </c>
      <c r="K3816" s="1" t="s">
        <v>298</v>
      </c>
      <c r="L3816" s="1" t="s">
        <v>257</v>
      </c>
      <c r="M3816" s="1"/>
      <c r="N3816" s="1">
        <f t="shared" si="186"/>
        <v>3</v>
      </c>
      <c r="O3816" s="87"/>
    </row>
    <row r="3817" spans="1:15" ht="15.75" hidden="1" x14ac:dyDescent="0.25">
      <c r="A3817" s="1" t="str">
        <f t="shared" si="185"/>
        <v>453824538272CURRENTFOODCAFÉ/REST.</v>
      </c>
      <c r="B3817" s="154">
        <v>45382</v>
      </c>
      <c r="C3817" s="154">
        <v>45382</v>
      </c>
      <c r="D3817" s="3" t="s">
        <v>4504</v>
      </c>
      <c r="E3817" s="3">
        <v>-72</v>
      </c>
      <c r="F3817" s="3">
        <v>1</v>
      </c>
      <c r="G3817" s="3">
        <f t="shared" si="187"/>
        <v>72</v>
      </c>
      <c r="H3817" s="3" t="s">
        <v>293</v>
      </c>
      <c r="I3817" s="1" t="s">
        <v>10</v>
      </c>
      <c r="J3817" s="1" t="s">
        <v>11</v>
      </c>
      <c r="K3817" s="1" t="s">
        <v>298</v>
      </c>
      <c r="L3817" s="1" t="s">
        <v>257</v>
      </c>
      <c r="M3817" s="1"/>
      <c r="N3817" s="1">
        <f t="shared" si="186"/>
        <v>3</v>
      </c>
      <c r="O3817" s="87"/>
    </row>
    <row r="3818" spans="1:15" ht="15.75" hidden="1" x14ac:dyDescent="0.25">
      <c r="A3818" s="1" t="str">
        <f t="shared" si="185"/>
        <v>45382453825736.72CURRENTCC BILL PAYMENTBANK</v>
      </c>
      <c r="B3818" s="154">
        <v>45382</v>
      </c>
      <c r="C3818" s="154">
        <v>45382</v>
      </c>
      <c r="D3818" s="3" t="s">
        <v>4505</v>
      </c>
      <c r="E3818" s="3">
        <v>-5736.72</v>
      </c>
      <c r="F3818" s="3">
        <v>1</v>
      </c>
      <c r="G3818" s="3">
        <f t="shared" si="187"/>
        <v>5736.72</v>
      </c>
      <c r="H3818" s="3" t="s">
        <v>293</v>
      </c>
      <c r="I3818" s="1" t="s">
        <v>81</v>
      </c>
      <c r="J3818" s="1" t="s">
        <v>8</v>
      </c>
      <c r="K3818" s="1" t="s">
        <v>298</v>
      </c>
      <c r="L3818" s="1" t="s">
        <v>257</v>
      </c>
      <c r="M3818" s="1"/>
      <c r="N3818" s="1">
        <f t="shared" si="186"/>
        <v>3</v>
      </c>
      <c r="O3818" s="87"/>
    </row>
    <row r="3819" spans="1:15" ht="15.75" hidden="1" x14ac:dyDescent="0.25">
      <c r="A3819" s="1" t="str">
        <f t="shared" si="185"/>
        <v>4538245382199.1CURRENTGROCERYMEGAMART</v>
      </c>
      <c r="B3819" s="154">
        <v>45382</v>
      </c>
      <c r="C3819" s="154">
        <v>45382</v>
      </c>
      <c r="D3819" s="3" t="s">
        <v>4506</v>
      </c>
      <c r="E3819" s="3">
        <v>-199.1</v>
      </c>
      <c r="F3819" s="3">
        <v>1</v>
      </c>
      <c r="G3819" s="3">
        <f t="shared" si="187"/>
        <v>199.1</v>
      </c>
      <c r="H3819" s="3" t="s">
        <v>293</v>
      </c>
      <c r="I3819" s="1" t="s">
        <v>43</v>
      </c>
      <c r="J3819" s="1" t="s">
        <v>4513</v>
      </c>
      <c r="K3819" s="1" t="s">
        <v>298</v>
      </c>
      <c r="L3819" s="1" t="s">
        <v>257</v>
      </c>
      <c r="M3819" s="1"/>
      <c r="N3819" s="1">
        <f t="shared" si="186"/>
        <v>3</v>
      </c>
      <c r="O3819" s="87"/>
    </row>
    <row r="3820" spans="1:15" ht="15.75" hidden="1" x14ac:dyDescent="0.25">
      <c r="A3820" s="1" t="str">
        <f t="shared" si="185"/>
        <v>45382453829.5CURRENTGROCERYMEGAMART</v>
      </c>
      <c r="B3820" s="154">
        <v>45382</v>
      </c>
      <c r="C3820" s="154">
        <v>45382</v>
      </c>
      <c r="D3820" s="3" t="s">
        <v>4507</v>
      </c>
      <c r="E3820" s="3">
        <v>-9.5</v>
      </c>
      <c r="F3820" s="3">
        <v>1</v>
      </c>
      <c r="G3820" s="3">
        <f t="shared" si="187"/>
        <v>9.5</v>
      </c>
      <c r="H3820" s="3" t="s">
        <v>293</v>
      </c>
      <c r="I3820" s="1" t="s">
        <v>43</v>
      </c>
      <c r="J3820" s="1" t="s">
        <v>4513</v>
      </c>
      <c r="K3820" s="1" t="s">
        <v>298</v>
      </c>
      <c r="L3820" s="1" t="s">
        <v>257</v>
      </c>
      <c r="M3820" s="1"/>
      <c r="N3820" s="1">
        <f t="shared" si="186"/>
        <v>3</v>
      </c>
      <c r="O3820" s="87"/>
    </row>
    <row r="3821" spans="1:15" ht="15.75" hidden="1" x14ac:dyDescent="0.25">
      <c r="A3821" s="1" t="str">
        <f t="shared" si="185"/>
        <v>4538245382172CURRENTSHOPPINGMAXX</v>
      </c>
      <c r="B3821" s="154">
        <v>45382</v>
      </c>
      <c r="C3821" s="154">
        <v>45382</v>
      </c>
      <c r="D3821" s="3" t="s">
        <v>4508</v>
      </c>
      <c r="E3821" s="3">
        <v>-172</v>
      </c>
      <c r="F3821" s="3">
        <v>1</v>
      </c>
      <c r="G3821" s="3">
        <f t="shared" si="187"/>
        <v>172</v>
      </c>
      <c r="H3821" s="3" t="s">
        <v>293</v>
      </c>
      <c r="I3821" s="1" t="s">
        <v>194</v>
      </c>
      <c r="J3821" s="1" t="s">
        <v>2903</v>
      </c>
      <c r="K3821" s="1" t="s">
        <v>298</v>
      </c>
      <c r="L3821" s="1" t="s">
        <v>257</v>
      </c>
      <c r="M3821" s="1"/>
      <c r="N3821" s="1">
        <f t="shared" si="186"/>
        <v>3</v>
      </c>
      <c r="O3821" s="87"/>
    </row>
    <row r="3822" spans="1:15" ht="15.75" hidden="1" x14ac:dyDescent="0.25">
      <c r="A3822" s="1" t="str">
        <f t="shared" si="185"/>
        <v>45382453825CURRENTATTRACTIONFUNVILLE</v>
      </c>
      <c r="B3822" s="154">
        <v>45382</v>
      </c>
      <c r="C3822" s="154">
        <v>45382</v>
      </c>
      <c r="D3822" s="3" t="s">
        <v>4509</v>
      </c>
      <c r="E3822" s="3">
        <v>-5</v>
      </c>
      <c r="F3822" s="3">
        <v>1</v>
      </c>
      <c r="G3822" s="3">
        <f t="shared" si="187"/>
        <v>5</v>
      </c>
      <c r="H3822" s="3" t="s">
        <v>293</v>
      </c>
      <c r="I3822" s="1" t="s">
        <v>2408</v>
      </c>
      <c r="J3822" s="1" t="s">
        <v>4107</v>
      </c>
      <c r="K3822" s="1" t="s">
        <v>298</v>
      </c>
      <c r="L3822" s="1" t="s">
        <v>257</v>
      </c>
      <c r="M3822" s="1"/>
      <c r="N3822" s="1">
        <f t="shared" si="186"/>
        <v>3</v>
      </c>
      <c r="O3822" s="87"/>
    </row>
    <row r="3823" spans="1:15" ht="15.75" hidden="1" x14ac:dyDescent="0.25">
      <c r="A3823" s="1" t="str">
        <f t="shared" si="185"/>
        <v>453824538231CURRENTSHOPPINGCENTER POINT</v>
      </c>
      <c r="B3823" s="154">
        <v>45382</v>
      </c>
      <c r="C3823" s="154">
        <v>45382</v>
      </c>
      <c r="D3823" s="3" t="s">
        <v>4510</v>
      </c>
      <c r="E3823" s="3">
        <v>-31</v>
      </c>
      <c r="F3823" s="3">
        <v>1</v>
      </c>
      <c r="G3823" s="3">
        <f t="shared" si="187"/>
        <v>31</v>
      </c>
      <c r="H3823" s="3" t="s">
        <v>293</v>
      </c>
      <c r="I3823" s="1" t="s">
        <v>194</v>
      </c>
      <c r="J3823" s="1" t="s">
        <v>2902</v>
      </c>
      <c r="K3823" s="1" t="s">
        <v>298</v>
      </c>
      <c r="L3823" s="1" t="s">
        <v>257</v>
      </c>
      <c r="M3823" s="1"/>
      <c r="N3823" s="1">
        <f t="shared" si="186"/>
        <v>3</v>
      </c>
      <c r="O3823" s="87"/>
    </row>
    <row r="3824" spans="1:15" ht="15.75" hidden="1" x14ac:dyDescent="0.25">
      <c r="A3824" s="1" t="str">
        <f t="shared" si="185"/>
        <v>453824538277.46CURRENTGROCERYMANGO</v>
      </c>
      <c r="B3824" s="154">
        <v>45382</v>
      </c>
      <c r="C3824" s="154">
        <v>45382</v>
      </c>
      <c r="D3824" s="3" t="s">
        <v>4511</v>
      </c>
      <c r="E3824" s="3">
        <v>-77.459999999999994</v>
      </c>
      <c r="F3824" s="3">
        <v>1</v>
      </c>
      <c r="G3824" s="3">
        <f t="shared" si="187"/>
        <v>77.459999999999994</v>
      </c>
      <c r="H3824" s="3" t="s">
        <v>293</v>
      </c>
      <c r="I3824" s="1" t="s">
        <v>43</v>
      </c>
      <c r="J3824" s="1" t="s">
        <v>3634</v>
      </c>
      <c r="K3824" s="1" t="s">
        <v>298</v>
      </c>
      <c r="L3824" s="1" t="s">
        <v>257</v>
      </c>
      <c r="M3824" s="1"/>
      <c r="N3824" s="1">
        <f t="shared" si="186"/>
        <v>3</v>
      </c>
      <c r="O3824" s="87"/>
    </row>
    <row r="3825" spans="1:15" ht="15.75" hidden="1" x14ac:dyDescent="0.25">
      <c r="A3825" s="1" t="str">
        <f t="shared" si="185"/>
        <v>45382453821354CURRENTTRANSPORTTYSEER</v>
      </c>
      <c r="B3825" s="154">
        <v>45382</v>
      </c>
      <c r="C3825" s="154">
        <v>45382</v>
      </c>
      <c r="D3825" s="3" t="s">
        <v>4512</v>
      </c>
      <c r="E3825" s="3">
        <v>-1354</v>
      </c>
      <c r="F3825" s="3">
        <v>1</v>
      </c>
      <c r="G3825" s="3">
        <f t="shared" si="187"/>
        <v>1354</v>
      </c>
      <c r="H3825" s="3" t="s">
        <v>293</v>
      </c>
      <c r="I3825" s="1" t="s">
        <v>296</v>
      </c>
      <c r="J3825" s="1" t="s">
        <v>4514</v>
      </c>
      <c r="K3825" s="1" t="s">
        <v>298</v>
      </c>
      <c r="L3825" s="1" t="s">
        <v>257</v>
      </c>
      <c r="M3825" s="1"/>
      <c r="N3825" s="1">
        <f t="shared" si="186"/>
        <v>3</v>
      </c>
      <c r="O3825" s="87" t="s">
        <v>4515</v>
      </c>
    </row>
    <row r="3826" spans="1:15" ht="15.75" hidden="1" x14ac:dyDescent="0.25">
      <c r="A3826" s="1" t="str">
        <f t="shared" si="185"/>
        <v>453834538642MASTER CCFOODTALABAT</v>
      </c>
      <c r="B3826" s="154">
        <v>45383</v>
      </c>
      <c r="C3826" s="154">
        <v>45386</v>
      </c>
      <c r="D3826" s="3" t="s">
        <v>4481</v>
      </c>
      <c r="E3826" s="3">
        <v>-42</v>
      </c>
      <c r="F3826" s="3">
        <v>1</v>
      </c>
      <c r="G3826" s="3">
        <f t="shared" si="187"/>
        <v>42</v>
      </c>
      <c r="H3826" s="3" t="s">
        <v>291</v>
      </c>
      <c r="I3826" s="1" t="s">
        <v>10</v>
      </c>
      <c r="J3826" s="1" t="s">
        <v>865</v>
      </c>
      <c r="K3826" s="1" t="s">
        <v>298</v>
      </c>
      <c r="L3826" s="1" t="s">
        <v>267</v>
      </c>
      <c r="M3826" s="1"/>
      <c r="N3826" s="1">
        <f t="shared" si="186"/>
        <v>4</v>
      </c>
      <c r="O3826" s="87"/>
    </row>
    <row r="3827" spans="1:15" ht="15.75" hidden="1" x14ac:dyDescent="0.25">
      <c r="A3827" s="1" t="str">
        <f t="shared" si="185"/>
        <v>453834538413.97MASTER CCTRANSPORTUBER</v>
      </c>
      <c r="B3827" s="154">
        <v>45383</v>
      </c>
      <c r="C3827" s="154">
        <v>45384</v>
      </c>
      <c r="D3827" s="3" t="s">
        <v>4482</v>
      </c>
      <c r="E3827" s="3">
        <v>-13.97</v>
      </c>
      <c r="F3827" s="3">
        <v>1</v>
      </c>
      <c r="G3827" s="3">
        <f t="shared" si="187"/>
        <v>13.97</v>
      </c>
      <c r="H3827" s="3" t="s">
        <v>291</v>
      </c>
      <c r="I3827" s="1" t="s">
        <v>296</v>
      </c>
      <c r="J3827" s="1" t="s">
        <v>299</v>
      </c>
      <c r="K3827" s="1" t="s">
        <v>298</v>
      </c>
      <c r="L3827" s="1" t="s">
        <v>267</v>
      </c>
      <c r="M3827" s="1"/>
      <c r="N3827" s="1">
        <f t="shared" si="186"/>
        <v>4</v>
      </c>
      <c r="O3827" s="87"/>
    </row>
    <row r="3828" spans="1:15" ht="15.75" hidden="1" x14ac:dyDescent="0.25">
      <c r="A3828" s="1" t="str">
        <f t="shared" si="185"/>
        <v>4538345383120CURRENTFOODCAFÉ/REST.</v>
      </c>
      <c r="B3828" s="154">
        <v>45383</v>
      </c>
      <c r="C3828" s="154">
        <v>45383</v>
      </c>
      <c r="D3828" s="3" t="s">
        <v>4499</v>
      </c>
      <c r="E3828" s="3">
        <v>-120</v>
      </c>
      <c r="F3828" s="3">
        <v>1</v>
      </c>
      <c r="G3828" s="3">
        <f t="shared" si="187"/>
        <v>120</v>
      </c>
      <c r="H3828" s="3" t="s">
        <v>293</v>
      </c>
      <c r="I3828" s="1" t="s">
        <v>10</v>
      </c>
      <c r="J3828" s="1" t="s">
        <v>11</v>
      </c>
      <c r="K3828" s="1" t="s">
        <v>298</v>
      </c>
      <c r="L3828" s="1" t="s">
        <v>257</v>
      </c>
      <c r="M3828" s="1"/>
      <c r="N3828" s="1">
        <f t="shared" si="186"/>
        <v>4</v>
      </c>
      <c r="O3828" s="87"/>
    </row>
    <row r="3829" spans="1:15" ht="15.75" hidden="1" x14ac:dyDescent="0.25">
      <c r="A3829" s="1" t="str">
        <f t="shared" si="185"/>
        <v>453834538342.59CURRENTGROCERYRED ROSE</v>
      </c>
      <c r="B3829" s="154">
        <v>45383</v>
      </c>
      <c r="C3829" s="154">
        <v>45383</v>
      </c>
      <c r="D3829" s="3" t="s">
        <v>4500</v>
      </c>
      <c r="E3829" s="3">
        <v>-42.59</v>
      </c>
      <c r="F3829" s="3">
        <v>1</v>
      </c>
      <c r="G3829" s="3">
        <f t="shared" si="187"/>
        <v>42.59</v>
      </c>
      <c r="H3829" s="3" t="s">
        <v>293</v>
      </c>
      <c r="I3829" s="1" t="s">
        <v>43</v>
      </c>
      <c r="J3829" s="1" t="s">
        <v>4516</v>
      </c>
      <c r="K3829" s="1" t="s">
        <v>298</v>
      </c>
      <c r="L3829" s="1" t="s">
        <v>257</v>
      </c>
      <c r="M3829" s="1"/>
      <c r="N3829" s="1">
        <f t="shared" si="186"/>
        <v>4</v>
      </c>
      <c r="O3829" s="87"/>
    </row>
    <row r="3830" spans="1:15" ht="15.75" hidden="1" x14ac:dyDescent="0.25">
      <c r="A3830" s="1" t="str">
        <f t="shared" si="185"/>
        <v>4538345383500CURRENTSAVINGARTI</v>
      </c>
      <c r="B3830" s="154">
        <v>45383</v>
      </c>
      <c r="C3830" s="154">
        <v>45383</v>
      </c>
      <c r="D3830" s="3" t="s">
        <v>2909</v>
      </c>
      <c r="E3830" s="3">
        <v>-500</v>
      </c>
      <c r="F3830" s="3">
        <v>1</v>
      </c>
      <c r="G3830" s="3">
        <f t="shared" si="187"/>
        <v>500</v>
      </c>
      <c r="H3830" s="3" t="s">
        <v>293</v>
      </c>
      <c r="I3830" s="1" t="s">
        <v>302</v>
      </c>
      <c r="J3830" s="1" t="s">
        <v>453</v>
      </c>
      <c r="K3830" s="1" t="s">
        <v>298</v>
      </c>
      <c r="L3830" s="1" t="s">
        <v>257</v>
      </c>
      <c r="M3830" s="1"/>
      <c r="N3830" s="1">
        <f t="shared" si="186"/>
        <v>4</v>
      </c>
      <c r="O3830" s="87"/>
    </row>
    <row r="3831" spans="1:15" ht="15.75" hidden="1" x14ac:dyDescent="0.25">
      <c r="A3831" s="1" t="str">
        <f t="shared" si="185"/>
        <v>4538445386210MASTER CCRENTKAHRAMAA</v>
      </c>
      <c r="B3831" s="154">
        <v>45384</v>
      </c>
      <c r="C3831" s="154">
        <v>45386</v>
      </c>
      <c r="D3831" s="3" t="s">
        <v>4480</v>
      </c>
      <c r="E3831" s="3">
        <v>-210</v>
      </c>
      <c r="F3831" s="3">
        <v>1</v>
      </c>
      <c r="G3831" s="3">
        <f t="shared" si="187"/>
        <v>210</v>
      </c>
      <c r="H3831" s="3" t="s">
        <v>291</v>
      </c>
      <c r="I3831" s="1" t="s">
        <v>83</v>
      </c>
      <c r="J3831" s="1" t="s">
        <v>4113</v>
      </c>
      <c r="K3831" s="1" t="s">
        <v>298</v>
      </c>
      <c r="L3831" s="1" t="s">
        <v>267</v>
      </c>
      <c r="M3831" s="1"/>
      <c r="N3831" s="1">
        <f t="shared" si="186"/>
        <v>4</v>
      </c>
      <c r="O3831" s="87"/>
    </row>
    <row r="3832" spans="1:15" ht="15.75" hidden="1" x14ac:dyDescent="0.25">
      <c r="A3832" s="1" t="str">
        <f t="shared" si="185"/>
        <v>4538445384500CURRENTSAVINGARTI</v>
      </c>
      <c r="B3832" s="154">
        <v>45384</v>
      </c>
      <c r="C3832" s="154">
        <v>45384</v>
      </c>
      <c r="D3832" s="3" t="s">
        <v>3703</v>
      </c>
      <c r="E3832" s="3">
        <v>-500</v>
      </c>
      <c r="F3832" s="3">
        <v>1</v>
      </c>
      <c r="G3832" s="3">
        <f t="shared" si="187"/>
        <v>500</v>
      </c>
      <c r="H3832" s="3" t="s">
        <v>293</v>
      </c>
      <c r="I3832" s="1" t="s">
        <v>302</v>
      </c>
      <c r="J3832" s="1" t="s">
        <v>453</v>
      </c>
      <c r="K3832" s="1" t="s">
        <v>298</v>
      </c>
      <c r="L3832" s="1" t="s">
        <v>257</v>
      </c>
      <c r="M3832" s="1"/>
      <c r="N3832" s="1">
        <f t="shared" si="186"/>
        <v>4</v>
      </c>
      <c r="O3832" s="87"/>
    </row>
    <row r="3833" spans="1:15" ht="15.75" hidden="1" x14ac:dyDescent="0.25">
      <c r="A3833" s="1" t="str">
        <f t="shared" si="185"/>
        <v>45384453843995CURRENTEDUCATIONORYX</v>
      </c>
      <c r="B3833" s="154">
        <v>45384</v>
      </c>
      <c r="C3833" s="154">
        <v>45384</v>
      </c>
      <c r="D3833" s="3" t="s">
        <v>4176</v>
      </c>
      <c r="E3833" s="3">
        <v>-3995</v>
      </c>
      <c r="F3833" s="3">
        <v>1</v>
      </c>
      <c r="G3833" s="3">
        <f t="shared" si="187"/>
        <v>3995</v>
      </c>
      <c r="H3833" s="3" t="s">
        <v>293</v>
      </c>
      <c r="I3833" s="1" t="s">
        <v>543</v>
      </c>
      <c r="J3833" s="1" t="s">
        <v>2073</v>
      </c>
      <c r="K3833" s="1" t="s">
        <v>298</v>
      </c>
      <c r="L3833" s="1" t="s">
        <v>257</v>
      </c>
      <c r="M3833" s="1"/>
      <c r="N3833" s="1">
        <f t="shared" si="186"/>
        <v>4</v>
      </c>
      <c r="O3833" s="87"/>
    </row>
    <row r="3834" spans="1:15" ht="15.75" hidden="1" x14ac:dyDescent="0.25">
      <c r="A3834" s="1" t="str">
        <f t="shared" si="185"/>
        <v>45384453843995CURRENTTRANSFERSELF</v>
      </c>
      <c r="B3834" s="154">
        <v>45384</v>
      </c>
      <c r="C3834" s="154">
        <v>45384</v>
      </c>
      <c r="D3834" s="3" t="s">
        <v>4679</v>
      </c>
      <c r="E3834" s="3">
        <v>-3995</v>
      </c>
      <c r="F3834" s="3">
        <v>1</v>
      </c>
      <c r="G3834" s="3">
        <f t="shared" si="187"/>
        <v>3995</v>
      </c>
      <c r="H3834" s="3" t="s">
        <v>293</v>
      </c>
      <c r="I3834" s="1" t="s">
        <v>22</v>
      </c>
      <c r="J3834" s="1" t="s">
        <v>14</v>
      </c>
      <c r="K3834" s="1" t="s">
        <v>300</v>
      </c>
      <c r="L3834" s="1" t="s">
        <v>257</v>
      </c>
      <c r="M3834" s="1"/>
      <c r="N3834" s="1">
        <f t="shared" si="186"/>
        <v>4</v>
      </c>
      <c r="O3834" s="87"/>
    </row>
    <row r="3835" spans="1:15" ht="15.75" hidden="1" x14ac:dyDescent="0.25">
      <c r="A3835" s="1" t="str">
        <f t="shared" si="185"/>
        <v>45384453843995SAVINGTRANSFERSELF</v>
      </c>
      <c r="B3835" s="154">
        <v>45384</v>
      </c>
      <c r="C3835" s="154">
        <v>45384</v>
      </c>
      <c r="D3835" s="3" t="s">
        <v>4679</v>
      </c>
      <c r="E3835" s="3">
        <v>-3995</v>
      </c>
      <c r="F3835" s="3">
        <v>1</v>
      </c>
      <c r="G3835" s="3">
        <f t="shared" si="187"/>
        <v>3995</v>
      </c>
      <c r="H3835" s="3" t="s">
        <v>302</v>
      </c>
      <c r="I3835" s="1" t="s">
        <v>22</v>
      </c>
      <c r="J3835" s="1" t="s">
        <v>14</v>
      </c>
      <c r="K3835" s="1" t="s">
        <v>298</v>
      </c>
      <c r="L3835" s="1" t="s">
        <v>257</v>
      </c>
      <c r="M3835" s="1"/>
      <c r="N3835" s="1">
        <f t="shared" si="186"/>
        <v>4</v>
      </c>
      <c r="O3835" s="87"/>
    </row>
    <row r="3836" spans="1:15" ht="15.75" hidden="1" x14ac:dyDescent="0.25">
      <c r="A3836" s="1" t="str">
        <f t="shared" si="185"/>
        <v>453854538930MASTER CCFOODTALABAT</v>
      </c>
      <c r="B3836" s="154">
        <v>45385</v>
      </c>
      <c r="C3836" s="154">
        <v>45389</v>
      </c>
      <c r="D3836" s="3" t="s">
        <v>4479</v>
      </c>
      <c r="E3836" s="3">
        <v>-30</v>
      </c>
      <c r="F3836" s="3">
        <v>1</v>
      </c>
      <c r="G3836" s="3">
        <f t="shared" si="187"/>
        <v>30</v>
      </c>
      <c r="H3836" s="3" t="s">
        <v>291</v>
      </c>
      <c r="I3836" s="1" t="s">
        <v>10</v>
      </c>
      <c r="J3836" s="1" t="s">
        <v>865</v>
      </c>
      <c r="K3836" s="1" t="s">
        <v>298</v>
      </c>
      <c r="L3836" s="1" t="s">
        <v>267</v>
      </c>
      <c r="M3836" s="1"/>
      <c r="N3836" s="1">
        <f t="shared" si="186"/>
        <v>4</v>
      </c>
      <c r="O3836" s="87"/>
    </row>
    <row r="3837" spans="1:15" ht="15.75" hidden="1" x14ac:dyDescent="0.25">
      <c r="A3837" s="1" t="str">
        <f t="shared" si="185"/>
        <v>453854538646.75DINERSGROCERYMANGO</v>
      </c>
      <c r="B3837" s="154">
        <v>45385</v>
      </c>
      <c r="C3837" s="154">
        <v>45386</v>
      </c>
      <c r="D3837" s="3" t="s">
        <v>4490</v>
      </c>
      <c r="E3837" s="3">
        <v>-46.75</v>
      </c>
      <c r="F3837" s="3">
        <v>1</v>
      </c>
      <c r="G3837" s="3">
        <f t="shared" si="187"/>
        <v>46.75</v>
      </c>
      <c r="H3837" s="3" t="s">
        <v>266</v>
      </c>
      <c r="I3837" s="1" t="s">
        <v>43</v>
      </c>
      <c r="J3837" s="1" t="s">
        <v>3634</v>
      </c>
      <c r="K3837" s="1" t="s">
        <v>298</v>
      </c>
      <c r="L3837" s="1" t="s">
        <v>267</v>
      </c>
      <c r="M3837" s="1"/>
      <c r="N3837" s="1">
        <f t="shared" si="186"/>
        <v>4</v>
      </c>
      <c r="O3837" s="87"/>
    </row>
    <row r="3838" spans="1:15" ht="15.75" hidden="1" x14ac:dyDescent="0.25">
      <c r="A3838" s="1" t="str">
        <f t="shared" si="185"/>
        <v>45385453851000CURRENTWITHDRAWSELF</v>
      </c>
      <c r="B3838" s="154">
        <v>45385</v>
      </c>
      <c r="C3838" s="154">
        <v>45385</v>
      </c>
      <c r="D3838" s="3" t="s">
        <v>4498</v>
      </c>
      <c r="E3838" s="3">
        <v>-1000</v>
      </c>
      <c r="F3838" s="3">
        <v>1</v>
      </c>
      <c r="G3838" s="3">
        <f t="shared" si="187"/>
        <v>1000</v>
      </c>
      <c r="H3838" s="3" t="s">
        <v>293</v>
      </c>
      <c r="I3838" s="1" t="s">
        <v>13</v>
      </c>
      <c r="J3838" s="1" t="s">
        <v>14</v>
      </c>
      <c r="K3838" s="1" t="s">
        <v>298</v>
      </c>
      <c r="L3838" s="1" t="s">
        <v>257</v>
      </c>
      <c r="M3838" s="1"/>
      <c r="N3838" s="1">
        <f t="shared" si="186"/>
        <v>4</v>
      </c>
      <c r="O3838" s="87"/>
    </row>
    <row r="3839" spans="1:15" ht="15.75" hidden="1" x14ac:dyDescent="0.25">
      <c r="A3839" s="1" t="str">
        <f t="shared" si="185"/>
        <v>453864539165MASTER CCTELECOMOOREDOO</v>
      </c>
      <c r="B3839" s="154">
        <v>45386</v>
      </c>
      <c r="C3839" s="154">
        <v>45391</v>
      </c>
      <c r="D3839" s="3" t="s">
        <v>4477</v>
      </c>
      <c r="E3839" s="3">
        <v>-65</v>
      </c>
      <c r="F3839" s="3">
        <v>1</v>
      </c>
      <c r="G3839" s="3">
        <f t="shared" si="187"/>
        <v>65</v>
      </c>
      <c r="H3839" s="3" t="s">
        <v>291</v>
      </c>
      <c r="I3839" s="1" t="s">
        <v>58</v>
      </c>
      <c r="J3839" s="1" t="s">
        <v>59</v>
      </c>
      <c r="K3839" s="1" t="s">
        <v>298</v>
      </c>
      <c r="L3839" s="1" t="s">
        <v>267</v>
      </c>
      <c r="M3839" s="1"/>
      <c r="N3839" s="1">
        <f t="shared" si="186"/>
        <v>4</v>
      </c>
      <c r="O3839" s="87"/>
    </row>
    <row r="3840" spans="1:15" ht="15.75" hidden="1" x14ac:dyDescent="0.25">
      <c r="A3840" s="1" t="str">
        <f t="shared" si="185"/>
        <v>4538645389107MASTER CCTRANSPORTWOQOD</v>
      </c>
      <c r="B3840" s="154">
        <v>45386</v>
      </c>
      <c r="C3840" s="154">
        <v>45389</v>
      </c>
      <c r="D3840" s="3" t="s">
        <v>4478</v>
      </c>
      <c r="E3840" s="3">
        <v>-107</v>
      </c>
      <c r="F3840" s="3">
        <v>1</v>
      </c>
      <c r="G3840" s="3">
        <f t="shared" si="187"/>
        <v>107</v>
      </c>
      <c r="H3840" s="3" t="s">
        <v>291</v>
      </c>
      <c r="I3840" s="1" t="s">
        <v>296</v>
      </c>
      <c r="J3840" s="1" t="s">
        <v>1942</v>
      </c>
      <c r="K3840" s="1" t="s">
        <v>298</v>
      </c>
      <c r="L3840" s="1" t="s">
        <v>267</v>
      </c>
      <c r="M3840" s="1"/>
      <c r="N3840" s="1">
        <f t="shared" si="186"/>
        <v>4</v>
      </c>
      <c r="O3840" s="87"/>
    </row>
    <row r="3841" spans="1:15" ht="15.75" hidden="1" x14ac:dyDescent="0.25">
      <c r="A3841" s="1" t="str">
        <f t="shared" si="185"/>
        <v>45387453905MASTER CCTRANSPORTWOQOD</v>
      </c>
      <c r="B3841" s="154">
        <v>45387</v>
      </c>
      <c r="C3841" s="154">
        <v>45390</v>
      </c>
      <c r="D3841" s="3" t="s">
        <v>4472</v>
      </c>
      <c r="E3841" s="3">
        <v>-5</v>
      </c>
      <c r="F3841" s="3">
        <v>1</v>
      </c>
      <c r="G3841" s="3">
        <f t="shared" si="187"/>
        <v>5</v>
      </c>
      <c r="H3841" s="3" t="s">
        <v>291</v>
      </c>
      <c r="I3841" s="1" t="s">
        <v>296</v>
      </c>
      <c r="J3841" s="1" t="s">
        <v>1942</v>
      </c>
      <c r="K3841" s="1" t="s">
        <v>298</v>
      </c>
      <c r="L3841" s="1" t="s">
        <v>267</v>
      </c>
      <c r="M3841" s="1"/>
      <c r="N3841" s="1">
        <f t="shared" si="186"/>
        <v>4</v>
      </c>
      <c r="O3841" s="87"/>
    </row>
    <row r="3842" spans="1:15" ht="15.75" hidden="1" x14ac:dyDescent="0.25">
      <c r="A3842" s="1" t="str">
        <f t="shared" ref="A3842:A3905" si="188">B3842&amp;C3842&amp;G3842&amp;H3842&amp;I3842&amp;J3842</f>
        <v>45387453908.45MASTER CCGROCERYMANGO</v>
      </c>
      <c r="B3842" s="154">
        <v>45387</v>
      </c>
      <c r="C3842" s="154">
        <v>45390</v>
      </c>
      <c r="D3842" s="3" t="s">
        <v>4473</v>
      </c>
      <c r="E3842" s="3">
        <v>-8.4499999999999993</v>
      </c>
      <c r="F3842" s="3">
        <v>1</v>
      </c>
      <c r="G3842" s="3">
        <f t="shared" si="187"/>
        <v>8.4499999999999993</v>
      </c>
      <c r="H3842" s="3" t="s">
        <v>291</v>
      </c>
      <c r="I3842" s="1" t="s">
        <v>43</v>
      </c>
      <c r="J3842" s="1" t="s">
        <v>3634</v>
      </c>
      <c r="K3842" s="1" t="s">
        <v>298</v>
      </c>
      <c r="L3842" s="1" t="s">
        <v>267</v>
      </c>
      <c r="M3842" s="1"/>
      <c r="N3842" s="1">
        <f t="shared" ref="N3842:N3905" si="189">MONTH(C3842)</f>
        <v>4</v>
      </c>
      <c r="O3842" s="87"/>
    </row>
    <row r="3843" spans="1:15" ht="15.75" hidden="1" x14ac:dyDescent="0.25">
      <c r="A3843" s="1" t="str">
        <f t="shared" si="188"/>
        <v>4538745390186.25MASTER CCSHOPPINGLULU</v>
      </c>
      <c r="B3843" s="154">
        <v>45387</v>
      </c>
      <c r="C3843" s="154">
        <v>45390</v>
      </c>
      <c r="D3843" s="3" t="s">
        <v>4474</v>
      </c>
      <c r="E3843" s="3">
        <v>-186.25</v>
      </c>
      <c r="F3843" s="3">
        <v>1</v>
      </c>
      <c r="G3843" s="3">
        <f t="shared" si="187"/>
        <v>186.25</v>
      </c>
      <c r="H3843" s="3" t="s">
        <v>291</v>
      </c>
      <c r="I3843" s="1" t="s">
        <v>194</v>
      </c>
      <c r="J3843" s="1" t="s">
        <v>44</v>
      </c>
      <c r="K3843" s="1" t="s">
        <v>298</v>
      </c>
      <c r="L3843" s="1" t="s">
        <v>267</v>
      </c>
      <c r="M3843" s="1"/>
      <c r="N3843" s="1">
        <f t="shared" si="189"/>
        <v>4</v>
      </c>
      <c r="O3843" s="87"/>
    </row>
    <row r="3844" spans="1:15" ht="15.75" hidden="1" x14ac:dyDescent="0.25">
      <c r="A3844" s="1" t="str">
        <f t="shared" si="188"/>
        <v>4538745390349.59MASTER CCGROCERYLULU</v>
      </c>
      <c r="B3844" s="154">
        <v>45387</v>
      </c>
      <c r="C3844" s="154">
        <v>45390</v>
      </c>
      <c r="D3844" s="3" t="s">
        <v>4475</v>
      </c>
      <c r="E3844" s="3">
        <v>-349.59</v>
      </c>
      <c r="F3844" s="3">
        <v>1</v>
      </c>
      <c r="G3844" s="3">
        <f t="shared" si="187"/>
        <v>349.59</v>
      </c>
      <c r="H3844" s="3" t="s">
        <v>291</v>
      </c>
      <c r="I3844" s="1" t="s">
        <v>43</v>
      </c>
      <c r="J3844" s="1" t="s">
        <v>44</v>
      </c>
      <c r="K3844" s="1" t="s">
        <v>298</v>
      </c>
      <c r="L3844" s="1" t="s">
        <v>267</v>
      </c>
      <c r="M3844" s="1"/>
      <c r="N3844" s="1">
        <f t="shared" si="189"/>
        <v>4</v>
      </c>
      <c r="O3844" s="87"/>
    </row>
    <row r="3845" spans="1:15" ht="15.75" hidden="1" x14ac:dyDescent="0.25">
      <c r="A3845" s="1" t="str">
        <f t="shared" si="188"/>
        <v>453874539052MASTER CCFOODTALABAT</v>
      </c>
      <c r="B3845" s="154">
        <v>45387</v>
      </c>
      <c r="C3845" s="154">
        <v>45390</v>
      </c>
      <c r="D3845" s="3" t="s">
        <v>4476</v>
      </c>
      <c r="E3845" s="3">
        <v>-52</v>
      </c>
      <c r="F3845" s="3">
        <v>1</v>
      </c>
      <c r="G3845" s="3">
        <f t="shared" si="187"/>
        <v>52</v>
      </c>
      <c r="H3845" s="3" t="s">
        <v>291</v>
      </c>
      <c r="I3845" s="1" t="s">
        <v>10</v>
      </c>
      <c r="J3845" s="1" t="s">
        <v>865</v>
      </c>
      <c r="K3845" s="1" t="s">
        <v>298</v>
      </c>
      <c r="L3845" s="1" t="s">
        <v>267</v>
      </c>
      <c r="M3845" s="1"/>
      <c r="N3845" s="1">
        <f t="shared" si="189"/>
        <v>4</v>
      </c>
      <c r="O3845" s="87"/>
    </row>
    <row r="3846" spans="1:15" ht="15.75" hidden="1" x14ac:dyDescent="0.25">
      <c r="A3846" s="1" t="str">
        <f t="shared" si="188"/>
        <v>45388453916.55MASTER CCGROCERYMANGO</v>
      </c>
      <c r="B3846" s="154">
        <v>45388</v>
      </c>
      <c r="C3846" s="154">
        <v>45391</v>
      </c>
      <c r="D3846" s="3" t="s">
        <v>4469</v>
      </c>
      <c r="E3846" s="3">
        <v>-6.55</v>
      </c>
      <c r="F3846" s="3">
        <v>1</v>
      </c>
      <c r="G3846" s="3">
        <f t="shared" si="187"/>
        <v>6.55</v>
      </c>
      <c r="H3846" s="3" t="s">
        <v>291</v>
      </c>
      <c r="I3846" s="1" t="s">
        <v>43</v>
      </c>
      <c r="J3846" s="1" t="s">
        <v>3634</v>
      </c>
      <c r="K3846" s="1" t="s">
        <v>298</v>
      </c>
      <c r="L3846" s="1" t="s">
        <v>267</v>
      </c>
      <c r="M3846" s="1"/>
      <c r="N3846" s="1">
        <f t="shared" si="189"/>
        <v>4</v>
      </c>
      <c r="O3846" s="87"/>
    </row>
    <row r="3847" spans="1:15" ht="15.75" hidden="1" x14ac:dyDescent="0.25">
      <c r="A3847" s="1" t="str">
        <f t="shared" si="188"/>
        <v>4538845391282.97MASTER CCGROCERYLULU</v>
      </c>
      <c r="B3847" s="154">
        <v>45388</v>
      </c>
      <c r="C3847" s="154">
        <v>45391</v>
      </c>
      <c r="D3847" s="3" t="s">
        <v>4470</v>
      </c>
      <c r="E3847" s="3">
        <v>-282.97000000000003</v>
      </c>
      <c r="F3847" s="3">
        <v>1</v>
      </c>
      <c r="G3847" s="3">
        <f t="shared" si="187"/>
        <v>282.97000000000003</v>
      </c>
      <c r="H3847" s="3" t="s">
        <v>291</v>
      </c>
      <c r="I3847" s="1" t="s">
        <v>43</v>
      </c>
      <c r="J3847" s="1" t="s">
        <v>44</v>
      </c>
      <c r="K3847" s="1" t="s">
        <v>298</v>
      </c>
      <c r="L3847" s="1" t="s">
        <v>267</v>
      </c>
      <c r="M3847" s="1"/>
      <c r="N3847" s="1">
        <f t="shared" si="189"/>
        <v>4</v>
      </c>
      <c r="O3847" s="87"/>
    </row>
    <row r="3848" spans="1:15" ht="15.75" hidden="1" x14ac:dyDescent="0.25">
      <c r="A3848" s="1" t="str">
        <f t="shared" si="188"/>
        <v>453884539185MASTER CCFOODTALABAT</v>
      </c>
      <c r="B3848" s="154">
        <v>45388</v>
      </c>
      <c r="C3848" s="154">
        <v>45391</v>
      </c>
      <c r="D3848" s="3" t="s">
        <v>4471</v>
      </c>
      <c r="E3848" s="3">
        <v>-85</v>
      </c>
      <c r="F3848" s="3">
        <v>1</v>
      </c>
      <c r="G3848" s="3">
        <f t="shared" si="187"/>
        <v>85</v>
      </c>
      <c r="H3848" s="3" t="s">
        <v>291</v>
      </c>
      <c r="I3848" s="1" t="s">
        <v>10</v>
      </c>
      <c r="J3848" s="1" t="s">
        <v>865</v>
      </c>
      <c r="K3848" s="1" t="s">
        <v>298</v>
      </c>
      <c r="L3848" s="1" t="s">
        <v>267</v>
      </c>
      <c r="M3848" s="1"/>
      <c r="N3848" s="1">
        <f t="shared" si="189"/>
        <v>4</v>
      </c>
      <c r="O3848" s="87"/>
    </row>
    <row r="3849" spans="1:15" ht="15.75" hidden="1" x14ac:dyDescent="0.25">
      <c r="A3849" s="1" t="str">
        <f t="shared" si="188"/>
        <v>4538945392250MASTER CCRENTVODAFONE</v>
      </c>
      <c r="B3849" s="154">
        <v>45389</v>
      </c>
      <c r="C3849" s="154">
        <v>45392</v>
      </c>
      <c r="D3849" s="3" t="s">
        <v>4468</v>
      </c>
      <c r="E3849" s="3">
        <v>-250</v>
      </c>
      <c r="F3849" s="3">
        <v>1</v>
      </c>
      <c r="G3849" s="3">
        <f t="shared" si="187"/>
        <v>250</v>
      </c>
      <c r="H3849" s="3" t="s">
        <v>291</v>
      </c>
      <c r="I3849" s="1" t="s">
        <v>83</v>
      </c>
      <c r="J3849" s="1" t="s">
        <v>78</v>
      </c>
      <c r="K3849" s="1" t="s">
        <v>298</v>
      </c>
      <c r="L3849" s="1" t="s">
        <v>267</v>
      </c>
      <c r="M3849" s="1"/>
      <c r="N3849" s="1">
        <f t="shared" si="189"/>
        <v>4</v>
      </c>
      <c r="O3849" s="87"/>
    </row>
    <row r="3850" spans="1:15" ht="15.75" hidden="1" x14ac:dyDescent="0.25">
      <c r="A3850" s="1" t="str">
        <f t="shared" si="188"/>
        <v>453894538995CURRENTEDUCATIONORYX</v>
      </c>
      <c r="B3850" s="154">
        <v>45389</v>
      </c>
      <c r="C3850" s="154">
        <v>45389</v>
      </c>
      <c r="D3850" s="3" t="s">
        <v>4496</v>
      </c>
      <c r="E3850" s="3">
        <v>-95</v>
      </c>
      <c r="F3850" s="3">
        <v>1</v>
      </c>
      <c r="G3850" s="3">
        <f t="shared" si="187"/>
        <v>95</v>
      </c>
      <c r="H3850" s="3" t="s">
        <v>293</v>
      </c>
      <c r="I3850" s="1" t="s">
        <v>543</v>
      </c>
      <c r="J3850" s="1" t="s">
        <v>2073</v>
      </c>
      <c r="K3850" s="1" t="s">
        <v>298</v>
      </c>
      <c r="L3850" s="1" t="s">
        <v>257</v>
      </c>
      <c r="M3850" s="1"/>
      <c r="N3850" s="1">
        <f t="shared" si="189"/>
        <v>4</v>
      </c>
      <c r="O3850" s="87"/>
    </row>
    <row r="3851" spans="1:15" ht="15.75" hidden="1" x14ac:dyDescent="0.25">
      <c r="A3851" s="1" t="str">
        <f t="shared" si="188"/>
        <v>453894538938CURRENTGROCERYREDROSE</v>
      </c>
      <c r="B3851" s="154">
        <v>45389</v>
      </c>
      <c r="C3851" s="154">
        <v>45389</v>
      </c>
      <c r="D3851" s="3" t="s">
        <v>4497</v>
      </c>
      <c r="E3851" s="3">
        <v>-38</v>
      </c>
      <c r="F3851" s="3">
        <v>1</v>
      </c>
      <c r="G3851" s="3">
        <f t="shared" ref="G3851:G3914" si="190">ABS(E3851)*F3851</f>
        <v>38</v>
      </c>
      <c r="H3851" s="3" t="s">
        <v>293</v>
      </c>
      <c r="I3851" s="1" t="s">
        <v>43</v>
      </c>
      <c r="J3851" s="1" t="s">
        <v>4082</v>
      </c>
      <c r="K3851" s="1" t="s">
        <v>298</v>
      </c>
      <c r="L3851" s="1" t="s">
        <v>257</v>
      </c>
      <c r="M3851" s="1"/>
      <c r="N3851" s="1">
        <f t="shared" si="189"/>
        <v>4</v>
      </c>
      <c r="O3851" s="87"/>
    </row>
    <row r="3852" spans="1:15" ht="15.75" hidden="1" x14ac:dyDescent="0.25">
      <c r="A3852" s="1" t="str">
        <f t="shared" si="188"/>
        <v>453904539434MASTER CCFOODTALABAT</v>
      </c>
      <c r="B3852" s="154">
        <v>45390</v>
      </c>
      <c r="C3852" s="154">
        <v>45394</v>
      </c>
      <c r="D3852" s="3" t="s">
        <v>4465</v>
      </c>
      <c r="E3852" s="3">
        <v>-34</v>
      </c>
      <c r="F3852" s="3">
        <v>1</v>
      </c>
      <c r="G3852" s="3">
        <f t="shared" si="190"/>
        <v>34</v>
      </c>
      <c r="H3852" s="3" t="s">
        <v>291</v>
      </c>
      <c r="I3852" s="1" t="s">
        <v>10</v>
      </c>
      <c r="J3852" s="1" t="s">
        <v>865</v>
      </c>
      <c r="K3852" s="1" t="s">
        <v>298</v>
      </c>
      <c r="L3852" s="1" t="s">
        <v>267</v>
      </c>
      <c r="M3852" s="1"/>
      <c r="N3852" s="1">
        <f t="shared" si="189"/>
        <v>4</v>
      </c>
      <c r="O3852" s="87"/>
    </row>
    <row r="3853" spans="1:15" ht="15.75" hidden="1" x14ac:dyDescent="0.25">
      <c r="A3853" s="1" t="str">
        <f t="shared" si="188"/>
        <v>453904539219.95MASTER CCTRANSPORTUBER</v>
      </c>
      <c r="B3853" s="154">
        <v>45390</v>
      </c>
      <c r="C3853" s="154">
        <v>45392</v>
      </c>
      <c r="D3853" s="3" t="s">
        <v>4466</v>
      </c>
      <c r="E3853" s="3">
        <v>-19.95</v>
      </c>
      <c r="F3853" s="3">
        <v>1</v>
      </c>
      <c r="G3853" s="3">
        <f t="shared" si="190"/>
        <v>19.95</v>
      </c>
      <c r="H3853" s="3" t="s">
        <v>291</v>
      </c>
      <c r="I3853" s="1" t="s">
        <v>296</v>
      </c>
      <c r="J3853" s="1" t="s">
        <v>299</v>
      </c>
      <c r="K3853" s="1" t="s">
        <v>298</v>
      </c>
      <c r="L3853" s="1" t="s">
        <v>267</v>
      </c>
      <c r="M3853" s="1"/>
      <c r="N3853" s="1">
        <f t="shared" si="189"/>
        <v>4</v>
      </c>
      <c r="O3853" s="87"/>
    </row>
    <row r="3854" spans="1:15" ht="15.75" hidden="1" x14ac:dyDescent="0.25">
      <c r="A3854" s="1" t="str">
        <f t="shared" si="188"/>
        <v>453904539220.91MASTER CCTRANSPORTUBER</v>
      </c>
      <c r="B3854" s="154">
        <v>45390</v>
      </c>
      <c r="C3854" s="154">
        <v>45392</v>
      </c>
      <c r="D3854" s="3" t="s">
        <v>4467</v>
      </c>
      <c r="E3854" s="3">
        <v>-20.91</v>
      </c>
      <c r="F3854" s="3">
        <v>1</v>
      </c>
      <c r="G3854" s="3">
        <f t="shared" si="190"/>
        <v>20.91</v>
      </c>
      <c r="H3854" s="3" t="s">
        <v>291</v>
      </c>
      <c r="I3854" s="1" t="s">
        <v>296</v>
      </c>
      <c r="J3854" s="1" t="s">
        <v>299</v>
      </c>
      <c r="K3854" s="1" t="s">
        <v>298</v>
      </c>
      <c r="L3854" s="1" t="s">
        <v>267</v>
      </c>
      <c r="M3854" s="1"/>
      <c r="N3854" s="1">
        <f t="shared" si="189"/>
        <v>4</v>
      </c>
      <c r="O3854" s="87"/>
    </row>
    <row r="3855" spans="1:15" ht="15.75" hidden="1" x14ac:dyDescent="0.25">
      <c r="A3855" s="1" t="str">
        <f t="shared" si="188"/>
        <v>45390453905000CURRENTRENTBARWA</v>
      </c>
      <c r="B3855" s="154">
        <v>45390</v>
      </c>
      <c r="C3855" s="154">
        <v>45390</v>
      </c>
      <c r="D3855" s="3" t="s">
        <v>4495</v>
      </c>
      <c r="E3855" s="3">
        <v>-5000</v>
      </c>
      <c r="F3855" s="3">
        <v>1</v>
      </c>
      <c r="G3855" s="3">
        <f t="shared" si="190"/>
        <v>5000</v>
      </c>
      <c r="H3855" s="3" t="s">
        <v>293</v>
      </c>
      <c r="I3855" s="1" t="s">
        <v>83</v>
      </c>
      <c r="J3855" s="1" t="s">
        <v>3633</v>
      </c>
      <c r="K3855" s="1" t="s">
        <v>298</v>
      </c>
      <c r="L3855" s="1" t="s">
        <v>257</v>
      </c>
      <c r="M3855" s="1"/>
      <c r="N3855" s="1">
        <f t="shared" si="189"/>
        <v>4</v>
      </c>
      <c r="O3855" s="87"/>
    </row>
    <row r="3856" spans="1:15" ht="15.75" hidden="1" x14ac:dyDescent="0.25">
      <c r="A3856" s="1" t="str">
        <f t="shared" si="188"/>
        <v>453914539417.25MASTER CCGROCERYMANGO</v>
      </c>
      <c r="B3856" s="154">
        <v>45391</v>
      </c>
      <c r="C3856" s="154">
        <v>45394</v>
      </c>
      <c r="D3856" s="3" t="s">
        <v>4464</v>
      </c>
      <c r="E3856" s="3">
        <v>-17.25</v>
      </c>
      <c r="F3856" s="3">
        <v>1</v>
      </c>
      <c r="G3856" s="3">
        <f t="shared" si="190"/>
        <v>17.25</v>
      </c>
      <c r="H3856" s="3" t="s">
        <v>291</v>
      </c>
      <c r="I3856" s="1" t="s">
        <v>43</v>
      </c>
      <c r="J3856" s="1" t="s">
        <v>3634</v>
      </c>
      <c r="K3856" s="1" t="s">
        <v>298</v>
      </c>
      <c r="L3856" s="1" t="s">
        <v>267</v>
      </c>
      <c r="M3856" s="1"/>
      <c r="N3856" s="1">
        <f t="shared" si="189"/>
        <v>4</v>
      </c>
      <c r="O3856" s="87"/>
    </row>
    <row r="3857" spans="1:15" ht="15.75" hidden="1" x14ac:dyDescent="0.25">
      <c r="A3857" s="1" t="str">
        <f t="shared" si="188"/>
        <v>453924539811.5MASTER CCLAUNDRYAL RAYES</v>
      </c>
      <c r="B3857" s="154">
        <v>45392</v>
      </c>
      <c r="C3857" s="154">
        <v>45398</v>
      </c>
      <c r="D3857" s="3" t="s">
        <v>4460</v>
      </c>
      <c r="E3857" s="3">
        <v>-11.5</v>
      </c>
      <c r="F3857" s="3">
        <v>1</v>
      </c>
      <c r="G3857" s="3">
        <f t="shared" si="190"/>
        <v>11.5</v>
      </c>
      <c r="H3857" s="3" t="s">
        <v>291</v>
      </c>
      <c r="I3857" s="1" t="s">
        <v>3164</v>
      </c>
      <c r="J3857" s="1" t="s">
        <v>3165</v>
      </c>
      <c r="K3857" s="1" t="s">
        <v>298</v>
      </c>
      <c r="L3857" s="1" t="s">
        <v>267</v>
      </c>
      <c r="M3857" s="1"/>
      <c r="N3857" s="1">
        <f t="shared" si="189"/>
        <v>4</v>
      </c>
      <c r="O3857" s="87"/>
    </row>
    <row r="3858" spans="1:15" ht="15.75" hidden="1" x14ac:dyDescent="0.25">
      <c r="A3858" s="1" t="str">
        <f t="shared" si="188"/>
        <v>4539245396179MASTER CCSHOPPINGDECATHLON</v>
      </c>
      <c r="B3858" s="154">
        <v>45392</v>
      </c>
      <c r="C3858" s="154">
        <v>45396</v>
      </c>
      <c r="D3858" s="3" t="s">
        <v>4461</v>
      </c>
      <c r="E3858" s="3">
        <v>-179</v>
      </c>
      <c r="F3858" s="3">
        <v>1</v>
      </c>
      <c r="G3858" s="3">
        <f t="shared" si="190"/>
        <v>179</v>
      </c>
      <c r="H3858" s="3" t="s">
        <v>291</v>
      </c>
      <c r="I3858" s="1" t="s">
        <v>194</v>
      </c>
      <c r="J3858" s="1" t="s">
        <v>4488</v>
      </c>
      <c r="K3858" s="1" t="s">
        <v>298</v>
      </c>
      <c r="L3858" s="1" t="s">
        <v>267</v>
      </c>
      <c r="M3858" s="1"/>
      <c r="N3858" s="1">
        <f t="shared" si="189"/>
        <v>4</v>
      </c>
      <c r="O3858" s="87"/>
    </row>
    <row r="3859" spans="1:15" ht="15.75" hidden="1" x14ac:dyDescent="0.25">
      <c r="A3859" s="1" t="str">
        <f t="shared" si="188"/>
        <v>453924539645MASTER CCSHOPPINGR&amp;B</v>
      </c>
      <c r="B3859" s="154">
        <v>45392</v>
      </c>
      <c r="C3859" s="154">
        <v>45396</v>
      </c>
      <c r="D3859" s="3" t="s">
        <v>4462</v>
      </c>
      <c r="E3859" s="3">
        <v>-45</v>
      </c>
      <c r="F3859" s="3">
        <v>1</v>
      </c>
      <c r="G3859" s="3">
        <f t="shared" si="190"/>
        <v>45</v>
      </c>
      <c r="H3859" s="3" t="s">
        <v>291</v>
      </c>
      <c r="I3859" s="1" t="s">
        <v>194</v>
      </c>
      <c r="J3859" s="1" t="s">
        <v>195</v>
      </c>
      <c r="K3859" s="1" t="s">
        <v>298</v>
      </c>
      <c r="L3859" s="1" t="s">
        <v>267</v>
      </c>
      <c r="M3859" s="1"/>
      <c r="N3859" s="1">
        <f t="shared" si="189"/>
        <v>4</v>
      </c>
      <c r="O3859" s="87"/>
    </row>
    <row r="3860" spans="1:15" ht="15.75" hidden="1" x14ac:dyDescent="0.25">
      <c r="A3860" s="1" t="str">
        <f t="shared" si="188"/>
        <v>45392453931647.52MASTER CCATTRACTIONUAE</v>
      </c>
      <c r="B3860" s="154">
        <v>45392</v>
      </c>
      <c r="C3860" s="154">
        <v>45393</v>
      </c>
      <c r="D3860" s="3" t="s">
        <v>4463</v>
      </c>
      <c r="E3860" s="3">
        <v>-1647.52</v>
      </c>
      <c r="F3860" s="3">
        <v>1</v>
      </c>
      <c r="G3860" s="3">
        <f t="shared" si="190"/>
        <v>1647.52</v>
      </c>
      <c r="H3860" s="3" t="s">
        <v>291</v>
      </c>
      <c r="I3860" s="1" t="s">
        <v>2408</v>
      </c>
      <c r="J3860" s="1" t="s">
        <v>3303</v>
      </c>
      <c r="K3860" s="1" t="s">
        <v>298</v>
      </c>
      <c r="L3860" s="1" t="s">
        <v>267</v>
      </c>
      <c r="M3860" s="1"/>
      <c r="N3860" s="1">
        <f t="shared" si="189"/>
        <v>4</v>
      </c>
      <c r="O3860" s="87"/>
    </row>
    <row r="3861" spans="1:15" ht="15.75" hidden="1" x14ac:dyDescent="0.25">
      <c r="A3861" s="1" t="str">
        <f t="shared" si="188"/>
        <v>4539345393750CURRENTTRAVELUAE</v>
      </c>
      <c r="B3861" s="154">
        <v>45393</v>
      </c>
      <c r="C3861" s="154">
        <f>B3861</f>
        <v>45393</v>
      </c>
      <c r="D3861" s="3" t="s">
        <v>4487</v>
      </c>
      <c r="E3861" s="3">
        <v>750</v>
      </c>
      <c r="F3861" s="3">
        <v>1</v>
      </c>
      <c r="G3861" s="3">
        <f t="shared" si="190"/>
        <v>750</v>
      </c>
      <c r="H3861" s="3" t="s">
        <v>293</v>
      </c>
      <c r="I3861" s="1" t="s">
        <v>393</v>
      </c>
      <c r="J3861" s="1" t="s">
        <v>3303</v>
      </c>
      <c r="K3861" s="1" t="s">
        <v>298</v>
      </c>
      <c r="L3861" s="1" t="s">
        <v>257</v>
      </c>
      <c r="M3861" s="1"/>
      <c r="N3861" s="1">
        <f t="shared" si="189"/>
        <v>4</v>
      </c>
      <c r="O3861" s="87"/>
    </row>
    <row r="3862" spans="1:15" ht="15.75" hidden="1" x14ac:dyDescent="0.25">
      <c r="A3862" s="1" t="str">
        <f t="shared" si="188"/>
        <v>453934539323.95MASTER CCTRANSPORTUAE</v>
      </c>
      <c r="B3862" s="154">
        <v>45393</v>
      </c>
      <c r="C3862" s="154">
        <f>B3862</f>
        <v>45393</v>
      </c>
      <c r="D3862" s="3" t="s">
        <v>4447</v>
      </c>
      <c r="E3862" s="3">
        <v>-23.95</v>
      </c>
      <c r="F3862" s="3">
        <v>1</v>
      </c>
      <c r="G3862" s="3">
        <f t="shared" si="190"/>
        <v>23.95</v>
      </c>
      <c r="H3862" s="3" t="s">
        <v>291</v>
      </c>
      <c r="I3862" s="1" t="s">
        <v>296</v>
      </c>
      <c r="J3862" s="1" t="s">
        <v>3303</v>
      </c>
      <c r="K3862" s="1" t="s">
        <v>298</v>
      </c>
      <c r="L3862" s="1" t="s">
        <v>267</v>
      </c>
      <c r="M3862" s="1"/>
      <c r="N3862" s="1">
        <f t="shared" si="189"/>
        <v>4</v>
      </c>
      <c r="O3862" s="87"/>
    </row>
    <row r="3863" spans="1:15" ht="15.75" hidden="1" x14ac:dyDescent="0.25">
      <c r="A3863" s="1" t="str">
        <f t="shared" si="188"/>
        <v>453934539314.87MASTER CCFOODUAE</v>
      </c>
      <c r="B3863" s="154">
        <v>45393</v>
      </c>
      <c r="C3863" s="154">
        <f>B3863</f>
        <v>45393</v>
      </c>
      <c r="D3863" s="3" t="s">
        <v>4448</v>
      </c>
      <c r="E3863" s="3">
        <v>-14.87</v>
      </c>
      <c r="F3863" s="3">
        <v>1</v>
      </c>
      <c r="G3863" s="3">
        <f t="shared" si="190"/>
        <v>14.87</v>
      </c>
      <c r="H3863" s="3" t="s">
        <v>291</v>
      </c>
      <c r="I3863" s="1" t="s">
        <v>10</v>
      </c>
      <c r="J3863" s="1" t="s">
        <v>3303</v>
      </c>
      <c r="K3863" s="1" t="s">
        <v>298</v>
      </c>
      <c r="L3863" s="1" t="s">
        <v>267</v>
      </c>
      <c r="M3863" s="1"/>
      <c r="N3863" s="1">
        <f t="shared" si="189"/>
        <v>4</v>
      </c>
      <c r="O3863" s="87"/>
    </row>
    <row r="3864" spans="1:15" ht="15.75" hidden="1" x14ac:dyDescent="0.25">
      <c r="A3864" s="1" t="str">
        <f t="shared" si="188"/>
        <v>453934539324.78MASTER CCFOODUAE</v>
      </c>
      <c r="B3864" s="154">
        <v>45393</v>
      </c>
      <c r="C3864" s="154">
        <f>B3864</f>
        <v>45393</v>
      </c>
      <c r="D3864" s="3" t="s">
        <v>4449</v>
      </c>
      <c r="E3864" s="3">
        <v>-24.78</v>
      </c>
      <c r="F3864" s="3">
        <v>1</v>
      </c>
      <c r="G3864" s="3">
        <f t="shared" si="190"/>
        <v>24.78</v>
      </c>
      <c r="H3864" s="3" t="s">
        <v>291</v>
      </c>
      <c r="I3864" s="1" t="s">
        <v>10</v>
      </c>
      <c r="J3864" s="1" t="s">
        <v>3303</v>
      </c>
      <c r="K3864" s="1" t="s">
        <v>298</v>
      </c>
      <c r="L3864" s="1" t="s">
        <v>267</v>
      </c>
      <c r="M3864" s="1"/>
      <c r="N3864" s="1">
        <f t="shared" si="189"/>
        <v>4</v>
      </c>
      <c r="O3864" s="87"/>
    </row>
    <row r="3865" spans="1:15" ht="15.75" hidden="1" x14ac:dyDescent="0.25">
      <c r="A3865" s="1" t="str">
        <f t="shared" si="188"/>
        <v>453934539690.37MASTER CCATTRACTIONUAE</v>
      </c>
      <c r="B3865" s="154">
        <v>45393</v>
      </c>
      <c r="C3865" s="154">
        <v>45396</v>
      </c>
      <c r="D3865" s="3" t="s">
        <v>4450</v>
      </c>
      <c r="E3865" s="3">
        <v>-90.37</v>
      </c>
      <c r="F3865" s="3">
        <v>1</v>
      </c>
      <c r="G3865" s="3">
        <f t="shared" si="190"/>
        <v>90.37</v>
      </c>
      <c r="H3865" s="3" t="s">
        <v>291</v>
      </c>
      <c r="I3865" s="1" t="s">
        <v>2408</v>
      </c>
      <c r="J3865" s="1" t="s">
        <v>3303</v>
      </c>
      <c r="K3865" s="1" t="s">
        <v>298</v>
      </c>
      <c r="L3865" s="1" t="s">
        <v>267</v>
      </c>
      <c r="M3865" s="1"/>
      <c r="N3865" s="1">
        <f t="shared" si="189"/>
        <v>4</v>
      </c>
      <c r="O3865" s="87"/>
    </row>
    <row r="3866" spans="1:15" ht="15.75" hidden="1" x14ac:dyDescent="0.25">
      <c r="A3866" s="1" t="str">
        <f t="shared" si="188"/>
        <v>453934539670.31MASTER CCATTRACTIONUAE</v>
      </c>
      <c r="B3866" s="154">
        <v>45393</v>
      </c>
      <c r="C3866" s="154">
        <v>45396</v>
      </c>
      <c r="D3866" s="3" t="s">
        <v>4451</v>
      </c>
      <c r="E3866" s="3">
        <v>-70.31</v>
      </c>
      <c r="F3866" s="3">
        <v>1</v>
      </c>
      <c r="G3866" s="3">
        <f t="shared" si="190"/>
        <v>70.31</v>
      </c>
      <c r="H3866" s="3" t="s">
        <v>291</v>
      </c>
      <c r="I3866" s="1" t="s">
        <v>2408</v>
      </c>
      <c r="J3866" s="1" t="s">
        <v>3303</v>
      </c>
      <c r="K3866" s="1" t="s">
        <v>298</v>
      </c>
      <c r="L3866" s="1" t="s">
        <v>267</v>
      </c>
      <c r="M3866" s="1"/>
      <c r="N3866" s="1">
        <f t="shared" si="189"/>
        <v>4</v>
      </c>
      <c r="O3866" s="87"/>
    </row>
    <row r="3867" spans="1:15" ht="15.75" hidden="1" x14ac:dyDescent="0.25">
      <c r="A3867" s="1" t="str">
        <f t="shared" si="188"/>
        <v>453934539675.81MASTER CCTRANSPORTUAE</v>
      </c>
      <c r="B3867" s="154">
        <v>45393</v>
      </c>
      <c r="C3867" s="154">
        <v>45396</v>
      </c>
      <c r="D3867" s="3" t="s">
        <v>4452</v>
      </c>
      <c r="E3867" s="3">
        <v>-75.81</v>
      </c>
      <c r="F3867" s="3">
        <v>1</v>
      </c>
      <c r="G3867" s="3">
        <f t="shared" si="190"/>
        <v>75.81</v>
      </c>
      <c r="H3867" s="3" t="s">
        <v>291</v>
      </c>
      <c r="I3867" s="1" t="s">
        <v>296</v>
      </c>
      <c r="J3867" s="1" t="s">
        <v>3303</v>
      </c>
      <c r="K3867" s="1" t="s">
        <v>298</v>
      </c>
      <c r="L3867" s="1" t="s">
        <v>267</v>
      </c>
      <c r="M3867" s="1"/>
      <c r="N3867" s="1">
        <f t="shared" si="189"/>
        <v>4</v>
      </c>
      <c r="O3867" s="87"/>
    </row>
    <row r="3868" spans="1:15" ht="15.75" hidden="1" x14ac:dyDescent="0.25">
      <c r="A3868" s="1" t="str">
        <f t="shared" si="188"/>
        <v>4539345395241.02MASTER CCVISAUAE</v>
      </c>
      <c r="B3868" s="154">
        <v>45393</v>
      </c>
      <c r="C3868" s="154">
        <v>45395</v>
      </c>
      <c r="D3868" s="3" t="s">
        <v>4453</v>
      </c>
      <c r="E3868" s="3">
        <v>-241.02</v>
      </c>
      <c r="F3868" s="3">
        <v>1</v>
      </c>
      <c r="G3868" s="3">
        <f t="shared" si="190"/>
        <v>241.02</v>
      </c>
      <c r="H3868" s="3" t="s">
        <v>291</v>
      </c>
      <c r="I3868" s="1" t="s">
        <v>29</v>
      </c>
      <c r="J3868" s="1" t="s">
        <v>3303</v>
      </c>
      <c r="K3868" s="1" t="s">
        <v>298</v>
      </c>
      <c r="L3868" s="1" t="s">
        <v>267</v>
      </c>
      <c r="M3868" s="1"/>
      <c r="N3868" s="1">
        <f t="shared" si="189"/>
        <v>4</v>
      </c>
      <c r="O3868" s="87"/>
    </row>
    <row r="3869" spans="1:15" ht="15.75" hidden="1" x14ac:dyDescent="0.25">
      <c r="A3869" s="1" t="str">
        <f t="shared" si="188"/>
        <v>453934539588.38MASTER CCTRANSPORTUAE</v>
      </c>
      <c r="B3869" s="154">
        <v>45393</v>
      </c>
      <c r="C3869" s="154">
        <v>45395</v>
      </c>
      <c r="D3869" s="3" t="s">
        <v>4454</v>
      </c>
      <c r="E3869" s="3">
        <v>-88.38</v>
      </c>
      <c r="F3869" s="3">
        <v>1</v>
      </c>
      <c r="G3869" s="3">
        <f t="shared" si="190"/>
        <v>88.38</v>
      </c>
      <c r="H3869" s="3" t="s">
        <v>291</v>
      </c>
      <c r="I3869" s="1" t="s">
        <v>296</v>
      </c>
      <c r="J3869" s="1" t="s">
        <v>3303</v>
      </c>
      <c r="K3869" s="1" t="s">
        <v>298</v>
      </c>
      <c r="L3869" s="1" t="s">
        <v>267</v>
      </c>
      <c r="M3869" s="1"/>
      <c r="N3869" s="1">
        <f t="shared" si="189"/>
        <v>4</v>
      </c>
      <c r="O3869" s="87"/>
    </row>
    <row r="3870" spans="1:15" ht="15.75" hidden="1" x14ac:dyDescent="0.25">
      <c r="A3870" s="1" t="str">
        <f t="shared" si="188"/>
        <v>45393453951758.16MASTER CCHOTELUAE</v>
      </c>
      <c r="B3870" s="154">
        <v>45393</v>
      </c>
      <c r="C3870" s="154">
        <v>45395</v>
      </c>
      <c r="D3870" s="3" t="s">
        <v>4455</v>
      </c>
      <c r="E3870" s="3">
        <v>-1758.16</v>
      </c>
      <c r="F3870" s="3">
        <v>1</v>
      </c>
      <c r="G3870" s="3">
        <f t="shared" si="190"/>
        <v>1758.16</v>
      </c>
      <c r="H3870" s="3" t="s">
        <v>291</v>
      </c>
      <c r="I3870" s="1" t="s">
        <v>1128</v>
      </c>
      <c r="J3870" s="1" t="s">
        <v>3303</v>
      </c>
      <c r="K3870" s="1" t="s">
        <v>298</v>
      </c>
      <c r="L3870" s="1" t="s">
        <v>267</v>
      </c>
      <c r="M3870" s="1"/>
      <c r="N3870" s="1">
        <f t="shared" si="189"/>
        <v>4</v>
      </c>
      <c r="O3870" s="87"/>
    </row>
    <row r="3871" spans="1:15" ht="15.75" hidden="1" x14ac:dyDescent="0.25">
      <c r="A3871" s="1" t="str">
        <f t="shared" si="188"/>
        <v>4539345395271.15MASTER CCATTRACTIONUAE</v>
      </c>
      <c r="B3871" s="154">
        <v>45393</v>
      </c>
      <c r="C3871" s="154">
        <v>45395</v>
      </c>
      <c r="D3871" s="3" t="s">
        <v>4456</v>
      </c>
      <c r="E3871" s="3">
        <v>-271.14999999999998</v>
      </c>
      <c r="F3871" s="3">
        <v>1</v>
      </c>
      <c r="G3871" s="3">
        <f t="shared" si="190"/>
        <v>271.14999999999998</v>
      </c>
      <c r="H3871" s="3" t="s">
        <v>291</v>
      </c>
      <c r="I3871" s="1" t="s">
        <v>2408</v>
      </c>
      <c r="J3871" s="1" t="s">
        <v>3303</v>
      </c>
      <c r="K3871" s="1" t="s">
        <v>298</v>
      </c>
      <c r="L3871" s="1" t="s">
        <v>267</v>
      </c>
      <c r="M3871" s="1"/>
      <c r="N3871" s="1">
        <f t="shared" si="189"/>
        <v>4</v>
      </c>
      <c r="O3871" s="87"/>
    </row>
    <row r="3872" spans="1:15" ht="15.75" hidden="1" x14ac:dyDescent="0.25">
      <c r="A3872" s="1" t="str">
        <f t="shared" si="188"/>
        <v>453934539518.06MASTER CCFOODUAE</v>
      </c>
      <c r="B3872" s="154">
        <v>45393</v>
      </c>
      <c r="C3872" s="154">
        <v>45395</v>
      </c>
      <c r="D3872" s="3" t="s">
        <v>4457</v>
      </c>
      <c r="E3872" s="3">
        <v>-18.059999999999999</v>
      </c>
      <c r="F3872" s="3">
        <v>1</v>
      </c>
      <c r="G3872" s="3">
        <f t="shared" si="190"/>
        <v>18.059999999999999</v>
      </c>
      <c r="H3872" s="3" t="s">
        <v>291</v>
      </c>
      <c r="I3872" s="1" t="s">
        <v>10</v>
      </c>
      <c r="J3872" s="1" t="s">
        <v>3303</v>
      </c>
      <c r="K3872" s="1" t="s">
        <v>298</v>
      </c>
      <c r="L3872" s="1" t="s">
        <v>267</v>
      </c>
      <c r="M3872" s="1"/>
      <c r="N3872" s="1">
        <f t="shared" si="189"/>
        <v>4</v>
      </c>
      <c r="O3872" s="87"/>
    </row>
    <row r="3873" spans="1:15" ht="15.75" hidden="1" x14ac:dyDescent="0.25">
      <c r="A3873" s="1" t="str">
        <f t="shared" si="188"/>
        <v>453934539515.3MASTER CCFOODUAE</v>
      </c>
      <c r="B3873" s="154">
        <v>45393</v>
      </c>
      <c r="C3873" s="154">
        <v>45395</v>
      </c>
      <c r="D3873" s="3" t="s">
        <v>4458</v>
      </c>
      <c r="E3873" s="3">
        <v>-15.3</v>
      </c>
      <c r="F3873" s="3">
        <v>1</v>
      </c>
      <c r="G3873" s="3">
        <f t="shared" si="190"/>
        <v>15.3</v>
      </c>
      <c r="H3873" s="3" t="s">
        <v>291</v>
      </c>
      <c r="I3873" s="1" t="s">
        <v>10</v>
      </c>
      <c r="J3873" s="1" t="s">
        <v>3303</v>
      </c>
      <c r="K3873" s="1" t="s">
        <v>298</v>
      </c>
      <c r="L3873" s="1" t="s">
        <v>267</v>
      </c>
      <c r="M3873" s="1"/>
      <c r="N3873" s="1">
        <f t="shared" si="189"/>
        <v>4</v>
      </c>
      <c r="O3873" s="87"/>
    </row>
    <row r="3874" spans="1:15" ht="15.75" hidden="1" x14ac:dyDescent="0.25">
      <c r="A3874" s="1" t="str">
        <f t="shared" si="188"/>
        <v>453934539524.92MASTER CCTRANSPORTUAE</v>
      </c>
      <c r="B3874" s="154">
        <v>45393</v>
      </c>
      <c r="C3874" s="154">
        <v>45395</v>
      </c>
      <c r="D3874" s="3" t="s">
        <v>4459</v>
      </c>
      <c r="E3874" s="3">
        <v>-24.92</v>
      </c>
      <c r="F3874" s="3">
        <v>1</v>
      </c>
      <c r="G3874" s="3">
        <f t="shared" si="190"/>
        <v>24.92</v>
      </c>
      <c r="H3874" s="3" t="s">
        <v>291</v>
      </c>
      <c r="I3874" s="1" t="s">
        <v>296</v>
      </c>
      <c r="J3874" s="1" t="s">
        <v>3303</v>
      </c>
      <c r="K3874" s="1" t="s">
        <v>298</v>
      </c>
      <c r="L3874" s="1" t="s">
        <v>267</v>
      </c>
      <c r="M3874" s="1"/>
      <c r="N3874" s="1">
        <f t="shared" si="189"/>
        <v>4</v>
      </c>
      <c r="O3874" s="87"/>
    </row>
    <row r="3875" spans="1:15" ht="15.75" hidden="1" x14ac:dyDescent="0.25">
      <c r="A3875" s="1" t="str">
        <f t="shared" si="188"/>
        <v>4539445398112.46MASTER CCATTRACTIONUAE</v>
      </c>
      <c r="B3875" s="154">
        <v>45394</v>
      </c>
      <c r="C3875" s="154">
        <v>45398</v>
      </c>
      <c r="D3875" s="3" t="s">
        <v>4437</v>
      </c>
      <c r="E3875" s="3">
        <v>-112.46</v>
      </c>
      <c r="F3875" s="3">
        <v>1</v>
      </c>
      <c r="G3875" s="3">
        <f t="shared" si="190"/>
        <v>112.46</v>
      </c>
      <c r="H3875" s="3" t="s">
        <v>291</v>
      </c>
      <c r="I3875" s="1" t="s">
        <v>2408</v>
      </c>
      <c r="J3875" s="1" t="s">
        <v>3303</v>
      </c>
      <c r="K3875" s="1" t="s">
        <v>298</v>
      </c>
      <c r="L3875" s="1" t="s">
        <v>267</v>
      </c>
      <c r="M3875" s="1"/>
      <c r="N3875" s="1">
        <f t="shared" si="189"/>
        <v>4</v>
      </c>
      <c r="O3875" s="87"/>
    </row>
    <row r="3876" spans="1:15" ht="15.75" hidden="1" x14ac:dyDescent="0.25">
      <c r="A3876" s="1" t="str">
        <f t="shared" si="188"/>
        <v>453944539860.24MASTER CCSHOPPINGUAE</v>
      </c>
      <c r="B3876" s="154">
        <v>45394</v>
      </c>
      <c r="C3876" s="154">
        <v>45398</v>
      </c>
      <c r="D3876" s="3" t="s">
        <v>4438</v>
      </c>
      <c r="E3876" s="3">
        <v>-60.24</v>
      </c>
      <c r="F3876" s="3">
        <v>1</v>
      </c>
      <c r="G3876" s="3">
        <f t="shared" si="190"/>
        <v>60.24</v>
      </c>
      <c r="H3876" s="3" t="s">
        <v>291</v>
      </c>
      <c r="I3876" s="1" t="s">
        <v>194</v>
      </c>
      <c r="J3876" s="1" t="s">
        <v>3303</v>
      </c>
      <c r="K3876" s="1" t="s">
        <v>298</v>
      </c>
      <c r="L3876" s="1" t="s">
        <v>267</v>
      </c>
      <c r="M3876" s="1"/>
      <c r="N3876" s="1">
        <f t="shared" si="189"/>
        <v>4</v>
      </c>
      <c r="O3876" s="87"/>
    </row>
    <row r="3877" spans="1:15" ht="15.75" hidden="1" x14ac:dyDescent="0.25">
      <c r="A3877" s="1" t="str">
        <f t="shared" si="188"/>
        <v>4539445398205.63MASTER CCSHOPPINGUAE</v>
      </c>
      <c r="B3877" s="154">
        <v>45394</v>
      </c>
      <c r="C3877" s="154">
        <v>45398</v>
      </c>
      <c r="D3877" s="3" t="s">
        <v>4439</v>
      </c>
      <c r="E3877" s="3">
        <v>-205.63</v>
      </c>
      <c r="F3877" s="3">
        <v>1</v>
      </c>
      <c r="G3877" s="3">
        <f t="shared" si="190"/>
        <v>205.63</v>
      </c>
      <c r="H3877" s="3" t="s">
        <v>291</v>
      </c>
      <c r="I3877" s="1" t="s">
        <v>194</v>
      </c>
      <c r="J3877" s="1" t="s">
        <v>3303</v>
      </c>
      <c r="K3877" s="1" t="s">
        <v>298</v>
      </c>
      <c r="L3877" s="1" t="s">
        <v>267</v>
      </c>
      <c r="M3877" s="1"/>
      <c r="N3877" s="1">
        <f t="shared" si="189"/>
        <v>4</v>
      </c>
      <c r="O3877" s="87"/>
    </row>
    <row r="3878" spans="1:15" ht="15.75" hidden="1" x14ac:dyDescent="0.25">
      <c r="A3878" s="1" t="str">
        <f t="shared" si="188"/>
        <v>453944539710.02MASTER CCFOODUAE</v>
      </c>
      <c r="B3878" s="154">
        <v>45394</v>
      </c>
      <c r="C3878" s="154">
        <v>45397</v>
      </c>
      <c r="D3878" s="3" t="s">
        <v>4440</v>
      </c>
      <c r="E3878" s="3">
        <v>-10.02</v>
      </c>
      <c r="F3878" s="3">
        <v>1</v>
      </c>
      <c r="G3878" s="3">
        <f t="shared" si="190"/>
        <v>10.02</v>
      </c>
      <c r="H3878" s="3" t="s">
        <v>291</v>
      </c>
      <c r="I3878" s="1" t="s">
        <v>10</v>
      </c>
      <c r="J3878" s="1" t="s">
        <v>3303</v>
      </c>
      <c r="K3878" s="1" t="s">
        <v>298</v>
      </c>
      <c r="L3878" s="1" t="s">
        <v>267</v>
      </c>
      <c r="M3878" s="1"/>
      <c r="N3878" s="1">
        <f t="shared" si="189"/>
        <v>4</v>
      </c>
      <c r="O3878" s="87"/>
    </row>
    <row r="3879" spans="1:15" ht="15.75" hidden="1" x14ac:dyDescent="0.25">
      <c r="A3879" s="1" t="str">
        <f t="shared" si="188"/>
        <v>4539445397104.45MASTER CCFOODUAE</v>
      </c>
      <c r="B3879" s="154">
        <v>45394</v>
      </c>
      <c r="C3879" s="154">
        <v>45397</v>
      </c>
      <c r="D3879" s="3" t="s">
        <v>4441</v>
      </c>
      <c r="E3879" s="3">
        <v>-104.45</v>
      </c>
      <c r="F3879" s="3">
        <v>1</v>
      </c>
      <c r="G3879" s="3">
        <f t="shared" si="190"/>
        <v>104.45</v>
      </c>
      <c r="H3879" s="3" t="s">
        <v>291</v>
      </c>
      <c r="I3879" s="1" t="s">
        <v>10</v>
      </c>
      <c r="J3879" s="1" t="s">
        <v>3303</v>
      </c>
      <c r="K3879" s="1" t="s">
        <v>298</v>
      </c>
      <c r="L3879" s="1" t="s">
        <v>267</v>
      </c>
      <c r="M3879" s="1"/>
      <c r="N3879" s="1">
        <f t="shared" si="189"/>
        <v>4</v>
      </c>
      <c r="O3879" s="87"/>
    </row>
    <row r="3880" spans="1:15" ht="15.75" hidden="1" x14ac:dyDescent="0.25">
      <c r="A3880" s="1" t="str">
        <f t="shared" si="188"/>
        <v>453944539788.79MASTER CCFOODUAE</v>
      </c>
      <c r="B3880" s="154">
        <v>45394</v>
      </c>
      <c r="C3880" s="154">
        <v>45397</v>
      </c>
      <c r="D3880" s="3" t="s">
        <v>4442</v>
      </c>
      <c r="E3880" s="3">
        <v>-88.79</v>
      </c>
      <c r="F3880" s="3">
        <v>1</v>
      </c>
      <c r="G3880" s="3">
        <f t="shared" si="190"/>
        <v>88.79</v>
      </c>
      <c r="H3880" s="3" t="s">
        <v>291</v>
      </c>
      <c r="I3880" s="1" t="s">
        <v>10</v>
      </c>
      <c r="J3880" s="1" t="s">
        <v>3303</v>
      </c>
      <c r="K3880" s="1" t="s">
        <v>298</v>
      </c>
      <c r="L3880" s="1" t="s">
        <v>267</v>
      </c>
      <c r="M3880" s="1"/>
      <c r="N3880" s="1">
        <f t="shared" si="189"/>
        <v>4</v>
      </c>
      <c r="O3880" s="87"/>
    </row>
    <row r="3881" spans="1:15" ht="15.75" hidden="1" x14ac:dyDescent="0.25">
      <c r="A3881" s="1" t="str">
        <f t="shared" si="188"/>
        <v>453944539648.19MASTER CCTRANSPORTUAE</v>
      </c>
      <c r="B3881" s="154">
        <v>45394</v>
      </c>
      <c r="C3881" s="154">
        <v>45396</v>
      </c>
      <c r="D3881" s="3" t="s">
        <v>4443</v>
      </c>
      <c r="E3881" s="3">
        <v>-48.19</v>
      </c>
      <c r="F3881" s="3">
        <v>1</v>
      </c>
      <c r="G3881" s="3">
        <f t="shared" si="190"/>
        <v>48.19</v>
      </c>
      <c r="H3881" s="3" t="s">
        <v>291</v>
      </c>
      <c r="I3881" s="1" t="s">
        <v>296</v>
      </c>
      <c r="J3881" s="1" t="s">
        <v>3303</v>
      </c>
      <c r="K3881" s="1" t="s">
        <v>298</v>
      </c>
      <c r="L3881" s="1" t="s">
        <v>267</v>
      </c>
      <c r="M3881" s="1"/>
      <c r="N3881" s="1">
        <f t="shared" si="189"/>
        <v>4</v>
      </c>
      <c r="O3881" s="87"/>
    </row>
    <row r="3882" spans="1:15" ht="15.75" hidden="1" x14ac:dyDescent="0.25">
      <c r="A3882" s="1" t="str">
        <f t="shared" si="188"/>
        <v>453944539645.68MASTER CCTRANSPORTUAE</v>
      </c>
      <c r="B3882" s="154">
        <v>45394</v>
      </c>
      <c r="C3882" s="154">
        <v>45396</v>
      </c>
      <c r="D3882" s="3" t="s">
        <v>4444</v>
      </c>
      <c r="E3882" s="3">
        <v>-45.68</v>
      </c>
      <c r="F3882" s="3">
        <v>1</v>
      </c>
      <c r="G3882" s="3">
        <f t="shared" si="190"/>
        <v>45.68</v>
      </c>
      <c r="H3882" s="3" t="s">
        <v>291</v>
      </c>
      <c r="I3882" s="1" t="s">
        <v>296</v>
      </c>
      <c r="J3882" s="1" t="s">
        <v>3303</v>
      </c>
      <c r="K3882" s="1" t="s">
        <v>298</v>
      </c>
      <c r="L3882" s="1" t="s">
        <v>267</v>
      </c>
      <c r="M3882" s="1"/>
      <c r="N3882" s="1">
        <f t="shared" si="189"/>
        <v>4</v>
      </c>
      <c r="O3882" s="87"/>
    </row>
    <row r="3883" spans="1:15" ht="15.75" hidden="1" x14ac:dyDescent="0.25">
      <c r="A3883" s="1" t="str">
        <f t="shared" si="188"/>
        <v>4539445395685.86MASTER CCHOTELUAE</v>
      </c>
      <c r="B3883" s="154">
        <v>45394</v>
      </c>
      <c r="C3883" s="154">
        <v>45395</v>
      </c>
      <c r="D3883" s="3" t="s">
        <v>4445</v>
      </c>
      <c r="E3883" s="3">
        <v>-685.86</v>
      </c>
      <c r="F3883" s="3">
        <v>1</v>
      </c>
      <c r="G3883" s="3">
        <f t="shared" si="190"/>
        <v>685.86</v>
      </c>
      <c r="H3883" s="3" t="s">
        <v>291</v>
      </c>
      <c r="I3883" s="1" t="s">
        <v>1128</v>
      </c>
      <c r="J3883" s="1" t="s">
        <v>3303</v>
      </c>
      <c r="K3883" s="1" t="s">
        <v>298</v>
      </c>
      <c r="L3883" s="1" t="s">
        <v>267</v>
      </c>
      <c r="M3883" s="1"/>
      <c r="N3883" s="1">
        <f t="shared" si="189"/>
        <v>4</v>
      </c>
      <c r="O3883" s="87"/>
    </row>
    <row r="3884" spans="1:15" ht="15.75" hidden="1" x14ac:dyDescent="0.25">
      <c r="A3884" s="1" t="str">
        <f t="shared" si="188"/>
        <v>4539445395447MASTER CCATTRACTIONUAE</v>
      </c>
      <c r="B3884" s="154">
        <v>45394</v>
      </c>
      <c r="C3884" s="154">
        <v>45395</v>
      </c>
      <c r="D3884" s="3" t="s">
        <v>4446</v>
      </c>
      <c r="E3884" s="3">
        <v>-447</v>
      </c>
      <c r="F3884" s="3">
        <v>1</v>
      </c>
      <c r="G3884" s="3">
        <f t="shared" si="190"/>
        <v>447</v>
      </c>
      <c r="H3884" s="3" t="s">
        <v>291</v>
      </c>
      <c r="I3884" s="1" t="s">
        <v>2408</v>
      </c>
      <c r="J3884" s="1" t="s">
        <v>3303</v>
      </c>
      <c r="K3884" s="1" t="s">
        <v>298</v>
      </c>
      <c r="L3884" s="1" t="s">
        <v>267</v>
      </c>
      <c r="M3884" s="1"/>
      <c r="N3884" s="1">
        <f t="shared" si="189"/>
        <v>4</v>
      </c>
      <c r="O3884" s="87"/>
    </row>
    <row r="3885" spans="1:15" ht="15.75" hidden="1" x14ac:dyDescent="0.25">
      <c r="A3885" s="1" t="str">
        <f t="shared" si="188"/>
        <v>453954539835.73MASTER CCFOODUAE</v>
      </c>
      <c r="B3885" s="154">
        <v>45395</v>
      </c>
      <c r="C3885" s="154">
        <v>45398</v>
      </c>
      <c r="D3885" s="3" t="s">
        <v>4425</v>
      </c>
      <c r="E3885" s="3">
        <v>-35.729999999999997</v>
      </c>
      <c r="F3885" s="3">
        <v>1</v>
      </c>
      <c r="G3885" s="3">
        <f t="shared" si="190"/>
        <v>35.729999999999997</v>
      </c>
      <c r="H3885" s="3" t="s">
        <v>291</v>
      </c>
      <c r="I3885" s="1" t="s">
        <v>10</v>
      </c>
      <c r="J3885" s="1" t="s">
        <v>3303</v>
      </c>
      <c r="K3885" s="1" t="s">
        <v>298</v>
      </c>
      <c r="L3885" s="1" t="s">
        <v>267</v>
      </c>
      <c r="M3885" s="1"/>
      <c r="N3885" s="1">
        <f t="shared" si="189"/>
        <v>4</v>
      </c>
      <c r="O3885" s="87"/>
    </row>
    <row r="3886" spans="1:15" ht="15.75" hidden="1" x14ac:dyDescent="0.25">
      <c r="A3886" s="1" t="str">
        <f t="shared" si="188"/>
        <v>453954539835.73MASTER CCFOODUAE</v>
      </c>
      <c r="B3886" s="154">
        <v>45395</v>
      </c>
      <c r="C3886" s="154">
        <v>45398</v>
      </c>
      <c r="D3886" s="3" t="s">
        <v>4426</v>
      </c>
      <c r="E3886" s="3">
        <v>-35.729999999999997</v>
      </c>
      <c r="F3886" s="3">
        <v>1</v>
      </c>
      <c r="G3886" s="3">
        <f t="shared" si="190"/>
        <v>35.729999999999997</v>
      </c>
      <c r="H3886" s="3" t="s">
        <v>291</v>
      </c>
      <c r="I3886" s="1" t="s">
        <v>10</v>
      </c>
      <c r="J3886" s="1" t="s">
        <v>3303</v>
      </c>
      <c r="K3886" s="1" t="s">
        <v>298</v>
      </c>
      <c r="L3886" s="1" t="s">
        <v>267</v>
      </c>
      <c r="M3886" s="1"/>
      <c r="N3886" s="1">
        <f t="shared" si="189"/>
        <v>4</v>
      </c>
      <c r="O3886" s="87"/>
    </row>
    <row r="3887" spans="1:15" ht="15.75" hidden="1" x14ac:dyDescent="0.25">
      <c r="A3887" s="1" t="str">
        <f t="shared" si="188"/>
        <v>453954539820.1MASTER CCFOODUAE</v>
      </c>
      <c r="B3887" s="154">
        <v>45395</v>
      </c>
      <c r="C3887" s="154">
        <v>45398</v>
      </c>
      <c r="D3887" s="3" t="s">
        <v>4427</v>
      </c>
      <c r="E3887" s="3">
        <v>-20.100000000000001</v>
      </c>
      <c r="F3887" s="3">
        <v>1</v>
      </c>
      <c r="G3887" s="3">
        <f t="shared" si="190"/>
        <v>20.100000000000001</v>
      </c>
      <c r="H3887" s="3" t="s">
        <v>291</v>
      </c>
      <c r="I3887" s="1" t="s">
        <v>10</v>
      </c>
      <c r="J3887" s="1" t="s">
        <v>3303</v>
      </c>
      <c r="K3887" s="1" t="s">
        <v>298</v>
      </c>
      <c r="L3887" s="1" t="s">
        <v>267</v>
      </c>
      <c r="M3887" s="1"/>
      <c r="N3887" s="1">
        <f t="shared" si="189"/>
        <v>4</v>
      </c>
      <c r="O3887" s="87"/>
    </row>
    <row r="3888" spans="1:15" ht="15.75" hidden="1" x14ac:dyDescent="0.25">
      <c r="A3888" s="1" t="str">
        <f t="shared" si="188"/>
        <v>453954539737.98MASTER CCFOODUAE</v>
      </c>
      <c r="B3888" s="154">
        <v>45395</v>
      </c>
      <c r="C3888" s="154">
        <v>45397</v>
      </c>
      <c r="D3888" s="3" t="s">
        <v>4428</v>
      </c>
      <c r="E3888" s="3">
        <v>-37.979999999999997</v>
      </c>
      <c r="F3888" s="3">
        <v>1</v>
      </c>
      <c r="G3888" s="3">
        <f t="shared" si="190"/>
        <v>37.979999999999997</v>
      </c>
      <c r="H3888" s="3" t="s">
        <v>291</v>
      </c>
      <c r="I3888" s="1" t="s">
        <v>10</v>
      </c>
      <c r="J3888" s="1" t="s">
        <v>3303</v>
      </c>
      <c r="K3888" s="1" t="s">
        <v>298</v>
      </c>
      <c r="L3888" s="1" t="s">
        <v>267</v>
      </c>
      <c r="M3888" s="1"/>
      <c r="N3888" s="1">
        <f t="shared" si="189"/>
        <v>4</v>
      </c>
      <c r="O3888" s="87"/>
    </row>
    <row r="3889" spans="1:15" ht="15.75" hidden="1" x14ac:dyDescent="0.25">
      <c r="A3889" s="1" t="str">
        <f t="shared" si="188"/>
        <v>453954539761.9MASTER CCTRANSPORTUAE</v>
      </c>
      <c r="B3889" s="154">
        <v>45395</v>
      </c>
      <c r="C3889" s="154">
        <v>45397</v>
      </c>
      <c r="D3889" s="3" t="s">
        <v>4429</v>
      </c>
      <c r="E3889" s="3">
        <v>-61.9</v>
      </c>
      <c r="F3889" s="3">
        <v>1</v>
      </c>
      <c r="G3889" s="3">
        <f t="shared" si="190"/>
        <v>61.9</v>
      </c>
      <c r="H3889" s="3" t="s">
        <v>291</v>
      </c>
      <c r="I3889" s="1" t="s">
        <v>296</v>
      </c>
      <c r="J3889" s="1" t="s">
        <v>3303</v>
      </c>
      <c r="K3889" s="1" t="s">
        <v>298</v>
      </c>
      <c r="L3889" s="1" t="s">
        <v>267</v>
      </c>
      <c r="M3889" s="1"/>
      <c r="N3889" s="1">
        <f t="shared" si="189"/>
        <v>4</v>
      </c>
      <c r="O3889" s="87"/>
    </row>
    <row r="3890" spans="1:15" ht="15.75" hidden="1" x14ac:dyDescent="0.25">
      <c r="A3890" s="1" t="str">
        <f t="shared" si="188"/>
        <v>453954539715.08MASTER CCFOODUAE</v>
      </c>
      <c r="B3890" s="154">
        <v>45395</v>
      </c>
      <c r="C3890" s="154">
        <v>45397</v>
      </c>
      <c r="D3890" s="3" t="s">
        <v>4430</v>
      </c>
      <c r="E3890" s="3">
        <v>-15.08</v>
      </c>
      <c r="F3890" s="3">
        <v>1</v>
      </c>
      <c r="G3890" s="3">
        <f t="shared" si="190"/>
        <v>15.08</v>
      </c>
      <c r="H3890" s="3" t="s">
        <v>291</v>
      </c>
      <c r="I3890" s="1" t="s">
        <v>10</v>
      </c>
      <c r="J3890" s="1" t="s">
        <v>3303</v>
      </c>
      <c r="K3890" s="1" t="s">
        <v>298</v>
      </c>
      <c r="L3890" s="1" t="s">
        <v>267</v>
      </c>
      <c r="M3890" s="1"/>
      <c r="N3890" s="1">
        <f t="shared" si="189"/>
        <v>4</v>
      </c>
      <c r="O3890" s="87"/>
    </row>
    <row r="3891" spans="1:15" ht="15.75" hidden="1" x14ac:dyDescent="0.25">
      <c r="A3891" s="1" t="str">
        <f t="shared" si="188"/>
        <v>4539545397150.62MASTER CCATTRACTIONUAE</v>
      </c>
      <c r="B3891" s="154">
        <v>45395</v>
      </c>
      <c r="C3891" s="154">
        <v>45397</v>
      </c>
      <c r="D3891" s="3" t="s">
        <v>4431</v>
      </c>
      <c r="E3891" s="3">
        <v>-150.62</v>
      </c>
      <c r="F3891" s="3">
        <v>1</v>
      </c>
      <c r="G3891" s="3">
        <f t="shared" si="190"/>
        <v>150.62</v>
      </c>
      <c r="H3891" s="3" t="s">
        <v>291</v>
      </c>
      <c r="I3891" s="1" t="s">
        <v>2408</v>
      </c>
      <c r="J3891" s="1" t="s">
        <v>3303</v>
      </c>
      <c r="K3891" s="1" t="s">
        <v>298</v>
      </c>
      <c r="L3891" s="1" t="s">
        <v>267</v>
      </c>
      <c r="M3891" s="1"/>
      <c r="N3891" s="1">
        <f t="shared" si="189"/>
        <v>4</v>
      </c>
      <c r="O3891" s="87"/>
    </row>
    <row r="3892" spans="1:15" ht="15.75" hidden="1" x14ac:dyDescent="0.25">
      <c r="A3892" s="1" t="str">
        <f t="shared" si="188"/>
        <v>453954539731.11MASTER CCTRANSPORTUAE</v>
      </c>
      <c r="B3892" s="154">
        <v>45395</v>
      </c>
      <c r="C3892" s="154">
        <v>45397</v>
      </c>
      <c r="D3892" s="3" t="s">
        <v>4432</v>
      </c>
      <c r="E3892" s="3">
        <v>-31.11</v>
      </c>
      <c r="F3892" s="3">
        <v>1</v>
      </c>
      <c r="G3892" s="3">
        <f t="shared" si="190"/>
        <v>31.11</v>
      </c>
      <c r="H3892" s="3" t="s">
        <v>291</v>
      </c>
      <c r="I3892" s="1" t="s">
        <v>296</v>
      </c>
      <c r="J3892" s="1" t="s">
        <v>3303</v>
      </c>
      <c r="K3892" s="1" t="s">
        <v>298</v>
      </c>
      <c r="L3892" s="1" t="s">
        <v>267</v>
      </c>
      <c r="M3892" s="1"/>
      <c r="N3892" s="1">
        <f t="shared" si="189"/>
        <v>4</v>
      </c>
      <c r="O3892" s="87"/>
    </row>
    <row r="3893" spans="1:15" ht="15.75" hidden="1" x14ac:dyDescent="0.25">
      <c r="A3893" s="1" t="str">
        <f t="shared" si="188"/>
        <v>453954539760.76MASTER CCTRANSPORTUAE</v>
      </c>
      <c r="B3893" s="154">
        <v>45395</v>
      </c>
      <c r="C3893" s="154">
        <v>45397</v>
      </c>
      <c r="D3893" s="3" t="s">
        <v>4433</v>
      </c>
      <c r="E3893" s="3">
        <v>-60.76</v>
      </c>
      <c r="F3893" s="3">
        <v>1</v>
      </c>
      <c r="G3893" s="3">
        <f t="shared" si="190"/>
        <v>60.76</v>
      </c>
      <c r="H3893" s="3" t="s">
        <v>291</v>
      </c>
      <c r="I3893" s="1" t="s">
        <v>296</v>
      </c>
      <c r="J3893" s="1" t="s">
        <v>3303</v>
      </c>
      <c r="K3893" s="1" t="s">
        <v>298</v>
      </c>
      <c r="L3893" s="1" t="s">
        <v>267</v>
      </c>
      <c r="M3893" s="1"/>
      <c r="N3893" s="1">
        <f t="shared" si="189"/>
        <v>4</v>
      </c>
      <c r="O3893" s="87"/>
    </row>
    <row r="3894" spans="1:15" ht="15.75" hidden="1" x14ac:dyDescent="0.25">
      <c r="A3894" s="1" t="str">
        <f t="shared" si="188"/>
        <v>453954539712.28MASTER CCFOODUAE</v>
      </c>
      <c r="B3894" s="154">
        <v>45395</v>
      </c>
      <c r="C3894" s="154">
        <v>45397</v>
      </c>
      <c r="D3894" s="3" t="s">
        <v>4434</v>
      </c>
      <c r="E3894" s="3">
        <v>-12.28</v>
      </c>
      <c r="F3894" s="3">
        <v>1</v>
      </c>
      <c r="G3894" s="3">
        <f t="shared" si="190"/>
        <v>12.28</v>
      </c>
      <c r="H3894" s="3" t="s">
        <v>291</v>
      </c>
      <c r="I3894" s="1" t="s">
        <v>10</v>
      </c>
      <c r="J3894" s="1" t="s">
        <v>3303</v>
      </c>
      <c r="K3894" s="1" t="s">
        <v>298</v>
      </c>
      <c r="L3894" s="1" t="s">
        <v>267</v>
      </c>
      <c r="M3894" s="1"/>
      <c r="N3894" s="1">
        <f t="shared" si="189"/>
        <v>4</v>
      </c>
      <c r="O3894" s="87"/>
    </row>
    <row r="3895" spans="1:15" ht="15.75" hidden="1" x14ac:dyDescent="0.25">
      <c r="A3895" s="1" t="str">
        <f t="shared" si="188"/>
        <v>4539545397123MASTER CCATTRACTIONUAE</v>
      </c>
      <c r="B3895" s="154">
        <v>45395</v>
      </c>
      <c r="C3895" s="154">
        <v>45397</v>
      </c>
      <c r="D3895" s="3" t="s">
        <v>4435</v>
      </c>
      <c r="E3895" s="3">
        <v>-123</v>
      </c>
      <c r="F3895" s="3">
        <v>1</v>
      </c>
      <c r="G3895" s="3">
        <f t="shared" si="190"/>
        <v>123</v>
      </c>
      <c r="H3895" s="3" t="s">
        <v>291</v>
      </c>
      <c r="I3895" s="1" t="s">
        <v>2408</v>
      </c>
      <c r="J3895" s="1" t="s">
        <v>3303</v>
      </c>
      <c r="K3895" s="1" t="s">
        <v>298</v>
      </c>
      <c r="L3895" s="1" t="s">
        <v>267</v>
      </c>
      <c r="M3895" s="1"/>
      <c r="N3895" s="1">
        <f t="shared" si="189"/>
        <v>4</v>
      </c>
      <c r="O3895" s="87"/>
    </row>
    <row r="3896" spans="1:15" ht="15.75" hidden="1" x14ac:dyDescent="0.25">
      <c r="A3896" s="1" t="str">
        <f t="shared" si="188"/>
        <v>4539545396186.69MASTER CCATTRACTIONUAE</v>
      </c>
      <c r="B3896" s="154">
        <v>45395</v>
      </c>
      <c r="C3896" s="154">
        <v>45396</v>
      </c>
      <c r="D3896" s="3" t="s">
        <v>4436</v>
      </c>
      <c r="E3896" s="3">
        <v>-186.69</v>
      </c>
      <c r="F3896" s="3">
        <v>1</v>
      </c>
      <c r="G3896" s="3">
        <f t="shared" si="190"/>
        <v>186.69</v>
      </c>
      <c r="H3896" s="3" t="s">
        <v>291</v>
      </c>
      <c r="I3896" s="1" t="s">
        <v>2408</v>
      </c>
      <c r="J3896" s="1" t="s">
        <v>3303</v>
      </c>
      <c r="K3896" s="1" t="s">
        <v>298</v>
      </c>
      <c r="L3896" s="1" t="s">
        <v>267</v>
      </c>
      <c r="M3896" s="1"/>
      <c r="N3896" s="1">
        <f t="shared" si="189"/>
        <v>4</v>
      </c>
      <c r="O3896" s="87"/>
    </row>
    <row r="3897" spans="1:15" ht="15" hidden="1" customHeight="1" x14ac:dyDescent="0.25">
      <c r="A3897" s="1" t="str">
        <f t="shared" si="188"/>
        <v>45396453960CURRENTFOODUAE</v>
      </c>
      <c r="B3897" s="154">
        <v>45396</v>
      </c>
      <c r="C3897" s="154">
        <v>45396</v>
      </c>
      <c r="D3897" s="3" t="s">
        <v>13</v>
      </c>
      <c r="E3897" s="3">
        <f>1487+6+12.08</f>
        <v>1505.08</v>
      </c>
      <c r="F3897" s="3">
        <v>0</v>
      </c>
      <c r="G3897" s="3">
        <f t="shared" si="190"/>
        <v>0</v>
      </c>
      <c r="H3897" s="3" t="s">
        <v>293</v>
      </c>
      <c r="I3897" s="1" t="s">
        <v>10</v>
      </c>
      <c r="J3897" s="1" t="s">
        <v>3303</v>
      </c>
      <c r="K3897" s="1" t="s">
        <v>298</v>
      </c>
      <c r="L3897" s="1" t="s">
        <v>257</v>
      </c>
      <c r="M3897" s="1"/>
      <c r="N3897" s="1">
        <f t="shared" si="189"/>
        <v>4</v>
      </c>
      <c r="O3897" s="87"/>
    </row>
    <row r="3898" spans="1:15" ht="15" hidden="1" customHeight="1" x14ac:dyDescent="0.25">
      <c r="A3898" s="1" t="str">
        <f t="shared" si="188"/>
        <v>4539645396300CURRENTTRANSPORTUAE</v>
      </c>
      <c r="B3898" s="154">
        <v>45396</v>
      </c>
      <c r="C3898" s="154">
        <v>45396</v>
      </c>
      <c r="D3898" s="3" t="s">
        <v>13</v>
      </c>
      <c r="E3898" s="3">
        <v>300</v>
      </c>
      <c r="F3898" s="3">
        <v>1</v>
      </c>
      <c r="G3898" s="3">
        <f t="shared" si="190"/>
        <v>300</v>
      </c>
      <c r="H3898" s="3" t="s">
        <v>293</v>
      </c>
      <c r="I3898" s="1" t="s">
        <v>296</v>
      </c>
      <c r="J3898" s="1" t="s">
        <v>3303</v>
      </c>
      <c r="K3898" s="1" t="s">
        <v>298</v>
      </c>
      <c r="L3898" s="1" t="s">
        <v>257</v>
      </c>
      <c r="M3898" s="1"/>
      <c r="N3898" s="1">
        <f t="shared" si="189"/>
        <v>4</v>
      </c>
      <c r="O3898" s="87"/>
    </row>
    <row r="3899" spans="1:15" ht="15.75" hidden="1" x14ac:dyDescent="0.25">
      <c r="A3899" s="1" t="str">
        <f t="shared" si="188"/>
        <v>45396453961205.08CURRENTFOODUAE</v>
      </c>
      <c r="B3899" s="154">
        <v>45396</v>
      </c>
      <c r="C3899" s="154">
        <v>45396</v>
      </c>
      <c r="D3899" s="3" t="s">
        <v>13</v>
      </c>
      <c r="E3899" s="3">
        <v>1205.08</v>
      </c>
      <c r="F3899" s="3">
        <v>1</v>
      </c>
      <c r="G3899" s="3">
        <f t="shared" si="190"/>
        <v>1205.08</v>
      </c>
      <c r="H3899" s="3" t="s">
        <v>293</v>
      </c>
      <c r="I3899" s="1" t="s">
        <v>10</v>
      </c>
      <c r="J3899" s="1" t="s">
        <v>3303</v>
      </c>
      <c r="K3899" s="1" t="s">
        <v>298</v>
      </c>
      <c r="L3899" s="1" t="s">
        <v>257</v>
      </c>
      <c r="M3899" s="1"/>
      <c r="N3899" s="1">
        <f t="shared" si="189"/>
        <v>4</v>
      </c>
      <c r="O3899" s="87"/>
    </row>
    <row r="3900" spans="1:15" ht="15.75" hidden="1" x14ac:dyDescent="0.25">
      <c r="A3900" s="1" t="str">
        <f t="shared" si="188"/>
        <v>453964539938.82MASTER CCFOODUAE</v>
      </c>
      <c r="B3900" s="154">
        <v>45396</v>
      </c>
      <c r="C3900" s="154">
        <v>45399</v>
      </c>
      <c r="D3900" s="3" t="s">
        <v>4419</v>
      </c>
      <c r="E3900" s="3">
        <v>-38.82</v>
      </c>
      <c r="F3900" s="3">
        <v>1</v>
      </c>
      <c r="G3900" s="3">
        <f t="shared" si="190"/>
        <v>38.82</v>
      </c>
      <c r="H3900" s="3" t="s">
        <v>291</v>
      </c>
      <c r="I3900" s="1" t="s">
        <v>10</v>
      </c>
      <c r="J3900" s="1" t="s">
        <v>3303</v>
      </c>
      <c r="K3900" s="1" t="s">
        <v>298</v>
      </c>
      <c r="L3900" s="1" t="s">
        <v>267</v>
      </c>
      <c r="M3900" s="1"/>
      <c r="N3900" s="1">
        <f t="shared" si="189"/>
        <v>4</v>
      </c>
      <c r="O3900" s="87"/>
    </row>
    <row r="3901" spans="1:15" ht="15.75" hidden="1" x14ac:dyDescent="0.25">
      <c r="A3901" s="1" t="str">
        <f t="shared" si="188"/>
        <v>453964539810.02MASTER CCFOODUAE</v>
      </c>
      <c r="B3901" s="154">
        <v>45396</v>
      </c>
      <c r="C3901" s="154">
        <v>45398</v>
      </c>
      <c r="D3901" s="3" t="s">
        <v>4420</v>
      </c>
      <c r="E3901" s="3">
        <v>-10.02</v>
      </c>
      <c r="F3901" s="3">
        <v>1</v>
      </c>
      <c r="G3901" s="3">
        <f t="shared" si="190"/>
        <v>10.02</v>
      </c>
      <c r="H3901" s="3" t="s">
        <v>291</v>
      </c>
      <c r="I3901" s="1" t="s">
        <v>10</v>
      </c>
      <c r="J3901" s="1" t="s">
        <v>3303</v>
      </c>
      <c r="K3901" s="1" t="s">
        <v>298</v>
      </c>
      <c r="L3901" s="1" t="s">
        <v>267</v>
      </c>
      <c r="M3901" s="1"/>
      <c r="N3901" s="1">
        <f t="shared" si="189"/>
        <v>4</v>
      </c>
      <c r="O3901" s="87"/>
    </row>
    <row r="3902" spans="1:15" ht="15.75" hidden="1" x14ac:dyDescent="0.25">
      <c r="A3902" s="1" t="str">
        <f t="shared" si="188"/>
        <v>453964539845.2MASTER CCSHOPPINGUAE</v>
      </c>
      <c r="B3902" s="154">
        <v>45396</v>
      </c>
      <c r="C3902" s="154">
        <v>45398</v>
      </c>
      <c r="D3902" s="3" t="s">
        <v>4421</v>
      </c>
      <c r="E3902" s="3">
        <v>-45.2</v>
      </c>
      <c r="F3902" s="3">
        <v>1</v>
      </c>
      <c r="G3902" s="3">
        <f t="shared" si="190"/>
        <v>45.2</v>
      </c>
      <c r="H3902" s="3" t="s">
        <v>291</v>
      </c>
      <c r="I3902" s="1" t="s">
        <v>194</v>
      </c>
      <c r="J3902" s="1" t="s">
        <v>3303</v>
      </c>
      <c r="K3902" s="1" t="s">
        <v>298</v>
      </c>
      <c r="L3902" s="1" t="s">
        <v>267</v>
      </c>
      <c r="M3902" s="1"/>
      <c r="N3902" s="1">
        <f t="shared" si="189"/>
        <v>4</v>
      </c>
      <c r="O3902" s="87"/>
    </row>
    <row r="3903" spans="1:15" ht="15.75" hidden="1" x14ac:dyDescent="0.25">
      <c r="A3903" s="1" t="str">
        <f t="shared" si="188"/>
        <v>453964539889.37MASTER CCFOODUAE</v>
      </c>
      <c r="B3903" s="154">
        <v>45396</v>
      </c>
      <c r="C3903" s="154">
        <v>45398</v>
      </c>
      <c r="D3903" s="3" t="s">
        <v>4422</v>
      </c>
      <c r="E3903" s="3">
        <v>-89.37</v>
      </c>
      <c r="F3903" s="3">
        <v>1</v>
      </c>
      <c r="G3903" s="3">
        <f t="shared" si="190"/>
        <v>89.37</v>
      </c>
      <c r="H3903" s="3" t="s">
        <v>291</v>
      </c>
      <c r="I3903" s="1" t="s">
        <v>10</v>
      </c>
      <c r="J3903" s="1" t="s">
        <v>3303</v>
      </c>
      <c r="K3903" s="1" t="s">
        <v>298</v>
      </c>
      <c r="L3903" s="1" t="s">
        <v>267</v>
      </c>
      <c r="M3903" s="1"/>
      <c r="N3903" s="1">
        <f t="shared" si="189"/>
        <v>4</v>
      </c>
      <c r="O3903" s="87"/>
    </row>
    <row r="3904" spans="1:15" ht="15.75" hidden="1" x14ac:dyDescent="0.25">
      <c r="A3904" s="1" t="str">
        <f t="shared" si="188"/>
        <v>453964539741.92MASTER CCTRANSPORTUAE</v>
      </c>
      <c r="B3904" s="154">
        <v>45396</v>
      </c>
      <c r="C3904" s="154">
        <v>45397</v>
      </c>
      <c r="D3904" s="3" t="s">
        <v>4423</v>
      </c>
      <c r="E3904" s="3">
        <v>-41.92</v>
      </c>
      <c r="F3904" s="3">
        <v>1</v>
      </c>
      <c r="G3904" s="3">
        <f t="shared" si="190"/>
        <v>41.92</v>
      </c>
      <c r="H3904" s="3" t="s">
        <v>291</v>
      </c>
      <c r="I3904" s="1" t="s">
        <v>296</v>
      </c>
      <c r="J3904" s="1" t="s">
        <v>3303</v>
      </c>
      <c r="K3904" s="1" t="s">
        <v>298</v>
      </c>
      <c r="L3904" s="1" t="s">
        <v>267</v>
      </c>
      <c r="M3904" s="1"/>
      <c r="N3904" s="1">
        <f t="shared" si="189"/>
        <v>4</v>
      </c>
      <c r="O3904" s="87"/>
    </row>
    <row r="3905" spans="1:15" ht="15.75" hidden="1" x14ac:dyDescent="0.25">
      <c r="A3905" s="1" t="str">
        <f t="shared" si="188"/>
        <v>4539645397262MASTER CCATTRACTIONUAE</v>
      </c>
      <c r="B3905" s="154">
        <v>45396</v>
      </c>
      <c r="C3905" s="154">
        <v>45397</v>
      </c>
      <c r="D3905" s="3" t="s">
        <v>4424</v>
      </c>
      <c r="E3905" s="3">
        <v>-262</v>
      </c>
      <c r="F3905" s="3">
        <v>1</v>
      </c>
      <c r="G3905" s="3">
        <f t="shared" si="190"/>
        <v>262</v>
      </c>
      <c r="H3905" s="3" t="s">
        <v>291</v>
      </c>
      <c r="I3905" s="1" t="s">
        <v>2408</v>
      </c>
      <c r="J3905" s="1" t="s">
        <v>3303</v>
      </c>
      <c r="K3905" s="1" t="s">
        <v>298</v>
      </c>
      <c r="L3905" s="1" t="s">
        <v>267</v>
      </c>
      <c r="M3905" s="1"/>
      <c r="N3905" s="1">
        <f t="shared" si="189"/>
        <v>4</v>
      </c>
      <c r="O3905" s="87"/>
    </row>
    <row r="3906" spans="1:15" ht="15.75" hidden="1" x14ac:dyDescent="0.25">
      <c r="A3906" s="1" t="str">
        <f t="shared" ref="A3906:A3969" si="191">B3906&amp;C3906&amp;G3906&amp;H3906&amp;I3906&amp;J3906</f>
        <v>45396453960CURRENTTRAVELUAE</v>
      </c>
      <c r="B3906" s="154">
        <v>45396</v>
      </c>
      <c r="C3906" s="154">
        <v>45396</v>
      </c>
      <c r="D3906" s="3" t="s">
        <v>4492</v>
      </c>
      <c r="E3906" s="3">
        <v>-6</v>
      </c>
      <c r="F3906" s="3">
        <v>0</v>
      </c>
      <c r="G3906" s="3">
        <f t="shared" si="190"/>
        <v>0</v>
      </c>
      <c r="H3906" s="3" t="s">
        <v>293</v>
      </c>
      <c r="I3906" s="1" t="s">
        <v>393</v>
      </c>
      <c r="J3906" s="1" t="s">
        <v>3303</v>
      </c>
      <c r="K3906" s="1" t="s">
        <v>298</v>
      </c>
      <c r="L3906" s="1" t="s">
        <v>257</v>
      </c>
      <c r="M3906" s="1"/>
      <c r="N3906" s="1">
        <f t="shared" ref="N3906:N3969" si="192">MONTH(C3906)</f>
        <v>4</v>
      </c>
      <c r="O3906" s="87"/>
    </row>
    <row r="3907" spans="1:15" ht="15.75" hidden="1" x14ac:dyDescent="0.25">
      <c r="A3907" s="1" t="str">
        <f t="shared" si="191"/>
        <v>45396453960CURRENTTRAVELUAE</v>
      </c>
      <c r="B3907" s="154">
        <v>45396</v>
      </c>
      <c r="C3907" s="154">
        <v>45396</v>
      </c>
      <c r="D3907" s="3" t="s">
        <v>4493</v>
      </c>
      <c r="E3907" s="3">
        <v>-1487.4</v>
      </c>
      <c r="F3907" s="3">
        <v>0</v>
      </c>
      <c r="G3907" s="3">
        <f t="shared" si="190"/>
        <v>0</v>
      </c>
      <c r="H3907" s="3" t="s">
        <v>293</v>
      </c>
      <c r="I3907" s="1" t="s">
        <v>393</v>
      </c>
      <c r="J3907" s="1" t="s">
        <v>3303</v>
      </c>
      <c r="K3907" s="1" t="s">
        <v>298</v>
      </c>
      <c r="L3907" s="1" t="s">
        <v>257</v>
      </c>
      <c r="M3907" s="1"/>
      <c r="N3907" s="1">
        <f t="shared" si="192"/>
        <v>4</v>
      </c>
      <c r="O3907" s="87"/>
    </row>
    <row r="3908" spans="1:15" ht="15.75" hidden="1" x14ac:dyDescent="0.25">
      <c r="A3908" s="1" t="str">
        <f t="shared" si="191"/>
        <v>45396453960CURRENTGROCERYLULU</v>
      </c>
      <c r="B3908" s="154">
        <v>45396</v>
      </c>
      <c r="C3908" s="154">
        <v>45396</v>
      </c>
      <c r="D3908" s="3" t="s">
        <v>4494</v>
      </c>
      <c r="E3908" s="3">
        <v>-49.82</v>
      </c>
      <c r="F3908" s="3">
        <v>0</v>
      </c>
      <c r="G3908" s="3">
        <f t="shared" si="190"/>
        <v>0</v>
      </c>
      <c r="H3908" s="3" t="s">
        <v>293</v>
      </c>
      <c r="I3908" s="1" t="s">
        <v>43</v>
      </c>
      <c r="J3908" s="1" t="s">
        <v>44</v>
      </c>
      <c r="K3908" s="1" t="s">
        <v>298</v>
      </c>
      <c r="L3908" s="1" t="s">
        <v>257</v>
      </c>
      <c r="M3908" s="1"/>
      <c r="N3908" s="1">
        <f t="shared" si="192"/>
        <v>4</v>
      </c>
      <c r="O3908" s="87"/>
    </row>
    <row r="3909" spans="1:15" ht="15.75" hidden="1" x14ac:dyDescent="0.25">
      <c r="A3909" s="1" t="str">
        <f t="shared" si="191"/>
        <v>453974540020.5MASTER CCFOODUAE</v>
      </c>
      <c r="B3909" s="154">
        <v>45397</v>
      </c>
      <c r="C3909" s="154">
        <v>45400</v>
      </c>
      <c r="D3909" s="3" t="s">
        <v>4415</v>
      </c>
      <c r="E3909" s="3">
        <v>-20.5</v>
      </c>
      <c r="F3909" s="3">
        <v>1</v>
      </c>
      <c r="G3909" s="3">
        <f t="shared" si="190"/>
        <v>20.5</v>
      </c>
      <c r="H3909" s="3" t="s">
        <v>291</v>
      </c>
      <c r="I3909" s="1" t="s">
        <v>10</v>
      </c>
      <c r="J3909" s="1" t="s">
        <v>3303</v>
      </c>
      <c r="K3909" s="1" t="s">
        <v>298</v>
      </c>
      <c r="L3909" s="1" t="s">
        <v>267</v>
      </c>
      <c r="M3909" s="1"/>
      <c r="N3909" s="1">
        <f t="shared" si="192"/>
        <v>4</v>
      </c>
      <c r="O3909" s="87"/>
    </row>
    <row r="3910" spans="1:15" ht="15.75" hidden="1" x14ac:dyDescent="0.25">
      <c r="A3910" s="1" t="str">
        <f t="shared" si="191"/>
        <v>453974539912.54MASTER CCTRANSPORTUAE</v>
      </c>
      <c r="B3910" s="154">
        <v>45397</v>
      </c>
      <c r="C3910" s="154">
        <v>45399</v>
      </c>
      <c r="D3910" s="3" t="s">
        <v>4416</v>
      </c>
      <c r="E3910" s="3">
        <v>-12.54</v>
      </c>
      <c r="F3910" s="3">
        <v>1</v>
      </c>
      <c r="G3910" s="3">
        <f t="shared" si="190"/>
        <v>12.54</v>
      </c>
      <c r="H3910" s="3" t="s">
        <v>291</v>
      </c>
      <c r="I3910" s="1" t="s">
        <v>296</v>
      </c>
      <c r="J3910" s="1" t="s">
        <v>3303</v>
      </c>
      <c r="K3910" s="1" t="s">
        <v>298</v>
      </c>
      <c r="L3910" s="1" t="s">
        <v>267</v>
      </c>
      <c r="M3910" s="1"/>
      <c r="N3910" s="1">
        <f t="shared" si="192"/>
        <v>4</v>
      </c>
      <c r="O3910" s="87"/>
    </row>
    <row r="3911" spans="1:15" ht="15.75" hidden="1" x14ac:dyDescent="0.25">
      <c r="A3911" s="1" t="str">
        <f t="shared" si="191"/>
        <v>453974539930.12MASTER CCSHOPPINGUAE</v>
      </c>
      <c r="B3911" s="154">
        <v>45397</v>
      </c>
      <c r="C3911" s="154">
        <v>45399</v>
      </c>
      <c r="D3911" s="3" t="s">
        <v>4417</v>
      </c>
      <c r="E3911" s="3">
        <v>-30.12</v>
      </c>
      <c r="F3911" s="3">
        <v>1</v>
      </c>
      <c r="G3911" s="3">
        <f t="shared" si="190"/>
        <v>30.12</v>
      </c>
      <c r="H3911" s="3" t="s">
        <v>291</v>
      </c>
      <c r="I3911" s="1" t="s">
        <v>194</v>
      </c>
      <c r="J3911" s="1" t="s">
        <v>3303</v>
      </c>
      <c r="K3911" s="1" t="s">
        <v>298</v>
      </c>
      <c r="L3911" s="1" t="s">
        <v>267</v>
      </c>
      <c r="M3911" s="1"/>
      <c r="N3911" s="1">
        <f t="shared" si="192"/>
        <v>4</v>
      </c>
      <c r="O3911" s="87"/>
    </row>
    <row r="3912" spans="1:15" ht="15.75" hidden="1" x14ac:dyDescent="0.25">
      <c r="A3912" s="1" t="str">
        <f t="shared" si="191"/>
        <v>4539745399114.48MASTER CCSHOPPINGUAE</v>
      </c>
      <c r="B3912" s="154">
        <v>45397</v>
      </c>
      <c r="C3912" s="154">
        <v>45399</v>
      </c>
      <c r="D3912" s="3" t="s">
        <v>4418</v>
      </c>
      <c r="E3912" s="3">
        <v>-114.48</v>
      </c>
      <c r="F3912" s="3">
        <v>1</v>
      </c>
      <c r="G3912" s="3">
        <f t="shared" si="190"/>
        <v>114.48</v>
      </c>
      <c r="H3912" s="3" t="s">
        <v>291</v>
      </c>
      <c r="I3912" s="1" t="s">
        <v>194</v>
      </c>
      <c r="J3912" s="1" t="s">
        <v>3303</v>
      </c>
      <c r="K3912" s="1" t="s">
        <v>298</v>
      </c>
      <c r="L3912" s="1" t="s">
        <v>267</v>
      </c>
      <c r="M3912" s="1"/>
      <c r="N3912" s="1">
        <f t="shared" si="192"/>
        <v>4</v>
      </c>
      <c r="O3912" s="87"/>
    </row>
    <row r="3913" spans="1:15" ht="15.75" hidden="1" x14ac:dyDescent="0.25">
      <c r="A3913" s="1" t="str">
        <f t="shared" si="191"/>
        <v>45397454001743.57DINERSHOTELUAE</v>
      </c>
      <c r="B3913" s="154">
        <v>45397</v>
      </c>
      <c r="C3913" s="154">
        <v>45400</v>
      </c>
      <c r="D3913" s="3" t="s">
        <v>4489</v>
      </c>
      <c r="E3913" s="3">
        <v>-1743.57</v>
      </c>
      <c r="F3913" s="3">
        <v>1</v>
      </c>
      <c r="G3913" s="3">
        <f t="shared" si="190"/>
        <v>1743.57</v>
      </c>
      <c r="H3913" s="3" t="s">
        <v>266</v>
      </c>
      <c r="I3913" s="1" t="s">
        <v>1128</v>
      </c>
      <c r="J3913" s="1" t="s">
        <v>3303</v>
      </c>
      <c r="K3913" s="1" t="s">
        <v>298</v>
      </c>
      <c r="L3913" s="1" t="s">
        <v>267</v>
      </c>
      <c r="M3913" s="1"/>
      <c r="N3913" s="1">
        <f t="shared" si="192"/>
        <v>4</v>
      </c>
      <c r="O3913" s="87"/>
    </row>
    <row r="3914" spans="1:15" ht="15.75" hidden="1" x14ac:dyDescent="0.25">
      <c r="A3914" s="1" t="str">
        <f t="shared" si="191"/>
        <v>4539845400115.48MASTER CCFOODUAE</v>
      </c>
      <c r="B3914" s="154">
        <v>45398</v>
      </c>
      <c r="C3914" s="154">
        <v>45400</v>
      </c>
      <c r="D3914" s="3" t="s">
        <v>4413</v>
      </c>
      <c r="E3914" s="3">
        <v>-115.48</v>
      </c>
      <c r="F3914" s="3">
        <v>1</v>
      </c>
      <c r="G3914" s="3">
        <f t="shared" si="190"/>
        <v>115.48</v>
      </c>
      <c r="H3914" s="3" t="s">
        <v>291</v>
      </c>
      <c r="I3914" s="1" t="s">
        <v>10</v>
      </c>
      <c r="J3914" s="1" t="s">
        <v>3303</v>
      </c>
      <c r="K3914" s="1" t="s">
        <v>298</v>
      </c>
      <c r="L3914" s="1" t="s">
        <v>267</v>
      </c>
      <c r="M3914" s="1"/>
      <c r="N3914" s="1">
        <f t="shared" si="192"/>
        <v>4</v>
      </c>
      <c r="O3914" s="87"/>
    </row>
    <row r="3915" spans="1:15" ht="15.75" hidden="1" x14ac:dyDescent="0.25">
      <c r="A3915" s="1" t="str">
        <f t="shared" si="191"/>
        <v>453984540060.24MASTER CCSHOPPINGUAE</v>
      </c>
      <c r="B3915" s="154">
        <v>45398</v>
      </c>
      <c r="C3915" s="154">
        <v>45400</v>
      </c>
      <c r="D3915" s="3" t="s">
        <v>4414</v>
      </c>
      <c r="E3915" s="3">
        <v>-60.24</v>
      </c>
      <c r="F3915" s="3">
        <v>1</v>
      </c>
      <c r="G3915" s="3">
        <f t="shared" ref="G3915:G3978" si="193">ABS(E3915)*F3915</f>
        <v>60.24</v>
      </c>
      <c r="H3915" s="3" t="s">
        <v>291</v>
      </c>
      <c r="I3915" s="1" t="s">
        <v>194</v>
      </c>
      <c r="J3915" s="1" t="s">
        <v>3303</v>
      </c>
      <c r="K3915" s="1" t="s">
        <v>298</v>
      </c>
      <c r="L3915" s="1" t="s">
        <v>267</v>
      </c>
      <c r="M3915" s="1"/>
      <c r="N3915" s="1">
        <f t="shared" si="192"/>
        <v>4</v>
      </c>
      <c r="O3915" s="87"/>
    </row>
    <row r="3916" spans="1:15" ht="15.75" hidden="1" x14ac:dyDescent="0.25">
      <c r="A3916" s="1" t="str">
        <f t="shared" si="191"/>
        <v>4539945402195.82MASTER CCFOODUAE</v>
      </c>
      <c r="B3916" s="154">
        <v>45399</v>
      </c>
      <c r="C3916" s="154">
        <v>45402</v>
      </c>
      <c r="D3916" s="3" t="s">
        <v>4412</v>
      </c>
      <c r="E3916" s="3">
        <v>-195.82</v>
      </c>
      <c r="F3916" s="3">
        <v>1</v>
      </c>
      <c r="G3916" s="3">
        <f t="shared" si="193"/>
        <v>195.82</v>
      </c>
      <c r="H3916" s="3" t="s">
        <v>291</v>
      </c>
      <c r="I3916" s="1" t="s">
        <v>10</v>
      </c>
      <c r="J3916" s="1" t="s">
        <v>3303</v>
      </c>
      <c r="K3916" s="1" t="s">
        <v>298</v>
      </c>
      <c r="L3916" s="1" t="s">
        <v>267</v>
      </c>
      <c r="M3916" s="1"/>
      <c r="N3916" s="1">
        <f t="shared" si="192"/>
        <v>4</v>
      </c>
      <c r="O3916" s="87"/>
    </row>
    <row r="3917" spans="1:15" ht="15.75" hidden="1" x14ac:dyDescent="0.25">
      <c r="A3917" s="1" t="str">
        <f t="shared" si="191"/>
        <v>4539945401115.22MASTER CCTRANSPORTUAE</v>
      </c>
      <c r="B3917" s="154">
        <v>45399</v>
      </c>
      <c r="C3917" s="154">
        <v>45401</v>
      </c>
      <c r="D3917" s="3" t="s">
        <v>4408</v>
      </c>
      <c r="E3917" s="3">
        <v>-115.22</v>
      </c>
      <c r="F3917" s="3">
        <v>1</v>
      </c>
      <c r="G3917" s="3">
        <f t="shared" si="193"/>
        <v>115.22</v>
      </c>
      <c r="H3917" s="3" t="s">
        <v>291</v>
      </c>
      <c r="I3917" s="1" t="s">
        <v>296</v>
      </c>
      <c r="J3917" s="1" t="s">
        <v>3303</v>
      </c>
      <c r="K3917" s="1" t="s">
        <v>298</v>
      </c>
      <c r="L3917" s="1" t="s">
        <v>267</v>
      </c>
      <c r="M3917" s="1"/>
      <c r="N3917" s="1">
        <f t="shared" si="192"/>
        <v>4</v>
      </c>
      <c r="O3917" s="87"/>
    </row>
    <row r="3918" spans="1:15" ht="15.75" hidden="1" x14ac:dyDescent="0.25">
      <c r="A3918" s="1" t="str">
        <f t="shared" si="191"/>
        <v>4539945401135.57MASTER CCFOODUAE</v>
      </c>
      <c r="B3918" s="154">
        <v>45399</v>
      </c>
      <c r="C3918" s="154">
        <v>45401</v>
      </c>
      <c r="D3918" s="3" t="s">
        <v>4409</v>
      </c>
      <c r="E3918" s="3">
        <v>-135.57</v>
      </c>
      <c r="F3918" s="3">
        <v>1</v>
      </c>
      <c r="G3918" s="3">
        <f t="shared" si="193"/>
        <v>135.57</v>
      </c>
      <c r="H3918" s="3" t="s">
        <v>291</v>
      </c>
      <c r="I3918" s="1" t="s">
        <v>10</v>
      </c>
      <c r="J3918" s="1" t="s">
        <v>3303</v>
      </c>
      <c r="K3918" s="1" t="s">
        <v>298</v>
      </c>
      <c r="L3918" s="1" t="s">
        <v>267</v>
      </c>
      <c r="M3918" s="1"/>
      <c r="N3918" s="1">
        <f t="shared" si="192"/>
        <v>4</v>
      </c>
      <c r="O3918" s="87"/>
    </row>
    <row r="3919" spans="1:15" ht="15.75" hidden="1" x14ac:dyDescent="0.25">
      <c r="A3919" s="1" t="str">
        <f t="shared" si="191"/>
        <v>4539945401150.62MASTER CCSHOPPINGUAE</v>
      </c>
      <c r="B3919" s="154">
        <v>45399</v>
      </c>
      <c r="C3919" s="154">
        <v>45401</v>
      </c>
      <c r="D3919" s="3" t="s">
        <v>4410</v>
      </c>
      <c r="E3919" s="3">
        <v>-150.62</v>
      </c>
      <c r="F3919" s="3">
        <v>1</v>
      </c>
      <c r="G3919" s="3">
        <f t="shared" si="193"/>
        <v>150.62</v>
      </c>
      <c r="H3919" s="3" t="s">
        <v>291</v>
      </c>
      <c r="I3919" s="1" t="s">
        <v>194</v>
      </c>
      <c r="J3919" s="1" t="s">
        <v>3303</v>
      </c>
      <c r="K3919" s="1" t="s">
        <v>298</v>
      </c>
      <c r="L3919" s="1" t="s">
        <v>267</v>
      </c>
      <c r="M3919" s="1"/>
      <c r="N3919" s="1">
        <f t="shared" si="192"/>
        <v>4</v>
      </c>
      <c r="O3919" s="87"/>
    </row>
    <row r="3920" spans="1:15" ht="15.75" hidden="1" x14ac:dyDescent="0.25">
      <c r="A3920" s="1" t="str">
        <f t="shared" si="191"/>
        <v>453994540130.12MASTER CCFOODUAE</v>
      </c>
      <c r="B3920" s="154">
        <v>45399</v>
      </c>
      <c r="C3920" s="154">
        <v>45401</v>
      </c>
      <c r="D3920" s="3" t="s">
        <v>4411</v>
      </c>
      <c r="E3920" s="3">
        <v>-30.12</v>
      </c>
      <c r="F3920" s="3">
        <v>1</v>
      </c>
      <c r="G3920" s="3">
        <f t="shared" si="193"/>
        <v>30.12</v>
      </c>
      <c r="H3920" s="3" t="s">
        <v>291</v>
      </c>
      <c r="I3920" s="1" t="s">
        <v>10</v>
      </c>
      <c r="J3920" s="1" t="s">
        <v>3303</v>
      </c>
      <c r="K3920" s="1" t="s">
        <v>298</v>
      </c>
      <c r="L3920" s="1" t="s">
        <v>267</v>
      </c>
      <c r="M3920" s="1"/>
      <c r="N3920" s="1">
        <f t="shared" si="192"/>
        <v>4</v>
      </c>
      <c r="O3920" s="87"/>
    </row>
    <row r="3921" spans="1:15" ht="15.75" hidden="1" x14ac:dyDescent="0.25">
      <c r="A3921" s="1" t="str">
        <f t="shared" si="191"/>
        <v>4540045400130MASTER CCTELECOMOOREDOO</v>
      </c>
      <c r="B3921" s="154">
        <v>45400</v>
      </c>
      <c r="C3921" s="154">
        <f>B3921</f>
        <v>45400</v>
      </c>
      <c r="D3921" s="3" t="s">
        <v>4403</v>
      </c>
      <c r="E3921" s="3">
        <v>-130</v>
      </c>
      <c r="F3921" s="3">
        <v>1</v>
      </c>
      <c r="G3921" s="3">
        <f t="shared" si="193"/>
        <v>130</v>
      </c>
      <c r="H3921" s="3" t="s">
        <v>291</v>
      </c>
      <c r="I3921" s="1" t="s">
        <v>58</v>
      </c>
      <c r="J3921" s="1" t="s">
        <v>59</v>
      </c>
      <c r="K3921" s="1" t="s">
        <v>298</v>
      </c>
      <c r="L3921" s="1" t="s">
        <v>267</v>
      </c>
      <c r="M3921" s="1"/>
      <c r="N3921" s="1">
        <f t="shared" si="192"/>
        <v>4</v>
      </c>
      <c r="O3921" s="87"/>
    </row>
    <row r="3922" spans="1:15" ht="15.75" hidden="1" x14ac:dyDescent="0.25">
      <c r="A3922" s="1" t="str">
        <f t="shared" si="191"/>
        <v>4540045405130MASTER CCTELECOMOOREDOO</v>
      </c>
      <c r="B3922" s="154">
        <v>45400</v>
      </c>
      <c r="C3922" s="154">
        <v>45405</v>
      </c>
      <c r="D3922" s="3" t="s">
        <v>4403</v>
      </c>
      <c r="E3922" s="3">
        <v>-130</v>
      </c>
      <c r="F3922" s="3">
        <v>1</v>
      </c>
      <c r="G3922" s="3">
        <f t="shared" si="193"/>
        <v>130</v>
      </c>
      <c r="H3922" s="3" t="s">
        <v>291</v>
      </c>
      <c r="I3922" s="1" t="s">
        <v>58</v>
      </c>
      <c r="J3922" s="1" t="s">
        <v>59</v>
      </c>
      <c r="K3922" s="1" t="s">
        <v>298</v>
      </c>
      <c r="L3922" s="1" t="s">
        <v>267</v>
      </c>
      <c r="M3922" s="1"/>
      <c r="N3922" s="1">
        <f t="shared" si="192"/>
        <v>4</v>
      </c>
      <c r="O3922" s="87"/>
    </row>
    <row r="3923" spans="1:15" ht="15.75" hidden="1" x14ac:dyDescent="0.25">
      <c r="A3923" s="1" t="str">
        <f t="shared" si="191"/>
        <v>4540045404138.59MASTER CCFOODUAE</v>
      </c>
      <c r="B3923" s="154">
        <v>45400</v>
      </c>
      <c r="C3923" s="154">
        <v>45404</v>
      </c>
      <c r="D3923" s="3" t="s">
        <v>4628</v>
      </c>
      <c r="E3923" s="3">
        <v>-138.59</v>
      </c>
      <c r="F3923" s="3">
        <v>1</v>
      </c>
      <c r="G3923" s="3">
        <f t="shared" si="193"/>
        <v>138.59</v>
      </c>
      <c r="H3923" s="3" t="s">
        <v>291</v>
      </c>
      <c r="I3923" s="1" t="s">
        <v>10</v>
      </c>
      <c r="J3923" s="1" t="s">
        <v>3303</v>
      </c>
      <c r="K3923" s="1" t="s">
        <v>298</v>
      </c>
      <c r="L3923" s="1" t="s">
        <v>267</v>
      </c>
      <c r="M3923" s="1"/>
      <c r="N3923" s="1">
        <f t="shared" si="192"/>
        <v>4</v>
      </c>
      <c r="O3923" s="87"/>
    </row>
    <row r="3924" spans="1:15" ht="15.75" hidden="1" x14ac:dyDescent="0.25">
      <c r="A3924" s="1" t="str">
        <f t="shared" si="191"/>
        <v>454004540360.24MASTER CCFOODUAE</v>
      </c>
      <c r="B3924" s="154">
        <v>45400</v>
      </c>
      <c r="C3924" s="154">
        <v>45403</v>
      </c>
      <c r="D3924" s="3" t="s">
        <v>4402</v>
      </c>
      <c r="E3924" s="3">
        <v>-60.24</v>
      </c>
      <c r="F3924" s="3">
        <v>1</v>
      </c>
      <c r="G3924" s="3">
        <f t="shared" si="193"/>
        <v>60.24</v>
      </c>
      <c r="H3924" s="3" t="s">
        <v>291</v>
      </c>
      <c r="I3924" s="1" t="s">
        <v>10</v>
      </c>
      <c r="J3924" s="1" t="s">
        <v>3303</v>
      </c>
      <c r="K3924" s="1" t="s">
        <v>298</v>
      </c>
      <c r="L3924" s="1" t="s">
        <v>267</v>
      </c>
      <c r="M3924" s="1"/>
      <c r="N3924" s="1">
        <f t="shared" si="192"/>
        <v>4</v>
      </c>
      <c r="O3924" s="87"/>
    </row>
    <row r="3925" spans="1:15" ht="15.75" hidden="1" x14ac:dyDescent="0.25">
      <c r="A3925" s="1" t="str">
        <f t="shared" si="191"/>
        <v>4540045403100.4MASTER CCFOODUAE</v>
      </c>
      <c r="B3925" s="154">
        <v>45400</v>
      </c>
      <c r="C3925" s="154">
        <v>45403</v>
      </c>
      <c r="D3925" s="3" t="s">
        <v>4405</v>
      </c>
      <c r="E3925" s="3">
        <v>-100.4</v>
      </c>
      <c r="F3925" s="3">
        <v>1</v>
      </c>
      <c r="G3925" s="3">
        <f t="shared" si="193"/>
        <v>100.4</v>
      </c>
      <c r="H3925" s="3" t="s">
        <v>291</v>
      </c>
      <c r="I3925" s="1" t="s">
        <v>10</v>
      </c>
      <c r="J3925" s="1" t="s">
        <v>3303</v>
      </c>
      <c r="K3925" s="1" t="s">
        <v>298</v>
      </c>
      <c r="L3925" s="1" t="s">
        <v>267</v>
      </c>
      <c r="M3925" s="1"/>
      <c r="N3925" s="1">
        <f t="shared" si="192"/>
        <v>4</v>
      </c>
      <c r="O3925" s="87"/>
    </row>
    <row r="3926" spans="1:15" ht="15.75" hidden="1" x14ac:dyDescent="0.25">
      <c r="A3926" s="1" t="str">
        <f t="shared" si="191"/>
        <v>454004540212.06MASTER CCTRANSPORTUAE</v>
      </c>
      <c r="B3926" s="154">
        <v>45400</v>
      </c>
      <c r="C3926" s="154">
        <v>45402</v>
      </c>
      <c r="D3926" s="3" t="s">
        <v>4407</v>
      </c>
      <c r="E3926" s="3">
        <v>-12.06</v>
      </c>
      <c r="F3926" s="3">
        <v>1</v>
      </c>
      <c r="G3926" s="3">
        <f t="shared" si="193"/>
        <v>12.06</v>
      </c>
      <c r="H3926" s="3" t="s">
        <v>291</v>
      </c>
      <c r="I3926" s="1" t="s">
        <v>296</v>
      </c>
      <c r="J3926" s="1" t="s">
        <v>3303</v>
      </c>
      <c r="K3926" s="1" t="s">
        <v>298</v>
      </c>
      <c r="L3926" s="1" t="s">
        <v>267</v>
      </c>
      <c r="M3926" s="1"/>
      <c r="N3926" s="1">
        <f t="shared" si="192"/>
        <v>4</v>
      </c>
      <c r="O3926" s="87"/>
    </row>
    <row r="3927" spans="1:15" ht="15.75" hidden="1" x14ac:dyDescent="0.25">
      <c r="A3927" s="1" t="str">
        <f t="shared" si="191"/>
        <v>454004540212.06MASTER CCTRANSPORTUAE</v>
      </c>
      <c r="B3927" s="154">
        <v>45400</v>
      </c>
      <c r="C3927" s="154">
        <v>45402</v>
      </c>
      <c r="D3927" s="3" t="s">
        <v>4404</v>
      </c>
      <c r="E3927" s="3">
        <v>-12.06</v>
      </c>
      <c r="F3927" s="3">
        <v>1</v>
      </c>
      <c r="G3927" s="3">
        <f t="shared" si="193"/>
        <v>12.06</v>
      </c>
      <c r="H3927" s="3" t="s">
        <v>291</v>
      </c>
      <c r="I3927" s="1" t="s">
        <v>296</v>
      </c>
      <c r="J3927" s="1" t="s">
        <v>3303</v>
      </c>
      <c r="K3927" s="1" t="s">
        <v>298</v>
      </c>
      <c r="L3927" s="1" t="s">
        <v>267</v>
      </c>
      <c r="M3927" s="1"/>
      <c r="N3927" s="1">
        <f t="shared" si="192"/>
        <v>4</v>
      </c>
      <c r="O3927" s="87"/>
    </row>
    <row r="3928" spans="1:15" ht="15.75" hidden="1" x14ac:dyDescent="0.25">
      <c r="A3928" s="1" t="str">
        <f t="shared" si="191"/>
        <v>4540045402116.47MASTER CCTRANSPORTUAE</v>
      </c>
      <c r="B3928" s="154">
        <v>45400</v>
      </c>
      <c r="C3928" s="154">
        <v>45402</v>
      </c>
      <c r="D3928" s="3" t="s">
        <v>4406</v>
      </c>
      <c r="E3928" s="3">
        <v>-116.47</v>
      </c>
      <c r="F3928" s="3">
        <v>1</v>
      </c>
      <c r="G3928" s="3">
        <f t="shared" si="193"/>
        <v>116.47</v>
      </c>
      <c r="H3928" s="3" t="s">
        <v>291</v>
      </c>
      <c r="I3928" s="1" t="s">
        <v>296</v>
      </c>
      <c r="J3928" s="1" t="s">
        <v>3303</v>
      </c>
      <c r="K3928" s="1" t="s">
        <v>298</v>
      </c>
      <c r="L3928" s="1" t="s">
        <v>267</v>
      </c>
      <c r="M3928" s="1"/>
      <c r="N3928" s="1">
        <f t="shared" si="192"/>
        <v>4</v>
      </c>
      <c r="O3928" s="87"/>
    </row>
    <row r="3929" spans="1:15" ht="15.75" hidden="1" x14ac:dyDescent="0.25">
      <c r="A3929" s="1" t="str">
        <f t="shared" si="191"/>
        <v>4540145401750CURRENTTRAVELUAE</v>
      </c>
      <c r="B3929" s="154">
        <v>45401</v>
      </c>
      <c r="C3929" s="154">
        <f>B3929</f>
        <v>45401</v>
      </c>
      <c r="D3929" s="3" t="s">
        <v>4486</v>
      </c>
      <c r="E3929" s="3">
        <v>750</v>
      </c>
      <c r="F3929" s="3">
        <v>1</v>
      </c>
      <c r="G3929" s="3">
        <f t="shared" si="193"/>
        <v>750</v>
      </c>
      <c r="H3929" s="3" t="s">
        <v>293</v>
      </c>
      <c r="I3929" s="1" t="s">
        <v>393</v>
      </c>
      <c r="J3929" s="1" t="s">
        <v>3303</v>
      </c>
      <c r="K3929" s="1" t="s">
        <v>298</v>
      </c>
      <c r="L3929" s="1" t="s">
        <v>257</v>
      </c>
      <c r="M3929" s="1"/>
      <c r="N3929" s="1">
        <f t="shared" si="192"/>
        <v>4</v>
      </c>
      <c r="O3929" s="87"/>
    </row>
    <row r="3930" spans="1:15" ht="15.75" hidden="1" x14ac:dyDescent="0.25">
      <c r="A3930" s="1" t="str">
        <f t="shared" si="191"/>
        <v>454014540586.19MASTER CCGROCERYMANGO</v>
      </c>
      <c r="B3930" s="154">
        <v>45401</v>
      </c>
      <c r="C3930" s="154">
        <v>45405</v>
      </c>
      <c r="D3930" s="3" t="s">
        <v>4400</v>
      </c>
      <c r="E3930" s="3">
        <v>-86.19</v>
      </c>
      <c r="F3930" s="3">
        <v>1</v>
      </c>
      <c r="G3930" s="3">
        <f t="shared" si="193"/>
        <v>86.19</v>
      </c>
      <c r="H3930" s="3" t="s">
        <v>291</v>
      </c>
      <c r="I3930" s="1" t="s">
        <v>43</v>
      </c>
      <c r="J3930" s="1" t="s">
        <v>3634</v>
      </c>
      <c r="K3930" s="1" t="s">
        <v>298</v>
      </c>
      <c r="L3930" s="1" t="s">
        <v>267</v>
      </c>
      <c r="M3930" s="1"/>
      <c r="N3930" s="1">
        <f t="shared" si="192"/>
        <v>4</v>
      </c>
      <c r="O3930" s="87"/>
    </row>
    <row r="3931" spans="1:15" ht="15.75" hidden="1" x14ac:dyDescent="0.25">
      <c r="A3931" s="1" t="str">
        <f t="shared" si="191"/>
        <v>4540145404583.59MASTER CCHOTELUAE</v>
      </c>
      <c r="B3931" s="154">
        <v>45401</v>
      </c>
      <c r="C3931" s="154">
        <v>45404</v>
      </c>
      <c r="D3931" s="3" t="s">
        <v>4363</v>
      </c>
      <c r="E3931" s="3">
        <v>-583.59</v>
      </c>
      <c r="F3931" s="3">
        <v>1</v>
      </c>
      <c r="G3931" s="3">
        <f t="shared" si="193"/>
        <v>583.59</v>
      </c>
      <c r="H3931" s="3" t="s">
        <v>291</v>
      </c>
      <c r="I3931" s="1" t="s">
        <v>1128</v>
      </c>
      <c r="J3931" s="1" t="s">
        <v>3303</v>
      </c>
      <c r="K3931" s="1" t="s">
        <v>298</v>
      </c>
      <c r="L3931" s="1" t="s">
        <v>267</v>
      </c>
      <c r="M3931" s="1"/>
      <c r="N3931" s="1">
        <f t="shared" si="192"/>
        <v>4</v>
      </c>
      <c r="O3931" s="87"/>
    </row>
    <row r="3932" spans="1:15" ht="15.75" hidden="1" x14ac:dyDescent="0.25">
      <c r="A3932" s="1" t="str">
        <f t="shared" si="191"/>
        <v>454014540461MASTER CCFOODTALABAT</v>
      </c>
      <c r="B3932" s="154">
        <v>45401</v>
      </c>
      <c r="C3932" s="154">
        <v>45404</v>
      </c>
      <c r="D3932" s="3" t="s">
        <v>4401</v>
      </c>
      <c r="E3932" s="3">
        <v>-61</v>
      </c>
      <c r="F3932" s="3">
        <v>1</v>
      </c>
      <c r="G3932" s="3">
        <f t="shared" si="193"/>
        <v>61</v>
      </c>
      <c r="H3932" s="3" t="s">
        <v>291</v>
      </c>
      <c r="I3932" s="1" t="s">
        <v>10</v>
      </c>
      <c r="J3932" s="1" t="s">
        <v>865</v>
      </c>
      <c r="K3932" s="1" t="s">
        <v>298</v>
      </c>
      <c r="L3932" s="1" t="s">
        <v>267</v>
      </c>
      <c r="M3932" s="1"/>
      <c r="N3932" s="1">
        <f t="shared" si="192"/>
        <v>4</v>
      </c>
      <c r="O3932" s="87"/>
    </row>
    <row r="3933" spans="1:15" ht="15.75" hidden="1" x14ac:dyDescent="0.25">
      <c r="A3933" s="1" t="str">
        <f t="shared" si="191"/>
        <v>454014540245MASTER CCTRANSPORTUAE</v>
      </c>
      <c r="B3933" s="154">
        <v>45401</v>
      </c>
      <c r="C3933" s="154">
        <v>45402</v>
      </c>
      <c r="D3933" s="3" t="s">
        <v>4627</v>
      </c>
      <c r="E3933" s="3">
        <v>-45</v>
      </c>
      <c r="F3933" s="3">
        <v>1</v>
      </c>
      <c r="G3933" s="3">
        <f t="shared" si="193"/>
        <v>45</v>
      </c>
      <c r="H3933" s="3" t="s">
        <v>291</v>
      </c>
      <c r="I3933" s="1" t="s">
        <v>296</v>
      </c>
      <c r="J3933" s="1" t="s">
        <v>3303</v>
      </c>
      <c r="K3933" s="1" t="s">
        <v>298</v>
      </c>
      <c r="L3933" s="1" t="s">
        <v>267</v>
      </c>
      <c r="M3933" s="1"/>
      <c r="N3933" s="1">
        <f t="shared" si="192"/>
        <v>4</v>
      </c>
      <c r="O3933" s="87"/>
    </row>
    <row r="3934" spans="1:15" ht="15.75" hidden="1" x14ac:dyDescent="0.25">
      <c r="A3934" s="1" t="str">
        <f t="shared" si="191"/>
        <v>4540245405274.67MASTER CCGROCERYINDIAN SUPER</v>
      </c>
      <c r="B3934" s="154">
        <v>45402</v>
      </c>
      <c r="C3934" s="154">
        <v>45405</v>
      </c>
      <c r="D3934" s="3" t="s">
        <v>4625</v>
      </c>
      <c r="E3934" s="3">
        <v>-274.67</v>
      </c>
      <c r="F3934" s="3">
        <v>1</v>
      </c>
      <c r="G3934" s="3">
        <f t="shared" si="193"/>
        <v>274.67</v>
      </c>
      <c r="H3934" s="3" t="s">
        <v>291</v>
      </c>
      <c r="I3934" s="1" t="s">
        <v>43</v>
      </c>
      <c r="J3934" s="1" t="s">
        <v>2273</v>
      </c>
      <c r="K3934" s="1" t="s">
        <v>298</v>
      </c>
      <c r="L3934" s="1" t="s">
        <v>267</v>
      </c>
      <c r="M3934" s="1"/>
      <c r="N3934" s="1">
        <f t="shared" si="192"/>
        <v>4</v>
      </c>
      <c r="O3934" s="87"/>
    </row>
    <row r="3935" spans="1:15" ht="15.75" hidden="1" x14ac:dyDescent="0.25">
      <c r="A3935" s="1" t="str">
        <f t="shared" si="191"/>
        <v>454024540530MASTER CCGROCERYMANGO</v>
      </c>
      <c r="B3935" s="154">
        <v>45402</v>
      </c>
      <c r="C3935" s="154">
        <v>45405</v>
      </c>
      <c r="D3935" s="3" t="s">
        <v>4626</v>
      </c>
      <c r="E3935" s="3">
        <v>-30</v>
      </c>
      <c r="F3935" s="3">
        <v>1</v>
      </c>
      <c r="G3935" s="3">
        <f t="shared" si="193"/>
        <v>30</v>
      </c>
      <c r="H3935" s="3" t="s">
        <v>291</v>
      </c>
      <c r="I3935" s="1" t="s">
        <v>43</v>
      </c>
      <c r="J3935" s="1" t="s">
        <v>3634</v>
      </c>
      <c r="K3935" s="1" t="s">
        <v>298</v>
      </c>
      <c r="L3935" s="1" t="s">
        <v>267</v>
      </c>
      <c r="M3935" s="1"/>
      <c r="N3935" s="1">
        <f t="shared" si="192"/>
        <v>4</v>
      </c>
      <c r="O3935" s="87"/>
    </row>
    <row r="3936" spans="1:15" ht="15.75" hidden="1" x14ac:dyDescent="0.25">
      <c r="A3936" s="1" t="str">
        <f t="shared" si="191"/>
        <v>454034540312.08CURRENTTRANSPORTUAE</v>
      </c>
      <c r="B3936" s="154">
        <v>45403</v>
      </c>
      <c r="C3936" s="154">
        <v>45403</v>
      </c>
      <c r="D3936" s="3" t="s">
        <v>4491</v>
      </c>
      <c r="E3936" s="3">
        <v>-12.08</v>
      </c>
      <c r="F3936" s="3">
        <v>1</v>
      </c>
      <c r="G3936" s="3">
        <f t="shared" si="193"/>
        <v>12.08</v>
      </c>
      <c r="H3936" s="3" t="s">
        <v>293</v>
      </c>
      <c r="I3936" s="1" t="s">
        <v>296</v>
      </c>
      <c r="J3936" s="1" t="s">
        <v>3303</v>
      </c>
      <c r="K3936" s="1" t="s">
        <v>298</v>
      </c>
      <c r="L3936" s="1" t="s">
        <v>257</v>
      </c>
      <c r="M3936" s="1"/>
      <c r="N3936" s="1">
        <f t="shared" si="192"/>
        <v>4</v>
      </c>
      <c r="O3936" s="87"/>
    </row>
    <row r="3937" spans="1:109" ht="15.75" hidden="1" x14ac:dyDescent="0.25">
      <c r="A3937" s="1" t="str">
        <f t="shared" si="191"/>
        <v>454044540625.98MASTER CCTRANSPORTUBER</v>
      </c>
      <c r="B3937" s="154">
        <v>45404</v>
      </c>
      <c r="C3937" s="154">
        <v>45406</v>
      </c>
      <c r="D3937" s="3" t="s">
        <v>4624</v>
      </c>
      <c r="E3937" s="3">
        <v>-25.98</v>
      </c>
      <c r="F3937" s="3">
        <v>1</v>
      </c>
      <c r="G3937" s="3">
        <f t="shared" si="193"/>
        <v>25.98</v>
      </c>
      <c r="H3937" s="3" t="s">
        <v>291</v>
      </c>
      <c r="I3937" s="1" t="s">
        <v>296</v>
      </c>
      <c r="J3937" s="1" t="s">
        <v>299</v>
      </c>
      <c r="K3937" s="1" t="s">
        <v>298</v>
      </c>
      <c r="L3937" s="1" t="s">
        <v>267</v>
      </c>
      <c r="M3937" s="1"/>
      <c r="N3937" s="1">
        <f t="shared" si="192"/>
        <v>4</v>
      </c>
      <c r="O3937" s="87"/>
    </row>
    <row r="3938" spans="1:109" ht="15.75" hidden="1" x14ac:dyDescent="0.25">
      <c r="A3938" s="1" t="str">
        <f t="shared" si="191"/>
        <v>454044540460CURRENTFOODCAFÉ/REST.</v>
      </c>
      <c r="B3938" s="154">
        <v>45404</v>
      </c>
      <c r="C3938" s="154">
        <v>45404</v>
      </c>
      <c r="D3938" s="3" t="s">
        <v>4668</v>
      </c>
      <c r="E3938" s="3">
        <v>-60</v>
      </c>
      <c r="F3938" s="3">
        <v>1</v>
      </c>
      <c r="G3938" s="3">
        <f t="shared" si="193"/>
        <v>60</v>
      </c>
      <c r="H3938" s="3" t="s">
        <v>293</v>
      </c>
      <c r="I3938" s="1" t="s">
        <v>10</v>
      </c>
      <c r="J3938" s="1" t="s">
        <v>11</v>
      </c>
      <c r="K3938" s="1" t="s">
        <v>298</v>
      </c>
      <c r="L3938" s="1" t="s">
        <v>257</v>
      </c>
      <c r="M3938" s="1"/>
      <c r="N3938" s="1">
        <f t="shared" si="192"/>
        <v>4</v>
      </c>
      <c r="O3938" s="87"/>
    </row>
    <row r="3939" spans="1:109" ht="15.75" hidden="1" x14ac:dyDescent="0.25">
      <c r="A3939" s="1" t="str">
        <f t="shared" si="191"/>
        <v>454054540875MASTER CCFOODCAFÉ/REST.</v>
      </c>
      <c r="B3939" s="154">
        <v>45405</v>
      </c>
      <c r="C3939" s="154">
        <v>45408</v>
      </c>
      <c r="D3939" s="3" t="s">
        <v>4618</v>
      </c>
      <c r="E3939" s="3">
        <v>-75</v>
      </c>
      <c r="F3939" s="3">
        <v>1</v>
      </c>
      <c r="G3939" s="3">
        <f t="shared" si="193"/>
        <v>75</v>
      </c>
      <c r="H3939" s="3" t="s">
        <v>291</v>
      </c>
      <c r="I3939" s="1" t="s">
        <v>10</v>
      </c>
      <c r="J3939" s="1" t="s">
        <v>11</v>
      </c>
      <c r="K3939" s="1" t="s">
        <v>298</v>
      </c>
      <c r="L3939" s="1" t="s">
        <v>267</v>
      </c>
      <c r="M3939" s="1"/>
      <c r="N3939" s="1">
        <f t="shared" si="192"/>
        <v>4</v>
      </c>
      <c r="O3939" s="87"/>
    </row>
    <row r="3940" spans="1:109" s="161" customFormat="1" ht="15.75" hidden="1" x14ac:dyDescent="0.25">
      <c r="A3940" s="1" t="str">
        <f t="shared" si="191"/>
        <v>454054540818MASTER CCFOODCAFÉ/REST.</v>
      </c>
      <c r="B3940" s="154">
        <v>45405</v>
      </c>
      <c r="C3940" s="154">
        <v>45408</v>
      </c>
      <c r="D3940" s="3" t="s">
        <v>4619</v>
      </c>
      <c r="E3940" s="3">
        <v>-18</v>
      </c>
      <c r="F3940" s="3">
        <v>1</v>
      </c>
      <c r="G3940" s="3">
        <f t="shared" si="193"/>
        <v>18</v>
      </c>
      <c r="H3940" s="3" t="s">
        <v>291</v>
      </c>
      <c r="I3940" s="1" t="s">
        <v>10</v>
      </c>
      <c r="J3940" s="1" t="s">
        <v>11</v>
      </c>
      <c r="K3940" s="1" t="s">
        <v>298</v>
      </c>
      <c r="L3940" s="1" t="s">
        <v>267</v>
      </c>
      <c r="M3940" s="1"/>
      <c r="N3940" s="1">
        <f t="shared" si="192"/>
        <v>4</v>
      </c>
      <c r="O3940" s="87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  <c r="AR3940"/>
      <c r="AS3940"/>
      <c r="AT3940"/>
      <c r="AU3940"/>
      <c r="AV3940"/>
      <c r="AW3940"/>
      <c r="AX3940"/>
      <c r="AY3940"/>
      <c r="AZ3940"/>
      <c r="BA3940"/>
      <c r="BB3940"/>
      <c r="BC3940"/>
      <c r="BD3940"/>
      <c r="BE3940"/>
      <c r="BF3940"/>
      <c r="BG3940"/>
      <c r="BH3940"/>
      <c r="BI3940"/>
      <c r="BJ3940"/>
      <c r="BK3940"/>
      <c r="BL3940"/>
      <c r="BM3940"/>
      <c r="BN3940"/>
      <c r="BO3940"/>
      <c r="BP3940"/>
      <c r="BQ3940"/>
      <c r="BR3940"/>
      <c r="BS3940"/>
      <c r="BT3940"/>
      <c r="BU3940"/>
      <c r="BV3940"/>
      <c r="BW3940"/>
      <c r="BX3940"/>
      <c r="BY3940"/>
      <c r="BZ3940"/>
      <c r="CA3940"/>
      <c r="CB3940"/>
      <c r="CC3940"/>
      <c r="CD3940"/>
      <c r="CE3940"/>
      <c r="CF3940"/>
      <c r="CG3940"/>
      <c r="CH3940"/>
      <c r="CI3940"/>
      <c r="CJ3940"/>
      <c r="CK3940"/>
      <c r="CL3940"/>
      <c r="CM3940"/>
      <c r="CN3940"/>
      <c r="CO3940"/>
      <c r="CP3940"/>
      <c r="CQ3940"/>
      <c r="CR3940"/>
      <c r="CS3940"/>
      <c r="CT3940"/>
      <c r="CU3940"/>
      <c r="CV3940"/>
      <c r="CW3940"/>
      <c r="CX3940"/>
      <c r="CY3940"/>
      <c r="CZ3940"/>
      <c r="DA3940"/>
      <c r="DB3940"/>
      <c r="DC3940"/>
      <c r="DD3940"/>
      <c r="DE3940"/>
    </row>
    <row r="3941" spans="1:109" ht="15.75" hidden="1" x14ac:dyDescent="0.25">
      <c r="A3941" s="1" t="str">
        <f t="shared" si="191"/>
        <v>454054540830MASTER CCFOODCAFÉ/REST.</v>
      </c>
      <c r="B3941" s="154">
        <v>45405</v>
      </c>
      <c r="C3941" s="154">
        <v>45408</v>
      </c>
      <c r="D3941" s="3" t="s">
        <v>4620</v>
      </c>
      <c r="E3941" s="3">
        <v>-30</v>
      </c>
      <c r="F3941" s="3">
        <v>1</v>
      </c>
      <c r="G3941" s="3">
        <f t="shared" si="193"/>
        <v>30</v>
      </c>
      <c r="H3941" s="3" t="s">
        <v>291</v>
      </c>
      <c r="I3941" s="1" t="s">
        <v>10</v>
      </c>
      <c r="J3941" s="1" t="s">
        <v>11</v>
      </c>
      <c r="K3941" s="1" t="s">
        <v>298</v>
      </c>
      <c r="L3941" s="1" t="s">
        <v>267</v>
      </c>
      <c r="M3941" s="1"/>
      <c r="N3941" s="1">
        <f t="shared" si="192"/>
        <v>4</v>
      </c>
      <c r="O3941" s="87"/>
    </row>
    <row r="3942" spans="1:109" ht="15.75" hidden="1" x14ac:dyDescent="0.25">
      <c r="A3942" s="1" t="str">
        <f t="shared" si="191"/>
        <v>454054540736.9MASTER CCGROCERYRED ROSE</v>
      </c>
      <c r="B3942" s="154">
        <v>45405</v>
      </c>
      <c r="C3942" s="154">
        <v>45407</v>
      </c>
      <c r="D3942" s="3" t="s">
        <v>4621</v>
      </c>
      <c r="E3942" s="3">
        <v>-36.9</v>
      </c>
      <c r="F3942" s="3">
        <v>1</v>
      </c>
      <c r="G3942" s="3">
        <f t="shared" si="193"/>
        <v>36.9</v>
      </c>
      <c r="H3942" s="3" t="s">
        <v>291</v>
      </c>
      <c r="I3942" s="1" t="s">
        <v>43</v>
      </c>
      <c r="J3942" s="1" t="s">
        <v>4516</v>
      </c>
      <c r="K3942" s="1" t="s">
        <v>298</v>
      </c>
      <c r="L3942" s="1" t="s">
        <v>267</v>
      </c>
      <c r="M3942" s="1"/>
      <c r="N3942" s="1">
        <f t="shared" si="192"/>
        <v>4</v>
      </c>
      <c r="O3942" s="87"/>
    </row>
    <row r="3943" spans="1:109" ht="15.75" hidden="1" x14ac:dyDescent="0.25">
      <c r="A3943" s="1" t="str">
        <f t="shared" si="191"/>
        <v>454054540724.9MASTER CCTRANSPORTUBER</v>
      </c>
      <c r="B3943" s="154">
        <v>45405</v>
      </c>
      <c r="C3943" s="154">
        <v>45407</v>
      </c>
      <c r="D3943" s="3" t="s">
        <v>4622</v>
      </c>
      <c r="E3943" s="3">
        <v>-24.9</v>
      </c>
      <c r="F3943" s="3">
        <v>1</v>
      </c>
      <c r="G3943" s="3">
        <f t="shared" si="193"/>
        <v>24.9</v>
      </c>
      <c r="H3943" s="3" t="s">
        <v>291</v>
      </c>
      <c r="I3943" s="1" t="s">
        <v>296</v>
      </c>
      <c r="J3943" s="1" t="s">
        <v>299</v>
      </c>
      <c r="K3943" s="1" t="s">
        <v>298</v>
      </c>
      <c r="L3943" s="1" t="s">
        <v>267</v>
      </c>
      <c r="M3943" s="1"/>
      <c r="N3943" s="1">
        <f t="shared" si="192"/>
        <v>4</v>
      </c>
      <c r="O3943" s="87"/>
    </row>
    <row r="3944" spans="1:109" ht="15.75" hidden="1" x14ac:dyDescent="0.25">
      <c r="A3944" s="1" t="str">
        <f t="shared" si="191"/>
        <v>454054540611MASTER CCMEDICALASTER</v>
      </c>
      <c r="B3944" s="154">
        <v>45405</v>
      </c>
      <c r="C3944" s="154">
        <v>45406</v>
      </c>
      <c r="D3944" s="3" t="s">
        <v>4623</v>
      </c>
      <c r="E3944" s="3">
        <v>-11</v>
      </c>
      <c r="F3944" s="3">
        <v>1</v>
      </c>
      <c r="G3944" s="3">
        <f t="shared" si="193"/>
        <v>11</v>
      </c>
      <c r="H3944" s="3" t="s">
        <v>291</v>
      </c>
      <c r="I3944" s="1" t="s">
        <v>301</v>
      </c>
      <c r="J3944" s="1" t="s">
        <v>303</v>
      </c>
      <c r="K3944" s="1" t="s">
        <v>298</v>
      </c>
      <c r="L3944" s="1" t="s">
        <v>267</v>
      </c>
      <c r="M3944" s="1"/>
      <c r="N3944" s="1">
        <f t="shared" si="192"/>
        <v>4</v>
      </c>
      <c r="O3944" s="87"/>
    </row>
    <row r="3945" spans="1:109" ht="15.75" hidden="1" x14ac:dyDescent="0.25">
      <c r="A3945" s="1" t="str">
        <f t="shared" si="191"/>
        <v>454074540813536.87DINERSCC BILL PAYMENTBANK</v>
      </c>
      <c r="B3945" s="154">
        <v>45407</v>
      </c>
      <c r="C3945" s="154">
        <v>45408</v>
      </c>
      <c r="D3945" s="3" t="s">
        <v>80</v>
      </c>
      <c r="E3945" s="3">
        <v>13536.87</v>
      </c>
      <c r="F3945" s="3">
        <v>1</v>
      </c>
      <c r="G3945" s="3">
        <f t="shared" si="193"/>
        <v>13536.87</v>
      </c>
      <c r="H3945" s="3" t="s">
        <v>266</v>
      </c>
      <c r="I3945" s="1" t="s">
        <v>81</v>
      </c>
      <c r="J3945" s="1" t="s">
        <v>8</v>
      </c>
      <c r="K3945" s="1" t="s">
        <v>300</v>
      </c>
      <c r="L3945" s="1" t="s">
        <v>267</v>
      </c>
      <c r="M3945" s="1"/>
      <c r="N3945" s="1">
        <f t="shared" si="192"/>
        <v>4</v>
      </c>
      <c r="O3945" s="87"/>
    </row>
    <row r="3946" spans="1:109" ht="15.75" hidden="1" x14ac:dyDescent="0.25">
      <c r="A3946" s="165" t="str">
        <f t="shared" si="191"/>
        <v>454074540710000CURRENTTRANSFERSELF</v>
      </c>
      <c r="B3946" s="156">
        <v>45407</v>
      </c>
      <c r="C3946" s="156">
        <v>45407</v>
      </c>
      <c r="D3946" s="165" t="s">
        <v>4664</v>
      </c>
      <c r="E3946" s="165">
        <v>10000</v>
      </c>
      <c r="F3946" s="165">
        <v>1</v>
      </c>
      <c r="G3946" s="165">
        <f t="shared" si="193"/>
        <v>10000</v>
      </c>
      <c r="H3946" s="3" t="s">
        <v>293</v>
      </c>
      <c r="I3946" s="1" t="s">
        <v>22</v>
      </c>
      <c r="J3946" s="1" t="s">
        <v>14</v>
      </c>
      <c r="K3946" s="1" t="s">
        <v>300</v>
      </c>
      <c r="L3946" s="165" t="s">
        <v>257</v>
      </c>
      <c r="M3946" s="165"/>
      <c r="N3946" s="165">
        <f t="shared" si="192"/>
        <v>4</v>
      </c>
      <c r="O3946" s="166"/>
      <c r="P3946" s="161"/>
      <c r="Q3946" s="161"/>
      <c r="R3946" s="161"/>
      <c r="S3946" s="161"/>
      <c r="T3946" s="161"/>
      <c r="U3946" s="161"/>
      <c r="V3946" s="161"/>
      <c r="W3946" s="161"/>
      <c r="X3946" s="161"/>
      <c r="Y3946" s="161"/>
      <c r="Z3946" s="161"/>
      <c r="AA3946" s="161"/>
      <c r="AB3946" s="161"/>
      <c r="AC3946" s="161"/>
      <c r="AD3946" s="161"/>
      <c r="AE3946" s="161"/>
      <c r="AF3946" s="161"/>
      <c r="AG3946" s="161"/>
      <c r="AH3946" s="161"/>
      <c r="AI3946" s="161"/>
      <c r="AJ3946" s="161"/>
      <c r="AK3946" s="161"/>
      <c r="AL3946" s="161"/>
      <c r="AM3946" s="161"/>
      <c r="AN3946" s="161"/>
      <c r="AO3946" s="161"/>
      <c r="AP3946" s="161"/>
      <c r="AQ3946" s="161"/>
      <c r="AR3946" s="161"/>
      <c r="AS3946" s="161"/>
      <c r="AT3946" s="161"/>
      <c r="AU3946" s="161"/>
      <c r="AV3946" s="161"/>
      <c r="AW3946" s="161"/>
      <c r="AX3946" s="161"/>
      <c r="AY3946" s="161"/>
      <c r="AZ3946" s="161"/>
      <c r="BA3946" s="161"/>
      <c r="BB3946" s="161"/>
      <c r="BC3946" s="161"/>
      <c r="BD3946" s="161"/>
      <c r="BE3946" s="161"/>
      <c r="BF3946" s="161"/>
      <c r="BG3946" s="161"/>
      <c r="BH3946" s="161"/>
      <c r="BI3946" s="161"/>
      <c r="BJ3946" s="161"/>
      <c r="BK3946" s="161"/>
      <c r="BL3946" s="161"/>
      <c r="BM3946" s="161"/>
      <c r="BN3946" s="161"/>
      <c r="BO3946" s="161"/>
      <c r="BP3946" s="161"/>
      <c r="BQ3946" s="161"/>
      <c r="BR3946" s="161"/>
      <c r="BS3946" s="161"/>
      <c r="BT3946" s="161"/>
      <c r="BU3946" s="161"/>
      <c r="BV3946" s="161"/>
      <c r="BW3946" s="161"/>
      <c r="BX3946" s="161"/>
      <c r="BY3946" s="161"/>
      <c r="BZ3946" s="161"/>
      <c r="CA3946" s="161"/>
      <c r="CB3946" s="161"/>
      <c r="CC3946" s="161"/>
      <c r="CD3946" s="161"/>
      <c r="CE3946" s="161"/>
      <c r="CF3946" s="161"/>
      <c r="CG3946" s="161"/>
      <c r="CH3946" s="161"/>
      <c r="CI3946" s="161"/>
      <c r="CJ3946" s="161"/>
      <c r="CK3946" s="161"/>
      <c r="CL3946" s="161"/>
      <c r="CM3946" s="161"/>
      <c r="CN3946" s="161"/>
      <c r="CO3946" s="161"/>
      <c r="CP3946" s="161"/>
      <c r="CQ3946" s="161"/>
      <c r="CR3946" s="161"/>
      <c r="CS3946" s="161"/>
      <c r="CT3946" s="161"/>
      <c r="CU3946" s="161"/>
      <c r="CV3946" s="161"/>
      <c r="CW3946" s="161"/>
      <c r="CX3946" s="161"/>
      <c r="CY3946" s="161"/>
      <c r="CZ3946" s="161"/>
      <c r="DA3946" s="161"/>
      <c r="DB3946" s="161"/>
      <c r="DC3946" s="161"/>
      <c r="DD3946" s="161"/>
      <c r="DE3946" s="161"/>
    </row>
    <row r="3947" spans="1:109" ht="15.75" hidden="1" x14ac:dyDescent="0.25">
      <c r="A3947" s="1" t="str">
        <f t="shared" si="191"/>
        <v>454074540713536.87CURRENTCC BILL PAYMENTBANK</v>
      </c>
      <c r="B3947" s="154">
        <v>45407</v>
      </c>
      <c r="C3947" s="154">
        <v>45407</v>
      </c>
      <c r="D3947" s="3" t="s">
        <v>4665</v>
      </c>
      <c r="E3947" s="3">
        <v>-13536.87</v>
      </c>
      <c r="F3947" s="3">
        <v>1</v>
      </c>
      <c r="G3947" s="3">
        <f t="shared" si="193"/>
        <v>13536.87</v>
      </c>
      <c r="H3947" s="3" t="s">
        <v>293</v>
      </c>
      <c r="I3947" s="1" t="s">
        <v>81</v>
      </c>
      <c r="J3947" s="1" t="s">
        <v>8</v>
      </c>
      <c r="K3947" s="1" t="s">
        <v>298</v>
      </c>
      <c r="L3947" s="1" t="s">
        <v>257</v>
      </c>
      <c r="M3947" s="1"/>
      <c r="N3947" s="1">
        <f t="shared" si="192"/>
        <v>4</v>
      </c>
      <c r="O3947" s="87"/>
    </row>
    <row r="3948" spans="1:109" ht="15.75" hidden="1" x14ac:dyDescent="0.25">
      <c r="A3948" s="1" t="str">
        <f t="shared" si="191"/>
        <v>454074540720400CURRENTSAVINGSELF</v>
      </c>
      <c r="B3948" s="154">
        <v>45407</v>
      </c>
      <c r="C3948" s="154">
        <v>45407</v>
      </c>
      <c r="D3948" s="3" t="s">
        <v>4666</v>
      </c>
      <c r="E3948" s="3">
        <v>-20400</v>
      </c>
      <c r="F3948" s="3">
        <v>1</v>
      </c>
      <c r="G3948" s="3">
        <f t="shared" si="193"/>
        <v>20400</v>
      </c>
      <c r="H3948" s="3" t="s">
        <v>293</v>
      </c>
      <c r="I3948" s="1" t="s">
        <v>302</v>
      </c>
      <c r="J3948" s="1" t="s">
        <v>14</v>
      </c>
      <c r="K3948" s="1" t="s">
        <v>298</v>
      </c>
      <c r="L3948" s="1" t="s">
        <v>257</v>
      </c>
      <c r="M3948" s="1"/>
      <c r="N3948" s="1">
        <f t="shared" si="192"/>
        <v>4</v>
      </c>
      <c r="O3948" s="87"/>
    </row>
    <row r="3949" spans="1:109" ht="15.75" hidden="1" x14ac:dyDescent="0.25">
      <c r="A3949" s="1" t="str">
        <f t="shared" si="191"/>
        <v>454074540735467CURRENTSALARYQATAR AIR</v>
      </c>
      <c r="B3949" s="154">
        <v>45407</v>
      </c>
      <c r="C3949" s="154">
        <v>45407</v>
      </c>
      <c r="D3949" s="3" t="s">
        <v>4667</v>
      </c>
      <c r="E3949" s="3">
        <v>35467</v>
      </c>
      <c r="F3949" s="3">
        <v>1</v>
      </c>
      <c r="G3949" s="3">
        <f t="shared" si="193"/>
        <v>35467</v>
      </c>
      <c r="H3949" s="3" t="s">
        <v>293</v>
      </c>
      <c r="I3949" s="1" t="s">
        <v>18</v>
      </c>
      <c r="J3949" s="1" t="s">
        <v>19</v>
      </c>
      <c r="K3949" s="1" t="s">
        <v>300</v>
      </c>
      <c r="L3949" s="1" t="s">
        <v>257</v>
      </c>
      <c r="M3949" s="1"/>
      <c r="N3949" s="1">
        <f t="shared" si="192"/>
        <v>4</v>
      </c>
      <c r="O3949" s="87"/>
    </row>
    <row r="3950" spans="1:109" ht="15.75" hidden="1" x14ac:dyDescent="0.25">
      <c r="A3950" s="165" t="str">
        <f t="shared" si="191"/>
        <v>454074540710000SAVINGTRANSFERSELF</v>
      </c>
      <c r="B3950" s="156">
        <v>45407</v>
      </c>
      <c r="C3950" s="156">
        <v>45407</v>
      </c>
      <c r="D3950" s="165" t="s">
        <v>4664</v>
      </c>
      <c r="E3950" s="165">
        <v>10000</v>
      </c>
      <c r="F3950" s="165">
        <v>1</v>
      </c>
      <c r="G3950" s="165">
        <f t="shared" si="193"/>
        <v>10000</v>
      </c>
      <c r="H3950" s="3" t="s">
        <v>302</v>
      </c>
      <c r="I3950" s="1" t="s">
        <v>22</v>
      </c>
      <c r="J3950" s="1" t="s">
        <v>14</v>
      </c>
      <c r="K3950" s="1" t="s">
        <v>298</v>
      </c>
      <c r="L3950" s="165" t="s">
        <v>257</v>
      </c>
      <c r="M3950" s="165"/>
      <c r="N3950" s="165">
        <f t="shared" si="192"/>
        <v>4</v>
      </c>
      <c r="O3950" s="166"/>
    </row>
    <row r="3951" spans="1:109" ht="15.75" hidden="1" x14ac:dyDescent="0.25">
      <c r="A3951" s="1" t="str">
        <f t="shared" si="191"/>
        <v>454084541229.44MASTER CCGROCERYMANGO</v>
      </c>
      <c r="B3951" s="154">
        <v>45408</v>
      </c>
      <c r="C3951" s="154">
        <v>45412</v>
      </c>
      <c r="D3951" s="3" t="s">
        <v>4617</v>
      </c>
      <c r="E3951" s="3">
        <v>-29.44</v>
      </c>
      <c r="F3951" s="3">
        <v>1</v>
      </c>
      <c r="G3951" s="3">
        <f t="shared" si="193"/>
        <v>29.44</v>
      </c>
      <c r="H3951" s="3" t="s">
        <v>291</v>
      </c>
      <c r="I3951" s="1" t="s">
        <v>43</v>
      </c>
      <c r="J3951" s="1" t="s">
        <v>3634</v>
      </c>
      <c r="K3951" s="1" t="s">
        <v>298</v>
      </c>
      <c r="L3951" s="1" t="s">
        <v>267</v>
      </c>
      <c r="M3951" s="1"/>
      <c r="N3951" s="1">
        <f t="shared" si="192"/>
        <v>4</v>
      </c>
      <c r="O3951" s="87"/>
    </row>
    <row r="3952" spans="1:109" ht="15.75" hidden="1" x14ac:dyDescent="0.25">
      <c r="A3952" s="1" t="str">
        <f t="shared" si="191"/>
        <v>454094541215.83MASTER CCGROCERYMANGO</v>
      </c>
      <c r="B3952" s="154">
        <v>45409</v>
      </c>
      <c r="C3952" s="154">
        <v>45412</v>
      </c>
      <c r="D3952" s="3" t="s">
        <v>4616</v>
      </c>
      <c r="E3952" s="3">
        <v>-15.83</v>
      </c>
      <c r="F3952" s="3">
        <v>1</v>
      </c>
      <c r="G3952" s="3">
        <f t="shared" si="193"/>
        <v>15.83</v>
      </c>
      <c r="H3952" s="3" t="s">
        <v>291</v>
      </c>
      <c r="I3952" s="1" t="s">
        <v>43</v>
      </c>
      <c r="J3952" s="1" t="s">
        <v>3634</v>
      </c>
      <c r="K3952" s="1" t="s">
        <v>298</v>
      </c>
      <c r="L3952" s="1" t="s">
        <v>267</v>
      </c>
      <c r="M3952" s="1"/>
      <c r="N3952" s="1">
        <f t="shared" si="192"/>
        <v>4</v>
      </c>
      <c r="O3952" s="87"/>
    </row>
    <row r="3953" spans="1:15" ht="15.75" hidden="1" x14ac:dyDescent="0.25">
      <c r="A3953" s="1" t="str">
        <f t="shared" si="191"/>
        <v>4540945410100DINERSCC BILL PAYMENTBANK</v>
      </c>
      <c r="B3953" s="154">
        <v>45409</v>
      </c>
      <c r="C3953" s="154">
        <v>45410</v>
      </c>
      <c r="D3953" s="3" t="s">
        <v>80</v>
      </c>
      <c r="E3953" s="3">
        <v>100</v>
      </c>
      <c r="F3953" s="3">
        <v>1</v>
      </c>
      <c r="G3953" s="3">
        <f t="shared" si="193"/>
        <v>100</v>
      </c>
      <c r="H3953" s="3" t="s">
        <v>266</v>
      </c>
      <c r="I3953" s="1" t="s">
        <v>81</v>
      </c>
      <c r="J3953" s="1" t="s">
        <v>8</v>
      </c>
      <c r="K3953" s="1" t="s">
        <v>300</v>
      </c>
      <c r="L3953" s="1" t="s">
        <v>267</v>
      </c>
      <c r="M3953" s="1"/>
      <c r="N3953" s="1">
        <f t="shared" si="192"/>
        <v>4</v>
      </c>
      <c r="O3953" s="87"/>
    </row>
    <row r="3954" spans="1:15" ht="15.75" hidden="1" x14ac:dyDescent="0.25">
      <c r="A3954" s="1" t="str">
        <f t="shared" si="191"/>
        <v>454104541232.22MASTER CCGROCERYRED ROSE</v>
      </c>
      <c r="B3954" s="154">
        <v>45410</v>
      </c>
      <c r="C3954" s="154">
        <v>45412</v>
      </c>
      <c r="D3954" s="3" t="s">
        <v>4615</v>
      </c>
      <c r="E3954" s="3">
        <v>-32.22</v>
      </c>
      <c r="F3954" s="3">
        <v>1</v>
      </c>
      <c r="G3954" s="3">
        <f t="shared" si="193"/>
        <v>32.22</v>
      </c>
      <c r="H3954" s="3" t="s">
        <v>291</v>
      </c>
      <c r="I3954" s="1" t="s">
        <v>43</v>
      </c>
      <c r="J3954" s="1" t="s">
        <v>4516</v>
      </c>
      <c r="K3954" s="1" t="s">
        <v>298</v>
      </c>
      <c r="L3954" s="1" t="s">
        <v>267</v>
      </c>
      <c r="M3954" s="1"/>
      <c r="N3954" s="1">
        <f t="shared" si="192"/>
        <v>4</v>
      </c>
      <c r="O3954" s="87"/>
    </row>
    <row r="3955" spans="1:15" ht="15.75" hidden="1" x14ac:dyDescent="0.25">
      <c r="A3955" s="1" t="str">
        <f t="shared" si="191"/>
        <v>4541045410100CURRENTCC BILL PAYMENTBANK</v>
      </c>
      <c r="B3955" s="154">
        <v>45410</v>
      </c>
      <c r="C3955" s="154">
        <v>45410</v>
      </c>
      <c r="D3955" s="3" t="s">
        <v>4659</v>
      </c>
      <c r="E3955" s="3">
        <v>-100</v>
      </c>
      <c r="F3955" s="3">
        <v>1</v>
      </c>
      <c r="G3955" s="3">
        <f t="shared" si="193"/>
        <v>100</v>
      </c>
      <c r="H3955" s="3" t="s">
        <v>293</v>
      </c>
      <c r="I3955" s="1" t="s">
        <v>81</v>
      </c>
      <c r="J3955" s="1" t="s">
        <v>8</v>
      </c>
      <c r="K3955" s="1" t="s">
        <v>298</v>
      </c>
      <c r="L3955" s="1" t="s">
        <v>257</v>
      </c>
      <c r="M3955" s="1"/>
      <c r="N3955" s="1">
        <f t="shared" si="192"/>
        <v>4</v>
      </c>
      <c r="O3955" s="87"/>
    </row>
    <row r="3956" spans="1:15" ht="15.75" hidden="1" x14ac:dyDescent="0.25">
      <c r="A3956" s="1" t="str">
        <f t="shared" si="191"/>
        <v>4541045410117.82CURRENTGROCERYLULU</v>
      </c>
      <c r="B3956" s="154">
        <v>45410</v>
      </c>
      <c r="C3956" s="154">
        <v>45410</v>
      </c>
      <c r="D3956" s="3" t="s">
        <v>4660</v>
      </c>
      <c r="E3956" s="3">
        <v>-117.82</v>
      </c>
      <c r="F3956" s="3">
        <v>1</v>
      </c>
      <c r="G3956" s="3">
        <f t="shared" si="193"/>
        <v>117.82</v>
      </c>
      <c r="H3956" s="3" t="s">
        <v>293</v>
      </c>
      <c r="I3956" s="1" t="s">
        <v>43</v>
      </c>
      <c r="J3956" s="1" t="s">
        <v>44</v>
      </c>
      <c r="K3956" s="1" t="s">
        <v>298</v>
      </c>
      <c r="L3956" s="1" t="s">
        <v>257</v>
      </c>
      <c r="M3956" s="1"/>
      <c r="N3956" s="1">
        <f t="shared" si="192"/>
        <v>4</v>
      </c>
      <c r="O3956" s="87"/>
    </row>
    <row r="3957" spans="1:15" ht="15.75" hidden="1" x14ac:dyDescent="0.25">
      <c r="A3957" s="1" t="str">
        <f t="shared" si="191"/>
        <v>454104541070CURRENTSHOPPINGLULU</v>
      </c>
      <c r="B3957" s="154">
        <v>45410</v>
      </c>
      <c r="C3957" s="154">
        <v>45410</v>
      </c>
      <c r="D3957" s="3" t="s">
        <v>4661</v>
      </c>
      <c r="E3957" s="3">
        <v>-70</v>
      </c>
      <c r="F3957" s="3">
        <v>1</v>
      </c>
      <c r="G3957" s="3">
        <f t="shared" si="193"/>
        <v>70</v>
      </c>
      <c r="H3957" s="3" t="s">
        <v>293</v>
      </c>
      <c r="I3957" s="1" t="s">
        <v>194</v>
      </c>
      <c r="J3957" s="1" t="s">
        <v>44</v>
      </c>
      <c r="K3957" s="1" t="s">
        <v>298</v>
      </c>
      <c r="L3957" s="1" t="s">
        <v>257</v>
      </c>
      <c r="M3957" s="1"/>
      <c r="N3957" s="1">
        <f t="shared" si="192"/>
        <v>4</v>
      </c>
      <c r="O3957" s="87"/>
    </row>
    <row r="3958" spans="1:15" ht="15.75" hidden="1" x14ac:dyDescent="0.25">
      <c r="A3958" s="1" t="str">
        <f t="shared" si="191"/>
        <v>454104541050CURRENTGROCERYLULU</v>
      </c>
      <c r="B3958" s="154">
        <v>45410</v>
      </c>
      <c r="C3958" s="154">
        <v>45410</v>
      </c>
      <c r="D3958" s="3" t="s">
        <v>4662</v>
      </c>
      <c r="E3958" s="3">
        <v>-50</v>
      </c>
      <c r="F3958" s="3">
        <v>1</v>
      </c>
      <c r="G3958" s="3">
        <f t="shared" si="193"/>
        <v>50</v>
      </c>
      <c r="H3958" s="3" t="s">
        <v>293</v>
      </c>
      <c r="I3958" s="1" t="s">
        <v>43</v>
      </c>
      <c r="J3958" s="1" t="s">
        <v>44</v>
      </c>
      <c r="K3958" s="1" t="s">
        <v>298</v>
      </c>
      <c r="L3958" s="1" t="s">
        <v>257</v>
      </c>
      <c r="M3958" s="1"/>
      <c r="N3958" s="1">
        <f t="shared" si="192"/>
        <v>4</v>
      </c>
      <c r="O3958" s="87"/>
    </row>
    <row r="3959" spans="1:15" ht="15.75" hidden="1" x14ac:dyDescent="0.25">
      <c r="A3959" s="1" t="str">
        <f t="shared" si="191"/>
        <v>454104541022.5CURRENTGROCERYMANGO</v>
      </c>
      <c r="B3959" s="154">
        <v>45410</v>
      </c>
      <c r="C3959" s="154">
        <v>45410</v>
      </c>
      <c r="D3959" s="3" t="s">
        <v>4663</v>
      </c>
      <c r="E3959" s="3">
        <v>-22.5</v>
      </c>
      <c r="F3959" s="3">
        <v>1</v>
      </c>
      <c r="G3959" s="3">
        <f t="shared" si="193"/>
        <v>22.5</v>
      </c>
      <c r="H3959" s="3" t="s">
        <v>293</v>
      </c>
      <c r="I3959" s="1" t="s">
        <v>43</v>
      </c>
      <c r="J3959" s="1" t="s">
        <v>3634</v>
      </c>
      <c r="K3959" s="1" t="s">
        <v>298</v>
      </c>
      <c r="L3959" s="1" t="s">
        <v>257</v>
      </c>
      <c r="M3959" s="1"/>
      <c r="N3959" s="1">
        <f t="shared" si="192"/>
        <v>4</v>
      </c>
      <c r="O3959" s="87"/>
    </row>
    <row r="3960" spans="1:15" ht="15.75" hidden="1" x14ac:dyDescent="0.25">
      <c r="A3960" s="1" t="str">
        <f t="shared" si="191"/>
        <v>454114541460MASTER CCFOODTALABAT</v>
      </c>
      <c r="B3960" s="154">
        <v>45411</v>
      </c>
      <c r="C3960" s="154">
        <v>45414</v>
      </c>
      <c r="D3960" s="3" t="s">
        <v>4614</v>
      </c>
      <c r="E3960" s="3">
        <v>-60</v>
      </c>
      <c r="F3960" s="3">
        <v>1</v>
      </c>
      <c r="G3960" s="3">
        <f t="shared" si="193"/>
        <v>60</v>
      </c>
      <c r="H3960" s="3" t="s">
        <v>291</v>
      </c>
      <c r="I3960" s="1" t="s">
        <v>10</v>
      </c>
      <c r="J3960" s="1" t="s">
        <v>865</v>
      </c>
      <c r="K3960" s="1" t="s">
        <v>298</v>
      </c>
      <c r="L3960" s="1" t="s">
        <v>267</v>
      </c>
      <c r="M3960" s="1"/>
      <c r="N3960" s="1">
        <f t="shared" si="192"/>
        <v>5</v>
      </c>
      <c r="O3960" s="87"/>
    </row>
    <row r="3961" spans="1:15" ht="15.75" hidden="1" x14ac:dyDescent="0.25">
      <c r="A3961" s="1" t="str">
        <f t="shared" si="191"/>
        <v>4541145411106CURRENTTRANSPORTWOQOD</v>
      </c>
      <c r="B3961" s="154">
        <v>45411</v>
      </c>
      <c r="C3961" s="154">
        <v>45411</v>
      </c>
      <c r="D3961" s="3" t="s">
        <v>4658</v>
      </c>
      <c r="E3961" s="3">
        <v>-106</v>
      </c>
      <c r="F3961" s="3">
        <v>1</v>
      </c>
      <c r="G3961" s="3">
        <f t="shared" si="193"/>
        <v>106</v>
      </c>
      <c r="H3961" s="3" t="s">
        <v>293</v>
      </c>
      <c r="I3961" s="1" t="s">
        <v>296</v>
      </c>
      <c r="J3961" s="1" t="s">
        <v>1942</v>
      </c>
      <c r="K3961" s="1" t="s">
        <v>298</v>
      </c>
      <c r="L3961" s="1" t="s">
        <v>257</v>
      </c>
      <c r="M3961" s="1"/>
      <c r="N3961" s="1">
        <f t="shared" si="192"/>
        <v>4</v>
      </c>
      <c r="O3961" s="87"/>
    </row>
    <row r="3962" spans="1:15" ht="15.75" hidden="1" x14ac:dyDescent="0.25">
      <c r="A3962" s="1" t="str">
        <f t="shared" si="191"/>
        <v>454124541431.03MASTER CCGROCERYMANGO</v>
      </c>
      <c r="B3962" s="154">
        <v>45412</v>
      </c>
      <c r="C3962" s="154">
        <v>45414</v>
      </c>
      <c r="D3962" s="3" t="s">
        <v>4613</v>
      </c>
      <c r="E3962" s="3">
        <v>-31.03</v>
      </c>
      <c r="F3962" s="3">
        <v>1</v>
      </c>
      <c r="G3962" s="3">
        <f t="shared" si="193"/>
        <v>31.03</v>
      </c>
      <c r="H3962" s="3" t="s">
        <v>291</v>
      </c>
      <c r="I3962" s="1" t="s">
        <v>43</v>
      </c>
      <c r="J3962" s="1" t="s">
        <v>3634</v>
      </c>
      <c r="K3962" s="1" t="s">
        <v>298</v>
      </c>
      <c r="L3962" s="1" t="s">
        <v>267</v>
      </c>
      <c r="M3962" s="1"/>
      <c r="N3962" s="1">
        <f t="shared" si="192"/>
        <v>5</v>
      </c>
      <c r="O3962" s="87"/>
    </row>
    <row r="3963" spans="1:15" ht="15.75" hidden="1" x14ac:dyDescent="0.25">
      <c r="A3963" s="1" t="str">
        <f t="shared" si="191"/>
        <v>454124541238DINERSCC BILL PAYMENTBANK</v>
      </c>
      <c r="B3963" s="154">
        <v>45412</v>
      </c>
      <c r="C3963" s="154">
        <v>45412</v>
      </c>
      <c r="D3963" s="3" t="s">
        <v>80</v>
      </c>
      <c r="E3963" s="3">
        <v>38</v>
      </c>
      <c r="F3963" s="3">
        <v>1</v>
      </c>
      <c r="G3963" s="3">
        <f t="shared" si="193"/>
        <v>38</v>
      </c>
      <c r="H3963" s="3" t="s">
        <v>266</v>
      </c>
      <c r="I3963" s="1" t="s">
        <v>81</v>
      </c>
      <c r="J3963" s="1" t="s">
        <v>8</v>
      </c>
      <c r="K3963" s="1" t="s">
        <v>300</v>
      </c>
      <c r="L3963" s="1" t="s">
        <v>267</v>
      </c>
      <c r="M3963" s="1"/>
      <c r="N3963" s="1">
        <f t="shared" si="192"/>
        <v>4</v>
      </c>
      <c r="O3963" s="87"/>
    </row>
    <row r="3964" spans="1:15" ht="15.75" hidden="1" x14ac:dyDescent="0.25">
      <c r="A3964" s="1" t="str">
        <f t="shared" si="191"/>
        <v>454124541231CURRENTGROCERYMANGO</v>
      </c>
      <c r="B3964" s="154">
        <v>45412</v>
      </c>
      <c r="C3964" s="154">
        <v>45412</v>
      </c>
      <c r="D3964" s="3" t="s">
        <v>4656</v>
      </c>
      <c r="E3964" s="3">
        <v>-31</v>
      </c>
      <c r="F3964" s="3">
        <v>1</v>
      </c>
      <c r="G3964" s="3">
        <f t="shared" si="193"/>
        <v>31</v>
      </c>
      <c r="H3964" s="3" t="s">
        <v>293</v>
      </c>
      <c r="I3964" s="1" t="s">
        <v>43</v>
      </c>
      <c r="J3964" s="1" t="s">
        <v>3634</v>
      </c>
      <c r="K3964" s="1" t="s">
        <v>298</v>
      </c>
      <c r="L3964" s="1" t="s">
        <v>257</v>
      </c>
      <c r="M3964" s="1"/>
      <c r="N3964" s="1">
        <f t="shared" si="192"/>
        <v>4</v>
      </c>
      <c r="O3964" s="87"/>
    </row>
    <row r="3965" spans="1:15" ht="15.75" hidden="1" x14ac:dyDescent="0.25">
      <c r="A3965" s="1" t="str">
        <f t="shared" si="191"/>
        <v>454124541238CURRENTCC BILL PAYMENTBANK</v>
      </c>
      <c r="B3965" s="154">
        <v>45412</v>
      </c>
      <c r="C3965" s="154">
        <v>45412</v>
      </c>
      <c r="D3965" s="3" t="s">
        <v>4657</v>
      </c>
      <c r="E3965" s="3">
        <v>-38</v>
      </c>
      <c r="F3965" s="3">
        <v>1</v>
      </c>
      <c r="G3965" s="3">
        <f t="shared" si="193"/>
        <v>38</v>
      </c>
      <c r="H3965" s="3" t="s">
        <v>293</v>
      </c>
      <c r="I3965" s="1" t="s">
        <v>81</v>
      </c>
      <c r="J3965" s="1" t="s">
        <v>8</v>
      </c>
      <c r="K3965" s="1" t="s">
        <v>298</v>
      </c>
      <c r="L3965" s="1" t="s">
        <v>257</v>
      </c>
      <c r="M3965" s="1"/>
      <c r="N3965" s="1">
        <f t="shared" si="192"/>
        <v>4</v>
      </c>
      <c r="O3965" s="87"/>
    </row>
    <row r="3966" spans="1:15" ht="15.75" hidden="1" x14ac:dyDescent="0.25">
      <c r="A3966" s="1" t="str">
        <f t="shared" si="191"/>
        <v>454134541666MASTER CCFOODCAFÉ/REST.</v>
      </c>
      <c r="B3966" s="154">
        <v>45413</v>
      </c>
      <c r="C3966" s="154">
        <v>45416</v>
      </c>
      <c r="D3966" s="3" t="s">
        <v>4610</v>
      </c>
      <c r="E3966" s="3">
        <v>-66</v>
      </c>
      <c r="F3966" s="3">
        <v>1</v>
      </c>
      <c r="G3966" s="3">
        <f t="shared" si="193"/>
        <v>66</v>
      </c>
      <c r="H3966" s="3" t="s">
        <v>291</v>
      </c>
      <c r="I3966" s="1" t="s">
        <v>10</v>
      </c>
      <c r="J3966" s="1" t="s">
        <v>11</v>
      </c>
      <c r="K3966" s="1" t="s">
        <v>298</v>
      </c>
      <c r="L3966" s="1" t="s">
        <v>267</v>
      </c>
      <c r="M3966" s="1"/>
      <c r="N3966" s="1">
        <f t="shared" si="192"/>
        <v>5</v>
      </c>
      <c r="O3966" s="87"/>
    </row>
    <row r="3967" spans="1:15" ht="15.75" hidden="1" x14ac:dyDescent="0.25">
      <c r="A3967" s="1" t="str">
        <f t="shared" si="191"/>
        <v>45413454168MASTER CCFOODCAFÉ/REST.</v>
      </c>
      <c r="B3967" s="154">
        <v>45413</v>
      </c>
      <c r="C3967" s="154">
        <v>45416</v>
      </c>
      <c r="D3967" s="3" t="s">
        <v>4611</v>
      </c>
      <c r="E3967" s="3">
        <v>-8</v>
      </c>
      <c r="F3967" s="3">
        <v>1</v>
      </c>
      <c r="G3967" s="3">
        <f t="shared" si="193"/>
        <v>8</v>
      </c>
      <c r="H3967" s="3" t="s">
        <v>291</v>
      </c>
      <c r="I3967" s="1" t="s">
        <v>10</v>
      </c>
      <c r="J3967" s="1" t="s">
        <v>11</v>
      </c>
      <c r="K3967" s="1" t="s">
        <v>298</v>
      </c>
      <c r="L3967" s="1" t="s">
        <v>267</v>
      </c>
      <c r="M3967" s="1"/>
      <c r="N3967" s="1">
        <f t="shared" si="192"/>
        <v>5</v>
      </c>
      <c r="O3967" s="87"/>
    </row>
    <row r="3968" spans="1:15" ht="15.75" hidden="1" x14ac:dyDescent="0.25">
      <c r="A3968" s="1" t="str">
        <f t="shared" si="191"/>
        <v>45413454159MASTER CCLAUNDRYAL RAYES</v>
      </c>
      <c r="B3968" s="154">
        <v>45413</v>
      </c>
      <c r="C3968" s="154">
        <v>45415</v>
      </c>
      <c r="D3968" s="3" t="s">
        <v>4612</v>
      </c>
      <c r="E3968" s="3">
        <v>-9</v>
      </c>
      <c r="F3968" s="3">
        <v>1</v>
      </c>
      <c r="G3968" s="3">
        <f t="shared" si="193"/>
        <v>9</v>
      </c>
      <c r="H3968" s="3" t="s">
        <v>291</v>
      </c>
      <c r="I3968" s="1" t="s">
        <v>3164</v>
      </c>
      <c r="J3968" s="1" t="s">
        <v>3165</v>
      </c>
      <c r="K3968" s="1" t="s">
        <v>298</v>
      </c>
      <c r="L3968" s="1" t="s">
        <v>267</v>
      </c>
      <c r="M3968" s="1"/>
      <c r="N3968" s="1">
        <f t="shared" si="192"/>
        <v>5</v>
      </c>
      <c r="O3968" s="87"/>
    </row>
    <row r="3969" spans="1:15" ht="15.75" hidden="1" x14ac:dyDescent="0.25">
      <c r="A3969" s="1" t="str">
        <f t="shared" si="191"/>
        <v>4541345413500CURRENTSAVINGARTI</v>
      </c>
      <c r="B3969" s="154">
        <v>45413</v>
      </c>
      <c r="C3969" s="154">
        <v>45413</v>
      </c>
      <c r="D3969" s="3" t="s">
        <v>2909</v>
      </c>
      <c r="E3969" s="3">
        <v>-500</v>
      </c>
      <c r="F3969" s="3">
        <v>1</v>
      </c>
      <c r="G3969" s="3">
        <f t="shared" si="193"/>
        <v>500</v>
      </c>
      <c r="H3969" s="3" t="s">
        <v>293</v>
      </c>
      <c r="I3969" s="1" t="s">
        <v>302</v>
      </c>
      <c r="J3969" s="1" t="s">
        <v>453</v>
      </c>
      <c r="K3969" s="1" t="s">
        <v>298</v>
      </c>
      <c r="L3969" s="1" t="s">
        <v>257</v>
      </c>
      <c r="M3969" s="1"/>
      <c r="N3969" s="1">
        <f t="shared" si="192"/>
        <v>5</v>
      </c>
      <c r="O3969" s="87"/>
    </row>
    <row r="3970" spans="1:15" ht="15.75" hidden="1" x14ac:dyDescent="0.25">
      <c r="A3970" s="1" t="str">
        <f t="shared" ref="A3970:A4033" si="194">B3970&amp;C3970&amp;G3970&amp;H3970&amp;I3970&amp;J3970</f>
        <v>4541445415255MASTER CCSHOPPINGMAXX</v>
      </c>
      <c r="B3970" s="154">
        <v>45414</v>
      </c>
      <c r="C3970" s="154">
        <v>45415</v>
      </c>
      <c r="D3970" s="3" t="s">
        <v>4609</v>
      </c>
      <c r="E3970" s="3">
        <v>-255</v>
      </c>
      <c r="F3970" s="3">
        <v>1</v>
      </c>
      <c r="G3970" s="3">
        <f t="shared" si="193"/>
        <v>255</v>
      </c>
      <c r="H3970" s="3" t="s">
        <v>291</v>
      </c>
      <c r="I3970" s="1" t="s">
        <v>194</v>
      </c>
      <c r="J3970" s="1" t="s">
        <v>2903</v>
      </c>
      <c r="K3970" s="1" t="s">
        <v>298</v>
      </c>
      <c r="L3970" s="1" t="s">
        <v>267</v>
      </c>
      <c r="M3970" s="1"/>
      <c r="N3970" s="1">
        <f t="shared" ref="N3970:N4033" si="195">MONTH(C3970)</f>
        <v>5</v>
      </c>
      <c r="O3970" s="87"/>
    </row>
    <row r="3971" spans="1:15" ht="15.75" hidden="1" x14ac:dyDescent="0.25">
      <c r="A3971" s="1" t="str">
        <f t="shared" si="194"/>
        <v>454144541449CURRENTFOODCAFÉ/REST.</v>
      </c>
      <c r="B3971" s="154">
        <v>45414</v>
      </c>
      <c r="C3971" s="154">
        <v>45414</v>
      </c>
      <c r="D3971" s="3" t="s">
        <v>4655</v>
      </c>
      <c r="E3971" s="3">
        <v>-49</v>
      </c>
      <c r="F3971" s="3">
        <v>1</v>
      </c>
      <c r="G3971" s="3">
        <f t="shared" si="193"/>
        <v>49</v>
      </c>
      <c r="H3971" s="3" t="s">
        <v>293</v>
      </c>
      <c r="I3971" s="1" t="s">
        <v>10</v>
      </c>
      <c r="J3971" s="1" t="s">
        <v>11</v>
      </c>
      <c r="K3971" s="1" t="s">
        <v>298</v>
      </c>
      <c r="L3971" s="1" t="s">
        <v>257</v>
      </c>
      <c r="M3971" s="1"/>
      <c r="N3971" s="1">
        <f t="shared" si="195"/>
        <v>5</v>
      </c>
      <c r="O3971" s="87"/>
    </row>
    <row r="3972" spans="1:15" ht="15.75" hidden="1" x14ac:dyDescent="0.25">
      <c r="A3972" s="1" t="str">
        <f t="shared" si="194"/>
        <v>4541445414500CURRENTSAVINGARTI</v>
      </c>
      <c r="B3972" s="154">
        <v>45414</v>
      </c>
      <c r="C3972" s="154">
        <v>45414</v>
      </c>
      <c r="D3972" s="3" t="s">
        <v>3703</v>
      </c>
      <c r="E3972" s="3">
        <v>-500</v>
      </c>
      <c r="F3972" s="3">
        <v>1</v>
      </c>
      <c r="G3972" s="3">
        <f t="shared" si="193"/>
        <v>500</v>
      </c>
      <c r="H3972" s="3" t="s">
        <v>293</v>
      </c>
      <c r="I3972" s="1" t="s">
        <v>302</v>
      </c>
      <c r="J3972" s="1" t="s">
        <v>453</v>
      </c>
      <c r="K3972" s="1" t="s">
        <v>298</v>
      </c>
      <c r="L3972" s="1" t="s">
        <v>257</v>
      </c>
      <c r="M3972" s="1"/>
      <c r="N3972" s="1">
        <f t="shared" si="195"/>
        <v>5</v>
      </c>
      <c r="O3972" s="87"/>
    </row>
    <row r="3973" spans="1:15" ht="15.75" hidden="1" x14ac:dyDescent="0.25">
      <c r="A3973" s="1" t="str">
        <f t="shared" si="194"/>
        <v>454154541866.1MASTER CCFOODTALABAT</v>
      </c>
      <c r="B3973" s="154">
        <v>45415</v>
      </c>
      <c r="C3973" s="154">
        <v>45418</v>
      </c>
      <c r="D3973" s="3" t="s">
        <v>4607</v>
      </c>
      <c r="E3973" s="3">
        <v>-66.099999999999994</v>
      </c>
      <c r="F3973" s="3">
        <v>1</v>
      </c>
      <c r="G3973" s="3">
        <f t="shared" si="193"/>
        <v>66.099999999999994</v>
      </c>
      <c r="H3973" s="3" t="s">
        <v>291</v>
      </c>
      <c r="I3973" s="1" t="s">
        <v>10</v>
      </c>
      <c r="J3973" s="1" t="s">
        <v>865</v>
      </c>
      <c r="K3973" s="1" t="s">
        <v>298</v>
      </c>
      <c r="L3973" s="1" t="s">
        <v>267</v>
      </c>
      <c r="M3973" s="1"/>
      <c r="N3973" s="1">
        <f t="shared" si="195"/>
        <v>5</v>
      </c>
      <c r="O3973" s="87"/>
    </row>
    <row r="3974" spans="1:15" ht="15.75" hidden="1" x14ac:dyDescent="0.25">
      <c r="A3974" s="1" t="str">
        <f t="shared" si="194"/>
        <v>454154541733.18MASTER CCGROCERYRED ROSE</v>
      </c>
      <c r="B3974" s="154">
        <v>45415</v>
      </c>
      <c r="C3974" s="154">
        <v>45417</v>
      </c>
      <c r="D3974" s="3" t="s">
        <v>4608</v>
      </c>
      <c r="E3974" s="3">
        <v>-33.18</v>
      </c>
      <c r="F3974" s="3">
        <v>1</v>
      </c>
      <c r="G3974" s="3">
        <f t="shared" si="193"/>
        <v>33.18</v>
      </c>
      <c r="H3974" s="3" t="s">
        <v>291</v>
      </c>
      <c r="I3974" s="1" t="s">
        <v>43</v>
      </c>
      <c r="J3974" s="1" t="s">
        <v>4516</v>
      </c>
      <c r="K3974" s="1" t="s">
        <v>298</v>
      </c>
      <c r="L3974" s="1" t="s">
        <v>267</v>
      </c>
      <c r="M3974" s="1"/>
      <c r="N3974" s="1">
        <f t="shared" si="195"/>
        <v>5</v>
      </c>
      <c r="O3974" s="87"/>
    </row>
    <row r="3975" spans="1:15" ht="15.75" hidden="1" x14ac:dyDescent="0.25">
      <c r="A3975" s="1" t="str">
        <f t="shared" si="194"/>
        <v>4541545415250DINERSRENTVODAFONE</v>
      </c>
      <c r="B3975" s="154">
        <v>45415</v>
      </c>
      <c r="C3975" s="154">
        <v>45415</v>
      </c>
      <c r="D3975" s="3" t="s">
        <v>4629</v>
      </c>
      <c r="E3975" s="3">
        <v>-250</v>
      </c>
      <c r="F3975" s="3">
        <v>1</v>
      </c>
      <c r="G3975" s="3">
        <f t="shared" si="193"/>
        <v>250</v>
      </c>
      <c r="H3975" s="3" t="s">
        <v>266</v>
      </c>
      <c r="I3975" s="1" t="s">
        <v>83</v>
      </c>
      <c r="J3975" s="1" t="s">
        <v>78</v>
      </c>
      <c r="K3975" s="1" t="s">
        <v>298</v>
      </c>
      <c r="L3975" s="1" t="s">
        <v>267</v>
      </c>
      <c r="M3975" s="1"/>
      <c r="N3975" s="1">
        <f t="shared" si="195"/>
        <v>5</v>
      </c>
      <c r="O3975" s="87"/>
    </row>
    <row r="3976" spans="1:15" ht="15.75" hidden="1" x14ac:dyDescent="0.25">
      <c r="A3976" s="1" t="str">
        <f t="shared" si="194"/>
        <v>4541645419101MASTER CCENTERTAINMENTFUNVILLE</v>
      </c>
      <c r="B3976" s="154">
        <v>45416</v>
      </c>
      <c r="C3976" s="154">
        <v>45419</v>
      </c>
      <c r="D3976" s="3" t="s">
        <v>4600</v>
      </c>
      <c r="E3976" s="3">
        <v>-101</v>
      </c>
      <c r="F3976" s="3">
        <v>1</v>
      </c>
      <c r="G3976" s="3">
        <f t="shared" si="193"/>
        <v>101</v>
      </c>
      <c r="H3976" s="3" t="s">
        <v>291</v>
      </c>
      <c r="I3976" s="1" t="s">
        <v>2476</v>
      </c>
      <c r="J3976" s="1" t="s">
        <v>4107</v>
      </c>
      <c r="K3976" s="1" t="s">
        <v>298</v>
      </c>
      <c r="L3976" s="1" t="s">
        <v>267</v>
      </c>
      <c r="M3976" s="1"/>
      <c r="N3976" s="1">
        <f t="shared" si="195"/>
        <v>5</v>
      </c>
      <c r="O3976" s="87"/>
    </row>
    <row r="3977" spans="1:15" ht="15.75" hidden="1" x14ac:dyDescent="0.25">
      <c r="A3977" s="1" t="str">
        <f t="shared" si="194"/>
        <v>454164541923MASTER CCGROCERYCARREFOUR</v>
      </c>
      <c r="B3977" s="154">
        <v>45416</v>
      </c>
      <c r="C3977" s="154">
        <v>45419</v>
      </c>
      <c r="D3977" s="3" t="s">
        <v>4601</v>
      </c>
      <c r="E3977" s="3">
        <v>-23</v>
      </c>
      <c r="F3977" s="3">
        <v>1</v>
      </c>
      <c r="G3977" s="3">
        <f t="shared" si="193"/>
        <v>23</v>
      </c>
      <c r="H3977" s="3" t="s">
        <v>291</v>
      </c>
      <c r="I3977" s="1" t="s">
        <v>43</v>
      </c>
      <c r="J3977" s="1" t="s">
        <v>67</v>
      </c>
      <c r="K3977" s="1" t="s">
        <v>298</v>
      </c>
      <c r="L3977" s="1" t="s">
        <v>267</v>
      </c>
      <c r="M3977" s="1"/>
      <c r="N3977" s="1">
        <f t="shared" si="195"/>
        <v>5</v>
      </c>
      <c r="O3977" s="87"/>
    </row>
    <row r="3978" spans="1:15" ht="15.75" hidden="1" x14ac:dyDescent="0.25">
      <c r="A3978" s="1" t="str">
        <f t="shared" si="194"/>
        <v>454164541934MASTER CCSHOPPINGBATH&amp;BODY</v>
      </c>
      <c r="B3978" s="154">
        <v>45416</v>
      </c>
      <c r="C3978" s="154">
        <v>45419</v>
      </c>
      <c r="D3978" s="3" t="s">
        <v>4602</v>
      </c>
      <c r="E3978" s="3">
        <v>-34</v>
      </c>
      <c r="F3978" s="3">
        <v>1</v>
      </c>
      <c r="G3978" s="3">
        <f t="shared" si="193"/>
        <v>34</v>
      </c>
      <c r="H3978" s="3" t="s">
        <v>291</v>
      </c>
      <c r="I3978" s="1" t="s">
        <v>194</v>
      </c>
      <c r="J3978" s="1" t="s">
        <v>2583</v>
      </c>
      <c r="K3978" s="1" t="s">
        <v>298</v>
      </c>
      <c r="L3978" s="1" t="s">
        <v>267</v>
      </c>
      <c r="M3978" s="1"/>
      <c r="N3978" s="1">
        <f t="shared" si="195"/>
        <v>5</v>
      </c>
      <c r="O3978" s="87"/>
    </row>
    <row r="3979" spans="1:15" ht="15.75" hidden="1" x14ac:dyDescent="0.25">
      <c r="A3979" s="1" t="str">
        <f t="shared" si="194"/>
        <v>454164541923MASTER CCFOODCAFÉ/REST.</v>
      </c>
      <c r="B3979" s="154">
        <v>45416</v>
      </c>
      <c r="C3979" s="154">
        <v>45419</v>
      </c>
      <c r="D3979" s="3" t="s">
        <v>4603</v>
      </c>
      <c r="E3979" s="3">
        <v>-23</v>
      </c>
      <c r="F3979" s="3">
        <v>1</v>
      </c>
      <c r="G3979" s="3">
        <f t="shared" ref="G3979:G4042" si="196">ABS(E3979)*F3979</f>
        <v>23</v>
      </c>
      <c r="H3979" s="3" t="s">
        <v>291</v>
      </c>
      <c r="I3979" s="1" t="s">
        <v>10</v>
      </c>
      <c r="J3979" s="1" t="s">
        <v>11</v>
      </c>
      <c r="K3979" s="1" t="s">
        <v>298</v>
      </c>
      <c r="L3979" s="1" t="s">
        <v>267</v>
      </c>
      <c r="M3979" s="1"/>
      <c r="N3979" s="1">
        <f t="shared" si="195"/>
        <v>5</v>
      </c>
      <c r="O3979" s="87"/>
    </row>
    <row r="3980" spans="1:15" ht="15.75" hidden="1" x14ac:dyDescent="0.25">
      <c r="A3980" s="1" t="str">
        <f t="shared" si="194"/>
        <v>45416454195MASTER CCFOODCAFÉ/REST.</v>
      </c>
      <c r="B3980" s="154">
        <v>45416</v>
      </c>
      <c r="C3980" s="154">
        <v>45419</v>
      </c>
      <c r="D3980" s="3" t="s">
        <v>4604</v>
      </c>
      <c r="E3980" s="3">
        <v>-5</v>
      </c>
      <c r="F3980" s="3">
        <v>1</v>
      </c>
      <c r="G3980" s="3">
        <f t="shared" si="196"/>
        <v>5</v>
      </c>
      <c r="H3980" s="3" t="s">
        <v>291</v>
      </c>
      <c r="I3980" s="1" t="s">
        <v>10</v>
      </c>
      <c r="J3980" s="1" t="s">
        <v>11</v>
      </c>
      <c r="K3980" s="1" t="s">
        <v>298</v>
      </c>
      <c r="L3980" s="1" t="s">
        <v>267</v>
      </c>
      <c r="M3980" s="1"/>
      <c r="N3980" s="1">
        <f t="shared" si="195"/>
        <v>5</v>
      </c>
      <c r="O3980" s="87"/>
    </row>
    <row r="3981" spans="1:15" ht="15.75" hidden="1" x14ac:dyDescent="0.25">
      <c r="A3981" s="1" t="str">
        <f t="shared" si="194"/>
        <v>4541645419183.23MASTER CCGROCERYLULU</v>
      </c>
      <c r="B3981" s="154">
        <v>45416</v>
      </c>
      <c r="C3981" s="154">
        <v>45419</v>
      </c>
      <c r="D3981" s="3" t="s">
        <v>4605</v>
      </c>
      <c r="E3981" s="3">
        <v>-183.23</v>
      </c>
      <c r="F3981" s="3">
        <v>1</v>
      </c>
      <c r="G3981" s="3">
        <f t="shared" si="196"/>
        <v>183.23</v>
      </c>
      <c r="H3981" s="3" t="s">
        <v>291</v>
      </c>
      <c r="I3981" s="1" t="s">
        <v>43</v>
      </c>
      <c r="J3981" s="1" t="s">
        <v>44</v>
      </c>
      <c r="K3981" s="1" t="s">
        <v>298</v>
      </c>
      <c r="L3981" s="1" t="s">
        <v>267</v>
      </c>
      <c r="M3981" s="1"/>
      <c r="N3981" s="1">
        <f t="shared" si="195"/>
        <v>5</v>
      </c>
      <c r="O3981" s="87"/>
    </row>
    <row r="3982" spans="1:15" ht="15.75" hidden="1" x14ac:dyDescent="0.25">
      <c r="A3982" s="1" t="str">
        <f t="shared" si="194"/>
        <v>454164541938MASTER CCFOODTALABAT</v>
      </c>
      <c r="B3982" s="154">
        <v>45416</v>
      </c>
      <c r="C3982" s="154">
        <v>45419</v>
      </c>
      <c r="D3982" s="3" t="s">
        <v>4606</v>
      </c>
      <c r="E3982" s="3">
        <v>-38</v>
      </c>
      <c r="F3982" s="3">
        <v>1</v>
      </c>
      <c r="G3982" s="3">
        <f t="shared" si="196"/>
        <v>38</v>
      </c>
      <c r="H3982" s="3" t="s">
        <v>291</v>
      </c>
      <c r="I3982" s="1" t="s">
        <v>10</v>
      </c>
      <c r="J3982" s="1" t="s">
        <v>865</v>
      </c>
      <c r="K3982" s="1" t="s">
        <v>298</v>
      </c>
      <c r="L3982" s="1" t="s">
        <v>267</v>
      </c>
      <c r="M3982" s="1"/>
      <c r="N3982" s="1">
        <f t="shared" si="195"/>
        <v>5</v>
      </c>
      <c r="O3982" s="87"/>
    </row>
    <row r="3983" spans="1:15" ht="15.75" hidden="1" x14ac:dyDescent="0.25">
      <c r="A3983" s="1" t="str">
        <f t="shared" si="194"/>
        <v>4541745420600MASTER CCTRANSPORTMITSHUBISHI</v>
      </c>
      <c r="B3983" s="154">
        <v>45417</v>
      </c>
      <c r="C3983" s="154">
        <v>45420</v>
      </c>
      <c r="D3983" s="3" t="s">
        <v>4597</v>
      </c>
      <c r="E3983" s="3">
        <v>-600</v>
      </c>
      <c r="F3983" s="3">
        <v>1</v>
      </c>
      <c r="G3983" s="3">
        <f t="shared" si="196"/>
        <v>600</v>
      </c>
      <c r="H3983" s="3" t="s">
        <v>291</v>
      </c>
      <c r="I3983" s="1" t="s">
        <v>296</v>
      </c>
      <c r="J3983" s="1" t="s">
        <v>4669</v>
      </c>
      <c r="K3983" s="1" t="s">
        <v>298</v>
      </c>
      <c r="L3983" s="1" t="s">
        <v>267</v>
      </c>
      <c r="M3983" s="1"/>
      <c r="N3983" s="1">
        <f t="shared" si="195"/>
        <v>5</v>
      </c>
      <c r="O3983" s="87"/>
    </row>
    <row r="3984" spans="1:15" ht="15.75" hidden="1" x14ac:dyDescent="0.25">
      <c r="A3984" s="1" t="str">
        <f t="shared" si="194"/>
        <v>454174542046.25MASTER CCGROCERYMANGO</v>
      </c>
      <c r="B3984" s="154">
        <v>45417</v>
      </c>
      <c r="C3984" s="154">
        <v>45420</v>
      </c>
      <c r="D3984" s="3" t="s">
        <v>4598</v>
      </c>
      <c r="E3984" s="3">
        <v>-46.25</v>
      </c>
      <c r="F3984" s="3">
        <v>1</v>
      </c>
      <c r="G3984" s="3">
        <f t="shared" si="196"/>
        <v>46.25</v>
      </c>
      <c r="H3984" s="3" t="s">
        <v>291</v>
      </c>
      <c r="I3984" s="1" t="s">
        <v>43</v>
      </c>
      <c r="J3984" s="1" t="s">
        <v>3634</v>
      </c>
      <c r="K3984" s="1" t="s">
        <v>298</v>
      </c>
      <c r="L3984" s="1" t="s">
        <v>267</v>
      </c>
      <c r="M3984" s="1"/>
      <c r="N3984" s="1">
        <f t="shared" si="195"/>
        <v>5</v>
      </c>
      <c r="O3984" s="87"/>
    </row>
    <row r="3985" spans="1:15" ht="15.75" hidden="1" x14ac:dyDescent="0.25">
      <c r="A3985" s="1" t="str">
        <f t="shared" si="194"/>
        <v>454174541921.95MASTER CCTRANSPORTUBER</v>
      </c>
      <c r="B3985" s="154">
        <v>45417</v>
      </c>
      <c r="C3985" s="154">
        <v>45419</v>
      </c>
      <c r="D3985" s="3" t="s">
        <v>4599</v>
      </c>
      <c r="E3985" s="3">
        <v>-21.95</v>
      </c>
      <c r="F3985" s="3">
        <v>1</v>
      </c>
      <c r="G3985" s="3">
        <f t="shared" si="196"/>
        <v>21.95</v>
      </c>
      <c r="H3985" s="3" t="s">
        <v>291</v>
      </c>
      <c r="I3985" s="1" t="s">
        <v>296</v>
      </c>
      <c r="J3985" s="1" t="s">
        <v>299</v>
      </c>
      <c r="K3985" s="1" t="s">
        <v>298</v>
      </c>
      <c r="L3985" s="1" t="s">
        <v>267</v>
      </c>
      <c r="M3985" s="1"/>
      <c r="N3985" s="1">
        <f t="shared" si="195"/>
        <v>5</v>
      </c>
      <c r="O3985" s="87"/>
    </row>
    <row r="3986" spans="1:15" ht="15.75" hidden="1" x14ac:dyDescent="0.25">
      <c r="A3986" s="1" t="str">
        <f t="shared" si="194"/>
        <v>45417454175000CURRENTRENTWASEEF</v>
      </c>
      <c r="B3986" s="154">
        <v>45417</v>
      </c>
      <c r="C3986" s="154">
        <v>45417</v>
      </c>
      <c r="D3986" s="3" t="s">
        <v>4654</v>
      </c>
      <c r="E3986" s="3">
        <v>-5000</v>
      </c>
      <c r="F3986" s="3">
        <v>1</v>
      </c>
      <c r="G3986" s="3">
        <f t="shared" si="196"/>
        <v>5000</v>
      </c>
      <c r="H3986" s="3" t="s">
        <v>293</v>
      </c>
      <c r="I3986" s="1" t="s">
        <v>83</v>
      </c>
      <c r="J3986" s="1" t="s">
        <v>3314</v>
      </c>
      <c r="K3986" s="1" t="s">
        <v>298</v>
      </c>
      <c r="L3986" s="1" t="s">
        <v>257</v>
      </c>
      <c r="M3986" s="1"/>
      <c r="N3986" s="1">
        <f t="shared" si="195"/>
        <v>5</v>
      </c>
      <c r="O3986" s="87"/>
    </row>
    <row r="3987" spans="1:15" ht="15.75" hidden="1" x14ac:dyDescent="0.25">
      <c r="A3987" s="1" t="str">
        <f t="shared" si="194"/>
        <v>454184542030MASTER CCGROCERYLULU</v>
      </c>
      <c r="B3987" s="154">
        <v>45418</v>
      </c>
      <c r="C3987" s="154">
        <v>45420</v>
      </c>
      <c r="D3987" s="3" t="s">
        <v>4596</v>
      </c>
      <c r="E3987" s="3">
        <v>-30</v>
      </c>
      <c r="F3987" s="3">
        <v>1</v>
      </c>
      <c r="G3987" s="3">
        <f t="shared" si="196"/>
        <v>30</v>
      </c>
      <c r="H3987" s="3" t="s">
        <v>291</v>
      </c>
      <c r="I3987" s="1" t="s">
        <v>43</v>
      </c>
      <c r="J3987" s="1" t="s">
        <v>44</v>
      </c>
      <c r="K3987" s="1" t="s">
        <v>298</v>
      </c>
      <c r="L3987" s="1" t="s">
        <v>267</v>
      </c>
      <c r="M3987" s="1"/>
      <c r="N3987" s="1">
        <f t="shared" si="195"/>
        <v>5</v>
      </c>
      <c r="O3987" s="87"/>
    </row>
    <row r="3988" spans="1:15" ht="15.75" hidden="1" x14ac:dyDescent="0.25">
      <c r="A3988" s="1" t="str">
        <f t="shared" si="194"/>
        <v>454194542260.8MASTER CCFOODTALABAT</v>
      </c>
      <c r="B3988" s="154">
        <v>45419</v>
      </c>
      <c r="C3988" s="154">
        <v>45422</v>
      </c>
      <c r="D3988" s="3" t="s">
        <v>4593</v>
      </c>
      <c r="E3988" s="3">
        <v>-60.8</v>
      </c>
      <c r="F3988" s="3">
        <v>1</v>
      </c>
      <c r="G3988" s="3">
        <f t="shared" si="196"/>
        <v>60.8</v>
      </c>
      <c r="H3988" s="3" t="s">
        <v>291</v>
      </c>
      <c r="I3988" s="1" t="s">
        <v>10</v>
      </c>
      <c r="J3988" s="1" t="s">
        <v>865</v>
      </c>
      <c r="K3988" s="1" t="s">
        <v>298</v>
      </c>
      <c r="L3988" s="1" t="s">
        <v>267</v>
      </c>
      <c r="M3988" s="1"/>
      <c r="N3988" s="1">
        <f t="shared" si="195"/>
        <v>5</v>
      </c>
      <c r="O3988" s="87"/>
    </row>
    <row r="3989" spans="1:15" ht="15.75" hidden="1" x14ac:dyDescent="0.25">
      <c r="A3989" s="1" t="str">
        <f t="shared" si="194"/>
        <v>454194542165MASTER CCTELECOMOOREDOO</v>
      </c>
      <c r="B3989" s="154">
        <v>45419</v>
      </c>
      <c r="C3989" s="154">
        <v>45421</v>
      </c>
      <c r="D3989" s="3" t="s">
        <v>4594</v>
      </c>
      <c r="E3989" s="3">
        <v>-65</v>
      </c>
      <c r="F3989" s="3">
        <v>1</v>
      </c>
      <c r="G3989" s="3">
        <f t="shared" si="196"/>
        <v>65</v>
      </c>
      <c r="H3989" s="3" t="s">
        <v>291</v>
      </c>
      <c r="I3989" s="1" t="s">
        <v>58</v>
      </c>
      <c r="J3989" s="1" t="s">
        <v>59</v>
      </c>
      <c r="K3989" s="1" t="s">
        <v>298</v>
      </c>
      <c r="L3989" s="1" t="s">
        <v>267</v>
      </c>
      <c r="M3989" s="1"/>
      <c r="N3989" s="1">
        <f t="shared" si="195"/>
        <v>5</v>
      </c>
      <c r="O3989" s="87"/>
    </row>
    <row r="3990" spans="1:15" ht="15.75" hidden="1" x14ac:dyDescent="0.25">
      <c r="A3990" s="1" t="str">
        <f t="shared" si="194"/>
        <v>454194542110MASTER CCTELECOMOOREDOO</v>
      </c>
      <c r="B3990" s="154">
        <v>45419</v>
      </c>
      <c r="C3990" s="154">
        <v>45421</v>
      </c>
      <c r="D3990" s="3" t="s">
        <v>4595</v>
      </c>
      <c r="E3990" s="3">
        <v>-10</v>
      </c>
      <c r="F3990" s="3">
        <v>1</v>
      </c>
      <c r="G3990" s="3">
        <f t="shared" si="196"/>
        <v>10</v>
      </c>
      <c r="H3990" s="3" t="s">
        <v>291</v>
      </c>
      <c r="I3990" s="1" t="s">
        <v>58</v>
      </c>
      <c r="J3990" s="1" t="s">
        <v>59</v>
      </c>
      <c r="K3990" s="1" t="s">
        <v>298</v>
      </c>
      <c r="L3990" s="1" t="s">
        <v>267</v>
      </c>
      <c r="M3990" s="1"/>
      <c r="N3990" s="1">
        <f t="shared" si="195"/>
        <v>5</v>
      </c>
      <c r="O3990" s="87"/>
    </row>
    <row r="3991" spans="1:15" ht="15.75" hidden="1" x14ac:dyDescent="0.25">
      <c r="A3991" s="1" t="str">
        <f t="shared" si="194"/>
        <v>454194541915CURRENTSERVICEBANK</v>
      </c>
      <c r="B3991" s="154">
        <v>45419</v>
      </c>
      <c r="C3991" s="154">
        <v>45419</v>
      </c>
      <c r="D3991" s="3" t="s">
        <v>4652</v>
      </c>
      <c r="E3991" s="3">
        <v>-15</v>
      </c>
      <c r="F3991" s="3">
        <v>1</v>
      </c>
      <c r="G3991" s="3">
        <f t="shared" si="196"/>
        <v>15</v>
      </c>
      <c r="H3991" s="3" t="s">
        <v>293</v>
      </c>
      <c r="I3991" s="1" t="s">
        <v>7</v>
      </c>
      <c r="J3991" s="1" t="s">
        <v>8</v>
      </c>
      <c r="K3991" s="1" t="s">
        <v>298</v>
      </c>
      <c r="L3991" s="1" t="s">
        <v>257</v>
      </c>
      <c r="M3991" s="1"/>
      <c r="N3991" s="1">
        <f t="shared" si="195"/>
        <v>5</v>
      </c>
      <c r="O3991" s="87"/>
    </row>
    <row r="3992" spans="1:15" ht="15.75" hidden="1" x14ac:dyDescent="0.25">
      <c r="A3992" s="1" t="str">
        <f t="shared" si="194"/>
        <v>4541945419500CURRENTWITHDRAWSELF</v>
      </c>
      <c r="B3992" s="154">
        <v>45419</v>
      </c>
      <c r="C3992" s="154">
        <v>45419</v>
      </c>
      <c r="D3992" s="3" t="s">
        <v>4653</v>
      </c>
      <c r="E3992" s="3">
        <v>-500</v>
      </c>
      <c r="F3992" s="3">
        <v>1</v>
      </c>
      <c r="G3992" s="3">
        <f t="shared" si="196"/>
        <v>500</v>
      </c>
      <c r="H3992" s="3" t="s">
        <v>293</v>
      </c>
      <c r="I3992" s="1" t="s">
        <v>13</v>
      </c>
      <c r="J3992" s="1" t="s">
        <v>14</v>
      </c>
      <c r="K3992" s="1" t="s">
        <v>298</v>
      </c>
      <c r="L3992" s="1" t="s">
        <v>257</v>
      </c>
      <c r="M3992" s="1"/>
      <c r="N3992" s="1">
        <f t="shared" si="195"/>
        <v>5</v>
      </c>
      <c r="O3992" s="87"/>
    </row>
    <row r="3993" spans="1:15" ht="15.75" hidden="1" x14ac:dyDescent="0.25">
      <c r="A3993" s="1" t="str">
        <f t="shared" si="194"/>
        <v>454204542241MASTER CCFOODCAFÉ/REST.</v>
      </c>
      <c r="B3993" s="154">
        <v>45420</v>
      </c>
      <c r="C3993" s="154">
        <v>45422</v>
      </c>
      <c r="D3993" s="3" t="s">
        <v>4590</v>
      </c>
      <c r="E3993" s="3">
        <v>-41</v>
      </c>
      <c r="F3993" s="3">
        <v>1</v>
      </c>
      <c r="G3993" s="3">
        <f t="shared" si="196"/>
        <v>41</v>
      </c>
      <c r="H3993" s="3" t="s">
        <v>291</v>
      </c>
      <c r="I3993" s="1" t="s">
        <v>10</v>
      </c>
      <c r="J3993" s="1" t="s">
        <v>11</v>
      </c>
      <c r="K3993" s="1" t="s">
        <v>298</v>
      </c>
      <c r="L3993" s="1" t="s">
        <v>267</v>
      </c>
      <c r="M3993" s="1"/>
      <c r="N3993" s="1">
        <f t="shared" si="195"/>
        <v>5</v>
      </c>
      <c r="O3993" s="87"/>
    </row>
    <row r="3994" spans="1:15" ht="15.75" hidden="1" x14ac:dyDescent="0.25">
      <c r="A3994" s="1" t="str">
        <f t="shared" si="194"/>
        <v>454204542217.94MASTER CCTRANSPORTUBER</v>
      </c>
      <c r="B3994" s="154">
        <v>45420</v>
      </c>
      <c r="C3994" s="154">
        <v>45422</v>
      </c>
      <c r="D3994" s="3" t="s">
        <v>4591</v>
      </c>
      <c r="E3994" s="3">
        <v>-17.940000000000001</v>
      </c>
      <c r="F3994" s="3">
        <v>1</v>
      </c>
      <c r="G3994" s="3">
        <f t="shared" si="196"/>
        <v>17.940000000000001</v>
      </c>
      <c r="H3994" s="3" t="s">
        <v>291</v>
      </c>
      <c r="I3994" s="1" t="s">
        <v>296</v>
      </c>
      <c r="J3994" s="1" t="s">
        <v>299</v>
      </c>
      <c r="K3994" s="1" t="s">
        <v>298</v>
      </c>
      <c r="L3994" s="1" t="s">
        <v>267</v>
      </c>
      <c r="M3994" s="1"/>
      <c r="N3994" s="1">
        <f t="shared" si="195"/>
        <v>5</v>
      </c>
      <c r="O3994" s="87"/>
    </row>
    <row r="3995" spans="1:15" ht="15.75" hidden="1" x14ac:dyDescent="0.25">
      <c r="A3995" s="1" t="str">
        <f t="shared" si="194"/>
        <v>454204542223.95MASTER CCTRANSPORTUBER</v>
      </c>
      <c r="B3995" s="154">
        <v>45420</v>
      </c>
      <c r="C3995" s="154">
        <v>45422</v>
      </c>
      <c r="D3995" s="3" t="s">
        <v>4592</v>
      </c>
      <c r="E3995" s="3">
        <v>-23.95</v>
      </c>
      <c r="F3995" s="3">
        <v>1</v>
      </c>
      <c r="G3995" s="3">
        <f t="shared" si="196"/>
        <v>23.95</v>
      </c>
      <c r="H3995" s="3" t="s">
        <v>291</v>
      </c>
      <c r="I3995" s="1" t="s">
        <v>296</v>
      </c>
      <c r="J3995" s="1" t="s">
        <v>299</v>
      </c>
      <c r="K3995" s="1" t="s">
        <v>298</v>
      </c>
      <c r="L3995" s="1" t="s">
        <v>267</v>
      </c>
      <c r="M3995" s="1"/>
      <c r="N3995" s="1">
        <f t="shared" si="195"/>
        <v>5</v>
      </c>
      <c r="O3995" s="87"/>
    </row>
    <row r="3996" spans="1:15" ht="15.75" hidden="1" x14ac:dyDescent="0.25">
      <c r="A3996" s="1" t="str">
        <f t="shared" si="194"/>
        <v>454214542222.62MASTER CCTRANSPORTUBER</v>
      </c>
      <c r="B3996" s="154">
        <v>45421</v>
      </c>
      <c r="C3996" s="154">
        <v>45422</v>
      </c>
      <c r="D3996" s="3" t="s">
        <v>4589</v>
      </c>
      <c r="E3996" s="3">
        <v>-22.62</v>
      </c>
      <c r="F3996" s="3">
        <v>1</v>
      </c>
      <c r="G3996" s="3">
        <f t="shared" si="196"/>
        <v>22.62</v>
      </c>
      <c r="H3996" s="3" t="s">
        <v>291</v>
      </c>
      <c r="I3996" s="1" t="s">
        <v>296</v>
      </c>
      <c r="J3996" s="1" t="s">
        <v>299</v>
      </c>
      <c r="K3996" s="1" t="s">
        <v>298</v>
      </c>
      <c r="L3996" s="1" t="s">
        <v>267</v>
      </c>
      <c r="M3996" s="1"/>
      <c r="N3996" s="1">
        <f t="shared" si="195"/>
        <v>5</v>
      </c>
      <c r="O3996" s="87"/>
    </row>
    <row r="3997" spans="1:15" ht="15.75" hidden="1" x14ac:dyDescent="0.25">
      <c r="A3997" s="1" t="str">
        <f t="shared" si="194"/>
        <v>454234542645MASTER CCTRANSPORTKARWA</v>
      </c>
      <c r="B3997" s="154">
        <v>45423</v>
      </c>
      <c r="C3997" s="154">
        <v>45426</v>
      </c>
      <c r="D3997" s="3" t="s">
        <v>4587</v>
      </c>
      <c r="E3997" s="3">
        <v>-45</v>
      </c>
      <c r="F3997" s="3">
        <v>1</v>
      </c>
      <c r="G3997" s="3">
        <f t="shared" si="196"/>
        <v>45</v>
      </c>
      <c r="H3997" s="3" t="s">
        <v>291</v>
      </c>
      <c r="I3997" s="1" t="s">
        <v>296</v>
      </c>
      <c r="J3997" s="1" t="s">
        <v>4085</v>
      </c>
      <c r="K3997" s="1" t="s">
        <v>298</v>
      </c>
      <c r="L3997" s="1" t="s">
        <v>267</v>
      </c>
      <c r="M3997" s="1"/>
      <c r="N3997" s="1">
        <f t="shared" si="195"/>
        <v>5</v>
      </c>
      <c r="O3997" s="87"/>
    </row>
    <row r="3998" spans="1:15" ht="15.75" hidden="1" x14ac:dyDescent="0.25">
      <c r="A3998" s="1" t="str">
        <f t="shared" si="194"/>
        <v>454234542641.62MASTER CCGROCERYMANGO</v>
      </c>
      <c r="B3998" s="154">
        <v>45423</v>
      </c>
      <c r="C3998" s="154">
        <v>45426</v>
      </c>
      <c r="D3998" s="3" t="s">
        <v>4588</v>
      </c>
      <c r="E3998" s="3">
        <v>-41.62</v>
      </c>
      <c r="F3998" s="3">
        <v>1</v>
      </c>
      <c r="G3998" s="3">
        <f t="shared" si="196"/>
        <v>41.62</v>
      </c>
      <c r="H3998" s="3" t="s">
        <v>291</v>
      </c>
      <c r="I3998" s="1" t="s">
        <v>43</v>
      </c>
      <c r="J3998" s="1" t="s">
        <v>3634</v>
      </c>
      <c r="K3998" s="1" t="s">
        <v>298</v>
      </c>
      <c r="L3998" s="1" t="s">
        <v>267</v>
      </c>
      <c r="M3998" s="1"/>
      <c r="N3998" s="1">
        <f t="shared" si="195"/>
        <v>5</v>
      </c>
      <c r="O3998" s="87"/>
    </row>
    <row r="3999" spans="1:15" ht="15.75" hidden="1" x14ac:dyDescent="0.25">
      <c r="A3999" s="1" t="str">
        <f t="shared" si="194"/>
        <v>45424454273.77MASTER CCMEDICALASTER</v>
      </c>
      <c r="B3999" s="154">
        <v>45424</v>
      </c>
      <c r="C3999" s="154">
        <v>45427</v>
      </c>
      <c r="D3999" s="3" t="s">
        <v>4581</v>
      </c>
      <c r="E3999" s="3">
        <v>-3.77</v>
      </c>
      <c r="F3999" s="3">
        <v>1</v>
      </c>
      <c r="G3999" s="3">
        <f t="shared" si="196"/>
        <v>3.77</v>
      </c>
      <c r="H3999" s="3" t="s">
        <v>291</v>
      </c>
      <c r="I3999" s="1" t="s">
        <v>301</v>
      </c>
      <c r="J3999" s="1" t="s">
        <v>303</v>
      </c>
      <c r="K3999" s="1" t="s">
        <v>298</v>
      </c>
      <c r="L3999" s="1" t="s">
        <v>267</v>
      </c>
      <c r="M3999" s="1"/>
      <c r="N3999" s="1">
        <f t="shared" si="195"/>
        <v>5</v>
      </c>
      <c r="O3999" s="87"/>
    </row>
    <row r="4000" spans="1:15" ht="15.75" hidden="1" x14ac:dyDescent="0.25">
      <c r="A4000" s="1" t="str">
        <f t="shared" si="194"/>
        <v>454244542633.66MASTER CCGROCERYMANGO</v>
      </c>
      <c r="B4000" s="154">
        <v>45424</v>
      </c>
      <c r="C4000" s="154">
        <v>45426</v>
      </c>
      <c r="D4000" s="3" t="s">
        <v>4582</v>
      </c>
      <c r="E4000" s="3">
        <v>-33.659999999999997</v>
      </c>
      <c r="F4000" s="3">
        <v>1</v>
      </c>
      <c r="G4000" s="3">
        <f t="shared" si="196"/>
        <v>33.659999999999997</v>
      </c>
      <c r="H4000" s="3" t="s">
        <v>291</v>
      </c>
      <c r="I4000" s="1" t="s">
        <v>43</v>
      </c>
      <c r="J4000" s="1" t="s">
        <v>3634</v>
      </c>
      <c r="K4000" s="1" t="s">
        <v>298</v>
      </c>
      <c r="L4000" s="1" t="s">
        <v>267</v>
      </c>
      <c r="M4000" s="1"/>
      <c r="N4000" s="1">
        <f t="shared" si="195"/>
        <v>5</v>
      </c>
      <c r="O4000" s="87"/>
    </row>
    <row r="4001" spans="1:15" ht="15.75" hidden="1" x14ac:dyDescent="0.25">
      <c r="A4001" s="1" t="str">
        <f t="shared" si="194"/>
        <v>454244542511MASTER CCMEDICALASTER</v>
      </c>
      <c r="B4001" s="154">
        <v>45424</v>
      </c>
      <c r="C4001" s="154">
        <v>45425</v>
      </c>
      <c r="D4001" s="3" t="s">
        <v>4583</v>
      </c>
      <c r="E4001" s="3">
        <v>-11</v>
      </c>
      <c r="F4001" s="3">
        <v>1</v>
      </c>
      <c r="G4001" s="3">
        <f t="shared" si="196"/>
        <v>11</v>
      </c>
      <c r="H4001" s="3" t="s">
        <v>291</v>
      </c>
      <c r="I4001" s="1" t="s">
        <v>301</v>
      </c>
      <c r="J4001" s="1" t="s">
        <v>303</v>
      </c>
      <c r="K4001" s="1" t="s">
        <v>298</v>
      </c>
      <c r="L4001" s="1" t="s">
        <v>267</v>
      </c>
      <c r="M4001" s="1"/>
      <c r="N4001" s="1">
        <f t="shared" si="195"/>
        <v>5</v>
      </c>
      <c r="O4001" s="87"/>
    </row>
    <row r="4002" spans="1:15" ht="15.75" hidden="1" x14ac:dyDescent="0.25">
      <c r="A4002" s="1" t="str">
        <f t="shared" si="194"/>
        <v>454244542511MASTER CCMEDICALASTER</v>
      </c>
      <c r="B4002" s="154">
        <v>45424</v>
      </c>
      <c r="C4002" s="154">
        <v>45425</v>
      </c>
      <c r="D4002" s="3" t="s">
        <v>4584</v>
      </c>
      <c r="E4002" s="3">
        <v>-11</v>
      </c>
      <c r="F4002" s="3">
        <v>1</v>
      </c>
      <c r="G4002" s="3">
        <f t="shared" si="196"/>
        <v>11</v>
      </c>
      <c r="H4002" s="3" t="s">
        <v>291</v>
      </c>
      <c r="I4002" s="1" t="s">
        <v>301</v>
      </c>
      <c r="J4002" s="1" t="s">
        <v>303</v>
      </c>
      <c r="K4002" s="1" t="s">
        <v>298</v>
      </c>
      <c r="L4002" s="1" t="s">
        <v>267</v>
      </c>
      <c r="M4002" s="1"/>
      <c r="N4002" s="1">
        <f t="shared" si="195"/>
        <v>5</v>
      </c>
      <c r="O4002" s="87"/>
    </row>
    <row r="4003" spans="1:15" ht="15.75" hidden="1" x14ac:dyDescent="0.25">
      <c r="A4003" s="1" t="str">
        <f t="shared" si="194"/>
        <v>45424454257.68MASTER CCMEDICALASTER</v>
      </c>
      <c r="B4003" s="154">
        <v>45424</v>
      </c>
      <c r="C4003" s="154">
        <v>45425</v>
      </c>
      <c r="D4003" s="3" t="s">
        <v>4585</v>
      </c>
      <c r="E4003" s="3">
        <v>-7.68</v>
      </c>
      <c r="F4003" s="3">
        <v>1</v>
      </c>
      <c r="G4003" s="3">
        <f t="shared" si="196"/>
        <v>7.68</v>
      </c>
      <c r="H4003" s="3" t="s">
        <v>291</v>
      </c>
      <c r="I4003" s="1" t="s">
        <v>301</v>
      </c>
      <c r="J4003" s="1" t="s">
        <v>303</v>
      </c>
      <c r="K4003" s="1" t="s">
        <v>298</v>
      </c>
      <c r="L4003" s="1" t="s">
        <v>267</v>
      </c>
      <c r="M4003" s="1"/>
      <c r="N4003" s="1">
        <f t="shared" si="195"/>
        <v>5</v>
      </c>
      <c r="O4003" s="87"/>
    </row>
    <row r="4004" spans="1:15" ht="15.75" hidden="1" x14ac:dyDescent="0.25">
      <c r="A4004" s="1" t="str">
        <f t="shared" si="194"/>
        <v>4542445425107.27MASTER CCGROCERYINDIAN SUPER</v>
      </c>
      <c r="B4004" s="154">
        <v>45424</v>
      </c>
      <c r="C4004" s="154">
        <v>45425</v>
      </c>
      <c r="D4004" s="3" t="s">
        <v>4586</v>
      </c>
      <c r="E4004" s="3">
        <v>-107.27</v>
      </c>
      <c r="F4004" s="3">
        <v>1</v>
      </c>
      <c r="G4004" s="3">
        <f t="shared" si="196"/>
        <v>107.27</v>
      </c>
      <c r="H4004" s="3" t="s">
        <v>291</v>
      </c>
      <c r="I4004" s="1" t="s">
        <v>43</v>
      </c>
      <c r="J4004" s="1" t="s">
        <v>2273</v>
      </c>
      <c r="K4004" s="1" t="s">
        <v>298</v>
      </c>
      <c r="L4004" s="1" t="s">
        <v>267</v>
      </c>
      <c r="M4004" s="1"/>
      <c r="N4004" s="1">
        <f t="shared" si="195"/>
        <v>5</v>
      </c>
      <c r="O4004" s="87"/>
    </row>
    <row r="4005" spans="1:15" ht="15.75" hidden="1" x14ac:dyDescent="0.25">
      <c r="A4005" s="1" t="str">
        <f t="shared" si="194"/>
        <v>454244542415CURRENTFOODCAFÉ/REST.</v>
      </c>
      <c r="B4005" s="154">
        <v>45424</v>
      </c>
      <c r="C4005" s="154">
        <v>45424</v>
      </c>
      <c r="D4005" s="3" t="s">
        <v>4651</v>
      </c>
      <c r="E4005" s="3">
        <v>-15</v>
      </c>
      <c r="F4005" s="3">
        <v>1</v>
      </c>
      <c r="G4005" s="3">
        <f t="shared" si="196"/>
        <v>15</v>
      </c>
      <c r="H4005" s="3" t="s">
        <v>293</v>
      </c>
      <c r="I4005" s="1" t="s">
        <v>10</v>
      </c>
      <c r="J4005" s="1" t="s">
        <v>11</v>
      </c>
      <c r="K4005" s="1" t="s">
        <v>298</v>
      </c>
      <c r="L4005" s="1" t="s">
        <v>257</v>
      </c>
      <c r="M4005" s="1"/>
      <c r="N4005" s="1">
        <f t="shared" si="195"/>
        <v>5</v>
      </c>
      <c r="O4005" s="87"/>
    </row>
    <row r="4006" spans="1:15" ht="15.75" hidden="1" x14ac:dyDescent="0.25">
      <c r="A4006" s="1" t="str">
        <f t="shared" si="194"/>
        <v>454254542851MASTER CCFOODTALABAT</v>
      </c>
      <c r="B4006" s="154">
        <v>45425</v>
      </c>
      <c r="C4006" s="154">
        <v>45428</v>
      </c>
      <c r="D4006" s="3" t="s">
        <v>4579</v>
      </c>
      <c r="E4006" s="3">
        <v>-51</v>
      </c>
      <c r="F4006" s="3">
        <v>1</v>
      </c>
      <c r="G4006" s="3">
        <f t="shared" si="196"/>
        <v>51</v>
      </c>
      <c r="H4006" s="3" t="s">
        <v>291</v>
      </c>
      <c r="I4006" s="1" t="s">
        <v>10</v>
      </c>
      <c r="J4006" s="1" t="s">
        <v>865</v>
      </c>
      <c r="K4006" s="1" t="s">
        <v>298</v>
      </c>
      <c r="L4006" s="1" t="s">
        <v>267</v>
      </c>
      <c r="M4006" s="1"/>
      <c r="N4006" s="1">
        <f t="shared" si="195"/>
        <v>5</v>
      </c>
      <c r="O4006" s="87"/>
    </row>
    <row r="4007" spans="1:15" ht="15.75" hidden="1" x14ac:dyDescent="0.25">
      <c r="A4007" s="1" t="str">
        <f t="shared" si="194"/>
        <v>454254542762.84MASTER CCGROCERYMANGO</v>
      </c>
      <c r="B4007" s="154">
        <v>45425</v>
      </c>
      <c r="C4007" s="154">
        <v>45427</v>
      </c>
      <c r="D4007" s="3" t="s">
        <v>4580</v>
      </c>
      <c r="E4007" s="3">
        <v>-62.84</v>
      </c>
      <c r="F4007" s="3">
        <v>1</v>
      </c>
      <c r="G4007" s="3">
        <f t="shared" si="196"/>
        <v>62.84</v>
      </c>
      <c r="H4007" s="3" t="s">
        <v>291</v>
      </c>
      <c r="I4007" s="1" t="s">
        <v>43</v>
      </c>
      <c r="J4007" s="1" t="s">
        <v>3634</v>
      </c>
      <c r="K4007" s="1" t="s">
        <v>298</v>
      </c>
      <c r="L4007" s="1" t="s">
        <v>267</v>
      </c>
      <c r="M4007" s="1"/>
      <c r="N4007" s="1">
        <f t="shared" si="195"/>
        <v>5</v>
      </c>
      <c r="O4007" s="87"/>
    </row>
    <row r="4008" spans="1:15" ht="15.75" hidden="1" x14ac:dyDescent="0.25">
      <c r="A4008" s="1" t="str">
        <f t="shared" si="194"/>
        <v>4542545425470CURRENTMEDICALPHARMACY</v>
      </c>
      <c r="B4008" s="154">
        <v>45425</v>
      </c>
      <c r="C4008" s="154">
        <v>45425</v>
      </c>
      <c r="D4008" s="3" t="s">
        <v>4650</v>
      </c>
      <c r="E4008" s="3">
        <v>-470</v>
      </c>
      <c r="F4008" s="3">
        <v>1</v>
      </c>
      <c r="G4008" s="3">
        <f t="shared" si="196"/>
        <v>470</v>
      </c>
      <c r="H4008" s="3" t="s">
        <v>293</v>
      </c>
      <c r="I4008" s="1" t="s">
        <v>301</v>
      </c>
      <c r="J4008" s="1" t="s">
        <v>304</v>
      </c>
      <c r="K4008" s="1" t="s">
        <v>298</v>
      </c>
      <c r="L4008" s="1" t="s">
        <v>257</v>
      </c>
      <c r="M4008" s="1"/>
      <c r="N4008" s="1">
        <f t="shared" si="195"/>
        <v>5</v>
      </c>
      <c r="O4008" s="87"/>
    </row>
    <row r="4009" spans="1:15" ht="15.75" hidden="1" x14ac:dyDescent="0.25">
      <c r="A4009" s="1" t="str">
        <f t="shared" si="194"/>
        <v>454264542979MASTER CCFOODTALABAT</v>
      </c>
      <c r="B4009" s="154">
        <v>45426</v>
      </c>
      <c r="C4009" s="154">
        <v>45429</v>
      </c>
      <c r="D4009" s="3" t="s">
        <v>4577</v>
      </c>
      <c r="E4009" s="3">
        <v>-79</v>
      </c>
      <c r="F4009" s="3">
        <v>1</v>
      </c>
      <c r="G4009" s="3">
        <f t="shared" si="196"/>
        <v>79</v>
      </c>
      <c r="H4009" s="3" t="s">
        <v>291</v>
      </c>
      <c r="I4009" s="1" t="s">
        <v>10</v>
      </c>
      <c r="J4009" s="1" t="s">
        <v>865</v>
      </c>
      <c r="K4009" s="1" t="s">
        <v>298</v>
      </c>
      <c r="L4009" s="1" t="s">
        <v>267</v>
      </c>
      <c r="M4009" s="1"/>
      <c r="N4009" s="1">
        <f t="shared" si="195"/>
        <v>5</v>
      </c>
      <c r="O4009" s="87"/>
    </row>
    <row r="4010" spans="1:15" ht="15.75" hidden="1" x14ac:dyDescent="0.25">
      <c r="A4010" s="1" t="str">
        <f t="shared" si="194"/>
        <v>454264542723.51MASTER CCGROCERYMANGO</v>
      </c>
      <c r="B4010" s="154">
        <v>45426</v>
      </c>
      <c r="C4010" s="154">
        <v>45427</v>
      </c>
      <c r="D4010" s="3" t="s">
        <v>4578</v>
      </c>
      <c r="E4010" s="3">
        <v>-23.51</v>
      </c>
      <c r="F4010" s="3">
        <v>1</v>
      </c>
      <c r="G4010" s="3">
        <f t="shared" si="196"/>
        <v>23.51</v>
      </c>
      <c r="H4010" s="3" t="s">
        <v>291</v>
      </c>
      <c r="I4010" s="1" t="s">
        <v>43</v>
      </c>
      <c r="J4010" s="1" t="s">
        <v>3634</v>
      </c>
      <c r="K4010" s="1" t="s">
        <v>298</v>
      </c>
      <c r="L4010" s="1" t="s">
        <v>267</v>
      </c>
      <c r="M4010" s="1"/>
      <c r="N4010" s="1">
        <f t="shared" si="195"/>
        <v>5</v>
      </c>
      <c r="O4010" s="87"/>
    </row>
    <row r="4011" spans="1:15" ht="15.75" hidden="1" x14ac:dyDescent="0.25">
      <c r="A4011" s="1" t="str">
        <f t="shared" si="194"/>
        <v>454274543081.42MASTER CCGROCERYMANGO</v>
      </c>
      <c r="B4011" s="154">
        <v>45427</v>
      </c>
      <c r="C4011" s="154">
        <v>45430</v>
      </c>
      <c r="D4011" s="3" t="s">
        <v>4576</v>
      </c>
      <c r="E4011" s="3">
        <v>-81.42</v>
      </c>
      <c r="F4011" s="3">
        <v>1</v>
      </c>
      <c r="G4011" s="3">
        <f t="shared" si="196"/>
        <v>81.42</v>
      </c>
      <c r="H4011" s="3" t="s">
        <v>291</v>
      </c>
      <c r="I4011" s="1" t="s">
        <v>43</v>
      </c>
      <c r="J4011" s="1" t="s">
        <v>3634</v>
      </c>
      <c r="K4011" s="1" t="s">
        <v>298</v>
      </c>
      <c r="L4011" s="1" t="s">
        <v>267</v>
      </c>
      <c r="M4011" s="1"/>
      <c r="N4011" s="1">
        <f t="shared" si="195"/>
        <v>5</v>
      </c>
      <c r="O4011" s="87"/>
    </row>
    <row r="4012" spans="1:15" ht="15.75" hidden="1" x14ac:dyDescent="0.25">
      <c r="A4012" s="1" t="str">
        <f t="shared" si="194"/>
        <v>45428454338MASTER CCGROCERYMANGO</v>
      </c>
      <c r="B4012" s="154">
        <v>45428</v>
      </c>
      <c r="C4012" s="154">
        <v>45433</v>
      </c>
      <c r="D4012" s="3" t="s">
        <v>4573</v>
      </c>
      <c r="E4012" s="3">
        <v>-8</v>
      </c>
      <c r="F4012" s="3">
        <v>1</v>
      </c>
      <c r="G4012" s="3">
        <f t="shared" si="196"/>
        <v>8</v>
      </c>
      <c r="H4012" s="3" t="s">
        <v>291</v>
      </c>
      <c r="I4012" s="1" t="s">
        <v>43</v>
      </c>
      <c r="J4012" s="1" t="s">
        <v>3634</v>
      </c>
      <c r="K4012" s="1" t="s">
        <v>298</v>
      </c>
      <c r="L4012" s="1" t="s">
        <v>267</v>
      </c>
      <c r="M4012" s="1"/>
      <c r="N4012" s="1">
        <f t="shared" si="195"/>
        <v>5</v>
      </c>
      <c r="O4012" s="87"/>
    </row>
    <row r="4013" spans="1:15" ht="15.75" hidden="1" x14ac:dyDescent="0.25">
      <c r="A4013" s="1" t="str">
        <f t="shared" si="194"/>
        <v>454284543333.56MASTER CCGROCERYMANGO</v>
      </c>
      <c r="B4013" s="154">
        <v>45428</v>
      </c>
      <c r="C4013" s="154">
        <v>45433</v>
      </c>
      <c r="D4013" s="3" t="s">
        <v>4574</v>
      </c>
      <c r="E4013" s="3">
        <v>-33.56</v>
      </c>
      <c r="F4013" s="3">
        <v>1</v>
      </c>
      <c r="G4013" s="3">
        <f t="shared" si="196"/>
        <v>33.56</v>
      </c>
      <c r="H4013" s="3" t="s">
        <v>291</v>
      </c>
      <c r="I4013" s="1" t="s">
        <v>43</v>
      </c>
      <c r="J4013" s="1" t="s">
        <v>3634</v>
      </c>
      <c r="K4013" s="1" t="s">
        <v>298</v>
      </c>
      <c r="L4013" s="1" t="s">
        <v>267</v>
      </c>
      <c r="M4013" s="1"/>
      <c r="N4013" s="1">
        <f t="shared" si="195"/>
        <v>5</v>
      </c>
      <c r="O4013" s="87"/>
    </row>
    <row r="4014" spans="1:15" ht="15.75" hidden="1" x14ac:dyDescent="0.25">
      <c r="A4014" s="1" t="str">
        <f t="shared" si="194"/>
        <v>45428454295MASTER CCGROCERYMANGO</v>
      </c>
      <c r="B4014" s="154">
        <v>45428</v>
      </c>
      <c r="C4014" s="154">
        <v>45429</v>
      </c>
      <c r="D4014" s="3" t="s">
        <v>4575</v>
      </c>
      <c r="E4014" s="3">
        <v>-5</v>
      </c>
      <c r="F4014" s="3">
        <v>1</v>
      </c>
      <c r="G4014" s="3">
        <f t="shared" si="196"/>
        <v>5</v>
      </c>
      <c r="H4014" s="3" t="s">
        <v>291</v>
      </c>
      <c r="I4014" s="1" t="s">
        <v>43</v>
      </c>
      <c r="J4014" s="1" t="s">
        <v>3634</v>
      </c>
      <c r="K4014" s="1" t="s">
        <v>298</v>
      </c>
      <c r="L4014" s="1" t="s">
        <v>267</v>
      </c>
      <c r="M4014" s="1"/>
      <c r="N4014" s="1">
        <f t="shared" si="195"/>
        <v>5</v>
      </c>
      <c r="O4014" s="87"/>
    </row>
    <row r="4015" spans="1:15" ht="15.75" hidden="1" x14ac:dyDescent="0.25">
      <c r="A4015" s="1" t="str">
        <f t="shared" si="194"/>
        <v>454294543350MASTER CCPERSONAL CARESALOON</v>
      </c>
      <c r="B4015" s="154">
        <v>45429</v>
      </c>
      <c r="C4015" s="154">
        <v>45433</v>
      </c>
      <c r="D4015" s="3" t="s">
        <v>4570</v>
      </c>
      <c r="E4015" s="3">
        <v>-50</v>
      </c>
      <c r="F4015" s="3">
        <v>1</v>
      </c>
      <c r="G4015" s="3">
        <f t="shared" si="196"/>
        <v>50</v>
      </c>
      <c r="H4015" s="3" t="s">
        <v>291</v>
      </c>
      <c r="I4015" s="1" t="s">
        <v>4671</v>
      </c>
      <c r="J4015" s="1" t="s">
        <v>4670</v>
      </c>
      <c r="K4015" s="1" t="s">
        <v>298</v>
      </c>
      <c r="L4015" s="1" t="s">
        <v>267</v>
      </c>
      <c r="M4015" s="1"/>
      <c r="N4015" s="1">
        <f t="shared" si="195"/>
        <v>5</v>
      </c>
      <c r="O4015" s="87"/>
    </row>
    <row r="4016" spans="1:15" ht="15.75" hidden="1" x14ac:dyDescent="0.25">
      <c r="A4016" s="1" t="str">
        <f t="shared" si="194"/>
        <v>454294543247MASTER CCFOODTALABAT</v>
      </c>
      <c r="B4016" s="154">
        <v>45429</v>
      </c>
      <c r="C4016" s="154">
        <v>45432</v>
      </c>
      <c r="D4016" s="3" t="s">
        <v>4571</v>
      </c>
      <c r="E4016" s="3">
        <v>-47</v>
      </c>
      <c r="F4016" s="3">
        <v>1</v>
      </c>
      <c r="G4016" s="3">
        <f t="shared" si="196"/>
        <v>47</v>
      </c>
      <c r="H4016" s="3" t="s">
        <v>291</v>
      </c>
      <c r="I4016" s="1" t="s">
        <v>10</v>
      </c>
      <c r="J4016" s="1" t="s">
        <v>865</v>
      </c>
      <c r="K4016" s="1" t="s">
        <v>298</v>
      </c>
      <c r="L4016" s="1" t="s">
        <v>267</v>
      </c>
      <c r="M4016" s="1"/>
      <c r="N4016" s="1">
        <f t="shared" si="195"/>
        <v>5</v>
      </c>
      <c r="O4016" s="87"/>
    </row>
    <row r="4017" spans="1:15" ht="15.75" hidden="1" x14ac:dyDescent="0.25">
      <c r="A4017" s="1" t="str">
        <f t="shared" si="194"/>
        <v>454294543048.42MASTER CCGROCERYMANGO</v>
      </c>
      <c r="B4017" s="154">
        <v>45429</v>
      </c>
      <c r="C4017" s="154">
        <v>45430</v>
      </c>
      <c r="D4017" s="3" t="s">
        <v>4572</v>
      </c>
      <c r="E4017" s="3">
        <v>-48.42</v>
      </c>
      <c r="F4017" s="3">
        <v>1</v>
      </c>
      <c r="G4017" s="3">
        <f t="shared" si="196"/>
        <v>48.42</v>
      </c>
      <c r="H4017" s="3" t="s">
        <v>291</v>
      </c>
      <c r="I4017" s="1" t="s">
        <v>43</v>
      </c>
      <c r="J4017" s="1" t="s">
        <v>3634</v>
      </c>
      <c r="K4017" s="1" t="s">
        <v>298</v>
      </c>
      <c r="L4017" s="1" t="s">
        <v>267</v>
      </c>
      <c r="M4017" s="1"/>
      <c r="N4017" s="1">
        <f t="shared" si="195"/>
        <v>5</v>
      </c>
      <c r="O4017" s="87"/>
    </row>
    <row r="4018" spans="1:15" ht="15.75" hidden="1" x14ac:dyDescent="0.25">
      <c r="A4018" s="1" t="str">
        <f t="shared" si="194"/>
        <v>454304543325.57MASTER CCMEDICALASTER</v>
      </c>
      <c r="B4018" s="154">
        <v>45430</v>
      </c>
      <c r="C4018" s="154">
        <v>45433</v>
      </c>
      <c r="D4018" s="3" t="s">
        <v>4569</v>
      </c>
      <c r="E4018" s="3">
        <v>-25.57</v>
      </c>
      <c r="F4018" s="3">
        <v>1</v>
      </c>
      <c r="G4018" s="3">
        <f t="shared" si="196"/>
        <v>25.57</v>
      </c>
      <c r="H4018" s="3" t="s">
        <v>291</v>
      </c>
      <c r="I4018" s="1" t="s">
        <v>301</v>
      </c>
      <c r="J4018" s="1" t="s">
        <v>303</v>
      </c>
      <c r="K4018" s="1" t="s">
        <v>298</v>
      </c>
      <c r="L4018" s="1" t="s">
        <v>267</v>
      </c>
      <c r="M4018" s="1"/>
      <c r="N4018" s="1">
        <f t="shared" si="195"/>
        <v>5</v>
      </c>
      <c r="O4018" s="87"/>
    </row>
    <row r="4019" spans="1:15" ht="15.75" hidden="1" x14ac:dyDescent="0.25">
      <c r="A4019" s="1" t="str">
        <f t="shared" si="194"/>
        <v>454314543452MASTER CCENTERTAINMENTJUNGLE ZONE</v>
      </c>
      <c r="B4019" s="154">
        <v>45431</v>
      </c>
      <c r="C4019" s="154">
        <v>45434</v>
      </c>
      <c r="D4019" s="3" t="s">
        <v>4563</v>
      </c>
      <c r="E4019" s="3">
        <v>-52</v>
      </c>
      <c r="F4019" s="3">
        <v>1</v>
      </c>
      <c r="G4019" s="3">
        <f t="shared" si="196"/>
        <v>52</v>
      </c>
      <c r="H4019" s="3" t="s">
        <v>291</v>
      </c>
      <c r="I4019" s="1" t="s">
        <v>2476</v>
      </c>
      <c r="J4019" s="1" t="s">
        <v>4672</v>
      </c>
      <c r="K4019" s="1" t="s">
        <v>298</v>
      </c>
      <c r="L4019" s="1" t="s">
        <v>267</v>
      </c>
      <c r="M4019" s="1"/>
      <c r="N4019" s="1">
        <f t="shared" si="195"/>
        <v>5</v>
      </c>
      <c r="O4019" s="87"/>
    </row>
    <row r="4020" spans="1:15" ht="15.75" hidden="1" x14ac:dyDescent="0.25">
      <c r="A4020" s="1" t="str">
        <f t="shared" si="194"/>
        <v>4543145434100MASTER CCENTERTAINMENTJUNGLE ZONE</v>
      </c>
      <c r="B4020" s="154">
        <v>45431</v>
      </c>
      <c r="C4020" s="154">
        <v>45434</v>
      </c>
      <c r="D4020" s="3" t="s">
        <v>4564</v>
      </c>
      <c r="E4020" s="3">
        <v>-100</v>
      </c>
      <c r="F4020" s="3">
        <v>1</v>
      </c>
      <c r="G4020" s="3">
        <f t="shared" si="196"/>
        <v>100</v>
      </c>
      <c r="H4020" s="3" t="s">
        <v>291</v>
      </c>
      <c r="I4020" s="1" t="s">
        <v>2476</v>
      </c>
      <c r="J4020" s="1" t="s">
        <v>4672</v>
      </c>
      <c r="K4020" s="1" t="s">
        <v>298</v>
      </c>
      <c r="L4020" s="1" t="s">
        <v>267</v>
      </c>
      <c r="M4020" s="1"/>
      <c r="N4020" s="1">
        <f t="shared" si="195"/>
        <v>5</v>
      </c>
      <c r="O4020" s="87"/>
    </row>
    <row r="4021" spans="1:15" ht="15.75" hidden="1" x14ac:dyDescent="0.25">
      <c r="A4021" s="1" t="str">
        <f t="shared" si="194"/>
        <v>4543145434164.9MASTER CCFOODCAFÉ/REST.</v>
      </c>
      <c r="B4021" s="154">
        <v>45431</v>
      </c>
      <c r="C4021" s="154">
        <v>45434</v>
      </c>
      <c r="D4021" s="3" t="s">
        <v>4565</v>
      </c>
      <c r="E4021" s="3">
        <v>-164.9</v>
      </c>
      <c r="F4021" s="3">
        <v>1</v>
      </c>
      <c r="G4021" s="3">
        <f t="shared" si="196"/>
        <v>164.9</v>
      </c>
      <c r="H4021" s="3" t="s">
        <v>291</v>
      </c>
      <c r="I4021" s="1" t="s">
        <v>10</v>
      </c>
      <c r="J4021" s="1" t="s">
        <v>11</v>
      </c>
      <c r="K4021" s="1" t="s">
        <v>298</v>
      </c>
      <c r="L4021" s="1" t="s">
        <v>267</v>
      </c>
      <c r="M4021" s="1"/>
      <c r="N4021" s="1">
        <f t="shared" si="195"/>
        <v>5</v>
      </c>
      <c r="O4021" s="87"/>
    </row>
    <row r="4022" spans="1:15" ht="15.75" hidden="1" x14ac:dyDescent="0.25">
      <c r="A4022" s="1" t="str">
        <f t="shared" si="194"/>
        <v>454314543430MASTER CCENTERTAINMENTBOAT</v>
      </c>
      <c r="B4022" s="154">
        <v>45431</v>
      </c>
      <c r="C4022" s="154">
        <v>45434</v>
      </c>
      <c r="D4022" s="3" t="s">
        <v>4566</v>
      </c>
      <c r="E4022" s="3">
        <v>-30</v>
      </c>
      <c r="F4022" s="3">
        <v>1</v>
      </c>
      <c r="G4022" s="3">
        <f t="shared" si="196"/>
        <v>30</v>
      </c>
      <c r="H4022" s="3" t="s">
        <v>291</v>
      </c>
      <c r="I4022" s="1" t="s">
        <v>2476</v>
      </c>
      <c r="J4022" s="1" t="s">
        <v>4673</v>
      </c>
      <c r="K4022" s="1" t="s">
        <v>298</v>
      </c>
      <c r="L4022" s="1" t="s">
        <v>267</v>
      </c>
      <c r="M4022" s="1"/>
      <c r="N4022" s="1">
        <f t="shared" si="195"/>
        <v>5</v>
      </c>
      <c r="O4022" s="87"/>
    </row>
    <row r="4023" spans="1:15" ht="15.75" hidden="1" x14ac:dyDescent="0.25">
      <c r="A4023" s="1" t="str">
        <f t="shared" si="194"/>
        <v>454314543350MASTER CCFOODCAFÉ/REST.</v>
      </c>
      <c r="B4023" s="154">
        <v>45431</v>
      </c>
      <c r="C4023" s="154">
        <v>45433</v>
      </c>
      <c r="D4023" s="3" t="s">
        <v>4567</v>
      </c>
      <c r="E4023" s="3">
        <v>-50</v>
      </c>
      <c r="F4023" s="3">
        <v>1</v>
      </c>
      <c r="G4023" s="3">
        <f t="shared" si="196"/>
        <v>50</v>
      </c>
      <c r="H4023" s="3" t="s">
        <v>291</v>
      </c>
      <c r="I4023" s="1" t="s">
        <v>10</v>
      </c>
      <c r="J4023" s="1" t="s">
        <v>11</v>
      </c>
      <c r="K4023" s="1" t="s">
        <v>298</v>
      </c>
      <c r="L4023" s="1" t="s">
        <v>267</v>
      </c>
      <c r="M4023" s="1"/>
      <c r="N4023" s="1">
        <f t="shared" si="195"/>
        <v>5</v>
      </c>
      <c r="O4023" s="87"/>
    </row>
    <row r="4024" spans="1:15" ht="15.75" hidden="1" x14ac:dyDescent="0.25">
      <c r="A4024" s="1" t="str">
        <f t="shared" si="194"/>
        <v>4543145433305.65MASTER CCGROCERYAL MEERA</v>
      </c>
      <c r="B4024" s="154">
        <v>45431</v>
      </c>
      <c r="C4024" s="154">
        <v>45433</v>
      </c>
      <c r="D4024" s="3" t="s">
        <v>4568</v>
      </c>
      <c r="E4024" s="3">
        <v>-305.64999999999998</v>
      </c>
      <c r="F4024" s="3">
        <v>1</v>
      </c>
      <c r="G4024" s="3">
        <f t="shared" si="196"/>
        <v>305.64999999999998</v>
      </c>
      <c r="H4024" s="3" t="s">
        <v>291</v>
      </c>
      <c r="I4024" s="1" t="s">
        <v>43</v>
      </c>
      <c r="J4024" s="1" t="s">
        <v>4674</v>
      </c>
      <c r="K4024" s="1" t="s">
        <v>298</v>
      </c>
      <c r="L4024" s="1" t="s">
        <v>267</v>
      </c>
      <c r="M4024" s="1"/>
      <c r="N4024" s="1">
        <f t="shared" si="195"/>
        <v>5</v>
      </c>
      <c r="O4024" s="87"/>
    </row>
    <row r="4025" spans="1:15" ht="15.75" hidden="1" x14ac:dyDescent="0.25">
      <c r="A4025" s="1" t="str">
        <f t="shared" si="194"/>
        <v>454324543582MASTER CCFOODCAFÉ/REST.</v>
      </c>
      <c r="B4025" s="154">
        <v>45432</v>
      </c>
      <c r="C4025" s="154">
        <v>45435</v>
      </c>
      <c r="D4025" s="3" t="s">
        <v>4559</v>
      </c>
      <c r="E4025" s="3">
        <v>-82</v>
      </c>
      <c r="F4025" s="3">
        <v>1</v>
      </c>
      <c r="G4025" s="3">
        <f t="shared" si="196"/>
        <v>82</v>
      </c>
      <c r="H4025" s="3" t="s">
        <v>291</v>
      </c>
      <c r="I4025" s="1" t="s">
        <v>10</v>
      </c>
      <c r="J4025" s="1" t="s">
        <v>11</v>
      </c>
      <c r="K4025" s="1" t="s">
        <v>298</v>
      </c>
      <c r="L4025" s="1" t="s">
        <v>267</v>
      </c>
      <c r="M4025" s="1"/>
      <c r="N4025" s="1">
        <f t="shared" si="195"/>
        <v>5</v>
      </c>
      <c r="O4025" s="87"/>
    </row>
    <row r="4026" spans="1:15" ht="15.75" hidden="1" x14ac:dyDescent="0.25">
      <c r="A4026" s="1" t="str">
        <f t="shared" si="194"/>
        <v>454324543416MASTER CCSHOPPINGOTHER</v>
      </c>
      <c r="B4026" s="154">
        <v>45432</v>
      </c>
      <c r="C4026" s="154">
        <v>45434</v>
      </c>
      <c r="D4026" s="3" t="s">
        <v>4560</v>
      </c>
      <c r="E4026" s="3">
        <v>-16</v>
      </c>
      <c r="F4026" s="3">
        <v>1</v>
      </c>
      <c r="G4026" s="3">
        <f t="shared" si="196"/>
        <v>16</v>
      </c>
      <c r="H4026" s="3" t="s">
        <v>291</v>
      </c>
      <c r="I4026" s="1" t="s">
        <v>194</v>
      </c>
      <c r="J4026" s="1" t="s">
        <v>1285</v>
      </c>
      <c r="K4026" s="1" t="s">
        <v>298</v>
      </c>
      <c r="L4026" s="1" t="s">
        <v>267</v>
      </c>
      <c r="M4026" s="1"/>
      <c r="N4026" s="1">
        <f t="shared" si="195"/>
        <v>5</v>
      </c>
      <c r="O4026" s="87"/>
    </row>
    <row r="4027" spans="1:15" ht="15.75" hidden="1" x14ac:dyDescent="0.25">
      <c r="A4027" s="1" t="str">
        <f t="shared" si="194"/>
        <v>454324543450MASTER CCSHOPPINGOTHER</v>
      </c>
      <c r="B4027" s="154">
        <v>45432</v>
      </c>
      <c r="C4027" s="154">
        <v>45434</v>
      </c>
      <c r="D4027" s="3" t="s">
        <v>4561</v>
      </c>
      <c r="E4027" s="3">
        <v>-50</v>
      </c>
      <c r="F4027" s="3">
        <v>1</v>
      </c>
      <c r="G4027" s="3">
        <f t="shared" si="196"/>
        <v>50</v>
      </c>
      <c r="H4027" s="3" t="s">
        <v>291</v>
      </c>
      <c r="I4027" s="1" t="s">
        <v>194</v>
      </c>
      <c r="J4027" s="1" t="s">
        <v>1285</v>
      </c>
      <c r="K4027" s="1" t="s">
        <v>298</v>
      </c>
      <c r="L4027" s="1" t="s">
        <v>267</v>
      </c>
      <c r="M4027" s="1"/>
      <c r="N4027" s="1">
        <f t="shared" si="195"/>
        <v>5</v>
      </c>
      <c r="O4027" s="87"/>
    </row>
    <row r="4028" spans="1:15" ht="15.75" hidden="1" x14ac:dyDescent="0.25">
      <c r="A4028" s="1" t="str">
        <f t="shared" si="194"/>
        <v>4543245433104.06MASTER CCTRANSPORTWOQOD</v>
      </c>
      <c r="B4028" s="154">
        <v>45432</v>
      </c>
      <c r="C4028" s="154">
        <v>45433</v>
      </c>
      <c r="D4028" s="3" t="s">
        <v>4562</v>
      </c>
      <c r="E4028" s="3">
        <v>-104.06</v>
      </c>
      <c r="F4028" s="3">
        <v>1</v>
      </c>
      <c r="G4028" s="3">
        <f t="shared" si="196"/>
        <v>104.06</v>
      </c>
      <c r="H4028" s="3" t="s">
        <v>291</v>
      </c>
      <c r="I4028" s="1" t="s">
        <v>296</v>
      </c>
      <c r="J4028" s="1" t="s">
        <v>1942</v>
      </c>
      <c r="K4028" s="1" t="s">
        <v>298</v>
      </c>
      <c r="L4028" s="1" t="s">
        <v>267</v>
      </c>
      <c r="M4028" s="1"/>
      <c r="N4028" s="1">
        <f t="shared" si="195"/>
        <v>5</v>
      </c>
      <c r="O4028" s="87"/>
    </row>
    <row r="4029" spans="1:15" ht="15.75" hidden="1" x14ac:dyDescent="0.25">
      <c r="A4029" s="1" t="str">
        <f t="shared" si="194"/>
        <v>454334543611MASTER CCMEDICALASTER</v>
      </c>
      <c r="B4029" s="154">
        <v>45433</v>
      </c>
      <c r="C4029" s="154">
        <v>45436</v>
      </c>
      <c r="D4029" s="3" t="s">
        <v>4550</v>
      </c>
      <c r="E4029" s="3">
        <v>-11</v>
      </c>
      <c r="F4029" s="3">
        <v>1</v>
      </c>
      <c r="G4029" s="3">
        <f t="shared" si="196"/>
        <v>11</v>
      </c>
      <c r="H4029" s="3" t="s">
        <v>291</v>
      </c>
      <c r="I4029" s="1" t="s">
        <v>301</v>
      </c>
      <c r="J4029" s="1" t="s">
        <v>303</v>
      </c>
      <c r="K4029" s="1" t="s">
        <v>298</v>
      </c>
      <c r="L4029" s="1" t="s">
        <v>267</v>
      </c>
      <c r="M4029" s="1"/>
      <c r="N4029" s="1">
        <f t="shared" si="195"/>
        <v>5</v>
      </c>
      <c r="O4029" s="87"/>
    </row>
    <row r="4030" spans="1:15" ht="15.75" hidden="1" x14ac:dyDescent="0.25">
      <c r="A4030" s="1" t="str">
        <f t="shared" si="194"/>
        <v>45433454362.4MASTER CCMEDICALASTER</v>
      </c>
      <c r="B4030" s="154">
        <v>45433</v>
      </c>
      <c r="C4030" s="154">
        <v>45436</v>
      </c>
      <c r="D4030" s="3" t="s">
        <v>4551</v>
      </c>
      <c r="E4030" s="3">
        <v>-2.4</v>
      </c>
      <c r="F4030" s="3">
        <v>1</v>
      </c>
      <c r="G4030" s="3">
        <f t="shared" si="196"/>
        <v>2.4</v>
      </c>
      <c r="H4030" s="3" t="s">
        <v>291</v>
      </c>
      <c r="I4030" s="1" t="s">
        <v>301</v>
      </c>
      <c r="J4030" s="1" t="s">
        <v>303</v>
      </c>
      <c r="K4030" s="1" t="s">
        <v>298</v>
      </c>
      <c r="L4030" s="1" t="s">
        <v>267</v>
      </c>
      <c r="M4030" s="1"/>
      <c r="N4030" s="1">
        <f t="shared" si="195"/>
        <v>5</v>
      </c>
      <c r="O4030" s="87"/>
    </row>
    <row r="4031" spans="1:15" ht="15.75" hidden="1" x14ac:dyDescent="0.25">
      <c r="A4031" s="1" t="str">
        <f t="shared" si="194"/>
        <v>45433454359MASTER CCFOODCAFÉ/REST.</v>
      </c>
      <c r="B4031" s="154">
        <v>45433</v>
      </c>
      <c r="C4031" s="154">
        <v>45435</v>
      </c>
      <c r="D4031" s="3" t="s">
        <v>4552</v>
      </c>
      <c r="E4031" s="3">
        <v>-9</v>
      </c>
      <c r="F4031" s="3">
        <v>1</v>
      </c>
      <c r="G4031" s="3">
        <f t="shared" si="196"/>
        <v>9</v>
      </c>
      <c r="H4031" s="3" t="s">
        <v>291</v>
      </c>
      <c r="I4031" s="1" t="s">
        <v>10</v>
      </c>
      <c r="J4031" s="1" t="s">
        <v>11</v>
      </c>
      <c r="K4031" s="1" t="s">
        <v>298</v>
      </c>
      <c r="L4031" s="1" t="s">
        <v>267</v>
      </c>
      <c r="M4031" s="1"/>
      <c r="N4031" s="1">
        <f t="shared" si="195"/>
        <v>5</v>
      </c>
      <c r="O4031" s="87"/>
    </row>
    <row r="4032" spans="1:15" ht="15.75" hidden="1" x14ac:dyDescent="0.25">
      <c r="A4032" s="1" t="str">
        <f t="shared" si="194"/>
        <v>454334543547MASTER CCFOODCAFÉ/REST.</v>
      </c>
      <c r="B4032" s="154">
        <v>45433</v>
      </c>
      <c r="C4032" s="154">
        <v>45435</v>
      </c>
      <c r="D4032" s="3" t="s">
        <v>4553</v>
      </c>
      <c r="E4032" s="3">
        <v>-47</v>
      </c>
      <c r="F4032" s="3">
        <v>1</v>
      </c>
      <c r="G4032" s="3">
        <f t="shared" si="196"/>
        <v>47</v>
      </c>
      <c r="H4032" s="3" t="s">
        <v>291</v>
      </c>
      <c r="I4032" s="1" t="s">
        <v>10</v>
      </c>
      <c r="J4032" s="1" t="s">
        <v>11</v>
      </c>
      <c r="K4032" s="1" t="s">
        <v>298</v>
      </c>
      <c r="L4032" s="1" t="s">
        <v>267</v>
      </c>
      <c r="M4032" s="1"/>
      <c r="N4032" s="1">
        <f t="shared" si="195"/>
        <v>5</v>
      </c>
      <c r="O4032" s="87"/>
    </row>
    <row r="4033" spans="1:15" ht="15.75" hidden="1" x14ac:dyDescent="0.25">
      <c r="A4033" s="1" t="str">
        <f t="shared" si="194"/>
        <v>454334543563.81MASTER CCGROCERYRED ROSE</v>
      </c>
      <c r="B4033" s="154">
        <v>45433</v>
      </c>
      <c r="C4033" s="154">
        <v>45435</v>
      </c>
      <c r="D4033" s="3" t="s">
        <v>4554</v>
      </c>
      <c r="E4033" s="3">
        <v>-63.81</v>
      </c>
      <c r="F4033" s="3">
        <v>1</v>
      </c>
      <c r="G4033" s="3">
        <f t="shared" si="196"/>
        <v>63.81</v>
      </c>
      <c r="H4033" s="3" t="s">
        <v>291</v>
      </c>
      <c r="I4033" s="1" t="s">
        <v>43</v>
      </c>
      <c r="J4033" s="1" t="s">
        <v>4516</v>
      </c>
      <c r="K4033" s="1" t="s">
        <v>298</v>
      </c>
      <c r="L4033" s="1" t="s">
        <v>267</v>
      </c>
      <c r="M4033" s="1"/>
      <c r="N4033" s="1">
        <f t="shared" si="195"/>
        <v>5</v>
      </c>
      <c r="O4033" s="87"/>
    </row>
    <row r="4034" spans="1:15" ht="15.75" hidden="1" x14ac:dyDescent="0.25">
      <c r="A4034" s="1" t="str">
        <f t="shared" ref="A4034:A4097" si="197">B4034&amp;C4034&amp;G4034&amp;H4034&amp;I4034&amp;J4034</f>
        <v>454334543590MASTER CCSHOPPINGR&amp;B</v>
      </c>
      <c r="B4034" s="154">
        <v>45433</v>
      </c>
      <c r="C4034" s="154">
        <v>45435</v>
      </c>
      <c r="D4034" s="3" t="s">
        <v>4555</v>
      </c>
      <c r="E4034" s="3">
        <v>-90</v>
      </c>
      <c r="F4034" s="3">
        <v>1</v>
      </c>
      <c r="G4034" s="3">
        <f t="shared" si="196"/>
        <v>90</v>
      </c>
      <c r="H4034" s="3" t="s">
        <v>291</v>
      </c>
      <c r="I4034" s="1" t="s">
        <v>194</v>
      </c>
      <c r="J4034" s="1" t="s">
        <v>195</v>
      </c>
      <c r="K4034" s="1" t="s">
        <v>298</v>
      </c>
      <c r="L4034" s="1" t="s">
        <v>267</v>
      </c>
      <c r="M4034" s="1"/>
      <c r="N4034" s="1">
        <f t="shared" ref="N4034:N4097" si="198">MONTH(C4034)</f>
        <v>5</v>
      </c>
      <c r="O4034" s="87"/>
    </row>
    <row r="4035" spans="1:15" ht="15.75" hidden="1" x14ac:dyDescent="0.25">
      <c r="A4035" s="1" t="str">
        <f t="shared" si="197"/>
        <v>45433454357.9MASTER CCTRANSPORTUBER</v>
      </c>
      <c r="B4035" s="154">
        <v>45433</v>
      </c>
      <c r="C4035" s="154">
        <v>45435</v>
      </c>
      <c r="D4035" s="3" t="s">
        <v>4556</v>
      </c>
      <c r="E4035" s="3">
        <v>-7.9</v>
      </c>
      <c r="F4035" s="3">
        <v>1</v>
      </c>
      <c r="G4035" s="3">
        <f t="shared" si="196"/>
        <v>7.9</v>
      </c>
      <c r="H4035" s="3" t="s">
        <v>291</v>
      </c>
      <c r="I4035" s="1" t="s">
        <v>296</v>
      </c>
      <c r="J4035" s="1" t="s">
        <v>299</v>
      </c>
      <c r="K4035" s="1" t="s">
        <v>298</v>
      </c>
      <c r="L4035" s="1" t="s">
        <v>267</v>
      </c>
      <c r="M4035" s="1"/>
      <c r="N4035" s="1">
        <f t="shared" si="198"/>
        <v>5</v>
      </c>
      <c r="O4035" s="87"/>
    </row>
    <row r="4036" spans="1:15" ht="15.75" hidden="1" x14ac:dyDescent="0.25">
      <c r="A4036" s="1" t="str">
        <f t="shared" si="197"/>
        <v>454334543511.95MASTER CCTRANSPORTUBER</v>
      </c>
      <c r="B4036" s="154">
        <v>45433</v>
      </c>
      <c r="C4036" s="154">
        <v>45435</v>
      </c>
      <c r="D4036" s="3" t="s">
        <v>4557</v>
      </c>
      <c r="E4036" s="3">
        <v>-11.95</v>
      </c>
      <c r="F4036" s="3">
        <v>1</v>
      </c>
      <c r="G4036" s="3">
        <f t="shared" si="196"/>
        <v>11.95</v>
      </c>
      <c r="H4036" s="3" t="s">
        <v>291</v>
      </c>
      <c r="I4036" s="1" t="s">
        <v>296</v>
      </c>
      <c r="J4036" s="1" t="s">
        <v>299</v>
      </c>
      <c r="K4036" s="1" t="s">
        <v>298</v>
      </c>
      <c r="L4036" s="1" t="s">
        <v>267</v>
      </c>
      <c r="M4036" s="1"/>
      <c r="N4036" s="1">
        <f t="shared" si="198"/>
        <v>5</v>
      </c>
      <c r="O4036" s="87"/>
    </row>
    <row r="4037" spans="1:15" ht="15.75" hidden="1" x14ac:dyDescent="0.25">
      <c r="A4037" s="1" t="str">
        <f t="shared" si="197"/>
        <v>454334543420MASTER CCSHOPPINGREDTAG</v>
      </c>
      <c r="B4037" s="154">
        <v>45433</v>
      </c>
      <c r="C4037" s="154">
        <v>45434</v>
      </c>
      <c r="D4037" s="3" t="s">
        <v>4558</v>
      </c>
      <c r="E4037" s="3">
        <v>-20</v>
      </c>
      <c r="F4037" s="3">
        <v>1</v>
      </c>
      <c r="G4037" s="3">
        <f t="shared" si="196"/>
        <v>20</v>
      </c>
      <c r="H4037" s="3" t="s">
        <v>291</v>
      </c>
      <c r="I4037" s="1" t="s">
        <v>194</v>
      </c>
      <c r="J4037" s="1" t="s">
        <v>2704</v>
      </c>
      <c r="K4037" s="1" t="s">
        <v>298</v>
      </c>
      <c r="L4037" s="1" t="s">
        <v>267</v>
      </c>
      <c r="M4037" s="1"/>
      <c r="N4037" s="1">
        <f t="shared" si="198"/>
        <v>5</v>
      </c>
      <c r="O4037" s="87"/>
    </row>
    <row r="4038" spans="1:15" ht="15.75" hidden="1" x14ac:dyDescent="0.25">
      <c r="A4038" s="1" t="str">
        <f t="shared" si="197"/>
        <v>45433454332CURRENTTRANSPORTPARKING</v>
      </c>
      <c r="B4038" s="154">
        <v>45433</v>
      </c>
      <c r="C4038" s="154">
        <v>45433</v>
      </c>
      <c r="D4038" s="3" t="s">
        <v>4649</v>
      </c>
      <c r="E4038" s="3">
        <v>-2</v>
      </c>
      <c r="F4038" s="3">
        <v>1</v>
      </c>
      <c r="G4038" s="3">
        <f t="shared" si="196"/>
        <v>2</v>
      </c>
      <c r="H4038" s="3" t="s">
        <v>293</v>
      </c>
      <c r="I4038" s="1" t="s">
        <v>296</v>
      </c>
      <c r="J4038" s="1" t="s">
        <v>4102</v>
      </c>
      <c r="K4038" s="1" t="s">
        <v>298</v>
      </c>
      <c r="L4038" s="1" t="s">
        <v>257</v>
      </c>
      <c r="M4038" s="1"/>
      <c r="N4038" s="1">
        <f t="shared" si="198"/>
        <v>5</v>
      </c>
      <c r="O4038" s="87"/>
    </row>
    <row r="4039" spans="1:15" ht="15.75" hidden="1" x14ac:dyDescent="0.25">
      <c r="A4039" s="1" t="str">
        <f t="shared" si="197"/>
        <v>454344543714MASTER CCFOODCAFÉ/REST.</v>
      </c>
      <c r="B4039" s="154">
        <v>45434</v>
      </c>
      <c r="C4039" s="154">
        <v>45437</v>
      </c>
      <c r="D4039" s="3" t="s">
        <v>4549</v>
      </c>
      <c r="E4039" s="3">
        <v>-14</v>
      </c>
      <c r="F4039" s="3">
        <v>1</v>
      </c>
      <c r="G4039" s="3">
        <f t="shared" si="196"/>
        <v>14</v>
      </c>
      <c r="H4039" s="3" t="s">
        <v>291</v>
      </c>
      <c r="I4039" s="1" t="s">
        <v>10</v>
      </c>
      <c r="J4039" s="1" t="s">
        <v>11</v>
      </c>
      <c r="K4039" s="1" t="s">
        <v>298</v>
      </c>
      <c r="L4039" s="1" t="s">
        <v>267</v>
      </c>
      <c r="M4039" s="1"/>
      <c r="N4039" s="1">
        <f t="shared" si="198"/>
        <v>5</v>
      </c>
      <c r="O4039" s="87"/>
    </row>
    <row r="4040" spans="1:15" ht="15.75" hidden="1" x14ac:dyDescent="0.25">
      <c r="A4040" s="1" t="str">
        <f t="shared" si="197"/>
        <v>454354544020MASTER CCFOODCAFÉ/REST.</v>
      </c>
      <c r="B4040" s="154">
        <v>45435</v>
      </c>
      <c r="C4040" s="154">
        <v>45440</v>
      </c>
      <c r="D4040" s="3" t="s">
        <v>4544</v>
      </c>
      <c r="E4040" s="3">
        <v>-20</v>
      </c>
      <c r="F4040" s="3">
        <v>1</v>
      </c>
      <c r="G4040" s="3">
        <f t="shared" si="196"/>
        <v>20</v>
      </c>
      <c r="H4040" s="3" t="s">
        <v>291</v>
      </c>
      <c r="I4040" s="1" t="s">
        <v>10</v>
      </c>
      <c r="J4040" s="1" t="s">
        <v>11</v>
      </c>
      <c r="K4040" s="1" t="s">
        <v>298</v>
      </c>
      <c r="L4040" s="1" t="s">
        <v>267</v>
      </c>
      <c r="M4040" s="1"/>
      <c r="N4040" s="1">
        <f t="shared" si="198"/>
        <v>5</v>
      </c>
      <c r="O4040" s="87"/>
    </row>
    <row r="4041" spans="1:15" ht="15.75" hidden="1" x14ac:dyDescent="0.25">
      <c r="A4041" s="1" t="str">
        <f t="shared" si="197"/>
        <v>4543545438193.33MASTER CCGROCERYINDIAN SUPER</v>
      </c>
      <c r="B4041" s="154">
        <v>45435</v>
      </c>
      <c r="C4041" s="154">
        <v>45438</v>
      </c>
      <c r="D4041" s="3" t="s">
        <v>4545</v>
      </c>
      <c r="E4041" s="3">
        <v>-193.33</v>
      </c>
      <c r="F4041" s="3">
        <v>1</v>
      </c>
      <c r="G4041" s="3">
        <f t="shared" si="196"/>
        <v>193.33</v>
      </c>
      <c r="H4041" s="3" t="s">
        <v>291</v>
      </c>
      <c r="I4041" s="1" t="s">
        <v>43</v>
      </c>
      <c r="J4041" s="1" t="s">
        <v>2273</v>
      </c>
      <c r="K4041" s="1" t="s">
        <v>298</v>
      </c>
      <c r="L4041" s="1" t="s">
        <v>267</v>
      </c>
      <c r="M4041" s="1"/>
      <c r="N4041" s="1">
        <f t="shared" si="198"/>
        <v>5</v>
      </c>
      <c r="O4041" s="87"/>
    </row>
    <row r="4042" spans="1:15" ht="15.75" hidden="1" x14ac:dyDescent="0.25">
      <c r="A4042" s="1" t="str">
        <f t="shared" si="197"/>
        <v>454354543714.98MASTER CCTRANSPORTUBER</v>
      </c>
      <c r="B4042" s="154">
        <v>45435</v>
      </c>
      <c r="C4042" s="154">
        <v>45437</v>
      </c>
      <c r="D4042" s="3" t="s">
        <v>4546</v>
      </c>
      <c r="E4042" s="3">
        <v>-14.98</v>
      </c>
      <c r="F4042" s="3">
        <v>1</v>
      </c>
      <c r="G4042" s="3">
        <f t="shared" si="196"/>
        <v>14.98</v>
      </c>
      <c r="H4042" s="3" t="s">
        <v>291</v>
      </c>
      <c r="I4042" s="1" t="s">
        <v>296</v>
      </c>
      <c r="J4042" s="1" t="s">
        <v>299</v>
      </c>
      <c r="K4042" s="1" t="s">
        <v>298</v>
      </c>
      <c r="L4042" s="1" t="s">
        <v>267</v>
      </c>
      <c r="M4042" s="1"/>
      <c r="N4042" s="1">
        <f t="shared" si="198"/>
        <v>5</v>
      </c>
      <c r="O4042" s="87"/>
    </row>
    <row r="4043" spans="1:15" ht="15.75" hidden="1" x14ac:dyDescent="0.25">
      <c r="A4043" s="1" t="str">
        <f t="shared" si="197"/>
        <v>454354543717.98MASTER CCTRANSPORTUBER</v>
      </c>
      <c r="B4043" s="154">
        <v>45435</v>
      </c>
      <c r="C4043" s="154">
        <v>45437</v>
      </c>
      <c r="D4043" s="3" t="s">
        <v>4547</v>
      </c>
      <c r="E4043" s="3">
        <v>-17.98</v>
      </c>
      <c r="F4043" s="3">
        <v>1</v>
      </c>
      <c r="G4043" s="3">
        <f t="shared" ref="G4043:G4106" si="199">ABS(E4043)*F4043</f>
        <v>17.98</v>
      </c>
      <c r="H4043" s="3" t="s">
        <v>291</v>
      </c>
      <c r="I4043" s="1" t="s">
        <v>296</v>
      </c>
      <c r="J4043" s="1" t="s">
        <v>299</v>
      </c>
      <c r="K4043" s="1" t="s">
        <v>298</v>
      </c>
      <c r="L4043" s="1" t="s">
        <v>267</v>
      </c>
      <c r="M4043" s="1"/>
      <c r="N4043" s="1">
        <f t="shared" si="198"/>
        <v>5</v>
      </c>
      <c r="O4043" s="87"/>
    </row>
    <row r="4044" spans="1:15" ht="15.75" hidden="1" x14ac:dyDescent="0.25">
      <c r="A4044" s="1" t="str">
        <f t="shared" si="197"/>
        <v>4543545436285.46MASTER CCGROCERYLULU</v>
      </c>
      <c r="B4044" s="154">
        <v>45435</v>
      </c>
      <c r="C4044" s="154">
        <v>45436</v>
      </c>
      <c r="D4044" s="3" t="s">
        <v>4548</v>
      </c>
      <c r="E4044" s="3">
        <v>-285.45999999999998</v>
      </c>
      <c r="F4044" s="3">
        <v>1</v>
      </c>
      <c r="G4044" s="3">
        <f t="shared" si="199"/>
        <v>285.45999999999998</v>
      </c>
      <c r="H4044" s="3" t="s">
        <v>291</v>
      </c>
      <c r="I4044" s="1" t="s">
        <v>43</v>
      </c>
      <c r="J4044" s="1" t="s">
        <v>44</v>
      </c>
      <c r="K4044" s="1" t="s">
        <v>298</v>
      </c>
      <c r="L4044" s="1" t="s">
        <v>267</v>
      </c>
      <c r="M4044" s="1"/>
      <c r="N4044" s="1">
        <f t="shared" si="198"/>
        <v>5</v>
      </c>
      <c r="O4044" s="87"/>
    </row>
    <row r="4045" spans="1:15" ht="15.75" hidden="1" x14ac:dyDescent="0.25">
      <c r="A4045" s="1" t="str">
        <f t="shared" si="197"/>
        <v>4543645440472.5MASTER CCENTERTAINMENTDESERT FALL</v>
      </c>
      <c r="B4045" s="154">
        <v>45436</v>
      </c>
      <c r="C4045" s="154">
        <v>45440</v>
      </c>
      <c r="D4045" s="3" t="s">
        <v>4540</v>
      </c>
      <c r="E4045" s="3">
        <v>-472.5</v>
      </c>
      <c r="F4045" s="3">
        <v>1</v>
      </c>
      <c r="G4045" s="3">
        <f t="shared" si="199"/>
        <v>472.5</v>
      </c>
      <c r="H4045" s="3" t="s">
        <v>291</v>
      </c>
      <c r="I4045" s="1" t="s">
        <v>2476</v>
      </c>
      <c r="J4045" s="1" t="s">
        <v>4675</v>
      </c>
      <c r="K4045" s="1" t="s">
        <v>298</v>
      </c>
      <c r="L4045" s="1" t="s">
        <v>267</v>
      </c>
      <c r="M4045" s="1"/>
      <c r="N4045" s="1">
        <f t="shared" si="198"/>
        <v>5</v>
      </c>
      <c r="O4045" s="87"/>
    </row>
    <row r="4046" spans="1:15" ht="15.75" hidden="1" x14ac:dyDescent="0.25">
      <c r="A4046" s="1" t="str">
        <f t="shared" si="197"/>
        <v>4543645440150MASTER CCFOODDESERT FALL</v>
      </c>
      <c r="B4046" s="154">
        <v>45436</v>
      </c>
      <c r="C4046" s="154">
        <v>45440</v>
      </c>
      <c r="D4046" s="3" t="s">
        <v>4541</v>
      </c>
      <c r="E4046" s="3">
        <v>-150</v>
      </c>
      <c r="F4046" s="3">
        <v>1</v>
      </c>
      <c r="G4046" s="3">
        <f t="shared" si="199"/>
        <v>150</v>
      </c>
      <c r="H4046" s="3" t="s">
        <v>291</v>
      </c>
      <c r="I4046" s="1" t="s">
        <v>10</v>
      </c>
      <c r="J4046" s="1" t="s">
        <v>4675</v>
      </c>
      <c r="K4046" s="1" t="s">
        <v>298</v>
      </c>
      <c r="L4046" s="1" t="s">
        <v>267</v>
      </c>
      <c r="M4046" s="1"/>
      <c r="N4046" s="1">
        <f t="shared" si="198"/>
        <v>5</v>
      </c>
      <c r="O4046" s="87"/>
    </row>
    <row r="4047" spans="1:15" ht="15.75" hidden="1" x14ac:dyDescent="0.25">
      <c r="A4047" s="1" t="str">
        <f t="shared" si="197"/>
        <v>4543645440140MASTER CCSHOPPINGDESERT FALL</v>
      </c>
      <c r="B4047" s="154">
        <v>45436</v>
      </c>
      <c r="C4047" s="154">
        <v>45440</v>
      </c>
      <c r="D4047" s="3" t="s">
        <v>4542</v>
      </c>
      <c r="E4047" s="3">
        <v>-140</v>
      </c>
      <c r="F4047" s="3">
        <v>1</v>
      </c>
      <c r="G4047" s="3">
        <f t="shared" si="199"/>
        <v>140</v>
      </c>
      <c r="H4047" s="3" t="s">
        <v>291</v>
      </c>
      <c r="I4047" s="1" t="s">
        <v>194</v>
      </c>
      <c r="J4047" s="1" t="s">
        <v>4675</v>
      </c>
      <c r="K4047" s="1" t="s">
        <v>298</v>
      </c>
      <c r="L4047" s="1" t="s">
        <v>267</v>
      </c>
      <c r="M4047" s="1"/>
      <c r="N4047" s="1">
        <f t="shared" si="198"/>
        <v>5</v>
      </c>
      <c r="O4047" s="87"/>
    </row>
    <row r="4048" spans="1:15" ht="15.75" hidden="1" x14ac:dyDescent="0.25">
      <c r="A4048" s="1" t="str">
        <f t="shared" si="197"/>
        <v>454364543941MASTER CCFOODTALABAT</v>
      </c>
      <c r="B4048" s="154">
        <v>45436</v>
      </c>
      <c r="C4048" s="154">
        <v>45439</v>
      </c>
      <c r="D4048" s="3" t="s">
        <v>4543</v>
      </c>
      <c r="E4048" s="3">
        <v>-41</v>
      </c>
      <c r="F4048" s="3">
        <v>1</v>
      </c>
      <c r="G4048" s="3">
        <f t="shared" si="199"/>
        <v>41</v>
      </c>
      <c r="H4048" s="3" t="s">
        <v>291</v>
      </c>
      <c r="I4048" s="1" t="s">
        <v>10</v>
      </c>
      <c r="J4048" s="1" t="s">
        <v>865</v>
      </c>
      <c r="K4048" s="1" t="s">
        <v>298</v>
      </c>
      <c r="L4048" s="1" t="s">
        <v>267</v>
      </c>
      <c r="M4048" s="1"/>
      <c r="N4048" s="1">
        <f t="shared" si="198"/>
        <v>5</v>
      </c>
      <c r="O4048" s="87"/>
    </row>
    <row r="4049" spans="1:15" ht="15.75" hidden="1" x14ac:dyDescent="0.25">
      <c r="A4049" s="1" t="str">
        <f t="shared" si="197"/>
        <v>454374544068.95MASTER CCGROCERYMANGO</v>
      </c>
      <c r="B4049" s="154">
        <v>45437</v>
      </c>
      <c r="C4049" s="154">
        <v>45440</v>
      </c>
      <c r="D4049" s="3" t="s">
        <v>4538</v>
      </c>
      <c r="E4049" s="3">
        <v>-68.95</v>
      </c>
      <c r="F4049" s="3">
        <v>1</v>
      </c>
      <c r="G4049" s="3">
        <f t="shared" si="199"/>
        <v>68.95</v>
      </c>
      <c r="H4049" s="3" t="s">
        <v>291</v>
      </c>
      <c r="I4049" s="1" t="s">
        <v>43</v>
      </c>
      <c r="J4049" s="1" t="s">
        <v>3634</v>
      </c>
      <c r="K4049" s="1" t="s">
        <v>298</v>
      </c>
      <c r="L4049" s="1" t="s">
        <v>267</v>
      </c>
      <c r="M4049" s="1"/>
      <c r="N4049" s="1">
        <f t="shared" si="198"/>
        <v>5</v>
      </c>
      <c r="O4049" s="87"/>
    </row>
    <row r="4050" spans="1:15" ht="15.75" hidden="1" x14ac:dyDescent="0.25">
      <c r="A4050" s="1" t="str">
        <f t="shared" si="197"/>
        <v>4543745440132MASTER CCFOODCAFÉ/REST.</v>
      </c>
      <c r="B4050" s="154">
        <v>45437</v>
      </c>
      <c r="C4050" s="154">
        <v>45440</v>
      </c>
      <c r="D4050" s="3" t="s">
        <v>4539</v>
      </c>
      <c r="E4050" s="3">
        <v>-132</v>
      </c>
      <c r="F4050" s="3">
        <v>1</v>
      </c>
      <c r="G4050" s="3">
        <f t="shared" si="199"/>
        <v>132</v>
      </c>
      <c r="H4050" s="3" t="s">
        <v>291</v>
      </c>
      <c r="I4050" s="1" t="s">
        <v>10</v>
      </c>
      <c r="J4050" s="1" t="s">
        <v>11</v>
      </c>
      <c r="K4050" s="1" t="s">
        <v>298</v>
      </c>
      <c r="L4050" s="1" t="s">
        <v>267</v>
      </c>
      <c r="M4050" s="1"/>
      <c r="N4050" s="1">
        <f t="shared" si="198"/>
        <v>5</v>
      </c>
      <c r="O4050" s="87"/>
    </row>
    <row r="4051" spans="1:15" ht="15.75" hidden="1" x14ac:dyDescent="0.25">
      <c r="A4051" s="1" t="str">
        <f t="shared" si="197"/>
        <v>454384544014MASTER CCFOODCAFÉ/REST.</v>
      </c>
      <c r="B4051" s="154">
        <v>45438</v>
      </c>
      <c r="C4051" s="154">
        <v>45440</v>
      </c>
      <c r="D4051" s="3" t="s">
        <v>4537</v>
      </c>
      <c r="E4051" s="3">
        <v>-14</v>
      </c>
      <c r="F4051" s="3">
        <v>1</v>
      </c>
      <c r="G4051" s="3">
        <f t="shared" si="199"/>
        <v>14</v>
      </c>
      <c r="H4051" s="3" t="s">
        <v>291</v>
      </c>
      <c r="I4051" s="1" t="s">
        <v>10</v>
      </c>
      <c r="J4051" s="1" t="s">
        <v>11</v>
      </c>
      <c r="K4051" s="1" t="s">
        <v>298</v>
      </c>
      <c r="L4051" s="1" t="s">
        <v>267</v>
      </c>
      <c r="M4051" s="1"/>
      <c r="N4051" s="1">
        <f t="shared" si="198"/>
        <v>5</v>
      </c>
      <c r="O4051" s="87"/>
    </row>
    <row r="4052" spans="1:15" ht="15.75" hidden="1" x14ac:dyDescent="0.25">
      <c r="A4052" s="1" t="str">
        <f t="shared" si="197"/>
        <v>454384543827552CURRENTSALARYQATAR AIR</v>
      </c>
      <c r="B4052" s="154">
        <v>45438</v>
      </c>
      <c r="C4052" s="154">
        <v>45438</v>
      </c>
      <c r="D4052" s="3" t="s">
        <v>4645</v>
      </c>
      <c r="E4052" s="3">
        <v>27552</v>
      </c>
      <c r="F4052" s="3">
        <v>1</v>
      </c>
      <c r="G4052" s="3">
        <f t="shared" si="199"/>
        <v>27552</v>
      </c>
      <c r="H4052" s="3" t="s">
        <v>293</v>
      </c>
      <c r="I4052" s="1" t="s">
        <v>18</v>
      </c>
      <c r="J4052" s="1" t="s">
        <v>19</v>
      </c>
      <c r="K4052" s="1" t="s">
        <v>300</v>
      </c>
      <c r="L4052" s="1" t="s">
        <v>257</v>
      </c>
      <c r="M4052" s="1"/>
      <c r="N4052" s="1">
        <f t="shared" si="198"/>
        <v>5</v>
      </c>
      <c r="O4052" s="87"/>
    </row>
    <row r="4053" spans="1:15" ht="15.75" hidden="1" x14ac:dyDescent="0.25">
      <c r="A4053" s="1" t="str">
        <f t="shared" si="197"/>
        <v>454384543810CURRENTSHOPPINGDESERT FALL</v>
      </c>
      <c r="B4053" s="154">
        <v>45438</v>
      </c>
      <c r="C4053" s="154">
        <v>45438</v>
      </c>
      <c r="D4053" s="3" t="s">
        <v>4646</v>
      </c>
      <c r="E4053" s="3">
        <v>-10</v>
      </c>
      <c r="F4053" s="3">
        <v>1</v>
      </c>
      <c r="G4053" s="3">
        <f t="shared" si="199"/>
        <v>10</v>
      </c>
      <c r="H4053" s="3" t="s">
        <v>293</v>
      </c>
      <c r="I4053" s="1" t="s">
        <v>194</v>
      </c>
      <c r="J4053" s="1" t="s">
        <v>4675</v>
      </c>
      <c r="K4053" s="1" t="s">
        <v>298</v>
      </c>
      <c r="L4053" s="1" t="s">
        <v>257</v>
      </c>
      <c r="M4053" s="1"/>
      <c r="N4053" s="1">
        <f t="shared" si="198"/>
        <v>5</v>
      </c>
      <c r="O4053" s="87"/>
    </row>
    <row r="4054" spans="1:15" ht="15.75" hidden="1" x14ac:dyDescent="0.25">
      <c r="A4054" s="1" t="str">
        <f t="shared" si="197"/>
        <v>45438454384CURRENTSERVICEBANK</v>
      </c>
      <c r="B4054" s="154">
        <v>45438</v>
      </c>
      <c r="C4054" s="154">
        <v>45438</v>
      </c>
      <c r="D4054" s="3" t="s">
        <v>4647</v>
      </c>
      <c r="E4054" s="3">
        <v>-4</v>
      </c>
      <c r="F4054" s="3">
        <v>1</v>
      </c>
      <c r="G4054" s="3">
        <f t="shared" si="199"/>
        <v>4</v>
      </c>
      <c r="H4054" s="3" t="s">
        <v>293</v>
      </c>
      <c r="I4054" s="1" t="s">
        <v>7</v>
      </c>
      <c r="J4054" s="1" t="s">
        <v>8</v>
      </c>
      <c r="K4054" s="1" t="s">
        <v>298</v>
      </c>
      <c r="L4054" s="1" t="s">
        <v>257</v>
      </c>
      <c r="M4054" s="1"/>
      <c r="N4054" s="1">
        <f t="shared" si="198"/>
        <v>5</v>
      </c>
      <c r="O4054" s="87"/>
    </row>
    <row r="4055" spans="1:15" ht="15.75" hidden="1" x14ac:dyDescent="0.25">
      <c r="A4055" s="1" t="str">
        <f t="shared" si="197"/>
        <v>4543845438100CURRENTGIFTVIRAAJ TECHER</v>
      </c>
      <c r="B4055" s="154">
        <v>45438</v>
      </c>
      <c r="C4055" s="154">
        <v>45438</v>
      </c>
      <c r="D4055" s="3" t="s">
        <v>4648</v>
      </c>
      <c r="E4055" s="3">
        <v>-100</v>
      </c>
      <c r="F4055" s="3">
        <v>1</v>
      </c>
      <c r="G4055" s="3">
        <f t="shared" si="199"/>
        <v>100</v>
      </c>
      <c r="H4055" s="3" t="s">
        <v>293</v>
      </c>
      <c r="I4055" s="1" t="s">
        <v>438</v>
      </c>
      <c r="J4055" s="1" t="s">
        <v>4677</v>
      </c>
      <c r="K4055" s="1" t="s">
        <v>298</v>
      </c>
      <c r="L4055" s="1" t="s">
        <v>257</v>
      </c>
      <c r="M4055" s="1"/>
      <c r="N4055" s="1">
        <f t="shared" si="198"/>
        <v>5</v>
      </c>
      <c r="O4055" s="87"/>
    </row>
    <row r="4056" spans="1:15" ht="15.75" hidden="1" x14ac:dyDescent="0.25">
      <c r="A4056" s="1" t="str">
        <f t="shared" si="197"/>
        <v>4543945442101MASTER CCTRANSPORTWOQOD</v>
      </c>
      <c r="B4056" s="154">
        <v>45439</v>
      </c>
      <c r="C4056" s="154">
        <v>45442</v>
      </c>
      <c r="D4056" s="3" t="s">
        <v>4534</v>
      </c>
      <c r="E4056" s="3">
        <v>-101</v>
      </c>
      <c r="F4056" s="3">
        <v>1</v>
      </c>
      <c r="G4056" s="3">
        <f t="shared" si="199"/>
        <v>101</v>
      </c>
      <c r="H4056" s="3" t="s">
        <v>291</v>
      </c>
      <c r="I4056" s="1" t="s">
        <v>296</v>
      </c>
      <c r="J4056" s="1" t="s">
        <v>1942</v>
      </c>
      <c r="K4056" s="1" t="s">
        <v>298</v>
      </c>
      <c r="L4056" s="1" t="s">
        <v>267</v>
      </c>
      <c r="M4056" s="1"/>
      <c r="N4056" s="1">
        <f t="shared" si="198"/>
        <v>5</v>
      </c>
      <c r="O4056" s="87"/>
    </row>
    <row r="4057" spans="1:15" ht="15.75" hidden="1" x14ac:dyDescent="0.25">
      <c r="A4057" s="1" t="str">
        <f t="shared" si="197"/>
        <v>454394544141.25MASTER CCGROCERYMANGO</v>
      </c>
      <c r="B4057" s="154">
        <v>45439</v>
      </c>
      <c r="C4057" s="154">
        <v>45441</v>
      </c>
      <c r="D4057" s="3" t="s">
        <v>4535</v>
      </c>
      <c r="E4057" s="3">
        <v>-41.25</v>
      </c>
      <c r="F4057" s="3">
        <v>1</v>
      </c>
      <c r="G4057" s="3">
        <f t="shared" si="199"/>
        <v>41.25</v>
      </c>
      <c r="H4057" s="3" t="s">
        <v>291</v>
      </c>
      <c r="I4057" s="1" t="s">
        <v>43</v>
      </c>
      <c r="J4057" s="1" t="s">
        <v>3634</v>
      </c>
      <c r="K4057" s="1" t="s">
        <v>298</v>
      </c>
      <c r="L4057" s="1" t="s">
        <v>267</v>
      </c>
      <c r="M4057" s="1"/>
      <c r="N4057" s="1">
        <f t="shared" si="198"/>
        <v>5</v>
      </c>
      <c r="O4057" s="87"/>
    </row>
    <row r="4058" spans="1:15" ht="15.75" hidden="1" x14ac:dyDescent="0.25">
      <c r="A4058" s="1" t="str">
        <f t="shared" si="197"/>
        <v>454394544121.9MASTER CCTRANSPORTUBER</v>
      </c>
      <c r="B4058" s="154">
        <v>45439</v>
      </c>
      <c r="C4058" s="154">
        <v>45441</v>
      </c>
      <c r="D4058" s="3" t="s">
        <v>4536</v>
      </c>
      <c r="E4058" s="3">
        <v>-21.9</v>
      </c>
      <c r="F4058" s="3">
        <v>1</v>
      </c>
      <c r="G4058" s="3">
        <f t="shared" si="199"/>
        <v>21.9</v>
      </c>
      <c r="H4058" s="3" t="s">
        <v>291</v>
      </c>
      <c r="I4058" s="1" t="s">
        <v>296</v>
      </c>
      <c r="J4058" s="1" t="s">
        <v>299</v>
      </c>
      <c r="K4058" s="1" t="s">
        <v>298</v>
      </c>
      <c r="L4058" s="1" t="s">
        <v>267</v>
      </c>
      <c r="M4058" s="1"/>
      <c r="N4058" s="1">
        <f t="shared" si="198"/>
        <v>5</v>
      </c>
      <c r="O4058" s="87"/>
    </row>
    <row r="4059" spans="1:15" ht="15.75" hidden="1" x14ac:dyDescent="0.25">
      <c r="A4059" s="1" t="str">
        <f t="shared" si="197"/>
        <v>45439454393CURRENTTRANSPORTPARKING</v>
      </c>
      <c r="B4059" s="154">
        <v>45439</v>
      </c>
      <c r="C4059" s="154">
        <v>45439</v>
      </c>
      <c r="D4059" s="3" t="s">
        <v>4638</v>
      </c>
      <c r="E4059" s="3">
        <v>-3</v>
      </c>
      <c r="F4059" s="3">
        <v>1</v>
      </c>
      <c r="G4059" s="3">
        <f t="shared" si="199"/>
        <v>3</v>
      </c>
      <c r="H4059" s="3" t="s">
        <v>293</v>
      </c>
      <c r="I4059" s="1" t="s">
        <v>296</v>
      </c>
      <c r="J4059" s="1" t="s">
        <v>4102</v>
      </c>
      <c r="K4059" s="1" t="s">
        <v>298</v>
      </c>
      <c r="L4059" s="1" t="s">
        <v>257</v>
      </c>
      <c r="M4059" s="1"/>
      <c r="N4059" s="1">
        <f t="shared" si="198"/>
        <v>5</v>
      </c>
      <c r="O4059" s="87"/>
    </row>
    <row r="4060" spans="1:15" ht="15.75" hidden="1" x14ac:dyDescent="0.25">
      <c r="A4060" s="1" t="str">
        <f t="shared" si="197"/>
        <v>454394543940CURRENTFOODCAFÉ/REST.</v>
      </c>
      <c r="B4060" s="154">
        <v>45439</v>
      </c>
      <c r="C4060" s="154">
        <v>45439</v>
      </c>
      <c r="D4060" s="3" t="s">
        <v>4639</v>
      </c>
      <c r="E4060" s="3">
        <v>-40</v>
      </c>
      <c r="F4060" s="3">
        <v>1</v>
      </c>
      <c r="G4060" s="3">
        <f t="shared" si="199"/>
        <v>40</v>
      </c>
      <c r="H4060" s="3" t="s">
        <v>293</v>
      </c>
      <c r="I4060" s="1" t="s">
        <v>10</v>
      </c>
      <c r="J4060" s="1" t="s">
        <v>11</v>
      </c>
      <c r="K4060" s="1" t="s">
        <v>298</v>
      </c>
      <c r="L4060" s="1" t="s">
        <v>257</v>
      </c>
      <c r="M4060" s="1"/>
      <c r="N4060" s="1">
        <f t="shared" si="198"/>
        <v>5</v>
      </c>
      <c r="O4060" s="87"/>
    </row>
    <row r="4061" spans="1:15" ht="15.75" hidden="1" x14ac:dyDescent="0.25">
      <c r="A4061" s="1" t="str">
        <f t="shared" si="197"/>
        <v>454394543937CURRENTFOODCAFÉ/REST.</v>
      </c>
      <c r="B4061" s="154">
        <v>45439</v>
      </c>
      <c r="C4061" s="154">
        <v>45439</v>
      </c>
      <c r="D4061" s="3" t="s">
        <v>4640</v>
      </c>
      <c r="E4061" s="3">
        <v>-37</v>
      </c>
      <c r="F4061" s="3">
        <v>1</v>
      </c>
      <c r="G4061" s="3">
        <f t="shared" si="199"/>
        <v>37</v>
      </c>
      <c r="H4061" s="3" t="s">
        <v>293</v>
      </c>
      <c r="I4061" s="1" t="s">
        <v>10</v>
      </c>
      <c r="J4061" s="1" t="s">
        <v>11</v>
      </c>
      <c r="K4061" s="1" t="s">
        <v>298</v>
      </c>
      <c r="L4061" s="1" t="s">
        <v>257</v>
      </c>
      <c r="M4061" s="1"/>
      <c r="N4061" s="1">
        <f t="shared" si="198"/>
        <v>5</v>
      </c>
      <c r="O4061" s="87"/>
    </row>
    <row r="4062" spans="1:15" ht="15.75" hidden="1" x14ac:dyDescent="0.25">
      <c r="A4062" s="1" t="str">
        <f t="shared" si="197"/>
        <v>454394543936CURRENTFOODCAFÉ/REST.</v>
      </c>
      <c r="B4062" s="154">
        <v>45439</v>
      </c>
      <c r="C4062" s="154">
        <v>45439</v>
      </c>
      <c r="D4062" s="3" t="s">
        <v>4641</v>
      </c>
      <c r="E4062" s="3">
        <v>-36</v>
      </c>
      <c r="F4062" s="3">
        <v>1</v>
      </c>
      <c r="G4062" s="3">
        <f t="shared" si="199"/>
        <v>36</v>
      </c>
      <c r="H4062" s="3" t="s">
        <v>293</v>
      </c>
      <c r="I4062" s="1" t="s">
        <v>10</v>
      </c>
      <c r="J4062" s="1" t="s">
        <v>11</v>
      </c>
      <c r="K4062" s="1" t="s">
        <v>298</v>
      </c>
      <c r="L4062" s="1" t="s">
        <v>257</v>
      </c>
      <c r="M4062" s="1"/>
      <c r="N4062" s="1">
        <f t="shared" si="198"/>
        <v>5</v>
      </c>
      <c r="O4062" s="87"/>
    </row>
    <row r="4063" spans="1:15" ht="15.75" hidden="1" x14ac:dyDescent="0.25">
      <c r="A4063" s="1" t="str">
        <f t="shared" si="197"/>
        <v>45439454396CURRENTTRANSPORTPARKING</v>
      </c>
      <c r="B4063" s="154">
        <v>45439</v>
      </c>
      <c r="C4063" s="154">
        <v>45439</v>
      </c>
      <c r="D4063" s="3" t="s">
        <v>4642</v>
      </c>
      <c r="E4063" s="3">
        <v>-6</v>
      </c>
      <c r="F4063" s="3">
        <v>1</v>
      </c>
      <c r="G4063" s="3">
        <f t="shared" si="199"/>
        <v>6</v>
      </c>
      <c r="H4063" s="3" t="s">
        <v>293</v>
      </c>
      <c r="I4063" s="1" t="s">
        <v>296</v>
      </c>
      <c r="J4063" s="1" t="s">
        <v>4102</v>
      </c>
      <c r="K4063" s="1" t="s">
        <v>298</v>
      </c>
      <c r="L4063" s="1" t="s">
        <v>257</v>
      </c>
      <c r="M4063" s="1"/>
      <c r="N4063" s="1">
        <f t="shared" si="198"/>
        <v>5</v>
      </c>
      <c r="O4063" s="87"/>
    </row>
    <row r="4064" spans="1:15" ht="15.75" hidden="1" x14ac:dyDescent="0.25">
      <c r="A4064" s="1" t="str">
        <f t="shared" si="197"/>
        <v>454394543945CURRENTSHOPPINGILLUSION MUSM</v>
      </c>
      <c r="B4064" s="154">
        <v>45439</v>
      </c>
      <c r="C4064" s="154">
        <v>45439</v>
      </c>
      <c r="D4064" s="3" t="s">
        <v>4643</v>
      </c>
      <c r="E4064" s="3">
        <v>-45</v>
      </c>
      <c r="F4064" s="3">
        <v>1</v>
      </c>
      <c r="G4064" s="3">
        <f t="shared" si="199"/>
        <v>45</v>
      </c>
      <c r="H4064" s="3" t="s">
        <v>293</v>
      </c>
      <c r="I4064" s="1" t="s">
        <v>194</v>
      </c>
      <c r="J4064" s="1" t="s">
        <v>4676</v>
      </c>
      <c r="K4064" s="1" t="s">
        <v>298</v>
      </c>
      <c r="L4064" s="1" t="s">
        <v>257</v>
      </c>
      <c r="M4064" s="1"/>
      <c r="N4064" s="1">
        <f t="shared" si="198"/>
        <v>5</v>
      </c>
      <c r="O4064" s="87"/>
    </row>
    <row r="4065" spans="1:15" ht="15.75" hidden="1" x14ac:dyDescent="0.25">
      <c r="A4065" s="1" t="str">
        <f t="shared" si="197"/>
        <v>4543945439300CURRENTENTERTAINMENTILLUSION MUSM</v>
      </c>
      <c r="B4065" s="154">
        <v>45439</v>
      </c>
      <c r="C4065" s="154">
        <v>45439</v>
      </c>
      <c r="D4065" s="3" t="s">
        <v>4644</v>
      </c>
      <c r="E4065" s="3">
        <v>-300</v>
      </c>
      <c r="F4065" s="3">
        <v>1</v>
      </c>
      <c r="G4065" s="3">
        <f t="shared" si="199"/>
        <v>300</v>
      </c>
      <c r="H4065" s="3" t="s">
        <v>293</v>
      </c>
      <c r="I4065" s="1" t="s">
        <v>2476</v>
      </c>
      <c r="J4065" s="1" t="s">
        <v>4676</v>
      </c>
      <c r="K4065" s="1" t="s">
        <v>298</v>
      </c>
      <c r="L4065" s="1" t="s">
        <v>257</v>
      </c>
      <c r="M4065" s="1"/>
      <c r="N4065" s="1">
        <f t="shared" si="198"/>
        <v>5</v>
      </c>
      <c r="O4065" s="87"/>
    </row>
    <row r="4066" spans="1:15" ht="15.75" hidden="1" x14ac:dyDescent="0.25">
      <c r="A4066" s="1" t="str">
        <f t="shared" si="197"/>
        <v>454404544156.75MASTER CCGROCERYMANGO</v>
      </c>
      <c r="B4066" s="154">
        <v>45440</v>
      </c>
      <c r="C4066" s="154">
        <v>45441</v>
      </c>
      <c r="D4066" s="3" t="s">
        <v>4533</v>
      </c>
      <c r="E4066" s="3">
        <v>-56.75</v>
      </c>
      <c r="F4066" s="3">
        <v>1</v>
      </c>
      <c r="G4066" s="3">
        <f t="shared" si="199"/>
        <v>56.75</v>
      </c>
      <c r="H4066" s="3" t="s">
        <v>291</v>
      </c>
      <c r="I4066" s="1" t="s">
        <v>43</v>
      </c>
      <c r="J4066" s="1" t="s">
        <v>3634</v>
      </c>
      <c r="K4066" s="1" t="s">
        <v>298</v>
      </c>
      <c r="L4066" s="1" t="s">
        <v>267</v>
      </c>
      <c r="M4066" s="1"/>
      <c r="N4066" s="1">
        <f t="shared" si="198"/>
        <v>5</v>
      </c>
      <c r="O4066" s="87"/>
    </row>
    <row r="4067" spans="1:15" ht="15.75" hidden="1" x14ac:dyDescent="0.25">
      <c r="A4067" s="1" t="str">
        <f t="shared" si="197"/>
        <v>45441454419CURRENTTRANSPORTPARKING</v>
      </c>
      <c r="B4067" s="154">
        <v>45441</v>
      </c>
      <c r="C4067" s="154">
        <v>45441</v>
      </c>
      <c r="D4067" s="3" t="s">
        <v>4637</v>
      </c>
      <c r="E4067" s="3">
        <v>-9</v>
      </c>
      <c r="F4067" s="3">
        <v>1</v>
      </c>
      <c r="G4067" s="3">
        <f t="shared" si="199"/>
        <v>9</v>
      </c>
      <c r="H4067" s="3" t="s">
        <v>293</v>
      </c>
      <c r="I4067" s="1" t="s">
        <v>296</v>
      </c>
      <c r="J4067" s="1" t="s">
        <v>4102</v>
      </c>
      <c r="K4067" s="1" t="s">
        <v>298</v>
      </c>
      <c r="L4067" s="1" t="s">
        <v>257</v>
      </c>
      <c r="M4067" s="1"/>
      <c r="N4067" s="1">
        <f t="shared" si="198"/>
        <v>5</v>
      </c>
      <c r="O4067" s="87"/>
    </row>
    <row r="4068" spans="1:15" ht="15.75" hidden="1" x14ac:dyDescent="0.25">
      <c r="A4068" s="1" t="str">
        <f t="shared" si="197"/>
        <v>454424544338MASTER CCGROCERYRED ROSE</v>
      </c>
      <c r="B4068" s="154">
        <v>45442</v>
      </c>
      <c r="C4068" s="154">
        <v>45443</v>
      </c>
      <c r="D4068" s="3" t="s">
        <v>4532</v>
      </c>
      <c r="E4068" s="3">
        <v>-38</v>
      </c>
      <c r="F4068" s="3">
        <v>1</v>
      </c>
      <c r="G4068" s="3">
        <f t="shared" si="199"/>
        <v>38</v>
      </c>
      <c r="H4068" s="3" t="s">
        <v>291</v>
      </c>
      <c r="I4068" s="1" t="s">
        <v>43</v>
      </c>
      <c r="J4068" s="1" t="s">
        <v>4516</v>
      </c>
      <c r="K4068" s="1" t="s">
        <v>298</v>
      </c>
      <c r="L4068" s="1" t="s">
        <v>267</v>
      </c>
      <c r="M4068" s="1"/>
      <c r="N4068" s="1">
        <f t="shared" si="198"/>
        <v>5</v>
      </c>
      <c r="O4068" s="87"/>
    </row>
    <row r="4069" spans="1:15" ht="15.75" hidden="1" x14ac:dyDescent="0.25">
      <c r="A4069" s="1" t="str">
        <f t="shared" si="197"/>
        <v>45442454425881.63DINERSCC BILL PAYMENTBANK</v>
      </c>
      <c r="B4069" s="154">
        <v>45442</v>
      </c>
      <c r="C4069" s="154">
        <v>45442</v>
      </c>
      <c r="D4069" s="3" t="s">
        <v>80</v>
      </c>
      <c r="E4069" s="3">
        <v>5881.63</v>
      </c>
      <c r="F4069" s="3">
        <v>1</v>
      </c>
      <c r="G4069" s="3">
        <f t="shared" si="199"/>
        <v>5881.63</v>
      </c>
      <c r="H4069" s="3" t="s">
        <v>266</v>
      </c>
      <c r="I4069" s="1" t="s">
        <v>81</v>
      </c>
      <c r="J4069" s="1" t="s">
        <v>8</v>
      </c>
      <c r="K4069" s="1" t="s">
        <v>300</v>
      </c>
      <c r="L4069" s="1" t="s">
        <v>267</v>
      </c>
      <c r="M4069" s="1"/>
      <c r="N4069" s="1">
        <f t="shared" si="198"/>
        <v>5</v>
      </c>
      <c r="O4069" s="87"/>
    </row>
    <row r="4070" spans="1:15" ht="15.75" hidden="1" x14ac:dyDescent="0.25">
      <c r="A4070" s="1" t="str">
        <f t="shared" si="197"/>
        <v>454424544210000CURRENTSAVINGSELF</v>
      </c>
      <c r="B4070" s="154">
        <v>45442</v>
      </c>
      <c r="C4070" s="154">
        <v>45442</v>
      </c>
      <c r="D4070" s="3" t="s">
        <v>4635</v>
      </c>
      <c r="E4070" s="3">
        <v>-10000</v>
      </c>
      <c r="F4070" s="3">
        <v>1</v>
      </c>
      <c r="G4070" s="3">
        <f t="shared" si="199"/>
        <v>10000</v>
      </c>
      <c r="H4070" s="3" t="s">
        <v>293</v>
      </c>
      <c r="I4070" s="1" t="s">
        <v>302</v>
      </c>
      <c r="J4070" s="1" t="s">
        <v>14</v>
      </c>
      <c r="K4070" s="1" t="s">
        <v>298</v>
      </c>
      <c r="L4070" s="1" t="s">
        <v>257</v>
      </c>
      <c r="M4070" s="1"/>
      <c r="N4070" s="1">
        <f t="shared" si="198"/>
        <v>5</v>
      </c>
      <c r="O4070" s="87"/>
    </row>
    <row r="4071" spans="1:15" ht="15.75" hidden="1" x14ac:dyDescent="0.25">
      <c r="A4071" s="1" t="str">
        <f t="shared" si="197"/>
        <v>45442454425881.63CURRENTCC BILL PAYMENTBANK</v>
      </c>
      <c r="B4071" s="154">
        <v>45442</v>
      </c>
      <c r="C4071" s="154">
        <v>45442</v>
      </c>
      <c r="D4071" s="3" t="s">
        <v>4636</v>
      </c>
      <c r="E4071" s="3">
        <v>-5881.63</v>
      </c>
      <c r="F4071" s="3">
        <v>1</v>
      </c>
      <c r="G4071" s="3">
        <f t="shared" si="199"/>
        <v>5881.63</v>
      </c>
      <c r="H4071" s="3" t="s">
        <v>293</v>
      </c>
      <c r="I4071" s="1" t="s">
        <v>81</v>
      </c>
      <c r="J4071" s="1" t="s">
        <v>8</v>
      </c>
      <c r="K4071" s="1" t="s">
        <v>298</v>
      </c>
      <c r="L4071" s="1" t="s">
        <v>257</v>
      </c>
      <c r="M4071" s="1"/>
      <c r="N4071" s="1">
        <f t="shared" si="198"/>
        <v>5</v>
      </c>
      <c r="O4071" s="87"/>
    </row>
    <row r="4072" spans="1:15" ht="15.75" hidden="1" x14ac:dyDescent="0.25">
      <c r="A4072" s="1" t="str">
        <f t="shared" si="197"/>
        <v>454434544365CURRENTFOODCAFÉ/REST.</v>
      </c>
      <c r="B4072" s="154">
        <v>45443</v>
      </c>
      <c r="C4072" s="154">
        <v>45443</v>
      </c>
      <c r="D4072" s="3" t="s">
        <v>4632</v>
      </c>
      <c r="E4072" s="3">
        <v>-65</v>
      </c>
      <c r="F4072" s="3">
        <v>1</v>
      </c>
      <c r="G4072" s="3">
        <f t="shared" si="199"/>
        <v>65</v>
      </c>
      <c r="H4072" s="3" t="s">
        <v>293</v>
      </c>
      <c r="I4072" s="1" t="s">
        <v>10</v>
      </c>
      <c r="J4072" s="1" t="s">
        <v>11</v>
      </c>
      <c r="K4072" s="1" t="s">
        <v>298</v>
      </c>
      <c r="L4072" s="1" t="s">
        <v>257</v>
      </c>
      <c r="M4072" s="1"/>
      <c r="N4072" s="1">
        <f t="shared" si="198"/>
        <v>5</v>
      </c>
      <c r="O4072" s="87"/>
    </row>
    <row r="4073" spans="1:15" ht="15.75" hidden="1" x14ac:dyDescent="0.25">
      <c r="A4073" s="1" t="str">
        <f t="shared" si="197"/>
        <v>4544345443628CURRENTGROCERYINDIAN SUPER</v>
      </c>
      <c r="B4073" s="154">
        <v>45443</v>
      </c>
      <c r="C4073" s="154">
        <v>45443</v>
      </c>
      <c r="D4073" s="3" t="s">
        <v>4633</v>
      </c>
      <c r="E4073" s="3">
        <v>-628</v>
      </c>
      <c r="F4073" s="3">
        <v>1</v>
      </c>
      <c r="G4073" s="3">
        <f t="shared" si="199"/>
        <v>628</v>
      </c>
      <c r="H4073" s="3" t="s">
        <v>293</v>
      </c>
      <c r="I4073" s="1" t="s">
        <v>43</v>
      </c>
      <c r="J4073" s="1" t="s">
        <v>2273</v>
      </c>
      <c r="K4073" s="1" t="s">
        <v>298</v>
      </c>
      <c r="L4073" s="1" t="s">
        <v>257</v>
      </c>
      <c r="M4073" s="1"/>
      <c r="N4073" s="1">
        <f t="shared" si="198"/>
        <v>5</v>
      </c>
      <c r="O4073" s="87"/>
    </row>
    <row r="4074" spans="1:15" ht="15.75" hidden="1" x14ac:dyDescent="0.25">
      <c r="A4074" s="1" t="str">
        <f t="shared" si="197"/>
        <v>4544345443700CURRENTWITHDRAWSELF</v>
      </c>
      <c r="B4074" s="154">
        <v>45443</v>
      </c>
      <c r="C4074" s="154">
        <v>45443</v>
      </c>
      <c r="D4074" s="3" t="s">
        <v>4634</v>
      </c>
      <c r="E4074" s="3">
        <v>-700</v>
      </c>
      <c r="F4074" s="3">
        <v>1</v>
      </c>
      <c r="G4074" s="3">
        <f t="shared" si="199"/>
        <v>700</v>
      </c>
      <c r="H4074" s="3" t="s">
        <v>293</v>
      </c>
      <c r="I4074" s="1" t="s">
        <v>13</v>
      </c>
      <c r="J4074" s="1" t="s">
        <v>14</v>
      </c>
      <c r="K4074" s="1" t="s">
        <v>298</v>
      </c>
      <c r="L4074" s="1" t="s">
        <v>257</v>
      </c>
      <c r="M4074" s="1"/>
      <c r="N4074" s="1">
        <f t="shared" si="198"/>
        <v>5</v>
      </c>
      <c r="O4074" s="87"/>
    </row>
    <row r="4075" spans="1:15" ht="15.75" hidden="1" x14ac:dyDescent="0.25">
      <c r="A4075" s="1" t="str">
        <f t="shared" si="197"/>
        <v>454444544729MASTER CCSHOPPINGLULU</v>
      </c>
      <c r="B4075" s="154">
        <v>45444</v>
      </c>
      <c r="C4075" s="154">
        <v>45447</v>
      </c>
      <c r="D4075" s="3" t="s">
        <v>4530</v>
      </c>
      <c r="E4075" s="3">
        <v>-29</v>
      </c>
      <c r="F4075" s="3">
        <v>1</v>
      </c>
      <c r="G4075" s="3">
        <f t="shared" si="199"/>
        <v>29</v>
      </c>
      <c r="H4075" s="3" t="s">
        <v>291</v>
      </c>
      <c r="I4075" s="1" t="s">
        <v>194</v>
      </c>
      <c r="J4075" s="1" t="s">
        <v>44</v>
      </c>
      <c r="K4075" s="1" t="s">
        <v>298</v>
      </c>
      <c r="L4075" s="1" t="s">
        <v>4526</v>
      </c>
      <c r="M4075" s="1"/>
      <c r="N4075" s="1">
        <f t="shared" si="198"/>
        <v>6</v>
      </c>
      <c r="O4075" s="87"/>
    </row>
    <row r="4076" spans="1:15" ht="15.75" hidden="1" x14ac:dyDescent="0.25">
      <c r="A4076" s="1" t="str">
        <f t="shared" si="197"/>
        <v>454444544774MASTER CCFOODTALABAT</v>
      </c>
      <c r="B4076" s="154">
        <v>45444</v>
      </c>
      <c r="C4076" s="154">
        <v>45447</v>
      </c>
      <c r="D4076" s="3" t="s">
        <v>4531</v>
      </c>
      <c r="E4076" s="3">
        <v>-74</v>
      </c>
      <c r="F4076" s="3">
        <v>1</v>
      </c>
      <c r="G4076" s="3">
        <f t="shared" si="199"/>
        <v>74</v>
      </c>
      <c r="H4076" s="3" t="s">
        <v>291</v>
      </c>
      <c r="I4076" s="1" t="s">
        <v>10</v>
      </c>
      <c r="J4076" s="1" t="s">
        <v>865</v>
      </c>
      <c r="K4076" s="1" t="s">
        <v>298</v>
      </c>
      <c r="L4076" s="1" t="s">
        <v>4526</v>
      </c>
      <c r="M4076" s="1"/>
      <c r="N4076" s="1">
        <f t="shared" si="198"/>
        <v>6</v>
      </c>
      <c r="O4076" s="87"/>
    </row>
    <row r="4077" spans="1:15" ht="15.75" hidden="1" x14ac:dyDescent="0.25">
      <c r="A4077" s="1" t="str">
        <f t="shared" si="197"/>
        <v>454454544726.57MASTER CCGROCERYMANGO</v>
      </c>
      <c r="B4077" s="154">
        <v>45445</v>
      </c>
      <c r="C4077" s="154">
        <v>45447</v>
      </c>
      <c r="D4077" s="3" t="s">
        <v>4529</v>
      </c>
      <c r="E4077" s="3">
        <v>-26.57</v>
      </c>
      <c r="F4077" s="3">
        <v>1</v>
      </c>
      <c r="G4077" s="3">
        <f t="shared" si="199"/>
        <v>26.57</v>
      </c>
      <c r="H4077" s="3" t="s">
        <v>291</v>
      </c>
      <c r="I4077" s="1" t="s">
        <v>43</v>
      </c>
      <c r="J4077" s="1" t="s">
        <v>3634</v>
      </c>
      <c r="K4077" s="1" t="s">
        <v>298</v>
      </c>
      <c r="L4077" s="1" t="s">
        <v>4526</v>
      </c>
      <c r="M4077" s="1"/>
      <c r="N4077" s="1">
        <f t="shared" si="198"/>
        <v>6</v>
      </c>
      <c r="O4077" s="87"/>
    </row>
    <row r="4078" spans="1:15" ht="15.75" hidden="1" x14ac:dyDescent="0.25">
      <c r="A4078" s="1" t="str">
        <f t="shared" si="197"/>
        <v>4544545445420.3CURRENTMEDICALALKOOT</v>
      </c>
      <c r="B4078" s="154">
        <v>45445</v>
      </c>
      <c r="C4078" s="154">
        <v>45445</v>
      </c>
      <c r="D4078" s="3" t="s">
        <v>4631</v>
      </c>
      <c r="E4078" s="3">
        <v>420.3</v>
      </c>
      <c r="F4078" s="3">
        <v>1</v>
      </c>
      <c r="G4078" s="3">
        <f t="shared" si="199"/>
        <v>420.3</v>
      </c>
      <c r="H4078" s="3" t="s">
        <v>293</v>
      </c>
      <c r="I4078" s="1" t="s">
        <v>301</v>
      </c>
      <c r="J4078" s="1" t="s">
        <v>4384</v>
      </c>
      <c r="K4078" s="1" t="s">
        <v>300</v>
      </c>
      <c r="L4078" s="1" t="s">
        <v>257</v>
      </c>
      <c r="M4078" s="1"/>
      <c r="N4078" s="1">
        <f t="shared" si="198"/>
        <v>6</v>
      </c>
      <c r="O4078" s="87"/>
    </row>
    <row r="4079" spans="1:15" ht="15.75" hidden="1" x14ac:dyDescent="0.25">
      <c r="A4079" s="1" t="str">
        <f t="shared" si="197"/>
        <v>4544545445500CURRENTSAVINGARTI</v>
      </c>
      <c r="B4079" s="154">
        <v>45445</v>
      </c>
      <c r="C4079" s="154">
        <v>45445</v>
      </c>
      <c r="D4079" s="3" t="s">
        <v>3703</v>
      </c>
      <c r="E4079" s="3">
        <v>-500</v>
      </c>
      <c r="F4079" s="3">
        <v>1</v>
      </c>
      <c r="G4079" s="3">
        <f t="shared" si="199"/>
        <v>500</v>
      </c>
      <c r="H4079" s="3" t="s">
        <v>293</v>
      </c>
      <c r="I4079" s="1" t="s">
        <v>302</v>
      </c>
      <c r="J4079" s="1" t="s">
        <v>453</v>
      </c>
      <c r="K4079" s="1" t="s">
        <v>298</v>
      </c>
      <c r="L4079" s="1" t="s">
        <v>257</v>
      </c>
      <c r="M4079" s="1"/>
      <c r="N4079" s="1">
        <f t="shared" si="198"/>
        <v>6</v>
      </c>
      <c r="O4079" s="87"/>
    </row>
    <row r="4080" spans="1:15" ht="15.75" hidden="1" x14ac:dyDescent="0.25">
      <c r="A4080" s="1" t="str">
        <f t="shared" si="197"/>
        <v>4544545445500CURRENTSAVINGARTI</v>
      </c>
      <c r="B4080" s="154">
        <v>45445</v>
      </c>
      <c r="C4080" s="154">
        <v>45445</v>
      </c>
      <c r="D4080" s="3" t="s">
        <v>2909</v>
      </c>
      <c r="E4080" s="3">
        <v>-500</v>
      </c>
      <c r="F4080" s="3">
        <v>1</v>
      </c>
      <c r="G4080" s="3">
        <f t="shared" si="199"/>
        <v>500</v>
      </c>
      <c r="H4080" s="3" t="s">
        <v>293</v>
      </c>
      <c r="I4080" s="1" t="s">
        <v>302</v>
      </c>
      <c r="J4080" s="1" t="s">
        <v>453</v>
      </c>
      <c r="K4080" s="1" t="s">
        <v>298</v>
      </c>
      <c r="L4080" s="1" t="s">
        <v>257</v>
      </c>
      <c r="M4080" s="1"/>
      <c r="N4080" s="1">
        <f t="shared" si="198"/>
        <v>6</v>
      </c>
      <c r="O4080" s="87"/>
    </row>
    <row r="4081" spans="1:15" ht="15.75" hidden="1" x14ac:dyDescent="0.25">
      <c r="A4081" s="1" t="str">
        <f t="shared" si="197"/>
        <v>454464544812MASTER CCLAUNDRYAL RAYES</v>
      </c>
      <c r="B4081" s="154">
        <v>45446</v>
      </c>
      <c r="C4081" s="154">
        <v>45448</v>
      </c>
      <c r="D4081" s="3" t="s">
        <v>4528</v>
      </c>
      <c r="E4081" s="3">
        <v>-12</v>
      </c>
      <c r="F4081" s="3">
        <v>1</v>
      </c>
      <c r="G4081" s="3">
        <f t="shared" si="199"/>
        <v>12</v>
      </c>
      <c r="H4081" s="3" t="s">
        <v>291</v>
      </c>
      <c r="I4081" s="1" t="s">
        <v>3164</v>
      </c>
      <c r="J4081" s="1" t="s">
        <v>3165</v>
      </c>
      <c r="K4081" s="1" t="s">
        <v>298</v>
      </c>
      <c r="L4081" s="1" t="s">
        <v>4526</v>
      </c>
      <c r="M4081" s="1"/>
      <c r="N4081" s="1">
        <f t="shared" si="198"/>
        <v>6</v>
      </c>
      <c r="O4081" s="87"/>
    </row>
    <row r="4082" spans="1:15" ht="15.75" hidden="1" x14ac:dyDescent="0.25">
      <c r="A4082" s="1" t="str">
        <f t="shared" si="197"/>
        <v>4544745449206MASTER CCRENTKAHRAMAA</v>
      </c>
      <c r="B4082" s="154">
        <v>45447</v>
      </c>
      <c r="C4082" s="154">
        <v>45449</v>
      </c>
      <c r="D4082" s="3" t="s">
        <v>4525</v>
      </c>
      <c r="E4082" s="3">
        <v>-206</v>
      </c>
      <c r="F4082" s="3">
        <v>1</v>
      </c>
      <c r="G4082" s="3">
        <f t="shared" si="199"/>
        <v>206</v>
      </c>
      <c r="H4082" s="3" t="s">
        <v>291</v>
      </c>
      <c r="I4082" s="1" t="s">
        <v>83</v>
      </c>
      <c r="J4082" s="1" t="s">
        <v>4113</v>
      </c>
      <c r="K4082" s="1" t="s">
        <v>298</v>
      </c>
      <c r="L4082" s="1" t="s">
        <v>4526</v>
      </c>
      <c r="M4082" s="1"/>
      <c r="N4082" s="1">
        <f t="shared" si="198"/>
        <v>6</v>
      </c>
      <c r="O4082" s="87"/>
    </row>
    <row r="4083" spans="1:15" ht="15.75" hidden="1" x14ac:dyDescent="0.25">
      <c r="A4083" s="1" t="str">
        <f t="shared" si="197"/>
        <v>454474544924.85MASTER CCGROCERYRED ROSE</v>
      </c>
      <c r="B4083" s="154">
        <v>45447</v>
      </c>
      <c r="C4083" s="154">
        <v>45449</v>
      </c>
      <c r="D4083" s="3" t="s">
        <v>4527</v>
      </c>
      <c r="E4083" s="3">
        <v>-24.85</v>
      </c>
      <c r="F4083" s="3">
        <v>1</v>
      </c>
      <c r="G4083" s="3">
        <f t="shared" si="199"/>
        <v>24.85</v>
      </c>
      <c r="H4083" s="3" t="s">
        <v>291</v>
      </c>
      <c r="I4083" s="1" t="s">
        <v>43</v>
      </c>
      <c r="J4083" s="1" t="s">
        <v>4516</v>
      </c>
      <c r="K4083" s="1" t="s">
        <v>298</v>
      </c>
      <c r="L4083" s="1" t="s">
        <v>4526</v>
      </c>
      <c r="M4083" s="1"/>
      <c r="N4083" s="1">
        <f t="shared" si="198"/>
        <v>6</v>
      </c>
      <c r="O4083" s="87"/>
    </row>
    <row r="4084" spans="1:15" ht="15.75" hidden="1" x14ac:dyDescent="0.25">
      <c r="A4084" s="1" t="str">
        <f t="shared" si="197"/>
        <v>454484544894.5MASTER CCFOODCAFÉ/REST.</v>
      </c>
      <c r="B4084" s="154">
        <v>45448</v>
      </c>
      <c r="C4084" s="154">
        <f>B4084</f>
        <v>45448</v>
      </c>
      <c r="D4084" s="3" t="s">
        <v>4524</v>
      </c>
      <c r="E4084" s="3">
        <v>-94.5</v>
      </c>
      <c r="F4084" s="3">
        <v>1</v>
      </c>
      <c r="G4084" s="3">
        <f t="shared" si="199"/>
        <v>94.5</v>
      </c>
      <c r="H4084" s="3" t="s">
        <v>291</v>
      </c>
      <c r="I4084" s="1" t="s">
        <v>10</v>
      </c>
      <c r="J4084" s="1" t="s">
        <v>11</v>
      </c>
      <c r="K4084" s="1" t="s">
        <v>298</v>
      </c>
      <c r="L4084" s="1" t="s">
        <v>4520</v>
      </c>
      <c r="M4084" s="1"/>
      <c r="N4084" s="1">
        <f t="shared" si="198"/>
        <v>6</v>
      </c>
      <c r="O4084" s="87"/>
    </row>
    <row r="4085" spans="1:15" ht="15.75" hidden="1" x14ac:dyDescent="0.25">
      <c r="A4085" s="1" t="str">
        <f t="shared" si="197"/>
        <v>454494544919.37MASTER CCGROCERYMANGO</v>
      </c>
      <c r="B4085" s="154">
        <v>45449</v>
      </c>
      <c r="C4085" s="154">
        <f>B4085</f>
        <v>45449</v>
      </c>
      <c r="D4085" s="3" t="s">
        <v>4519</v>
      </c>
      <c r="E4085" s="3">
        <v>-19.37</v>
      </c>
      <c r="F4085" s="3">
        <v>1</v>
      </c>
      <c r="G4085" s="3">
        <f t="shared" si="199"/>
        <v>19.37</v>
      </c>
      <c r="H4085" s="3" t="s">
        <v>291</v>
      </c>
      <c r="I4085" s="1" t="s">
        <v>43</v>
      </c>
      <c r="J4085" s="1" t="s">
        <v>3634</v>
      </c>
      <c r="K4085" s="1" t="s">
        <v>298</v>
      </c>
      <c r="L4085" s="1" t="s">
        <v>4520</v>
      </c>
      <c r="M4085" s="1"/>
      <c r="N4085" s="1">
        <f t="shared" si="198"/>
        <v>6</v>
      </c>
      <c r="O4085" s="87"/>
    </row>
    <row r="4086" spans="1:15" ht="15.75" hidden="1" x14ac:dyDescent="0.25">
      <c r="A4086" s="1" t="str">
        <f t="shared" si="197"/>
        <v>4544945449163MASTER CCFOODCAFÉ/REST.</v>
      </c>
      <c r="B4086" s="154">
        <v>45449</v>
      </c>
      <c r="C4086" s="154">
        <f>B4086</f>
        <v>45449</v>
      </c>
      <c r="D4086" s="3" t="s">
        <v>4521</v>
      </c>
      <c r="E4086" s="3">
        <v>-163</v>
      </c>
      <c r="F4086" s="3">
        <v>1</v>
      </c>
      <c r="G4086" s="3">
        <f t="shared" si="199"/>
        <v>163</v>
      </c>
      <c r="H4086" s="3" t="s">
        <v>291</v>
      </c>
      <c r="I4086" s="1" t="s">
        <v>10</v>
      </c>
      <c r="J4086" s="1" t="s">
        <v>11</v>
      </c>
      <c r="K4086" s="1" t="s">
        <v>298</v>
      </c>
      <c r="L4086" s="1" t="s">
        <v>4520</v>
      </c>
      <c r="M4086" s="1"/>
      <c r="N4086" s="1">
        <f t="shared" si="198"/>
        <v>6</v>
      </c>
      <c r="O4086" s="87"/>
    </row>
    <row r="4087" spans="1:15" ht="15.75" hidden="1" x14ac:dyDescent="0.25">
      <c r="A4087" s="1" t="str">
        <f t="shared" si="197"/>
        <v>454494544916.2MASTER CCSHOPPINGSAFARI</v>
      </c>
      <c r="B4087" s="154">
        <v>45449</v>
      </c>
      <c r="C4087" s="154">
        <f>B4087</f>
        <v>45449</v>
      </c>
      <c r="D4087" s="3" t="s">
        <v>4522</v>
      </c>
      <c r="E4087" s="3">
        <v>-16.2</v>
      </c>
      <c r="F4087" s="3">
        <v>1</v>
      </c>
      <c r="G4087" s="3">
        <f t="shared" si="199"/>
        <v>16.2</v>
      </c>
      <c r="H4087" s="3" t="s">
        <v>291</v>
      </c>
      <c r="I4087" s="1" t="s">
        <v>194</v>
      </c>
      <c r="J4087" s="1" t="s">
        <v>3498</v>
      </c>
      <c r="K4087" s="1" t="s">
        <v>298</v>
      </c>
      <c r="L4087" s="1" t="s">
        <v>4520</v>
      </c>
      <c r="M4087" s="1"/>
      <c r="N4087" s="1">
        <f t="shared" si="198"/>
        <v>6</v>
      </c>
      <c r="O4087" s="87"/>
    </row>
    <row r="4088" spans="1:15" ht="15.75" hidden="1" x14ac:dyDescent="0.25">
      <c r="A4088" s="1" t="str">
        <f t="shared" si="197"/>
        <v>45449454498MASTER CCSHOPPINGMARZA</v>
      </c>
      <c r="B4088" s="154">
        <v>45449</v>
      </c>
      <c r="C4088" s="154">
        <f>B4088</f>
        <v>45449</v>
      </c>
      <c r="D4088" s="3" t="s">
        <v>4523</v>
      </c>
      <c r="E4088" s="3">
        <v>-8</v>
      </c>
      <c r="F4088" s="3">
        <v>1</v>
      </c>
      <c r="G4088" s="3">
        <f t="shared" si="199"/>
        <v>8</v>
      </c>
      <c r="H4088" s="3" t="s">
        <v>291</v>
      </c>
      <c r="I4088" s="1" t="s">
        <v>194</v>
      </c>
      <c r="J4088" s="1" t="s">
        <v>4678</v>
      </c>
      <c r="K4088" s="1" t="s">
        <v>298</v>
      </c>
      <c r="L4088" s="1" t="s">
        <v>4520</v>
      </c>
      <c r="M4088" s="1"/>
      <c r="N4088" s="1">
        <f t="shared" si="198"/>
        <v>6</v>
      </c>
      <c r="O4088" s="87"/>
    </row>
    <row r="4089" spans="1:15" ht="15.75" hidden="1" x14ac:dyDescent="0.25">
      <c r="A4089" s="1" t="str">
        <f t="shared" si="197"/>
        <v>454524545212CURRENTTRANSPORTPARKING</v>
      </c>
      <c r="B4089" s="154">
        <v>45452</v>
      </c>
      <c r="C4089" s="154">
        <v>45452</v>
      </c>
      <c r="D4089" s="3" t="s">
        <v>4630</v>
      </c>
      <c r="E4089" s="3">
        <v>-12</v>
      </c>
      <c r="F4089" s="3">
        <v>1</v>
      </c>
      <c r="G4089" s="3">
        <f t="shared" si="199"/>
        <v>12</v>
      </c>
      <c r="H4089" s="3" t="s">
        <v>293</v>
      </c>
      <c r="I4089" s="1" t="s">
        <v>296</v>
      </c>
      <c r="J4089" s="1" t="s">
        <v>4102</v>
      </c>
      <c r="K4089" s="1" t="s">
        <v>298</v>
      </c>
      <c r="L4089" s="1" t="s">
        <v>257</v>
      </c>
      <c r="M4089" s="1"/>
      <c r="N4089" s="1">
        <f t="shared" si="198"/>
        <v>6</v>
      </c>
      <c r="O4089" s="87"/>
    </row>
    <row r="4090" spans="1:15" ht="15.75" hidden="1" x14ac:dyDescent="0.25">
      <c r="A4090" s="1" t="str">
        <f t="shared" si="197"/>
        <v>454524545261.21CURRENTGROCERYMANGO</v>
      </c>
      <c r="B4090" s="154">
        <v>45452</v>
      </c>
      <c r="C4090" s="154">
        <v>45452</v>
      </c>
      <c r="D4090" s="3" t="s">
        <v>4685</v>
      </c>
      <c r="E4090" s="3">
        <v>-61.21</v>
      </c>
      <c r="F4090" s="3">
        <v>1</v>
      </c>
      <c r="G4090" s="3">
        <f t="shared" si="199"/>
        <v>61.21</v>
      </c>
      <c r="H4090" s="3" t="s">
        <v>293</v>
      </c>
      <c r="I4090" s="1" t="s">
        <v>43</v>
      </c>
      <c r="J4090" s="1" t="s">
        <v>3634</v>
      </c>
      <c r="K4090" s="1" t="s">
        <v>298</v>
      </c>
      <c r="L4090" s="1" t="s">
        <v>257</v>
      </c>
      <c r="M4090" s="1"/>
      <c r="N4090" s="1">
        <f t="shared" si="198"/>
        <v>6</v>
      </c>
      <c r="O4090" s="87"/>
    </row>
    <row r="4091" spans="1:15" ht="15.75" hidden="1" x14ac:dyDescent="0.25">
      <c r="A4091" s="1" t="str">
        <f t="shared" si="197"/>
        <v>454524545215CURRENTGROCERYAlM</v>
      </c>
      <c r="B4091" s="154">
        <v>45452</v>
      </c>
      <c r="C4091" s="154">
        <v>45452</v>
      </c>
      <c r="D4091" s="3" t="s">
        <v>4686</v>
      </c>
      <c r="E4091" s="3">
        <v>-15</v>
      </c>
      <c r="F4091" s="3">
        <v>1</v>
      </c>
      <c r="G4091" s="3">
        <f t="shared" si="199"/>
        <v>15</v>
      </c>
      <c r="H4091" s="3" t="s">
        <v>293</v>
      </c>
      <c r="I4091" s="1" t="s">
        <v>43</v>
      </c>
      <c r="J4091" s="1" t="s">
        <v>4707</v>
      </c>
      <c r="K4091" s="1" t="s">
        <v>298</v>
      </c>
      <c r="L4091" s="1" t="s">
        <v>257</v>
      </c>
      <c r="M4091" s="1"/>
      <c r="N4091" s="1">
        <f t="shared" si="198"/>
        <v>6</v>
      </c>
      <c r="O4091" s="87"/>
    </row>
    <row r="4092" spans="1:15" ht="15.75" hidden="1" x14ac:dyDescent="0.25">
      <c r="A4092" s="1" t="str">
        <f t="shared" si="197"/>
        <v>454524545214.25CURRENTGROCERYMANGO</v>
      </c>
      <c r="B4092" s="154">
        <v>45452</v>
      </c>
      <c r="C4092" s="154">
        <v>45452</v>
      </c>
      <c r="D4092" s="3" t="s">
        <v>4687</v>
      </c>
      <c r="E4092" s="3">
        <v>-14.25</v>
      </c>
      <c r="F4092" s="3">
        <v>1</v>
      </c>
      <c r="G4092" s="3">
        <f t="shared" si="199"/>
        <v>14.25</v>
      </c>
      <c r="H4092" s="3" t="s">
        <v>293</v>
      </c>
      <c r="I4092" s="1" t="s">
        <v>43</v>
      </c>
      <c r="J4092" s="1" t="s">
        <v>3634</v>
      </c>
      <c r="K4092" s="1" t="s">
        <v>298</v>
      </c>
      <c r="L4092" s="1" t="s">
        <v>257</v>
      </c>
      <c r="M4092" s="1"/>
      <c r="N4092" s="1">
        <f t="shared" si="198"/>
        <v>6</v>
      </c>
      <c r="O4092" s="87"/>
    </row>
    <row r="4093" spans="1:15" ht="15.75" hidden="1" x14ac:dyDescent="0.25">
      <c r="A4093" s="1" t="str">
        <f t="shared" si="197"/>
        <v>454524545236CURRENTMEDICALPHARMACY</v>
      </c>
      <c r="B4093" s="154">
        <v>45452</v>
      </c>
      <c r="C4093" s="154">
        <v>45452</v>
      </c>
      <c r="D4093" s="3" t="s">
        <v>4688</v>
      </c>
      <c r="E4093" s="3">
        <v>-36</v>
      </c>
      <c r="F4093" s="3">
        <v>1</v>
      </c>
      <c r="G4093" s="3">
        <f t="shared" si="199"/>
        <v>36</v>
      </c>
      <c r="H4093" s="3" t="s">
        <v>293</v>
      </c>
      <c r="I4093" s="1" t="s">
        <v>301</v>
      </c>
      <c r="J4093" s="1" t="s">
        <v>304</v>
      </c>
      <c r="K4093" s="1" t="s">
        <v>298</v>
      </c>
      <c r="L4093" s="1" t="s">
        <v>257</v>
      </c>
      <c r="M4093" s="1"/>
      <c r="N4093" s="1">
        <f t="shared" si="198"/>
        <v>6</v>
      </c>
      <c r="O4093" s="87"/>
    </row>
    <row r="4094" spans="1:15" ht="15.75" hidden="1" x14ac:dyDescent="0.25">
      <c r="A4094" s="1" t="str">
        <f t="shared" si="197"/>
        <v>454554545548630CURRENTSALARYQATAR AIR</v>
      </c>
      <c r="B4094" s="154">
        <v>45455</v>
      </c>
      <c r="C4094" s="154">
        <v>45455</v>
      </c>
      <c r="D4094" s="3" t="s">
        <v>4689</v>
      </c>
      <c r="E4094" s="3">
        <v>48630</v>
      </c>
      <c r="F4094" s="3">
        <v>1</v>
      </c>
      <c r="G4094" s="3">
        <f t="shared" si="199"/>
        <v>48630</v>
      </c>
      <c r="H4094" s="3" t="s">
        <v>293</v>
      </c>
      <c r="I4094" s="1" t="s">
        <v>18</v>
      </c>
      <c r="J4094" s="1" t="s">
        <v>19</v>
      </c>
      <c r="K4094" s="1" t="s">
        <v>300</v>
      </c>
      <c r="L4094" s="1" t="s">
        <v>257</v>
      </c>
      <c r="M4094" s="1"/>
      <c r="N4094" s="1">
        <f t="shared" si="198"/>
        <v>6</v>
      </c>
      <c r="O4094" s="87"/>
    </row>
    <row r="4095" spans="1:15" ht="15.75" hidden="1" x14ac:dyDescent="0.25">
      <c r="A4095" s="1" t="str">
        <f t="shared" si="197"/>
        <v>4546245462268.6CURRENTFOODCAFÉ/REST.</v>
      </c>
      <c r="B4095" s="154">
        <v>45462</v>
      </c>
      <c r="C4095" s="154">
        <v>45462</v>
      </c>
      <c r="D4095" s="3" t="s">
        <v>4690</v>
      </c>
      <c r="E4095" s="3">
        <v>-268.60000000000002</v>
      </c>
      <c r="F4095" s="3">
        <v>1</v>
      </c>
      <c r="G4095" s="3">
        <f t="shared" si="199"/>
        <v>268.60000000000002</v>
      </c>
      <c r="H4095" s="3" t="s">
        <v>293</v>
      </c>
      <c r="I4095" s="1" t="s">
        <v>10</v>
      </c>
      <c r="J4095" s="1" t="s">
        <v>11</v>
      </c>
      <c r="K4095" s="1" t="s">
        <v>298</v>
      </c>
      <c r="L4095" s="1" t="s">
        <v>257</v>
      </c>
      <c r="M4095" s="1"/>
      <c r="N4095" s="1">
        <f t="shared" si="198"/>
        <v>6</v>
      </c>
      <c r="O4095" s="87"/>
    </row>
    <row r="4096" spans="1:15" ht="15.75" hidden="1" x14ac:dyDescent="0.25">
      <c r="A4096" s="1" t="str">
        <f t="shared" si="197"/>
        <v>45462454622609.82CURRENTHOTELTBILISI</v>
      </c>
      <c r="B4096" s="154">
        <v>45462</v>
      </c>
      <c r="C4096" s="154">
        <v>45462</v>
      </c>
      <c r="D4096" s="3" t="s">
        <v>4691</v>
      </c>
      <c r="E4096" s="3">
        <v>-2609.8200000000002</v>
      </c>
      <c r="F4096" s="3">
        <v>1</v>
      </c>
      <c r="G4096" s="3">
        <f t="shared" si="199"/>
        <v>2609.8200000000002</v>
      </c>
      <c r="H4096" s="3" t="s">
        <v>293</v>
      </c>
      <c r="I4096" s="1" t="s">
        <v>1128</v>
      </c>
      <c r="J4096" s="1" t="s">
        <v>4710</v>
      </c>
      <c r="K4096" s="1" t="s">
        <v>298</v>
      </c>
      <c r="L4096" s="1" t="s">
        <v>257</v>
      </c>
      <c r="M4096" s="1"/>
      <c r="N4096" s="1">
        <f t="shared" si="198"/>
        <v>6</v>
      </c>
      <c r="O4096" s="87"/>
    </row>
    <row r="4097" spans="1:15" ht="15.75" hidden="1" x14ac:dyDescent="0.25">
      <c r="A4097" s="1" t="str">
        <f t="shared" si="197"/>
        <v>454624546215CURRENTSERVICEBANK</v>
      </c>
      <c r="B4097" s="154">
        <v>45462</v>
      </c>
      <c r="C4097" s="154">
        <v>45462</v>
      </c>
      <c r="D4097" s="3" t="s">
        <v>4692</v>
      </c>
      <c r="E4097" s="3">
        <v>-15</v>
      </c>
      <c r="F4097" s="3">
        <v>1</v>
      </c>
      <c r="G4097" s="3">
        <f t="shared" si="199"/>
        <v>15</v>
      </c>
      <c r="H4097" s="3" t="s">
        <v>293</v>
      </c>
      <c r="I4097" s="1" t="s">
        <v>7</v>
      </c>
      <c r="J4097" s="1" t="s">
        <v>8</v>
      </c>
      <c r="K4097" s="1" t="s">
        <v>298</v>
      </c>
      <c r="L4097" s="1" t="s">
        <v>257</v>
      </c>
      <c r="M4097" s="1"/>
      <c r="N4097" s="1">
        <f t="shared" si="198"/>
        <v>6</v>
      </c>
      <c r="O4097" s="87"/>
    </row>
    <row r="4098" spans="1:15" ht="15.75" hidden="1" x14ac:dyDescent="0.25">
      <c r="A4098" s="1" t="str">
        <f t="shared" ref="A4098:A4161" si="200">B4098&amp;C4098&amp;G4098&amp;H4098&amp;I4098&amp;J4098</f>
        <v>454624546215CURRENTSERVICEBANK</v>
      </c>
      <c r="B4098" s="154">
        <v>45462</v>
      </c>
      <c r="C4098" s="154">
        <v>45462</v>
      </c>
      <c r="D4098" s="3" t="s">
        <v>4692</v>
      </c>
      <c r="E4098" s="3">
        <v>-15</v>
      </c>
      <c r="F4098" s="3">
        <v>1</v>
      </c>
      <c r="G4098" s="3">
        <f t="shared" si="199"/>
        <v>15</v>
      </c>
      <c r="H4098" s="3" t="s">
        <v>293</v>
      </c>
      <c r="I4098" s="1" t="s">
        <v>7</v>
      </c>
      <c r="J4098" s="1" t="s">
        <v>8</v>
      </c>
      <c r="K4098" s="1" t="s">
        <v>298</v>
      </c>
      <c r="L4098" s="1" t="s">
        <v>257</v>
      </c>
      <c r="M4098" s="1"/>
      <c r="N4098" s="1">
        <f t="shared" ref="N4098:N4161" si="201">MONTH(C4098)</f>
        <v>6</v>
      </c>
      <c r="O4098" s="87"/>
    </row>
    <row r="4099" spans="1:15" ht="15.75" hidden="1" x14ac:dyDescent="0.25">
      <c r="A4099" s="1" t="str">
        <f t="shared" si="200"/>
        <v>4546245462271.26CURRENTFOODTBILISI</v>
      </c>
      <c r="B4099" s="154">
        <v>45462</v>
      </c>
      <c r="C4099" s="154">
        <v>45462</v>
      </c>
      <c r="D4099" s="3" t="s">
        <v>4693</v>
      </c>
      <c r="E4099" s="3">
        <v>-271.26</v>
      </c>
      <c r="F4099" s="3">
        <v>1</v>
      </c>
      <c r="G4099" s="3">
        <f t="shared" si="199"/>
        <v>271.26</v>
      </c>
      <c r="H4099" s="3" t="s">
        <v>293</v>
      </c>
      <c r="I4099" s="1" t="s">
        <v>10</v>
      </c>
      <c r="J4099" s="1" t="s">
        <v>4710</v>
      </c>
      <c r="K4099" s="1" t="s">
        <v>298</v>
      </c>
      <c r="L4099" s="1" t="s">
        <v>257</v>
      </c>
      <c r="M4099" s="1"/>
      <c r="N4099" s="1">
        <f t="shared" si="201"/>
        <v>6</v>
      </c>
      <c r="O4099" s="87"/>
    </row>
    <row r="4100" spans="1:15" ht="15.75" hidden="1" x14ac:dyDescent="0.25">
      <c r="A4100" s="1" t="str">
        <f t="shared" si="200"/>
        <v>454624546215CURRENTSERVICEBANK</v>
      </c>
      <c r="B4100" s="154">
        <v>45462</v>
      </c>
      <c r="C4100" s="154">
        <v>45462</v>
      </c>
      <c r="D4100" s="3" t="s">
        <v>4692</v>
      </c>
      <c r="E4100" s="3">
        <v>-15</v>
      </c>
      <c r="F4100" s="3">
        <v>1</v>
      </c>
      <c r="G4100" s="3">
        <f t="shared" si="199"/>
        <v>15</v>
      </c>
      <c r="H4100" s="3" t="s">
        <v>293</v>
      </c>
      <c r="I4100" s="1" t="s">
        <v>7</v>
      </c>
      <c r="J4100" s="1" t="s">
        <v>8</v>
      </c>
      <c r="K4100" s="1" t="s">
        <v>298</v>
      </c>
      <c r="L4100" s="1" t="s">
        <v>257</v>
      </c>
      <c r="M4100" s="1"/>
      <c r="N4100" s="1">
        <f t="shared" si="201"/>
        <v>6</v>
      </c>
      <c r="O4100" s="87"/>
    </row>
    <row r="4101" spans="1:15" ht="15.75" hidden="1" x14ac:dyDescent="0.25">
      <c r="A4101" s="1" t="str">
        <f t="shared" si="200"/>
        <v>45462454622000CURRENTLOANDINESH</v>
      </c>
      <c r="B4101" s="154">
        <v>45462</v>
      </c>
      <c r="C4101" s="154">
        <v>45462</v>
      </c>
      <c r="D4101" s="3" t="s">
        <v>4694</v>
      </c>
      <c r="E4101" s="3">
        <v>-2000</v>
      </c>
      <c r="F4101" s="3">
        <v>1</v>
      </c>
      <c r="G4101" s="3">
        <f t="shared" si="199"/>
        <v>2000</v>
      </c>
      <c r="H4101" s="3" t="s">
        <v>293</v>
      </c>
      <c r="I4101" s="1" t="s">
        <v>3</v>
      </c>
      <c r="J4101" s="1" t="s">
        <v>1259</v>
      </c>
      <c r="K4101" s="1" t="s">
        <v>298</v>
      </c>
      <c r="L4101" s="1" t="s">
        <v>257</v>
      </c>
      <c r="M4101" s="1"/>
      <c r="N4101" s="1">
        <f t="shared" si="201"/>
        <v>6</v>
      </c>
      <c r="O4101" s="87"/>
    </row>
    <row r="4102" spans="1:15" ht="15.75" hidden="1" x14ac:dyDescent="0.25">
      <c r="A4102" s="1" t="str">
        <f t="shared" si="200"/>
        <v>45462454621.25CURRENTGROCERYSAFARI</v>
      </c>
      <c r="B4102" s="154">
        <v>45462</v>
      </c>
      <c r="C4102" s="154">
        <v>45462</v>
      </c>
      <c r="D4102" s="3" t="s">
        <v>4695</v>
      </c>
      <c r="E4102" s="3">
        <v>-1.25</v>
      </c>
      <c r="F4102" s="3">
        <v>1</v>
      </c>
      <c r="G4102" s="3">
        <f t="shared" si="199"/>
        <v>1.25</v>
      </c>
      <c r="H4102" s="3" t="s">
        <v>293</v>
      </c>
      <c r="I4102" s="1" t="s">
        <v>43</v>
      </c>
      <c r="J4102" s="1" t="s">
        <v>3498</v>
      </c>
      <c r="K4102" s="1" t="s">
        <v>298</v>
      </c>
      <c r="L4102" s="1" t="s">
        <v>257</v>
      </c>
      <c r="M4102" s="1"/>
      <c r="N4102" s="1">
        <f t="shared" si="201"/>
        <v>6</v>
      </c>
      <c r="O4102" s="87"/>
    </row>
    <row r="4103" spans="1:15" ht="15.75" hidden="1" x14ac:dyDescent="0.25">
      <c r="A4103" s="1" t="str">
        <f t="shared" si="200"/>
        <v>45462454625025CURRENTTRANSFERINDIA</v>
      </c>
      <c r="B4103" s="154">
        <v>45462</v>
      </c>
      <c r="C4103" s="154">
        <v>45462</v>
      </c>
      <c r="D4103" s="3" t="s">
        <v>4696</v>
      </c>
      <c r="E4103" s="3">
        <v>-5025</v>
      </c>
      <c r="F4103" s="3">
        <v>1</v>
      </c>
      <c r="G4103" s="3">
        <f t="shared" si="199"/>
        <v>5025</v>
      </c>
      <c r="H4103" s="3" t="s">
        <v>293</v>
      </c>
      <c r="I4103" s="1" t="s">
        <v>22</v>
      </c>
      <c r="J4103" s="1" t="s">
        <v>23</v>
      </c>
      <c r="K4103" s="1" t="s">
        <v>298</v>
      </c>
      <c r="L4103" s="1" t="s">
        <v>257</v>
      </c>
      <c r="M4103" s="1"/>
      <c r="N4103" s="1">
        <f t="shared" si="201"/>
        <v>6</v>
      </c>
      <c r="O4103" s="87"/>
    </row>
    <row r="4104" spans="1:15" ht="15.75" hidden="1" x14ac:dyDescent="0.25">
      <c r="A4104" s="1" t="str">
        <f t="shared" si="200"/>
        <v>454624546250000CURRENTSAVINGSELF</v>
      </c>
      <c r="B4104" s="154">
        <v>45462</v>
      </c>
      <c r="C4104" s="154">
        <v>45462</v>
      </c>
      <c r="D4104" s="3" t="s">
        <v>4697</v>
      </c>
      <c r="E4104" s="3">
        <v>-50000</v>
      </c>
      <c r="F4104" s="3">
        <v>1</v>
      </c>
      <c r="G4104" s="3">
        <f t="shared" si="199"/>
        <v>50000</v>
      </c>
      <c r="H4104" s="3" t="s">
        <v>293</v>
      </c>
      <c r="I4104" s="1" t="s">
        <v>302</v>
      </c>
      <c r="J4104" s="1" t="s">
        <v>14</v>
      </c>
      <c r="K4104" s="1" t="s">
        <v>298</v>
      </c>
      <c r="L4104" s="1" t="s">
        <v>257</v>
      </c>
      <c r="M4104" s="1"/>
      <c r="N4104" s="1">
        <f t="shared" si="201"/>
        <v>6</v>
      </c>
      <c r="O4104" s="87"/>
    </row>
    <row r="4105" spans="1:15" ht="15.75" hidden="1" x14ac:dyDescent="0.25">
      <c r="A4105" s="1" t="str">
        <f t="shared" si="200"/>
        <v>4546345463274.22CURRENTSHOPPINGTBILISI</v>
      </c>
      <c r="B4105" s="154">
        <v>45463</v>
      </c>
      <c r="C4105" s="154">
        <v>45463</v>
      </c>
      <c r="D4105" s="3" t="s">
        <v>4698</v>
      </c>
      <c r="E4105" s="3">
        <v>-274.22000000000003</v>
      </c>
      <c r="F4105" s="3">
        <v>1</v>
      </c>
      <c r="G4105" s="3">
        <f t="shared" si="199"/>
        <v>274.22000000000003</v>
      </c>
      <c r="H4105" s="3" t="s">
        <v>293</v>
      </c>
      <c r="I4105" s="1" t="s">
        <v>194</v>
      </c>
      <c r="J4105" s="1" t="s">
        <v>4710</v>
      </c>
      <c r="K4105" s="1" t="s">
        <v>298</v>
      </c>
      <c r="L4105" s="1" t="s">
        <v>257</v>
      </c>
      <c r="M4105" s="1"/>
      <c r="N4105" s="1">
        <f t="shared" si="201"/>
        <v>6</v>
      </c>
      <c r="O4105" s="87"/>
    </row>
    <row r="4106" spans="1:15" ht="15.75" hidden="1" x14ac:dyDescent="0.25">
      <c r="A4106" s="1" t="str">
        <f t="shared" si="200"/>
        <v>454634546315CURRENTSERVICEBANK</v>
      </c>
      <c r="B4106" s="154">
        <v>45463</v>
      </c>
      <c r="C4106" s="154">
        <v>45463</v>
      </c>
      <c r="D4106" s="3" t="s">
        <v>4692</v>
      </c>
      <c r="E4106" s="3">
        <v>-15</v>
      </c>
      <c r="F4106" s="3">
        <v>1</v>
      </c>
      <c r="G4106" s="3">
        <f t="shared" si="199"/>
        <v>15</v>
      </c>
      <c r="H4106" s="3" t="s">
        <v>293</v>
      </c>
      <c r="I4106" s="1" t="s">
        <v>7</v>
      </c>
      <c r="J4106" s="1" t="s">
        <v>8</v>
      </c>
      <c r="K4106" s="1" t="s">
        <v>298</v>
      </c>
      <c r="L4106" s="1" t="s">
        <v>257</v>
      </c>
      <c r="M4106" s="1"/>
      <c r="N4106" s="1">
        <f t="shared" si="201"/>
        <v>6</v>
      </c>
      <c r="O4106" s="87"/>
    </row>
    <row r="4107" spans="1:15" ht="15.75" hidden="1" x14ac:dyDescent="0.25">
      <c r="A4107" s="1" t="str">
        <f t="shared" si="200"/>
        <v>454664546620.18CURRENTFOODCAFÉ/REST.</v>
      </c>
      <c r="B4107" s="154">
        <v>45466</v>
      </c>
      <c r="C4107" s="154">
        <v>45466</v>
      </c>
      <c r="D4107" s="3" t="s">
        <v>4699</v>
      </c>
      <c r="E4107" s="3">
        <v>-20.18</v>
      </c>
      <c r="F4107" s="3">
        <v>1</v>
      </c>
      <c r="G4107" s="3">
        <f t="shared" ref="G4107:G4170" si="202">ABS(E4107)*F4107</f>
        <v>20.18</v>
      </c>
      <c r="H4107" s="3" t="s">
        <v>293</v>
      </c>
      <c r="I4107" s="1" t="s">
        <v>10</v>
      </c>
      <c r="J4107" s="1" t="s">
        <v>11</v>
      </c>
      <c r="K4107" s="1" t="s">
        <v>298</v>
      </c>
      <c r="L4107" s="1" t="s">
        <v>257</v>
      </c>
      <c r="M4107" s="1"/>
      <c r="N4107" s="1">
        <f t="shared" si="201"/>
        <v>6</v>
      </c>
      <c r="O4107" s="87"/>
    </row>
    <row r="4108" spans="1:15" ht="15.75" hidden="1" x14ac:dyDescent="0.25">
      <c r="A4108" s="1" t="str">
        <f t="shared" si="200"/>
        <v>4546745467148.81CURRENTEDUCATIONUDEMY</v>
      </c>
      <c r="B4108" s="154">
        <v>45467</v>
      </c>
      <c r="C4108" s="154">
        <v>45467</v>
      </c>
      <c r="D4108" s="3" t="s">
        <v>4700</v>
      </c>
      <c r="E4108" s="3">
        <v>-148.81</v>
      </c>
      <c r="F4108" s="3">
        <v>1</v>
      </c>
      <c r="G4108" s="3">
        <f t="shared" si="202"/>
        <v>148.81</v>
      </c>
      <c r="H4108" s="3" t="s">
        <v>293</v>
      </c>
      <c r="I4108" s="1" t="s">
        <v>543</v>
      </c>
      <c r="J4108" s="1" t="s">
        <v>4708</v>
      </c>
      <c r="K4108" s="1" t="s">
        <v>298</v>
      </c>
      <c r="L4108" s="1" t="s">
        <v>257</v>
      </c>
      <c r="M4108" s="1"/>
      <c r="N4108" s="1">
        <f t="shared" si="201"/>
        <v>6</v>
      </c>
      <c r="O4108" s="87"/>
    </row>
    <row r="4109" spans="1:15" ht="15.75" hidden="1" x14ac:dyDescent="0.25">
      <c r="A4109" s="1" t="str">
        <f t="shared" si="200"/>
        <v>454694546928972CURRENTSALARYQATAR AIR</v>
      </c>
      <c r="B4109" s="154">
        <v>45469</v>
      </c>
      <c r="C4109" s="154">
        <v>45469</v>
      </c>
      <c r="D4109" s="3" t="s">
        <v>4701</v>
      </c>
      <c r="E4109" s="3">
        <v>28972</v>
      </c>
      <c r="F4109" s="3">
        <v>1</v>
      </c>
      <c r="G4109" s="3">
        <f t="shared" si="202"/>
        <v>28972</v>
      </c>
      <c r="H4109" s="3" t="s">
        <v>293</v>
      </c>
      <c r="I4109" s="1" t="s">
        <v>18</v>
      </c>
      <c r="J4109" s="1" t="s">
        <v>19</v>
      </c>
      <c r="K4109" s="1" t="s">
        <v>300</v>
      </c>
      <c r="L4109" s="1" t="s">
        <v>257</v>
      </c>
      <c r="M4109" s="1"/>
      <c r="N4109" s="1">
        <f t="shared" si="201"/>
        <v>6</v>
      </c>
      <c r="O4109" s="87"/>
    </row>
    <row r="4110" spans="1:15" ht="15.75" hidden="1" x14ac:dyDescent="0.25">
      <c r="A4110" s="1" t="str">
        <f t="shared" si="200"/>
        <v>4546945469650CURRENTTRANSPORTTINTING</v>
      </c>
      <c r="B4110" s="154">
        <v>45469</v>
      </c>
      <c r="C4110" s="154">
        <v>45469</v>
      </c>
      <c r="D4110" s="3" t="s">
        <v>4702</v>
      </c>
      <c r="E4110" s="3">
        <v>-650</v>
      </c>
      <c r="F4110" s="3">
        <v>1</v>
      </c>
      <c r="G4110" s="3">
        <f t="shared" si="202"/>
        <v>650</v>
      </c>
      <c r="H4110" s="3" t="s">
        <v>293</v>
      </c>
      <c r="I4110" s="1" t="s">
        <v>296</v>
      </c>
      <c r="J4110" s="1" t="s">
        <v>4709</v>
      </c>
      <c r="K4110" s="1" t="s">
        <v>298</v>
      </c>
      <c r="L4110" s="1" t="s">
        <v>257</v>
      </c>
      <c r="M4110" s="1"/>
      <c r="N4110" s="1">
        <f t="shared" si="201"/>
        <v>6</v>
      </c>
      <c r="O4110" s="87"/>
    </row>
    <row r="4111" spans="1:15" ht="15.75" hidden="1" x14ac:dyDescent="0.25">
      <c r="A4111" s="1" t="str">
        <f t="shared" si="200"/>
        <v>45473454735250CURRENTCC BILL PAYMENTBANK</v>
      </c>
      <c r="B4111" s="154">
        <v>45473</v>
      </c>
      <c r="C4111" s="154">
        <v>45473</v>
      </c>
      <c r="D4111" s="3" t="s">
        <v>4703</v>
      </c>
      <c r="E4111" s="3">
        <v>-5250</v>
      </c>
      <c r="F4111" s="3">
        <v>1</v>
      </c>
      <c r="G4111" s="3">
        <f t="shared" si="202"/>
        <v>5250</v>
      </c>
      <c r="H4111" s="3" t="s">
        <v>293</v>
      </c>
      <c r="I4111" s="1" t="s">
        <v>81</v>
      </c>
      <c r="J4111" s="1" t="s">
        <v>8</v>
      </c>
      <c r="K4111" s="1" t="s">
        <v>298</v>
      </c>
      <c r="L4111" s="1" t="s">
        <v>257</v>
      </c>
      <c r="M4111" s="1"/>
      <c r="N4111" s="1">
        <f t="shared" si="201"/>
        <v>6</v>
      </c>
      <c r="O4111" s="87"/>
    </row>
    <row r="4112" spans="1:15" ht="15.75" hidden="1" x14ac:dyDescent="0.25">
      <c r="A4112" s="1" t="str">
        <f t="shared" si="200"/>
        <v>454734547315000CURRENTSAVINGSELF</v>
      </c>
      <c r="B4112" s="154">
        <v>45473</v>
      </c>
      <c r="C4112" s="154">
        <v>45473</v>
      </c>
      <c r="D4112" s="3" t="s">
        <v>4704</v>
      </c>
      <c r="E4112" s="3">
        <v>-15000</v>
      </c>
      <c r="F4112" s="3">
        <v>1</v>
      </c>
      <c r="G4112" s="3">
        <f t="shared" si="202"/>
        <v>15000</v>
      </c>
      <c r="H4112" s="3" t="s">
        <v>293</v>
      </c>
      <c r="I4112" s="1" t="s">
        <v>302</v>
      </c>
      <c r="J4112" s="1" t="s">
        <v>14</v>
      </c>
      <c r="K4112" s="1" t="s">
        <v>298</v>
      </c>
      <c r="L4112" s="1" t="s">
        <v>257</v>
      </c>
      <c r="M4112" s="1"/>
      <c r="N4112" s="1">
        <f t="shared" si="201"/>
        <v>6</v>
      </c>
      <c r="O4112" s="87"/>
    </row>
    <row r="4113" spans="1:15" ht="15.75" hidden="1" x14ac:dyDescent="0.25">
      <c r="A4113" s="1" t="str">
        <f t="shared" si="200"/>
        <v>45474454741000CURRENTWITHDRAWSELF</v>
      </c>
      <c r="B4113" s="154">
        <v>45474</v>
      </c>
      <c r="C4113" s="154">
        <v>45474</v>
      </c>
      <c r="D4113" s="3" t="s">
        <v>4705</v>
      </c>
      <c r="E4113" s="3">
        <v>-1000</v>
      </c>
      <c r="F4113" s="3">
        <v>1</v>
      </c>
      <c r="G4113" s="3">
        <f t="shared" si="202"/>
        <v>1000</v>
      </c>
      <c r="H4113" s="3" t="s">
        <v>293</v>
      </c>
      <c r="I4113" s="1" t="s">
        <v>13</v>
      </c>
      <c r="J4113" s="1" t="s">
        <v>14</v>
      </c>
      <c r="K4113" s="1" t="s">
        <v>298</v>
      </c>
      <c r="L4113" s="1" t="s">
        <v>257</v>
      </c>
      <c r="M4113" s="1"/>
      <c r="N4113" s="1">
        <f t="shared" si="201"/>
        <v>7</v>
      </c>
      <c r="O4113" s="87"/>
    </row>
    <row r="4114" spans="1:15" ht="15.75" hidden="1" x14ac:dyDescent="0.25">
      <c r="A4114" s="1" t="str">
        <f t="shared" si="200"/>
        <v>4547445474500CURRENTSAVINGARTI</v>
      </c>
      <c r="B4114" s="154">
        <v>45474</v>
      </c>
      <c r="C4114" s="154">
        <v>45474</v>
      </c>
      <c r="D4114" s="3" t="s">
        <v>2909</v>
      </c>
      <c r="E4114" s="3">
        <v>-500</v>
      </c>
      <c r="F4114" s="3">
        <v>1</v>
      </c>
      <c r="G4114" s="3">
        <f t="shared" si="202"/>
        <v>500</v>
      </c>
      <c r="H4114" s="3" t="s">
        <v>293</v>
      </c>
      <c r="I4114" s="1" t="s">
        <v>302</v>
      </c>
      <c r="J4114" s="1" t="s">
        <v>453</v>
      </c>
      <c r="K4114" s="1" t="s">
        <v>298</v>
      </c>
      <c r="L4114" s="1" t="s">
        <v>257</v>
      </c>
      <c r="M4114" s="1"/>
      <c r="N4114" s="1">
        <f t="shared" si="201"/>
        <v>7</v>
      </c>
      <c r="O4114" s="87"/>
    </row>
    <row r="4115" spans="1:15" ht="15.75" hidden="1" x14ac:dyDescent="0.25">
      <c r="A4115" s="1" t="str">
        <f t="shared" si="200"/>
        <v>4547545475500CURRENTSAVINGARTI</v>
      </c>
      <c r="B4115" s="154">
        <v>45475</v>
      </c>
      <c r="C4115" s="154">
        <v>45475</v>
      </c>
      <c r="D4115" s="3" t="s">
        <v>3703</v>
      </c>
      <c r="E4115" s="3">
        <v>-500</v>
      </c>
      <c r="F4115" s="3">
        <v>1</v>
      </c>
      <c r="G4115" s="3">
        <f t="shared" si="202"/>
        <v>500</v>
      </c>
      <c r="H4115" s="3" t="s">
        <v>293</v>
      </c>
      <c r="I4115" s="1" t="s">
        <v>302</v>
      </c>
      <c r="J4115" s="1" t="s">
        <v>453</v>
      </c>
      <c r="K4115" s="1" t="s">
        <v>298</v>
      </c>
      <c r="L4115" s="1" t="s">
        <v>257</v>
      </c>
      <c r="M4115" s="1"/>
      <c r="N4115" s="1">
        <f t="shared" si="201"/>
        <v>7</v>
      </c>
      <c r="O4115" s="87"/>
    </row>
    <row r="4116" spans="1:15" ht="15.75" hidden="1" x14ac:dyDescent="0.25">
      <c r="A4116" s="1" t="str">
        <f t="shared" si="200"/>
        <v>45480454805000CURRENTRENTWASEEF</v>
      </c>
      <c r="B4116" s="154">
        <v>45480</v>
      </c>
      <c r="C4116" s="154">
        <v>45480</v>
      </c>
      <c r="D4116" s="3" t="s">
        <v>4706</v>
      </c>
      <c r="E4116" s="3">
        <v>-5000</v>
      </c>
      <c r="F4116" s="3">
        <v>1</v>
      </c>
      <c r="G4116" s="3">
        <f t="shared" si="202"/>
        <v>5000</v>
      </c>
      <c r="H4116" s="3" t="s">
        <v>293</v>
      </c>
      <c r="I4116" s="1" t="s">
        <v>83</v>
      </c>
      <c r="J4116" s="1" t="s">
        <v>3314</v>
      </c>
      <c r="K4116" s="1" t="s">
        <v>298</v>
      </c>
      <c r="L4116" s="1" t="s">
        <v>257</v>
      </c>
      <c r="M4116" s="1"/>
      <c r="N4116" s="1">
        <f t="shared" si="201"/>
        <v>7</v>
      </c>
      <c r="O4116" s="87"/>
    </row>
    <row r="4117" spans="1:15" ht="15.75" hidden="1" x14ac:dyDescent="0.25">
      <c r="A4117" s="1" t="str">
        <f t="shared" si="200"/>
        <v>454814548433MASTER CCGROCERYMANGO</v>
      </c>
      <c r="B4117" s="154">
        <v>45481</v>
      </c>
      <c r="C4117" s="154">
        <v>45484</v>
      </c>
      <c r="D4117" s="3" t="s">
        <v>4711</v>
      </c>
      <c r="E4117" s="3">
        <v>-33</v>
      </c>
      <c r="F4117" s="3">
        <v>1</v>
      </c>
      <c r="G4117" s="3">
        <f t="shared" si="202"/>
        <v>33</v>
      </c>
      <c r="H4117" s="3" t="s">
        <v>291</v>
      </c>
      <c r="I4117" s="1" t="s">
        <v>43</v>
      </c>
      <c r="J4117" s="1" t="s">
        <v>3634</v>
      </c>
      <c r="K4117" s="1" t="s">
        <v>298</v>
      </c>
      <c r="L4117" s="1" t="s">
        <v>267</v>
      </c>
      <c r="M4117" s="1"/>
      <c r="N4117" s="1">
        <f t="shared" si="201"/>
        <v>7</v>
      </c>
      <c r="O4117" s="87"/>
    </row>
    <row r="4118" spans="1:15" ht="15.75" hidden="1" x14ac:dyDescent="0.25">
      <c r="A4118" s="1" t="str">
        <f t="shared" si="200"/>
        <v>454814548318.99MASTER CCTRANSPORTUBER</v>
      </c>
      <c r="B4118" s="154">
        <v>45481</v>
      </c>
      <c r="C4118" s="154">
        <v>45483</v>
      </c>
      <c r="D4118" s="3" t="s">
        <v>4712</v>
      </c>
      <c r="E4118" s="3">
        <v>-18.989999999999998</v>
      </c>
      <c r="F4118" s="3">
        <v>1</v>
      </c>
      <c r="G4118" s="3">
        <f t="shared" si="202"/>
        <v>18.989999999999998</v>
      </c>
      <c r="H4118" s="3" t="s">
        <v>291</v>
      </c>
      <c r="I4118" s="1" t="s">
        <v>296</v>
      </c>
      <c r="J4118" s="1" t="s">
        <v>299</v>
      </c>
      <c r="K4118" s="1" t="s">
        <v>298</v>
      </c>
      <c r="L4118" s="1" t="s">
        <v>267</v>
      </c>
      <c r="M4118" s="1"/>
      <c r="N4118" s="1">
        <f t="shared" si="201"/>
        <v>7</v>
      </c>
      <c r="O4118" s="87"/>
    </row>
    <row r="4119" spans="1:15" ht="15.75" hidden="1" x14ac:dyDescent="0.25">
      <c r="A4119" s="1" t="str">
        <f t="shared" si="200"/>
        <v>454814548318.94MASTER CCTRANSPORTUBER</v>
      </c>
      <c r="B4119" s="154">
        <v>45481</v>
      </c>
      <c r="C4119" s="154">
        <v>45483</v>
      </c>
      <c r="D4119" s="3" t="s">
        <v>4713</v>
      </c>
      <c r="E4119" s="3">
        <v>-18.940000000000001</v>
      </c>
      <c r="F4119" s="3">
        <v>1</v>
      </c>
      <c r="G4119" s="3">
        <f t="shared" si="202"/>
        <v>18.940000000000001</v>
      </c>
      <c r="H4119" s="3" t="s">
        <v>291</v>
      </c>
      <c r="I4119" s="1" t="s">
        <v>296</v>
      </c>
      <c r="J4119" s="1" t="s">
        <v>299</v>
      </c>
      <c r="K4119" s="1" t="s">
        <v>298</v>
      </c>
      <c r="L4119" s="1" t="s">
        <v>267</v>
      </c>
      <c r="M4119" s="1"/>
      <c r="N4119" s="1">
        <f t="shared" si="201"/>
        <v>7</v>
      </c>
      <c r="O4119" s="87"/>
    </row>
    <row r="4120" spans="1:15" ht="15.75" hidden="1" x14ac:dyDescent="0.25">
      <c r="A4120" s="1" t="str">
        <f t="shared" si="200"/>
        <v>454814548340.99MASTER CCTRANSPORTUBER</v>
      </c>
      <c r="B4120" s="154">
        <v>45481</v>
      </c>
      <c r="C4120" s="154">
        <v>45483</v>
      </c>
      <c r="D4120" s="3" t="s">
        <v>4714</v>
      </c>
      <c r="E4120" s="3">
        <v>-40.99</v>
      </c>
      <c r="F4120" s="3">
        <v>1</v>
      </c>
      <c r="G4120" s="3">
        <f t="shared" si="202"/>
        <v>40.99</v>
      </c>
      <c r="H4120" s="3" t="s">
        <v>291</v>
      </c>
      <c r="I4120" s="1" t="s">
        <v>296</v>
      </c>
      <c r="J4120" s="1" t="s">
        <v>299</v>
      </c>
      <c r="K4120" s="1" t="s">
        <v>298</v>
      </c>
      <c r="L4120" s="1" t="s">
        <v>267</v>
      </c>
      <c r="M4120" s="1"/>
      <c r="N4120" s="1">
        <f t="shared" si="201"/>
        <v>7</v>
      </c>
      <c r="O4120" s="87"/>
    </row>
    <row r="4121" spans="1:15" ht="15.75" hidden="1" x14ac:dyDescent="0.25">
      <c r="A4121" s="1" t="str">
        <f t="shared" si="200"/>
        <v>454814548355.5MASTER CCFOODSNOONU</v>
      </c>
      <c r="B4121" s="154">
        <v>45481</v>
      </c>
      <c r="C4121" s="154">
        <v>45483</v>
      </c>
      <c r="D4121" s="3" t="s">
        <v>4715</v>
      </c>
      <c r="E4121" s="3">
        <v>-55.5</v>
      </c>
      <c r="F4121" s="3">
        <v>1</v>
      </c>
      <c r="G4121" s="3">
        <f t="shared" si="202"/>
        <v>55.5</v>
      </c>
      <c r="H4121" s="3" t="s">
        <v>291</v>
      </c>
      <c r="I4121" s="1" t="s">
        <v>10</v>
      </c>
      <c r="J4121" s="1" t="s">
        <v>4780</v>
      </c>
      <c r="K4121" s="1" t="s">
        <v>298</v>
      </c>
      <c r="L4121" s="1" t="s">
        <v>267</v>
      </c>
      <c r="M4121" s="1"/>
      <c r="N4121" s="1">
        <f t="shared" si="201"/>
        <v>7</v>
      </c>
      <c r="O4121" s="87"/>
    </row>
    <row r="4122" spans="1:15" ht="15.75" hidden="1" x14ac:dyDescent="0.25">
      <c r="A4122" s="1" t="str">
        <f t="shared" si="200"/>
        <v>454814548211MASTER CCMEDICALASTER</v>
      </c>
      <c r="B4122" s="154">
        <v>45481</v>
      </c>
      <c r="C4122" s="154">
        <v>45482</v>
      </c>
      <c r="D4122" s="3" t="s">
        <v>4716</v>
      </c>
      <c r="E4122" s="3">
        <v>-11</v>
      </c>
      <c r="F4122" s="3">
        <v>1</v>
      </c>
      <c r="G4122" s="3">
        <f t="shared" si="202"/>
        <v>11</v>
      </c>
      <c r="H4122" s="3" t="s">
        <v>291</v>
      </c>
      <c r="I4122" s="1" t="s">
        <v>301</v>
      </c>
      <c r="J4122" s="1" t="s">
        <v>303</v>
      </c>
      <c r="K4122" s="1" t="s">
        <v>298</v>
      </c>
      <c r="L4122" s="1" t="s">
        <v>267</v>
      </c>
      <c r="M4122" s="1"/>
      <c r="N4122" s="1">
        <f t="shared" si="201"/>
        <v>7</v>
      </c>
      <c r="O4122" s="87"/>
    </row>
    <row r="4123" spans="1:15" ht="15.75" hidden="1" x14ac:dyDescent="0.25">
      <c r="A4123" s="1" t="str">
        <f t="shared" si="200"/>
        <v>454824548565MASTER CCTELECOMOOREDOO</v>
      </c>
      <c r="B4123" s="154">
        <v>45482</v>
      </c>
      <c r="C4123" s="154">
        <v>45485</v>
      </c>
      <c r="D4123" s="3" t="s">
        <v>4717</v>
      </c>
      <c r="E4123" s="3">
        <v>-65</v>
      </c>
      <c r="F4123" s="3">
        <v>1</v>
      </c>
      <c r="G4123" s="3">
        <f t="shared" si="202"/>
        <v>65</v>
      </c>
      <c r="H4123" s="3" t="s">
        <v>291</v>
      </c>
      <c r="I4123" s="1" t="s">
        <v>58</v>
      </c>
      <c r="J4123" s="1" t="s">
        <v>59</v>
      </c>
      <c r="K4123" s="1" t="s">
        <v>298</v>
      </c>
      <c r="L4123" s="1" t="s">
        <v>267</v>
      </c>
      <c r="M4123" s="1"/>
      <c r="N4123" s="1">
        <f t="shared" si="201"/>
        <v>7</v>
      </c>
      <c r="O4123" s="87"/>
    </row>
    <row r="4124" spans="1:15" ht="15.75" hidden="1" x14ac:dyDescent="0.25">
      <c r="A4124" s="1" t="str">
        <f t="shared" si="200"/>
        <v>4548245485209.73MASTER CCGROCERYINDIAN SUPER</v>
      </c>
      <c r="B4124" s="154">
        <v>45482</v>
      </c>
      <c r="C4124" s="154">
        <v>45485</v>
      </c>
      <c r="D4124" s="3" t="s">
        <v>4718</v>
      </c>
      <c r="E4124" s="3">
        <v>-209.73</v>
      </c>
      <c r="F4124" s="3">
        <v>1</v>
      </c>
      <c r="G4124" s="3">
        <f t="shared" si="202"/>
        <v>209.73</v>
      </c>
      <c r="H4124" s="3" t="s">
        <v>291</v>
      </c>
      <c r="I4124" s="1" t="s">
        <v>43</v>
      </c>
      <c r="J4124" s="1" t="s">
        <v>2273</v>
      </c>
      <c r="K4124" s="1" t="s">
        <v>298</v>
      </c>
      <c r="L4124" s="1" t="s">
        <v>267</v>
      </c>
      <c r="M4124" s="1"/>
      <c r="N4124" s="1">
        <f t="shared" si="201"/>
        <v>7</v>
      </c>
      <c r="O4124" s="87"/>
    </row>
    <row r="4125" spans="1:15" ht="15.75" hidden="1" x14ac:dyDescent="0.25">
      <c r="A4125" s="1" t="str">
        <f t="shared" si="200"/>
        <v>454824548419.95MASTER CCTRANSPORTUBER</v>
      </c>
      <c r="B4125" s="154">
        <v>45482</v>
      </c>
      <c r="C4125" s="154">
        <v>45484</v>
      </c>
      <c r="D4125" s="3" t="s">
        <v>4719</v>
      </c>
      <c r="E4125" s="3">
        <v>-19.95</v>
      </c>
      <c r="F4125" s="3">
        <v>1</v>
      </c>
      <c r="G4125" s="3">
        <f t="shared" si="202"/>
        <v>19.95</v>
      </c>
      <c r="H4125" s="3" t="s">
        <v>291</v>
      </c>
      <c r="I4125" s="1" t="s">
        <v>296</v>
      </c>
      <c r="J4125" s="1" t="s">
        <v>299</v>
      </c>
      <c r="K4125" s="1" t="s">
        <v>298</v>
      </c>
      <c r="L4125" s="1" t="s">
        <v>267</v>
      </c>
      <c r="M4125" s="1"/>
      <c r="N4125" s="1">
        <f t="shared" si="201"/>
        <v>7</v>
      </c>
      <c r="O4125" s="87"/>
    </row>
    <row r="4126" spans="1:15" ht="15.75" hidden="1" x14ac:dyDescent="0.25">
      <c r="A4126" s="1" t="str">
        <f t="shared" si="200"/>
        <v>454824548418.9MASTER CCTRANSPORTUBER</v>
      </c>
      <c r="B4126" s="154">
        <v>45482</v>
      </c>
      <c r="C4126" s="154">
        <v>45484</v>
      </c>
      <c r="D4126" s="3" t="s">
        <v>4720</v>
      </c>
      <c r="E4126" s="3">
        <v>-18.899999999999999</v>
      </c>
      <c r="F4126" s="3">
        <v>1</v>
      </c>
      <c r="G4126" s="3">
        <f t="shared" si="202"/>
        <v>18.899999999999999</v>
      </c>
      <c r="H4126" s="3" t="s">
        <v>291</v>
      </c>
      <c r="I4126" s="1" t="s">
        <v>296</v>
      </c>
      <c r="J4126" s="1" t="s">
        <v>299</v>
      </c>
      <c r="K4126" s="1" t="s">
        <v>298</v>
      </c>
      <c r="L4126" s="1" t="s">
        <v>267</v>
      </c>
      <c r="M4126" s="1"/>
      <c r="N4126" s="1">
        <f t="shared" si="201"/>
        <v>7</v>
      </c>
      <c r="O4126" s="87"/>
    </row>
    <row r="4127" spans="1:15" ht="15.75" hidden="1" x14ac:dyDescent="0.25">
      <c r="A4127" s="1" t="str">
        <f t="shared" si="200"/>
        <v>45482454849MASTER CCLAUNDRYAL RAYES</v>
      </c>
      <c r="B4127" s="154">
        <v>45482</v>
      </c>
      <c r="C4127" s="154">
        <v>45484</v>
      </c>
      <c r="D4127" s="3" t="s">
        <v>4721</v>
      </c>
      <c r="E4127" s="3">
        <v>-9</v>
      </c>
      <c r="F4127" s="3">
        <v>1</v>
      </c>
      <c r="G4127" s="3">
        <f t="shared" si="202"/>
        <v>9</v>
      </c>
      <c r="H4127" s="3" t="s">
        <v>291</v>
      </c>
      <c r="I4127" s="1" t="s">
        <v>3164</v>
      </c>
      <c r="J4127" s="1" t="s">
        <v>3165</v>
      </c>
      <c r="K4127" s="1" t="s">
        <v>298</v>
      </c>
      <c r="L4127" s="1" t="s">
        <v>267</v>
      </c>
      <c r="M4127" s="1"/>
      <c r="N4127" s="1">
        <f t="shared" si="201"/>
        <v>7</v>
      </c>
      <c r="O4127" s="87"/>
    </row>
    <row r="4128" spans="1:15" ht="15.75" hidden="1" x14ac:dyDescent="0.25">
      <c r="A4128" s="1" t="str">
        <f t="shared" si="200"/>
        <v>4548345486104MASTER CCTRANSPORTWOQOD</v>
      </c>
      <c r="B4128" s="154">
        <v>45483</v>
      </c>
      <c r="C4128" s="154">
        <v>45486</v>
      </c>
      <c r="D4128" s="3" t="s">
        <v>4722</v>
      </c>
      <c r="E4128" s="3">
        <v>-104</v>
      </c>
      <c r="F4128" s="3">
        <v>1</v>
      </c>
      <c r="G4128" s="3">
        <f t="shared" si="202"/>
        <v>104</v>
      </c>
      <c r="H4128" s="3" t="s">
        <v>291</v>
      </c>
      <c r="I4128" s="1" t="s">
        <v>296</v>
      </c>
      <c r="J4128" s="1" t="s">
        <v>1942</v>
      </c>
      <c r="K4128" s="1" t="s">
        <v>298</v>
      </c>
      <c r="L4128" s="1" t="s">
        <v>267</v>
      </c>
      <c r="M4128" s="1"/>
      <c r="N4128" s="1">
        <f t="shared" si="201"/>
        <v>7</v>
      </c>
      <c r="O4128" s="87"/>
    </row>
    <row r="4129" spans="1:15" ht="15.75" hidden="1" x14ac:dyDescent="0.25">
      <c r="A4129" s="1" t="str">
        <f t="shared" si="200"/>
        <v>454834548517.99MASTER CCTRANSPORTUBER</v>
      </c>
      <c r="B4129" s="154">
        <v>45483</v>
      </c>
      <c r="C4129" s="154">
        <v>45485</v>
      </c>
      <c r="D4129" s="3" t="s">
        <v>4723</v>
      </c>
      <c r="E4129" s="3">
        <v>-17.989999999999998</v>
      </c>
      <c r="F4129" s="3">
        <v>1</v>
      </c>
      <c r="G4129" s="3">
        <f t="shared" si="202"/>
        <v>17.989999999999998</v>
      </c>
      <c r="H4129" s="3" t="s">
        <v>291</v>
      </c>
      <c r="I4129" s="1" t="s">
        <v>296</v>
      </c>
      <c r="J4129" s="1" t="s">
        <v>299</v>
      </c>
      <c r="K4129" s="1" t="s">
        <v>298</v>
      </c>
      <c r="L4129" s="1" t="s">
        <v>267</v>
      </c>
      <c r="M4129" s="1"/>
      <c r="N4129" s="1">
        <f t="shared" si="201"/>
        <v>7</v>
      </c>
      <c r="O4129" s="87"/>
    </row>
    <row r="4130" spans="1:15" ht="15.75" hidden="1" x14ac:dyDescent="0.25">
      <c r="A4130" s="1" t="str">
        <f t="shared" si="200"/>
        <v>454834548526.42MASTER CCGROCERYMANGO</v>
      </c>
      <c r="B4130" s="154">
        <v>45483</v>
      </c>
      <c r="C4130" s="154">
        <v>45485</v>
      </c>
      <c r="D4130" s="3" t="s">
        <v>4724</v>
      </c>
      <c r="E4130" s="3">
        <v>-26.42</v>
      </c>
      <c r="F4130" s="3">
        <v>1</v>
      </c>
      <c r="G4130" s="3">
        <f t="shared" si="202"/>
        <v>26.42</v>
      </c>
      <c r="H4130" s="3" t="s">
        <v>291</v>
      </c>
      <c r="I4130" s="1" t="s">
        <v>43</v>
      </c>
      <c r="J4130" s="1" t="s">
        <v>3634</v>
      </c>
      <c r="K4130" s="1" t="s">
        <v>298</v>
      </c>
      <c r="L4130" s="1" t="s">
        <v>267</v>
      </c>
      <c r="M4130" s="1"/>
      <c r="N4130" s="1">
        <f t="shared" si="201"/>
        <v>7</v>
      </c>
      <c r="O4130" s="87"/>
    </row>
    <row r="4131" spans="1:15" ht="15.75" hidden="1" x14ac:dyDescent="0.25">
      <c r="A4131" s="1" t="str">
        <f t="shared" si="200"/>
        <v>454834548418.92MASTER CCTRANSPORTUBER</v>
      </c>
      <c r="B4131" s="154">
        <v>45483</v>
      </c>
      <c r="C4131" s="154">
        <v>45484</v>
      </c>
      <c r="D4131" s="3" t="s">
        <v>4725</v>
      </c>
      <c r="E4131" s="3">
        <v>-18.920000000000002</v>
      </c>
      <c r="F4131" s="3">
        <v>1</v>
      </c>
      <c r="G4131" s="3">
        <f t="shared" si="202"/>
        <v>18.920000000000002</v>
      </c>
      <c r="H4131" s="3" t="s">
        <v>291</v>
      </c>
      <c r="I4131" s="1" t="s">
        <v>296</v>
      </c>
      <c r="J4131" s="1" t="s">
        <v>299</v>
      </c>
      <c r="K4131" s="1" t="s">
        <v>298</v>
      </c>
      <c r="L4131" s="1" t="s">
        <v>267</v>
      </c>
      <c r="M4131" s="1"/>
      <c r="N4131" s="1">
        <f t="shared" si="201"/>
        <v>7</v>
      </c>
      <c r="O4131" s="87"/>
    </row>
    <row r="4132" spans="1:15" ht="15.75" hidden="1" x14ac:dyDescent="0.25">
      <c r="A4132" s="1" t="str">
        <f t="shared" si="200"/>
        <v>4548445487143MASTER CCGROCERYLULU</v>
      </c>
      <c r="B4132" s="154">
        <v>45484</v>
      </c>
      <c r="C4132" s="154">
        <v>45487</v>
      </c>
      <c r="D4132" s="3" t="s">
        <v>4726</v>
      </c>
      <c r="E4132" s="3">
        <v>-143</v>
      </c>
      <c r="F4132" s="3">
        <v>1</v>
      </c>
      <c r="G4132" s="3">
        <f t="shared" si="202"/>
        <v>143</v>
      </c>
      <c r="H4132" s="3" t="s">
        <v>291</v>
      </c>
      <c r="I4132" s="1" t="s">
        <v>43</v>
      </c>
      <c r="J4132" s="1" t="s">
        <v>44</v>
      </c>
      <c r="K4132" s="1" t="s">
        <v>298</v>
      </c>
      <c r="L4132" s="1" t="s">
        <v>267</v>
      </c>
      <c r="M4132" s="1"/>
      <c r="N4132" s="1">
        <f t="shared" si="201"/>
        <v>7</v>
      </c>
      <c r="O4132" s="87"/>
    </row>
    <row r="4133" spans="1:15" ht="15.75" hidden="1" x14ac:dyDescent="0.25">
      <c r="A4133" s="1" t="str">
        <f t="shared" si="200"/>
        <v>454844548744.5MASTER CCGROCERYLULU</v>
      </c>
      <c r="B4133" s="154">
        <v>45484</v>
      </c>
      <c r="C4133" s="154">
        <v>45487</v>
      </c>
      <c r="D4133" s="3" t="s">
        <v>4727</v>
      </c>
      <c r="E4133" s="3">
        <v>-44.5</v>
      </c>
      <c r="F4133" s="3">
        <v>1</v>
      </c>
      <c r="G4133" s="3">
        <f t="shared" si="202"/>
        <v>44.5</v>
      </c>
      <c r="H4133" s="3" t="s">
        <v>291</v>
      </c>
      <c r="I4133" s="1" t="s">
        <v>43</v>
      </c>
      <c r="J4133" s="1" t="s">
        <v>44</v>
      </c>
      <c r="K4133" s="1" t="s">
        <v>298</v>
      </c>
      <c r="L4133" s="1" t="s">
        <v>267</v>
      </c>
      <c r="M4133" s="1"/>
      <c r="N4133" s="1">
        <f t="shared" si="201"/>
        <v>7</v>
      </c>
      <c r="O4133" s="87"/>
    </row>
    <row r="4134" spans="1:15" ht="15.75" hidden="1" x14ac:dyDescent="0.25">
      <c r="A4134" s="1" t="str">
        <f t="shared" si="200"/>
        <v>454844548617.94MASTER CCTRANSPORTUBER</v>
      </c>
      <c r="B4134" s="154">
        <v>45484</v>
      </c>
      <c r="C4134" s="154">
        <v>45486</v>
      </c>
      <c r="D4134" s="3" t="s">
        <v>4728</v>
      </c>
      <c r="E4134" s="3">
        <v>-17.940000000000001</v>
      </c>
      <c r="F4134" s="3">
        <v>1</v>
      </c>
      <c r="G4134" s="3">
        <f t="shared" si="202"/>
        <v>17.940000000000001</v>
      </c>
      <c r="H4134" s="3" t="s">
        <v>291</v>
      </c>
      <c r="I4134" s="1" t="s">
        <v>296</v>
      </c>
      <c r="J4134" s="1" t="s">
        <v>299</v>
      </c>
      <c r="K4134" s="1" t="s">
        <v>298</v>
      </c>
      <c r="L4134" s="1" t="s">
        <v>267</v>
      </c>
      <c r="M4134" s="1"/>
      <c r="N4134" s="1">
        <f t="shared" si="201"/>
        <v>7</v>
      </c>
      <c r="O4134" s="87"/>
    </row>
    <row r="4135" spans="1:15" ht="15.75" hidden="1" x14ac:dyDescent="0.25">
      <c r="A4135" s="1" t="str">
        <f t="shared" si="200"/>
        <v>454844548519.04MASTER CCTRANSPORTUBER</v>
      </c>
      <c r="B4135" s="154">
        <v>45484</v>
      </c>
      <c r="C4135" s="154">
        <v>45485</v>
      </c>
      <c r="D4135" s="3" t="s">
        <v>4729</v>
      </c>
      <c r="E4135" s="3">
        <v>-19.04</v>
      </c>
      <c r="F4135" s="3">
        <v>1</v>
      </c>
      <c r="G4135" s="3">
        <f t="shared" si="202"/>
        <v>19.04</v>
      </c>
      <c r="H4135" s="3" t="s">
        <v>291</v>
      </c>
      <c r="I4135" s="1" t="s">
        <v>296</v>
      </c>
      <c r="J4135" s="1" t="s">
        <v>299</v>
      </c>
      <c r="K4135" s="1" t="s">
        <v>298</v>
      </c>
      <c r="L4135" s="1" t="s">
        <v>267</v>
      </c>
      <c r="M4135" s="1"/>
      <c r="N4135" s="1">
        <f t="shared" si="201"/>
        <v>7</v>
      </c>
      <c r="O4135" s="87"/>
    </row>
    <row r="4136" spans="1:15" ht="15.75" hidden="1" x14ac:dyDescent="0.25">
      <c r="A4136" s="1" t="str">
        <f t="shared" si="200"/>
        <v>4548545490133MASTER CCSHOPPINGR&amp;B</v>
      </c>
      <c r="B4136" s="154">
        <v>45485</v>
      </c>
      <c r="C4136" s="154">
        <v>45490</v>
      </c>
      <c r="D4136" s="3" t="s">
        <v>4730</v>
      </c>
      <c r="E4136" s="3">
        <v>-133</v>
      </c>
      <c r="F4136" s="3">
        <v>1</v>
      </c>
      <c r="G4136" s="3">
        <f t="shared" si="202"/>
        <v>133</v>
      </c>
      <c r="H4136" s="3" t="s">
        <v>291</v>
      </c>
      <c r="I4136" s="1" t="s">
        <v>194</v>
      </c>
      <c r="J4136" s="1" t="s">
        <v>195</v>
      </c>
      <c r="K4136" s="1" t="s">
        <v>298</v>
      </c>
      <c r="L4136" s="1" t="s">
        <v>267</v>
      </c>
      <c r="M4136" s="1"/>
      <c r="N4136" s="1">
        <f t="shared" si="201"/>
        <v>7</v>
      </c>
      <c r="O4136" s="87"/>
    </row>
    <row r="4137" spans="1:15" ht="15.75" hidden="1" x14ac:dyDescent="0.25">
      <c r="A4137" s="1" t="str">
        <f t="shared" si="200"/>
        <v>454854549057MASTER CCSHOPPINGDAISO</v>
      </c>
      <c r="B4137" s="154">
        <v>45485</v>
      </c>
      <c r="C4137" s="154">
        <v>45490</v>
      </c>
      <c r="D4137" s="3" t="s">
        <v>4731</v>
      </c>
      <c r="E4137" s="3">
        <v>-57</v>
      </c>
      <c r="F4137" s="3">
        <v>1</v>
      </c>
      <c r="G4137" s="3">
        <f t="shared" si="202"/>
        <v>57</v>
      </c>
      <c r="H4137" s="3" t="s">
        <v>291</v>
      </c>
      <c r="I4137" s="1" t="s">
        <v>194</v>
      </c>
      <c r="J4137" s="1" t="s">
        <v>4385</v>
      </c>
      <c r="K4137" s="1" t="s">
        <v>298</v>
      </c>
      <c r="L4137" s="1" t="s">
        <v>267</v>
      </c>
      <c r="M4137" s="1"/>
      <c r="N4137" s="1">
        <f t="shared" si="201"/>
        <v>7</v>
      </c>
      <c r="O4137" s="87"/>
    </row>
    <row r="4138" spans="1:15" ht="15.75" hidden="1" x14ac:dyDescent="0.25">
      <c r="A4138" s="1" t="str">
        <f t="shared" si="200"/>
        <v>4548545488108MASTER CCENTERTAINMENTFUNVILLE</v>
      </c>
      <c r="B4138" s="154">
        <v>45485</v>
      </c>
      <c r="C4138" s="154">
        <v>45488</v>
      </c>
      <c r="D4138" s="3" t="s">
        <v>4732</v>
      </c>
      <c r="E4138" s="3">
        <v>-108</v>
      </c>
      <c r="F4138" s="3">
        <v>1</v>
      </c>
      <c r="G4138" s="3">
        <f t="shared" si="202"/>
        <v>108</v>
      </c>
      <c r="H4138" s="3" t="s">
        <v>291</v>
      </c>
      <c r="I4138" s="1" t="s">
        <v>2476</v>
      </c>
      <c r="J4138" s="1" t="s">
        <v>4107</v>
      </c>
      <c r="K4138" s="1" t="s">
        <v>298</v>
      </c>
      <c r="L4138" s="1" t="s">
        <v>267</v>
      </c>
      <c r="M4138" s="1"/>
      <c r="N4138" s="1">
        <f t="shared" si="201"/>
        <v>7</v>
      </c>
      <c r="O4138" s="87"/>
    </row>
    <row r="4139" spans="1:15" ht="15.75" hidden="1" x14ac:dyDescent="0.25">
      <c r="A4139" s="1" t="str">
        <f t="shared" si="200"/>
        <v>45485454885MASTER CCENTERTAINMENTFUNVILLE</v>
      </c>
      <c r="B4139" s="154">
        <v>45485</v>
      </c>
      <c r="C4139" s="154">
        <v>45488</v>
      </c>
      <c r="D4139" s="3" t="s">
        <v>4733</v>
      </c>
      <c r="E4139" s="3">
        <v>-5</v>
      </c>
      <c r="F4139" s="3">
        <v>1</v>
      </c>
      <c r="G4139" s="3">
        <f t="shared" si="202"/>
        <v>5</v>
      </c>
      <c r="H4139" s="3" t="s">
        <v>291</v>
      </c>
      <c r="I4139" s="1" t="s">
        <v>2476</v>
      </c>
      <c r="J4139" s="1" t="s">
        <v>4107</v>
      </c>
      <c r="K4139" s="1" t="s">
        <v>298</v>
      </c>
      <c r="L4139" s="1" t="s">
        <v>267</v>
      </c>
      <c r="M4139" s="1"/>
      <c r="N4139" s="1">
        <f t="shared" si="201"/>
        <v>7</v>
      </c>
      <c r="O4139" s="87"/>
    </row>
    <row r="4140" spans="1:15" ht="15.75" hidden="1" x14ac:dyDescent="0.25">
      <c r="A4140" s="1" t="str">
        <f t="shared" si="200"/>
        <v>454854548894.5MASTER CCFOODTALABAT</v>
      </c>
      <c r="B4140" s="154">
        <v>45485</v>
      </c>
      <c r="C4140" s="154">
        <v>45488</v>
      </c>
      <c r="D4140" s="3" t="s">
        <v>4734</v>
      </c>
      <c r="E4140" s="3">
        <v>-94.5</v>
      </c>
      <c r="F4140" s="3">
        <v>1</v>
      </c>
      <c r="G4140" s="3">
        <f t="shared" si="202"/>
        <v>94.5</v>
      </c>
      <c r="H4140" s="3" t="s">
        <v>291</v>
      </c>
      <c r="I4140" s="1" t="s">
        <v>10</v>
      </c>
      <c r="J4140" s="1" t="s">
        <v>865</v>
      </c>
      <c r="K4140" s="1" t="s">
        <v>298</v>
      </c>
      <c r="L4140" s="1" t="s">
        <v>267</v>
      </c>
      <c r="M4140" s="1"/>
      <c r="N4140" s="1">
        <f t="shared" si="201"/>
        <v>7</v>
      </c>
      <c r="O4140" s="87"/>
    </row>
    <row r="4141" spans="1:15" ht="15.75" hidden="1" x14ac:dyDescent="0.25">
      <c r="A4141" s="1" t="str">
        <f t="shared" si="200"/>
        <v>4548545486137MASTER CCSHOPPINGSPORTS CORNER</v>
      </c>
      <c r="B4141" s="154">
        <v>45485</v>
      </c>
      <c r="C4141" s="154">
        <v>45486</v>
      </c>
      <c r="D4141" s="3" t="s">
        <v>4735</v>
      </c>
      <c r="E4141" s="3">
        <v>-137</v>
      </c>
      <c r="F4141" s="3">
        <v>1</v>
      </c>
      <c r="G4141" s="3">
        <f t="shared" si="202"/>
        <v>137</v>
      </c>
      <c r="H4141" s="3" t="s">
        <v>291</v>
      </c>
      <c r="I4141" s="1" t="s">
        <v>194</v>
      </c>
      <c r="J4141" s="1" t="s">
        <v>4784</v>
      </c>
      <c r="K4141" s="1" t="s">
        <v>298</v>
      </c>
      <c r="L4141" s="1" t="s">
        <v>267</v>
      </c>
      <c r="M4141" s="1"/>
      <c r="N4141" s="1">
        <f t="shared" si="201"/>
        <v>7</v>
      </c>
      <c r="O4141" s="87"/>
    </row>
    <row r="4142" spans="1:15" ht="15.75" hidden="1" x14ac:dyDescent="0.25">
      <c r="A4142" s="1" t="str">
        <f t="shared" si="200"/>
        <v>454854548680MASTER CCSHOPPINGBATH&amp;BODY</v>
      </c>
      <c r="B4142" s="154">
        <v>45485</v>
      </c>
      <c r="C4142" s="154">
        <v>45486</v>
      </c>
      <c r="D4142" s="3" t="s">
        <v>4736</v>
      </c>
      <c r="E4142" s="3">
        <v>-80</v>
      </c>
      <c r="F4142" s="3">
        <v>1</v>
      </c>
      <c r="G4142" s="3">
        <f t="shared" si="202"/>
        <v>80</v>
      </c>
      <c r="H4142" s="3" t="s">
        <v>291</v>
      </c>
      <c r="I4142" s="1" t="s">
        <v>194</v>
      </c>
      <c r="J4142" s="1" t="s">
        <v>2583</v>
      </c>
      <c r="K4142" s="1" t="s">
        <v>298</v>
      </c>
      <c r="L4142" s="1" t="s">
        <v>267</v>
      </c>
      <c r="M4142" s="1"/>
      <c r="N4142" s="1">
        <f t="shared" si="201"/>
        <v>7</v>
      </c>
      <c r="O4142" s="87"/>
    </row>
    <row r="4143" spans="1:15" ht="15.75" hidden="1" x14ac:dyDescent="0.25">
      <c r="A4143" s="1" t="str">
        <f t="shared" si="200"/>
        <v>454854548658MASTER CCSHOPPINGBATH&amp;BODY</v>
      </c>
      <c r="B4143" s="154">
        <v>45485</v>
      </c>
      <c r="C4143" s="154">
        <v>45486</v>
      </c>
      <c r="D4143" s="3" t="s">
        <v>4737</v>
      </c>
      <c r="E4143" s="3">
        <v>-58</v>
      </c>
      <c r="F4143" s="3">
        <v>1</v>
      </c>
      <c r="G4143" s="3">
        <f t="shared" si="202"/>
        <v>58</v>
      </c>
      <c r="H4143" s="3" t="s">
        <v>291</v>
      </c>
      <c r="I4143" s="1" t="s">
        <v>194</v>
      </c>
      <c r="J4143" s="1" t="s">
        <v>2583</v>
      </c>
      <c r="K4143" s="1" t="s">
        <v>298</v>
      </c>
      <c r="L4143" s="1" t="s">
        <v>267</v>
      </c>
      <c r="M4143" s="1"/>
      <c r="N4143" s="1">
        <f t="shared" si="201"/>
        <v>7</v>
      </c>
      <c r="O4143" s="87"/>
    </row>
    <row r="4144" spans="1:15" ht="15.75" hidden="1" x14ac:dyDescent="0.25">
      <c r="A4144" s="1" t="str">
        <f t="shared" si="200"/>
        <v>45486454897.5MASTER CCGROCERYLULU</v>
      </c>
      <c r="B4144" s="154">
        <v>45486</v>
      </c>
      <c r="C4144" s="154">
        <v>45489</v>
      </c>
      <c r="D4144" s="3" t="s">
        <v>4738</v>
      </c>
      <c r="E4144" s="3">
        <v>-7.5</v>
      </c>
      <c r="F4144" s="3">
        <v>1</v>
      </c>
      <c r="G4144" s="3">
        <f t="shared" si="202"/>
        <v>7.5</v>
      </c>
      <c r="H4144" s="3" t="s">
        <v>291</v>
      </c>
      <c r="I4144" s="1" t="s">
        <v>43</v>
      </c>
      <c r="J4144" s="1" t="s">
        <v>44</v>
      </c>
      <c r="K4144" s="1" t="s">
        <v>298</v>
      </c>
      <c r="L4144" s="1" t="s">
        <v>267</v>
      </c>
      <c r="M4144" s="1"/>
      <c r="N4144" s="1">
        <f t="shared" si="201"/>
        <v>7</v>
      </c>
      <c r="O4144" s="87"/>
    </row>
    <row r="4145" spans="1:15" ht="15.75" hidden="1" x14ac:dyDescent="0.25">
      <c r="A4145" s="1" t="str">
        <f t="shared" si="200"/>
        <v>454864548912MASTER CCGROCERYLULU</v>
      </c>
      <c r="B4145" s="154">
        <v>45486</v>
      </c>
      <c r="C4145" s="154">
        <v>45489</v>
      </c>
      <c r="D4145" s="3" t="s">
        <v>4739</v>
      </c>
      <c r="E4145" s="3">
        <v>-12</v>
      </c>
      <c r="F4145" s="3">
        <v>1</v>
      </c>
      <c r="G4145" s="3">
        <f t="shared" si="202"/>
        <v>12</v>
      </c>
      <c r="H4145" s="3" t="s">
        <v>291</v>
      </c>
      <c r="I4145" s="1" t="s">
        <v>43</v>
      </c>
      <c r="J4145" s="1" t="s">
        <v>44</v>
      </c>
      <c r="K4145" s="1" t="s">
        <v>298</v>
      </c>
      <c r="L4145" s="1" t="s">
        <v>267</v>
      </c>
      <c r="M4145" s="1"/>
      <c r="N4145" s="1">
        <f t="shared" si="201"/>
        <v>7</v>
      </c>
      <c r="O4145" s="87"/>
    </row>
    <row r="4146" spans="1:15" ht="15.75" hidden="1" x14ac:dyDescent="0.25">
      <c r="A4146" s="1" t="str">
        <f t="shared" si="200"/>
        <v>454864548845.63MASTER CCGROCERYRED ROSE</v>
      </c>
      <c r="B4146" s="154">
        <v>45486</v>
      </c>
      <c r="C4146" s="154">
        <v>45488</v>
      </c>
      <c r="D4146" s="3" t="s">
        <v>4740</v>
      </c>
      <c r="E4146" s="3">
        <v>-45.63</v>
      </c>
      <c r="F4146" s="3">
        <v>1</v>
      </c>
      <c r="G4146" s="3">
        <f t="shared" si="202"/>
        <v>45.63</v>
      </c>
      <c r="H4146" s="3" t="s">
        <v>291</v>
      </c>
      <c r="I4146" s="1" t="s">
        <v>43</v>
      </c>
      <c r="J4146" s="1" t="s">
        <v>4516</v>
      </c>
      <c r="K4146" s="1" t="s">
        <v>298</v>
      </c>
      <c r="L4146" s="1" t="s">
        <v>267</v>
      </c>
      <c r="M4146" s="1"/>
      <c r="N4146" s="1">
        <f t="shared" si="201"/>
        <v>7</v>
      </c>
      <c r="O4146" s="87"/>
    </row>
    <row r="4147" spans="1:15" ht="15.75" hidden="1" x14ac:dyDescent="0.25">
      <c r="A4147" s="1" t="str">
        <f t="shared" si="200"/>
        <v>454874548919.95MASTER CCTRANSPORTUBER</v>
      </c>
      <c r="B4147" s="154">
        <v>45487</v>
      </c>
      <c r="C4147" s="154">
        <v>45489</v>
      </c>
      <c r="D4147" s="3" t="s">
        <v>4741</v>
      </c>
      <c r="E4147" s="3">
        <v>-19.95</v>
      </c>
      <c r="F4147" s="3">
        <v>1</v>
      </c>
      <c r="G4147" s="3">
        <f t="shared" si="202"/>
        <v>19.95</v>
      </c>
      <c r="H4147" s="3" t="s">
        <v>291</v>
      </c>
      <c r="I4147" s="1" t="s">
        <v>296</v>
      </c>
      <c r="J4147" s="1" t="s">
        <v>299</v>
      </c>
      <c r="K4147" s="1" t="s">
        <v>298</v>
      </c>
      <c r="L4147" s="1" t="s">
        <v>267</v>
      </c>
      <c r="M4147" s="1"/>
      <c r="N4147" s="1">
        <f t="shared" si="201"/>
        <v>7</v>
      </c>
      <c r="O4147" s="87"/>
    </row>
    <row r="4148" spans="1:15" ht="15.75" hidden="1" x14ac:dyDescent="0.25">
      <c r="A4148" s="1" t="str">
        <f t="shared" si="200"/>
        <v>454874548919.95MASTER CCTRANSPORTUBER</v>
      </c>
      <c r="B4148" s="154">
        <v>45487</v>
      </c>
      <c r="C4148" s="154">
        <v>45489</v>
      </c>
      <c r="D4148" s="3" t="s">
        <v>4742</v>
      </c>
      <c r="E4148" s="3">
        <v>-19.95</v>
      </c>
      <c r="F4148" s="3">
        <v>1</v>
      </c>
      <c r="G4148" s="3">
        <f t="shared" si="202"/>
        <v>19.95</v>
      </c>
      <c r="H4148" s="3" t="s">
        <v>291</v>
      </c>
      <c r="I4148" s="1" t="s">
        <v>296</v>
      </c>
      <c r="J4148" s="1" t="s">
        <v>299</v>
      </c>
      <c r="K4148" s="1" t="s">
        <v>298</v>
      </c>
      <c r="L4148" s="1" t="s">
        <v>267</v>
      </c>
      <c r="M4148" s="1"/>
      <c r="N4148" s="1">
        <f t="shared" si="201"/>
        <v>7</v>
      </c>
      <c r="O4148" s="87"/>
    </row>
    <row r="4149" spans="1:15" ht="15.75" hidden="1" x14ac:dyDescent="0.25">
      <c r="A4149" s="1" t="str">
        <f t="shared" si="200"/>
        <v>454874548950.5MASTER CCFOODSNOONU</v>
      </c>
      <c r="B4149" s="154">
        <v>45487</v>
      </c>
      <c r="C4149" s="154">
        <v>45489</v>
      </c>
      <c r="D4149" s="3" t="s">
        <v>4743</v>
      </c>
      <c r="E4149" s="3">
        <v>-50.5</v>
      </c>
      <c r="F4149" s="3">
        <v>1</v>
      </c>
      <c r="G4149" s="3">
        <f t="shared" si="202"/>
        <v>50.5</v>
      </c>
      <c r="H4149" s="3" t="s">
        <v>291</v>
      </c>
      <c r="I4149" s="1" t="s">
        <v>10</v>
      </c>
      <c r="J4149" s="1" t="s">
        <v>4780</v>
      </c>
      <c r="K4149" s="1" t="s">
        <v>298</v>
      </c>
      <c r="L4149" s="1" t="s">
        <v>267</v>
      </c>
      <c r="M4149" s="1"/>
      <c r="N4149" s="1">
        <f t="shared" si="201"/>
        <v>7</v>
      </c>
      <c r="O4149" s="87"/>
    </row>
    <row r="4150" spans="1:15" ht="15.75" hidden="1" x14ac:dyDescent="0.25">
      <c r="A4150" s="1" t="str">
        <f t="shared" si="200"/>
        <v>45488454880.07MASTER CCTRANSPORTUBER</v>
      </c>
      <c r="B4150" s="154">
        <v>45488</v>
      </c>
      <c r="C4150" s="154">
        <f>B4150</f>
        <v>45488</v>
      </c>
      <c r="D4150" s="3" t="s">
        <v>4744</v>
      </c>
      <c r="E4150" s="3">
        <v>-7.0000000000000007E-2</v>
      </c>
      <c r="F4150" s="3">
        <v>1</v>
      </c>
      <c r="G4150" s="3">
        <f t="shared" si="202"/>
        <v>7.0000000000000007E-2</v>
      </c>
      <c r="H4150" s="3" t="s">
        <v>291</v>
      </c>
      <c r="I4150" s="1" t="s">
        <v>296</v>
      </c>
      <c r="J4150" s="1" t="s">
        <v>299</v>
      </c>
      <c r="K4150" s="1" t="s">
        <v>298</v>
      </c>
      <c r="L4150" s="1" t="s">
        <v>267</v>
      </c>
      <c r="M4150" s="1"/>
      <c r="N4150" s="1">
        <f t="shared" si="201"/>
        <v>7</v>
      </c>
      <c r="O4150" s="87"/>
    </row>
    <row r="4151" spans="1:15" ht="15.75" hidden="1" x14ac:dyDescent="0.25">
      <c r="A4151" s="1" t="str">
        <f t="shared" si="200"/>
        <v>454884549018.97MASTER CCTRANSPORTUBER</v>
      </c>
      <c r="B4151" s="154">
        <v>45488</v>
      </c>
      <c r="C4151" s="154">
        <v>45490</v>
      </c>
      <c r="D4151" s="3" t="s">
        <v>4745</v>
      </c>
      <c r="E4151" s="3">
        <v>-18.97</v>
      </c>
      <c r="F4151" s="3">
        <v>1</v>
      </c>
      <c r="G4151" s="3">
        <f t="shared" si="202"/>
        <v>18.97</v>
      </c>
      <c r="H4151" s="3" t="s">
        <v>291</v>
      </c>
      <c r="I4151" s="1" t="s">
        <v>296</v>
      </c>
      <c r="J4151" s="1" t="s">
        <v>299</v>
      </c>
      <c r="K4151" s="1" t="s">
        <v>298</v>
      </c>
      <c r="L4151" s="1" t="s">
        <v>267</v>
      </c>
      <c r="M4151" s="1"/>
      <c r="N4151" s="1">
        <f t="shared" si="201"/>
        <v>7</v>
      </c>
      <c r="O4151" s="87"/>
    </row>
    <row r="4152" spans="1:15" ht="15.75" hidden="1" x14ac:dyDescent="0.25">
      <c r="A4152" s="1" t="str">
        <f t="shared" si="200"/>
        <v>454884549019.9MASTER CCTRANSPORTUBER</v>
      </c>
      <c r="B4152" s="154">
        <v>45488</v>
      </c>
      <c r="C4152" s="154">
        <v>45490</v>
      </c>
      <c r="D4152" s="3" t="s">
        <v>4746</v>
      </c>
      <c r="E4152" s="3">
        <v>-19.899999999999999</v>
      </c>
      <c r="F4152" s="3">
        <v>1</v>
      </c>
      <c r="G4152" s="3">
        <f t="shared" si="202"/>
        <v>19.899999999999999</v>
      </c>
      <c r="H4152" s="3" t="s">
        <v>291</v>
      </c>
      <c r="I4152" s="1" t="s">
        <v>296</v>
      </c>
      <c r="J4152" s="1" t="s">
        <v>299</v>
      </c>
      <c r="K4152" s="1" t="s">
        <v>298</v>
      </c>
      <c r="L4152" s="1" t="s">
        <v>267</v>
      </c>
      <c r="M4152" s="1"/>
      <c r="N4152" s="1">
        <f t="shared" si="201"/>
        <v>7</v>
      </c>
      <c r="O4152" s="87"/>
    </row>
    <row r="4153" spans="1:15" ht="15.75" hidden="1" x14ac:dyDescent="0.25">
      <c r="A4153" s="1" t="str">
        <f t="shared" si="200"/>
        <v>454884549046.58MASTER CCGROCERYMANGO</v>
      </c>
      <c r="B4153" s="154">
        <v>45488</v>
      </c>
      <c r="C4153" s="154">
        <v>45490</v>
      </c>
      <c r="D4153" s="3" t="s">
        <v>4747</v>
      </c>
      <c r="E4153" s="3">
        <v>-46.58</v>
      </c>
      <c r="F4153" s="3">
        <v>1</v>
      </c>
      <c r="G4153" s="3">
        <f t="shared" si="202"/>
        <v>46.58</v>
      </c>
      <c r="H4153" s="3" t="s">
        <v>291</v>
      </c>
      <c r="I4153" s="1" t="s">
        <v>43</v>
      </c>
      <c r="J4153" s="1" t="s">
        <v>3634</v>
      </c>
      <c r="K4153" s="1" t="s">
        <v>298</v>
      </c>
      <c r="L4153" s="1" t="s">
        <v>267</v>
      </c>
      <c r="M4153" s="1"/>
      <c r="N4153" s="1">
        <f t="shared" si="201"/>
        <v>7</v>
      </c>
      <c r="O4153" s="87"/>
    </row>
    <row r="4154" spans="1:15" ht="15.75" hidden="1" x14ac:dyDescent="0.25">
      <c r="A4154" s="1" t="str">
        <f t="shared" si="200"/>
        <v>454894549128.95MASTER CCTRANSPORTUBER</v>
      </c>
      <c r="B4154" s="154">
        <v>45489</v>
      </c>
      <c r="C4154" s="154">
        <v>45491</v>
      </c>
      <c r="D4154" s="3" t="s">
        <v>4748</v>
      </c>
      <c r="E4154" s="3">
        <v>-28.95</v>
      </c>
      <c r="F4154" s="3">
        <v>1</v>
      </c>
      <c r="G4154" s="3">
        <f t="shared" si="202"/>
        <v>28.95</v>
      </c>
      <c r="H4154" s="3" t="s">
        <v>291</v>
      </c>
      <c r="I4154" s="1" t="s">
        <v>296</v>
      </c>
      <c r="J4154" s="1" t="s">
        <v>299</v>
      </c>
      <c r="K4154" s="1" t="s">
        <v>298</v>
      </c>
      <c r="L4154" s="1" t="s">
        <v>267</v>
      </c>
      <c r="M4154" s="1"/>
      <c r="N4154" s="1">
        <f t="shared" si="201"/>
        <v>7</v>
      </c>
      <c r="O4154" s="87"/>
    </row>
    <row r="4155" spans="1:15" ht="15.75" hidden="1" x14ac:dyDescent="0.25">
      <c r="A4155" s="1" t="str">
        <f t="shared" si="200"/>
        <v>454894549119.92MASTER CCTRANSPORTUBER</v>
      </c>
      <c r="B4155" s="154">
        <v>45489</v>
      </c>
      <c r="C4155" s="154">
        <v>45491</v>
      </c>
      <c r="D4155" s="3" t="s">
        <v>4749</v>
      </c>
      <c r="E4155" s="3">
        <v>-19.920000000000002</v>
      </c>
      <c r="F4155" s="3">
        <v>1</v>
      </c>
      <c r="G4155" s="3">
        <f t="shared" si="202"/>
        <v>19.920000000000002</v>
      </c>
      <c r="H4155" s="3" t="s">
        <v>291</v>
      </c>
      <c r="I4155" s="1" t="s">
        <v>296</v>
      </c>
      <c r="J4155" s="1" t="s">
        <v>299</v>
      </c>
      <c r="K4155" s="1" t="s">
        <v>298</v>
      </c>
      <c r="L4155" s="1" t="s">
        <v>267</v>
      </c>
      <c r="M4155" s="1"/>
      <c r="N4155" s="1">
        <f t="shared" si="201"/>
        <v>7</v>
      </c>
      <c r="O4155" s="87"/>
    </row>
    <row r="4156" spans="1:15" ht="15.75" hidden="1" x14ac:dyDescent="0.25">
      <c r="A4156" s="1" t="str">
        <f t="shared" si="200"/>
        <v>454894549116MASTER CCFOODCAFÉ/REST.</v>
      </c>
      <c r="B4156" s="154">
        <v>45489</v>
      </c>
      <c r="C4156" s="154">
        <v>45491</v>
      </c>
      <c r="D4156" s="3" t="s">
        <v>4750</v>
      </c>
      <c r="E4156" s="3">
        <v>-16</v>
      </c>
      <c r="F4156" s="3">
        <v>1</v>
      </c>
      <c r="G4156" s="3">
        <f t="shared" si="202"/>
        <v>16</v>
      </c>
      <c r="H4156" s="3" t="s">
        <v>291</v>
      </c>
      <c r="I4156" s="1" t="s">
        <v>10</v>
      </c>
      <c r="J4156" s="1" t="s">
        <v>11</v>
      </c>
      <c r="K4156" s="1" t="s">
        <v>298</v>
      </c>
      <c r="L4156" s="1" t="s">
        <v>267</v>
      </c>
      <c r="M4156" s="1"/>
      <c r="N4156" s="1">
        <f t="shared" si="201"/>
        <v>7</v>
      </c>
      <c r="O4156" s="87"/>
    </row>
    <row r="4157" spans="1:15" ht="15.75" hidden="1" x14ac:dyDescent="0.25">
      <c r="A4157" s="1" t="str">
        <f t="shared" si="200"/>
        <v>4548945491216MASTER CCPERSONAL CAREUJALA</v>
      </c>
      <c r="B4157" s="154">
        <v>45489</v>
      </c>
      <c r="C4157" s="154">
        <v>45491</v>
      </c>
      <c r="D4157" s="3" t="s">
        <v>4751</v>
      </c>
      <c r="E4157" s="3">
        <v>-216</v>
      </c>
      <c r="F4157" s="3">
        <v>1</v>
      </c>
      <c r="G4157" s="3">
        <f t="shared" si="202"/>
        <v>216</v>
      </c>
      <c r="H4157" s="3" t="s">
        <v>291</v>
      </c>
      <c r="I4157" s="1" t="s">
        <v>4671</v>
      </c>
      <c r="J4157" s="1" t="s">
        <v>4783</v>
      </c>
      <c r="K4157" s="1" t="s">
        <v>298</v>
      </c>
      <c r="L4157" s="1" t="s">
        <v>267</v>
      </c>
      <c r="M4157" s="1"/>
      <c r="N4157" s="1">
        <f t="shared" si="201"/>
        <v>7</v>
      </c>
      <c r="O4157" s="87"/>
    </row>
    <row r="4158" spans="1:15" ht="15.75" x14ac:dyDescent="0.25">
      <c r="A4158" s="1" t="str">
        <f t="shared" si="200"/>
        <v>4548945491736MASTER CCGOLDKALYAN</v>
      </c>
      <c r="B4158" s="154">
        <v>45489</v>
      </c>
      <c r="C4158" s="154">
        <v>45491</v>
      </c>
      <c r="D4158" s="3" t="s">
        <v>4752</v>
      </c>
      <c r="E4158" s="3">
        <v>-736</v>
      </c>
      <c r="F4158" s="3">
        <v>1</v>
      </c>
      <c r="G4158" s="3">
        <f t="shared" si="202"/>
        <v>736</v>
      </c>
      <c r="H4158" s="3" t="s">
        <v>291</v>
      </c>
      <c r="I4158" s="1" t="s">
        <v>106</v>
      </c>
      <c r="J4158" s="1" t="s">
        <v>173</v>
      </c>
      <c r="K4158" s="1" t="s">
        <v>298</v>
      </c>
      <c r="L4158" s="1" t="s">
        <v>267</v>
      </c>
      <c r="M4158" s="1"/>
      <c r="N4158" s="1">
        <f t="shared" si="201"/>
        <v>7</v>
      </c>
      <c r="O4158" s="87"/>
    </row>
    <row r="4159" spans="1:15" ht="15.75" hidden="1" x14ac:dyDescent="0.25">
      <c r="A4159" s="1" t="str">
        <f t="shared" si="200"/>
        <v>454904549356MASTER CCGROCERYLULU</v>
      </c>
      <c r="B4159" s="154">
        <v>45490</v>
      </c>
      <c r="C4159" s="154">
        <v>45493</v>
      </c>
      <c r="D4159" s="3" t="s">
        <v>4753</v>
      </c>
      <c r="E4159" s="3">
        <v>-56</v>
      </c>
      <c r="F4159" s="3">
        <v>1</v>
      </c>
      <c r="G4159" s="3">
        <f t="shared" si="202"/>
        <v>56</v>
      </c>
      <c r="H4159" s="3" t="s">
        <v>291</v>
      </c>
      <c r="I4159" s="1" t="s">
        <v>43</v>
      </c>
      <c r="J4159" s="1" t="s">
        <v>44</v>
      </c>
      <c r="K4159" s="1" t="s">
        <v>298</v>
      </c>
      <c r="L4159" s="1" t="s">
        <v>267</v>
      </c>
      <c r="M4159" s="1"/>
      <c r="N4159" s="1">
        <f t="shared" si="201"/>
        <v>7</v>
      </c>
      <c r="O4159" s="87"/>
    </row>
    <row r="4160" spans="1:15" ht="15.75" hidden="1" x14ac:dyDescent="0.25">
      <c r="A4160" s="1" t="str">
        <f t="shared" si="200"/>
        <v>4549045493230MASTER CCCAKELULU</v>
      </c>
      <c r="B4160" s="154">
        <v>45490</v>
      </c>
      <c r="C4160" s="154">
        <v>45493</v>
      </c>
      <c r="D4160" s="3" t="s">
        <v>4754</v>
      </c>
      <c r="E4160" s="3">
        <v>-230</v>
      </c>
      <c r="F4160" s="3">
        <v>1</v>
      </c>
      <c r="G4160" s="3">
        <f t="shared" si="202"/>
        <v>230</v>
      </c>
      <c r="H4160" s="3" t="s">
        <v>291</v>
      </c>
      <c r="I4160" s="1" t="s">
        <v>4778</v>
      </c>
      <c r="J4160" s="1" t="s">
        <v>44</v>
      </c>
      <c r="K4160" s="1" t="s">
        <v>298</v>
      </c>
      <c r="L4160" s="1" t="s">
        <v>267</v>
      </c>
      <c r="M4160" s="1"/>
      <c r="N4160" s="1">
        <f t="shared" si="201"/>
        <v>7</v>
      </c>
      <c r="O4160" s="87" t="s">
        <v>4777</v>
      </c>
    </row>
    <row r="4161" spans="1:15" ht="15.75" hidden="1" x14ac:dyDescent="0.25">
      <c r="A4161" s="1" t="str">
        <f t="shared" si="200"/>
        <v>454904549226.29MASTER CCGROCERYMANGO</v>
      </c>
      <c r="B4161" s="154">
        <v>45490</v>
      </c>
      <c r="C4161" s="154">
        <v>45492</v>
      </c>
      <c r="D4161" s="3" t="s">
        <v>4755</v>
      </c>
      <c r="E4161" s="3">
        <v>-26.29</v>
      </c>
      <c r="F4161" s="3">
        <v>1</v>
      </c>
      <c r="G4161" s="3">
        <f t="shared" si="202"/>
        <v>26.29</v>
      </c>
      <c r="H4161" s="3" t="s">
        <v>291</v>
      </c>
      <c r="I4161" s="1" t="s">
        <v>43</v>
      </c>
      <c r="J4161" s="1" t="s">
        <v>3634</v>
      </c>
      <c r="K4161" s="1" t="s">
        <v>298</v>
      </c>
      <c r="L4161" s="1" t="s">
        <v>267</v>
      </c>
      <c r="M4161" s="1"/>
      <c r="N4161" s="1">
        <f t="shared" si="201"/>
        <v>7</v>
      </c>
      <c r="O4161" s="87"/>
    </row>
    <row r="4162" spans="1:15" ht="15.75" hidden="1" x14ac:dyDescent="0.25">
      <c r="A4162" s="1" t="str">
        <f t="shared" ref="A4162:A4182" si="203">B4162&amp;C4162&amp;G4162&amp;H4162&amp;I4162&amp;J4162</f>
        <v>45490454901800CURRENTFOODROTI BOTI</v>
      </c>
      <c r="B4162" s="154">
        <v>45490</v>
      </c>
      <c r="C4162" s="154">
        <v>45490</v>
      </c>
      <c r="D4162" s="3" t="s">
        <v>4772</v>
      </c>
      <c r="E4162" s="3">
        <v>-1800</v>
      </c>
      <c r="F4162" s="3">
        <v>1</v>
      </c>
      <c r="G4162" s="3">
        <f t="shared" si="202"/>
        <v>1800</v>
      </c>
      <c r="H4162" s="3" t="s">
        <v>293</v>
      </c>
      <c r="I4162" s="1" t="s">
        <v>10</v>
      </c>
      <c r="J4162" s="1" t="s">
        <v>4779</v>
      </c>
      <c r="K4162" s="1" t="s">
        <v>298</v>
      </c>
      <c r="L4162" s="1" t="s">
        <v>257</v>
      </c>
      <c r="M4162" s="1"/>
      <c r="N4162" s="1">
        <f t="shared" ref="N4162:N4182" si="204">MONTH(C4162)</f>
        <v>7</v>
      </c>
      <c r="O4162" s="87" t="s">
        <v>4777</v>
      </c>
    </row>
    <row r="4163" spans="1:15" ht="15.75" hidden="1" x14ac:dyDescent="0.25">
      <c r="A4163" s="1" t="str">
        <f t="shared" si="203"/>
        <v>454914549630MASTER CCMEDICALHEALTH CENTER</v>
      </c>
      <c r="B4163" s="154">
        <v>45491</v>
      </c>
      <c r="C4163" s="154">
        <v>45496</v>
      </c>
      <c r="D4163" s="3" t="s">
        <v>4756</v>
      </c>
      <c r="E4163" s="3">
        <v>-30</v>
      </c>
      <c r="F4163" s="3">
        <v>1</v>
      </c>
      <c r="G4163" s="3">
        <f t="shared" si="202"/>
        <v>30</v>
      </c>
      <c r="H4163" s="3" t="s">
        <v>291</v>
      </c>
      <c r="I4163" s="1" t="s">
        <v>301</v>
      </c>
      <c r="J4163" s="1" t="s">
        <v>159</v>
      </c>
      <c r="K4163" s="1" t="s">
        <v>298</v>
      </c>
      <c r="L4163" s="1" t="s">
        <v>267</v>
      </c>
      <c r="M4163" s="1"/>
      <c r="N4163" s="1">
        <f t="shared" si="204"/>
        <v>7</v>
      </c>
      <c r="O4163" s="87"/>
    </row>
    <row r="4164" spans="1:15" ht="15.75" hidden="1" x14ac:dyDescent="0.25">
      <c r="A4164" s="1" t="str">
        <f t="shared" si="203"/>
        <v>454914549659.3MASTER CCGROCERYMANGO</v>
      </c>
      <c r="B4164" s="154">
        <v>45491</v>
      </c>
      <c r="C4164" s="154">
        <v>45496</v>
      </c>
      <c r="D4164" s="3" t="s">
        <v>4757</v>
      </c>
      <c r="E4164" s="3">
        <v>-59.3</v>
      </c>
      <c r="F4164" s="3">
        <v>1</v>
      </c>
      <c r="G4164" s="3">
        <f t="shared" si="202"/>
        <v>59.3</v>
      </c>
      <c r="H4164" s="3" t="s">
        <v>291</v>
      </c>
      <c r="I4164" s="1" t="s">
        <v>43</v>
      </c>
      <c r="J4164" s="1" t="s">
        <v>3634</v>
      </c>
      <c r="K4164" s="1" t="s">
        <v>298</v>
      </c>
      <c r="L4164" s="1" t="s">
        <v>267</v>
      </c>
      <c r="M4164" s="1"/>
      <c r="N4164" s="1">
        <f t="shared" si="204"/>
        <v>7</v>
      </c>
      <c r="O4164" s="87"/>
    </row>
    <row r="4165" spans="1:15" ht="15.75" hidden="1" x14ac:dyDescent="0.25">
      <c r="A4165" s="1" t="str">
        <f t="shared" si="203"/>
        <v>454914549323.54MASTER CCTRANSPORTUBER</v>
      </c>
      <c r="B4165" s="154">
        <v>45491</v>
      </c>
      <c r="C4165" s="154">
        <v>45493</v>
      </c>
      <c r="D4165" s="3" t="s">
        <v>4758</v>
      </c>
      <c r="E4165" s="3">
        <v>-23.54</v>
      </c>
      <c r="F4165" s="3">
        <v>1</v>
      </c>
      <c r="G4165" s="3">
        <f t="shared" si="202"/>
        <v>23.54</v>
      </c>
      <c r="H4165" s="3" t="s">
        <v>291</v>
      </c>
      <c r="I4165" s="1" t="s">
        <v>296</v>
      </c>
      <c r="J4165" s="1" t="s">
        <v>299</v>
      </c>
      <c r="K4165" s="1" t="s">
        <v>298</v>
      </c>
      <c r="L4165" s="1" t="s">
        <v>267</v>
      </c>
      <c r="M4165" s="1"/>
      <c r="N4165" s="1">
        <f t="shared" si="204"/>
        <v>7</v>
      </c>
      <c r="O4165" s="87"/>
    </row>
    <row r="4166" spans="1:15" ht="15.75" hidden="1" x14ac:dyDescent="0.25">
      <c r="A4166" s="1" t="str">
        <f t="shared" si="203"/>
        <v>4549245496260MASTER CCTELECOMOOREDOO</v>
      </c>
      <c r="B4166" s="154">
        <v>45492</v>
      </c>
      <c r="C4166" s="154">
        <v>45496</v>
      </c>
      <c r="D4166" s="3" t="s">
        <v>4759</v>
      </c>
      <c r="E4166" s="3">
        <v>-260</v>
      </c>
      <c r="F4166" s="3">
        <v>1</v>
      </c>
      <c r="G4166" s="3">
        <f t="shared" si="202"/>
        <v>260</v>
      </c>
      <c r="H4166" s="3" t="s">
        <v>291</v>
      </c>
      <c r="I4166" s="1" t="s">
        <v>58</v>
      </c>
      <c r="J4166" s="1" t="s">
        <v>59</v>
      </c>
      <c r="K4166" s="1" t="s">
        <v>298</v>
      </c>
      <c r="L4166" s="1" t="s">
        <v>267</v>
      </c>
      <c r="M4166" s="1"/>
      <c r="N4166" s="1">
        <f t="shared" si="204"/>
        <v>7</v>
      </c>
      <c r="O4166" s="87"/>
    </row>
    <row r="4167" spans="1:15" ht="15.75" hidden="1" x14ac:dyDescent="0.25">
      <c r="A4167" s="1" t="str">
        <f t="shared" si="203"/>
        <v>454924549647.25MASTER CCGROCERYCARREFOUR</v>
      </c>
      <c r="B4167" s="154">
        <v>45492</v>
      </c>
      <c r="C4167" s="154">
        <v>45496</v>
      </c>
      <c r="D4167" s="3" t="s">
        <v>4760</v>
      </c>
      <c r="E4167" s="3">
        <v>-47.25</v>
      </c>
      <c r="F4167" s="3">
        <v>1</v>
      </c>
      <c r="G4167" s="3">
        <f t="shared" si="202"/>
        <v>47.25</v>
      </c>
      <c r="H4167" s="3" t="s">
        <v>291</v>
      </c>
      <c r="I4167" s="1" t="s">
        <v>43</v>
      </c>
      <c r="J4167" s="1" t="s">
        <v>67</v>
      </c>
      <c r="K4167" s="1" t="s">
        <v>298</v>
      </c>
      <c r="L4167" s="1" t="s">
        <v>267</v>
      </c>
      <c r="M4167" s="1"/>
      <c r="N4167" s="1">
        <f t="shared" si="204"/>
        <v>7</v>
      </c>
      <c r="O4167" s="87"/>
    </row>
    <row r="4168" spans="1:15" ht="15.75" hidden="1" x14ac:dyDescent="0.25">
      <c r="A4168" s="1" t="str">
        <f t="shared" si="203"/>
        <v>454924549630MASTER CCGROCERYCARREFOUR</v>
      </c>
      <c r="B4168" s="154">
        <v>45492</v>
      </c>
      <c r="C4168" s="154">
        <v>45496</v>
      </c>
      <c r="D4168" s="3" t="s">
        <v>4761</v>
      </c>
      <c r="E4168" s="3">
        <v>-30</v>
      </c>
      <c r="F4168" s="3">
        <v>1</v>
      </c>
      <c r="G4168" s="3">
        <f t="shared" si="202"/>
        <v>30</v>
      </c>
      <c r="H4168" s="3" t="s">
        <v>291</v>
      </c>
      <c r="I4168" s="1" t="s">
        <v>43</v>
      </c>
      <c r="J4168" s="1" t="s">
        <v>67</v>
      </c>
      <c r="K4168" s="1" t="s">
        <v>298</v>
      </c>
      <c r="L4168" s="1" t="s">
        <v>267</v>
      </c>
      <c r="M4168" s="1"/>
      <c r="N4168" s="1">
        <f t="shared" si="204"/>
        <v>7</v>
      </c>
      <c r="O4168" s="87"/>
    </row>
    <row r="4169" spans="1:15" ht="15.75" hidden="1" x14ac:dyDescent="0.25">
      <c r="A4169" s="1" t="str">
        <f t="shared" si="203"/>
        <v>454924549670MASTER CCENTERTAINMENTINFLATE</v>
      </c>
      <c r="B4169" s="154">
        <v>45492</v>
      </c>
      <c r="C4169" s="154">
        <v>45496</v>
      </c>
      <c r="D4169" s="3" t="s">
        <v>4762</v>
      </c>
      <c r="E4169" s="3">
        <v>-70</v>
      </c>
      <c r="F4169" s="3">
        <v>1</v>
      </c>
      <c r="G4169" s="3">
        <f t="shared" si="202"/>
        <v>70</v>
      </c>
      <c r="H4169" s="3" t="s">
        <v>291</v>
      </c>
      <c r="I4169" s="1" t="s">
        <v>2476</v>
      </c>
      <c r="J4169" s="1" t="s">
        <v>4782</v>
      </c>
      <c r="K4169" s="1" t="s">
        <v>298</v>
      </c>
      <c r="L4169" s="1" t="s">
        <v>267</v>
      </c>
      <c r="M4169" s="1"/>
      <c r="N4169" s="1">
        <f t="shared" si="204"/>
        <v>7</v>
      </c>
      <c r="O4169" s="87"/>
    </row>
    <row r="4170" spans="1:15" ht="15.75" hidden="1" x14ac:dyDescent="0.25">
      <c r="A4170" s="1" t="str">
        <f t="shared" si="203"/>
        <v>454924549655MASTER CCSHOPPINGR&amp;B</v>
      </c>
      <c r="B4170" s="154">
        <v>45492</v>
      </c>
      <c r="C4170" s="154">
        <v>45496</v>
      </c>
      <c r="D4170" s="3" t="s">
        <v>4763</v>
      </c>
      <c r="E4170" s="3">
        <v>-55</v>
      </c>
      <c r="F4170" s="3">
        <v>1</v>
      </c>
      <c r="G4170" s="3">
        <f t="shared" si="202"/>
        <v>55</v>
      </c>
      <c r="H4170" s="3" t="s">
        <v>291</v>
      </c>
      <c r="I4170" s="1" t="s">
        <v>194</v>
      </c>
      <c r="J4170" s="1" t="s">
        <v>195</v>
      </c>
      <c r="K4170" s="1" t="s">
        <v>298</v>
      </c>
      <c r="L4170" s="1" t="s">
        <v>267</v>
      </c>
      <c r="M4170" s="1"/>
      <c r="N4170" s="1">
        <f t="shared" si="204"/>
        <v>7</v>
      </c>
      <c r="O4170" s="87"/>
    </row>
    <row r="4171" spans="1:15" ht="15.75" hidden="1" x14ac:dyDescent="0.25">
      <c r="A4171" s="1" t="str">
        <f t="shared" si="203"/>
        <v>4549345496121MASTER CCFOODTALABAT</v>
      </c>
      <c r="B4171" s="154">
        <v>45493</v>
      </c>
      <c r="C4171" s="154">
        <v>45496</v>
      </c>
      <c r="D4171" s="3" t="s">
        <v>4764</v>
      </c>
      <c r="E4171" s="3">
        <v>-121</v>
      </c>
      <c r="F4171" s="3">
        <v>1</v>
      </c>
      <c r="G4171" s="3">
        <f t="shared" ref="G4171:G4182" si="205">ABS(E4171)*F4171</f>
        <v>121</v>
      </c>
      <c r="H4171" s="3" t="s">
        <v>291</v>
      </c>
      <c r="I4171" s="1" t="s">
        <v>10</v>
      </c>
      <c r="J4171" s="1" t="s">
        <v>865</v>
      </c>
      <c r="K4171" s="1" t="s">
        <v>298</v>
      </c>
      <c r="L4171" s="1" t="s">
        <v>267</v>
      </c>
      <c r="M4171" s="1"/>
      <c r="N4171" s="1">
        <f t="shared" si="204"/>
        <v>7</v>
      </c>
      <c r="O4171" s="87"/>
    </row>
    <row r="4172" spans="1:15" ht="15.75" hidden="1" x14ac:dyDescent="0.25">
      <c r="A4172" s="1" t="str">
        <f t="shared" si="203"/>
        <v>454934549610.47MASTER CCGROCERYMANGO</v>
      </c>
      <c r="B4172" s="154">
        <v>45493</v>
      </c>
      <c r="C4172" s="154">
        <v>45496</v>
      </c>
      <c r="D4172" s="3" t="s">
        <v>4765</v>
      </c>
      <c r="E4172" s="3">
        <v>-10.47</v>
      </c>
      <c r="F4172" s="3">
        <v>1</v>
      </c>
      <c r="G4172" s="3">
        <f t="shared" si="205"/>
        <v>10.47</v>
      </c>
      <c r="H4172" s="3" t="s">
        <v>291</v>
      </c>
      <c r="I4172" s="1" t="s">
        <v>43</v>
      </c>
      <c r="J4172" s="1" t="s">
        <v>3634</v>
      </c>
      <c r="K4172" s="1" t="s">
        <v>298</v>
      </c>
      <c r="L4172" s="1" t="s">
        <v>267</v>
      </c>
      <c r="M4172" s="1"/>
      <c r="N4172" s="1">
        <f t="shared" si="204"/>
        <v>7</v>
      </c>
      <c r="O4172" s="87"/>
    </row>
    <row r="4173" spans="1:15" ht="15.75" hidden="1" x14ac:dyDescent="0.25">
      <c r="A4173" s="1" t="str">
        <f t="shared" si="203"/>
        <v>4549345496140MASTER CCGROCERYLULU</v>
      </c>
      <c r="B4173" s="154">
        <v>45493</v>
      </c>
      <c r="C4173" s="154">
        <v>45496</v>
      </c>
      <c r="D4173" s="3" t="s">
        <v>4766</v>
      </c>
      <c r="E4173" s="3">
        <v>-140</v>
      </c>
      <c r="F4173" s="3">
        <v>1</v>
      </c>
      <c r="G4173" s="3">
        <f t="shared" si="205"/>
        <v>140</v>
      </c>
      <c r="H4173" s="3" t="s">
        <v>291</v>
      </c>
      <c r="I4173" s="1" t="s">
        <v>43</v>
      </c>
      <c r="J4173" s="1" t="s">
        <v>44</v>
      </c>
      <c r="K4173" s="1" t="s">
        <v>298</v>
      </c>
      <c r="L4173" s="1" t="s">
        <v>267</v>
      </c>
      <c r="M4173" s="1"/>
      <c r="N4173" s="1">
        <f t="shared" si="204"/>
        <v>7</v>
      </c>
      <c r="O4173" s="87"/>
    </row>
    <row r="4174" spans="1:15" ht="15.75" hidden="1" x14ac:dyDescent="0.25">
      <c r="A4174" s="1" t="str">
        <f t="shared" si="203"/>
        <v>454934549676MASTER CCSHOPPINGLULU</v>
      </c>
      <c r="B4174" s="154">
        <v>45493</v>
      </c>
      <c r="C4174" s="154">
        <v>45496</v>
      </c>
      <c r="D4174" s="3" t="s">
        <v>4767</v>
      </c>
      <c r="E4174" s="3">
        <v>-76</v>
      </c>
      <c r="F4174" s="3">
        <v>1</v>
      </c>
      <c r="G4174" s="3">
        <f t="shared" si="205"/>
        <v>76</v>
      </c>
      <c r="H4174" s="3" t="s">
        <v>291</v>
      </c>
      <c r="I4174" s="1" t="s">
        <v>194</v>
      </c>
      <c r="J4174" s="1" t="s">
        <v>44</v>
      </c>
      <c r="K4174" s="1" t="s">
        <v>298</v>
      </c>
      <c r="L4174" s="1" t="s">
        <v>267</v>
      </c>
      <c r="M4174" s="1"/>
      <c r="N4174" s="1">
        <f t="shared" si="204"/>
        <v>7</v>
      </c>
      <c r="O4174" s="87"/>
    </row>
    <row r="4175" spans="1:15" ht="15.75" hidden="1" x14ac:dyDescent="0.25">
      <c r="A4175" s="1" t="str">
        <f t="shared" si="203"/>
        <v>454934549498MASTER CCTRANSPORTWOQOD</v>
      </c>
      <c r="B4175" s="154">
        <v>45493</v>
      </c>
      <c r="C4175" s="154">
        <v>45494</v>
      </c>
      <c r="D4175" s="3" t="s">
        <v>4768</v>
      </c>
      <c r="E4175" s="3">
        <v>-98</v>
      </c>
      <c r="F4175" s="3">
        <v>1</v>
      </c>
      <c r="G4175" s="3">
        <f t="shared" si="205"/>
        <v>98</v>
      </c>
      <c r="H4175" s="3" t="s">
        <v>291</v>
      </c>
      <c r="I4175" s="1" t="s">
        <v>296</v>
      </c>
      <c r="J4175" s="1" t="s">
        <v>1942</v>
      </c>
      <c r="K4175" s="1" t="s">
        <v>298</v>
      </c>
      <c r="L4175" s="1" t="s">
        <v>267</v>
      </c>
      <c r="M4175" s="1"/>
      <c r="N4175" s="1">
        <f t="shared" si="204"/>
        <v>7</v>
      </c>
      <c r="O4175" s="87"/>
    </row>
    <row r="4176" spans="1:15" ht="15.75" hidden="1" x14ac:dyDescent="0.25">
      <c r="A4176" s="1" t="str">
        <f t="shared" si="203"/>
        <v>4549445497115.42MASTER CCGROCERYINDIAN SUPER</v>
      </c>
      <c r="B4176" s="154">
        <v>45494</v>
      </c>
      <c r="C4176" s="154">
        <v>45497</v>
      </c>
      <c r="D4176" s="3" t="s">
        <v>4769</v>
      </c>
      <c r="E4176" s="3">
        <v>-115.42</v>
      </c>
      <c r="F4176" s="3">
        <v>1</v>
      </c>
      <c r="G4176" s="3">
        <f t="shared" si="205"/>
        <v>115.42</v>
      </c>
      <c r="H4176" s="3" t="s">
        <v>291</v>
      </c>
      <c r="I4176" s="1" t="s">
        <v>43</v>
      </c>
      <c r="J4176" s="1" t="s">
        <v>2273</v>
      </c>
      <c r="K4176" s="1" t="s">
        <v>298</v>
      </c>
      <c r="L4176" s="1" t="s">
        <v>267</v>
      </c>
      <c r="M4176" s="1"/>
      <c r="N4176" s="1">
        <f t="shared" si="204"/>
        <v>7</v>
      </c>
      <c r="O4176" s="87"/>
    </row>
    <row r="4177" spans="1:15" ht="15.75" hidden="1" x14ac:dyDescent="0.25">
      <c r="A4177" s="1" t="str">
        <f t="shared" si="203"/>
        <v>454944549648.48MASTER CCGROCERYMANGO</v>
      </c>
      <c r="B4177" s="154">
        <v>45494</v>
      </c>
      <c r="C4177" s="154">
        <v>45496</v>
      </c>
      <c r="D4177" s="3" t="s">
        <v>4770</v>
      </c>
      <c r="E4177" s="3">
        <v>-48.48</v>
      </c>
      <c r="F4177" s="3">
        <v>1</v>
      </c>
      <c r="G4177" s="3">
        <f t="shared" si="205"/>
        <v>48.48</v>
      </c>
      <c r="H4177" s="3" t="s">
        <v>291</v>
      </c>
      <c r="I4177" s="1" t="s">
        <v>43</v>
      </c>
      <c r="J4177" s="1" t="s">
        <v>3634</v>
      </c>
      <c r="K4177" s="1" t="s">
        <v>298</v>
      </c>
      <c r="L4177" s="1" t="s">
        <v>267</v>
      </c>
      <c r="M4177" s="1"/>
      <c r="N4177" s="1">
        <f t="shared" si="204"/>
        <v>7</v>
      </c>
      <c r="O4177" s="87"/>
    </row>
    <row r="4178" spans="1:15" ht="15.75" hidden="1" x14ac:dyDescent="0.25">
      <c r="A4178" s="1" t="str">
        <f t="shared" si="203"/>
        <v>454944549419CURRENTTRANSPORTPARKING</v>
      </c>
      <c r="B4178" s="154">
        <v>45494</v>
      </c>
      <c r="C4178" s="154">
        <v>45494</v>
      </c>
      <c r="D4178" s="3" t="s">
        <v>4773</v>
      </c>
      <c r="E4178" s="3">
        <v>-19</v>
      </c>
      <c r="F4178" s="3">
        <v>1</v>
      </c>
      <c r="G4178" s="3">
        <f t="shared" si="205"/>
        <v>19</v>
      </c>
      <c r="H4178" s="3" t="s">
        <v>293</v>
      </c>
      <c r="I4178" s="1" t="s">
        <v>296</v>
      </c>
      <c r="J4178" s="1" t="s">
        <v>4102</v>
      </c>
      <c r="K4178" s="1" t="s">
        <v>298</v>
      </c>
      <c r="L4178" s="1" t="s">
        <v>257</v>
      </c>
      <c r="M4178" s="1"/>
      <c r="N4178" s="1">
        <f t="shared" si="204"/>
        <v>7</v>
      </c>
      <c r="O4178" s="87"/>
    </row>
    <row r="4179" spans="1:15" ht="15.75" hidden="1" x14ac:dyDescent="0.25">
      <c r="A4179" s="1" t="str">
        <f t="shared" si="203"/>
        <v>4549445494208CURRENTSHOPPINGTHE BABY SHOP</v>
      </c>
      <c r="B4179" s="154">
        <v>45494</v>
      </c>
      <c r="C4179" s="154">
        <v>45494</v>
      </c>
      <c r="D4179" s="3" t="s">
        <v>4774</v>
      </c>
      <c r="E4179" s="3">
        <v>-208</v>
      </c>
      <c r="F4179" s="3">
        <v>1</v>
      </c>
      <c r="G4179" s="3">
        <f t="shared" si="205"/>
        <v>208</v>
      </c>
      <c r="H4179" s="3" t="s">
        <v>293</v>
      </c>
      <c r="I4179" s="1" t="s">
        <v>194</v>
      </c>
      <c r="J4179" s="1" t="s">
        <v>4781</v>
      </c>
      <c r="K4179" s="1" t="s">
        <v>298</v>
      </c>
      <c r="L4179" s="1" t="s">
        <v>257</v>
      </c>
      <c r="M4179" s="1"/>
      <c r="N4179" s="1">
        <f t="shared" si="204"/>
        <v>7</v>
      </c>
      <c r="O4179" s="87"/>
    </row>
    <row r="4180" spans="1:15" ht="15.75" hidden="1" x14ac:dyDescent="0.25">
      <c r="A4180" s="1" t="str">
        <f t="shared" si="203"/>
        <v>454984549812MASTER CCFOODCAFÉ/REST.</v>
      </c>
      <c r="B4180" s="154">
        <v>45498</v>
      </c>
      <c r="C4180" s="154">
        <f>B4180</f>
        <v>45498</v>
      </c>
      <c r="D4180" s="3" t="s">
        <v>4771</v>
      </c>
      <c r="E4180" s="3">
        <v>-12</v>
      </c>
      <c r="F4180" s="3">
        <v>1</v>
      </c>
      <c r="G4180" s="3">
        <f t="shared" si="205"/>
        <v>12</v>
      </c>
      <c r="H4180" s="3" t="s">
        <v>291</v>
      </c>
      <c r="I4180" s="1" t="s">
        <v>10</v>
      </c>
      <c r="J4180" s="1" t="s">
        <v>11</v>
      </c>
      <c r="K4180" s="1" t="s">
        <v>298</v>
      </c>
      <c r="L4180" s="1" t="s">
        <v>267</v>
      </c>
      <c r="M4180" s="1"/>
      <c r="N4180" s="1">
        <f t="shared" si="204"/>
        <v>7</v>
      </c>
      <c r="O4180" s="87"/>
    </row>
    <row r="4181" spans="1:15" ht="15.75" hidden="1" x14ac:dyDescent="0.25">
      <c r="A4181" s="1" t="str">
        <f t="shared" si="203"/>
        <v>454984549826902CURRENTSALARYQATAR AIR</v>
      </c>
      <c r="B4181" s="154">
        <v>45498</v>
      </c>
      <c r="C4181" s="154">
        <v>45498</v>
      </c>
      <c r="D4181" s="3" t="s">
        <v>4775</v>
      </c>
      <c r="E4181" s="3">
        <v>26902</v>
      </c>
      <c r="F4181" s="3">
        <v>1</v>
      </c>
      <c r="G4181" s="3">
        <f t="shared" si="205"/>
        <v>26902</v>
      </c>
      <c r="H4181" s="3" t="s">
        <v>293</v>
      </c>
      <c r="I4181" s="1" t="s">
        <v>18</v>
      </c>
      <c r="J4181" s="1" t="s">
        <v>19</v>
      </c>
      <c r="K4181" s="1" t="s">
        <v>300</v>
      </c>
      <c r="L4181" s="1" t="s">
        <v>257</v>
      </c>
      <c r="M4181" s="1"/>
      <c r="N4181" s="1">
        <f t="shared" si="204"/>
        <v>7</v>
      </c>
      <c r="O4181" s="87"/>
    </row>
    <row r="4182" spans="1:15" ht="15.75" hidden="1" x14ac:dyDescent="0.25">
      <c r="A4182" s="1" t="str">
        <f t="shared" si="203"/>
        <v>455014550112400CURRENTEDUCATIONORYX</v>
      </c>
      <c r="B4182" s="154">
        <v>45501</v>
      </c>
      <c r="C4182" s="154">
        <v>45501</v>
      </c>
      <c r="D4182" s="3" t="s">
        <v>4776</v>
      </c>
      <c r="E4182" s="3">
        <v>-12400</v>
      </c>
      <c r="F4182" s="3">
        <v>1</v>
      </c>
      <c r="G4182" s="3">
        <f t="shared" si="205"/>
        <v>12400</v>
      </c>
      <c r="H4182" s="3" t="s">
        <v>293</v>
      </c>
      <c r="I4182" s="1" t="s">
        <v>543</v>
      </c>
      <c r="J4182" s="1" t="s">
        <v>2073</v>
      </c>
      <c r="K4182" s="1" t="s">
        <v>298</v>
      </c>
      <c r="L4182" s="1" t="s">
        <v>257</v>
      </c>
      <c r="M4182" s="1"/>
      <c r="N4182" s="1">
        <f t="shared" si="204"/>
        <v>7</v>
      </c>
      <c r="O4182" s="87"/>
    </row>
    <row r="4183" spans="1:15" x14ac:dyDescent="0.25">
      <c r="H4183" s="49"/>
      <c r="I4183" s="49"/>
    </row>
  </sheetData>
  <autoFilter ref="A1:DE4182" xr:uid="{00000000-0001-0000-0000-000000000000}">
    <filterColumn colId="8">
      <filters>
        <filter val="GOLD"/>
      </filters>
    </filterColumn>
  </autoFilter>
  <sortState xmlns:xlrd2="http://schemas.microsoft.com/office/spreadsheetml/2017/richdata2" ref="B631:G637">
    <sortCondition ref="B631:B637"/>
  </sortState>
  <conditionalFormatting sqref="A1:A1048576">
    <cfRule type="duplicateValues" dxfId="58" priority="1"/>
    <cfRule type="duplicateValues" dxfId="57" priority="5178"/>
    <cfRule type="duplicateValues" dxfId="56" priority="5179"/>
    <cfRule type="duplicateValues" dxfId="55" priority="5180"/>
    <cfRule type="duplicateValues" dxfId="54" priority="5187"/>
    <cfRule type="duplicateValues" dxfId="53" priority="5195"/>
    <cfRule type="duplicateValues" dxfId="52" priority="5196"/>
  </conditionalFormatting>
  <conditionalFormatting sqref="A4183:A1048576">
    <cfRule type="duplicateValues" dxfId="51" priority="5302"/>
  </conditionalFormatting>
  <conditionalFormatting sqref="O376">
    <cfRule type="duplicateValues" dxfId="50" priority="3116"/>
  </conditionalFormatting>
  <conditionalFormatting sqref="O377:O378">
    <cfRule type="duplicateValues" dxfId="49" priority="3112"/>
  </conditionalFormatting>
  <conditionalFormatting sqref="O379">
    <cfRule type="duplicateValues" dxfId="48" priority="3106"/>
  </conditionalFormatting>
  <conditionalFormatting sqref="O382:O385">
    <cfRule type="duplicateValues" dxfId="47" priority="3062"/>
  </conditionalFormatting>
  <conditionalFormatting sqref="O386:O388">
    <cfRule type="duplicateValues" dxfId="46" priority="3458"/>
  </conditionalFormatting>
  <conditionalFormatting sqref="O389">
    <cfRule type="duplicateValues" dxfId="45" priority="3024"/>
  </conditionalFormatting>
  <conditionalFormatting sqref="O390">
    <cfRule type="duplicateValues" dxfId="44" priority="3015"/>
  </conditionalFormatting>
  <conditionalFormatting sqref="O421">
    <cfRule type="duplicateValues" dxfId="43" priority="2630"/>
  </conditionalFormatting>
  <conditionalFormatting sqref="O426">
    <cfRule type="duplicateValues" dxfId="42" priority="2631"/>
  </conditionalFormatting>
  <conditionalFormatting sqref="P1:P1048576">
    <cfRule type="duplicateValues" dxfId="41" priority="2"/>
    <cfRule type="duplicateValues" dxfId="40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E29" sqref="E29"/>
    </sheetView>
  </sheetViews>
  <sheetFormatPr defaultRowHeight="15" x14ac:dyDescent="0.25"/>
  <cols>
    <col min="1" max="1" width="13.85546875" bestFit="1" customWidth="1"/>
    <col min="2" max="2" width="16.28515625" bestFit="1" customWidth="1"/>
    <col min="3" max="3" width="17" bestFit="1" customWidth="1"/>
    <col min="4" max="4" width="13.28515625" bestFit="1" customWidth="1"/>
    <col min="5" max="5" width="17.7109375" bestFit="1" customWidth="1"/>
    <col min="6" max="6" width="14.7109375" bestFit="1" customWidth="1"/>
    <col min="7" max="7" width="26.42578125" bestFit="1" customWidth="1"/>
  </cols>
  <sheetData>
    <row r="1" spans="1:7" x14ac:dyDescent="0.25">
      <c r="A1" s="69" t="s">
        <v>2043</v>
      </c>
      <c r="B1" s="69" t="s">
        <v>2058</v>
      </c>
      <c r="C1" s="69" t="s">
        <v>2059</v>
      </c>
      <c r="D1" s="69" t="s">
        <v>2044</v>
      </c>
      <c r="E1" s="69" t="s">
        <v>2045</v>
      </c>
      <c r="F1" s="69" t="s">
        <v>2046</v>
      </c>
      <c r="G1" s="69" t="s">
        <v>2066</v>
      </c>
    </row>
    <row r="2" spans="1:7" x14ac:dyDescent="0.25">
      <c r="A2" t="s">
        <v>3649</v>
      </c>
      <c r="B2" t="s">
        <v>2056</v>
      </c>
      <c r="C2" s="40">
        <v>44623</v>
      </c>
      <c r="D2">
        <v>11</v>
      </c>
      <c r="E2">
        <v>2763.03</v>
      </c>
      <c r="F2" t="s">
        <v>2049</v>
      </c>
      <c r="G2" t="s">
        <v>2061</v>
      </c>
    </row>
    <row r="3" spans="1:7" x14ac:dyDescent="0.25">
      <c r="A3" t="s">
        <v>3186</v>
      </c>
      <c r="B3" t="s">
        <v>3187</v>
      </c>
      <c r="C3" s="40">
        <v>44932</v>
      </c>
      <c r="D3">
        <v>19</v>
      </c>
      <c r="E3">
        <v>1669.85</v>
      </c>
      <c r="F3" t="s">
        <v>2049</v>
      </c>
      <c r="G3" t="s">
        <v>3194</v>
      </c>
    </row>
    <row r="4" spans="1:7" x14ac:dyDescent="0.25">
      <c r="A4" t="s">
        <v>2047</v>
      </c>
      <c r="B4" t="s">
        <v>2048</v>
      </c>
      <c r="C4" s="40">
        <v>44593</v>
      </c>
      <c r="D4">
        <v>50</v>
      </c>
      <c r="E4">
        <v>644.61</v>
      </c>
      <c r="F4" t="s">
        <v>2049</v>
      </c>
      <c r="G4" t="s">
        <v>2062</v>
      </c>
    </row>
    <row r="5" spans="1:7" x14ac:dyDescent="0.25">
      <c r="A5" t="s">
        <v>3188</v>
      </c>
      <c r="B5" t="s">
        <v>4115</v>
      </c>
      <c r="C5" s="40">
        <v>44932</v>
      </c>
      <c r="D5">
        <v>8</v>
      </c>
      <c r="E5">
        <v>2548.41</v>
      </c>
      <c r="F5" t="s">
        <v>2049</v>
      </c>
      <c r="G5" t="s">
        <v>2063</v>
      </c>
    </row>
    <row r="6" spans="1:7" x14ac:dyDescent="0.25">
      <c r="A6" t="s">
        <v>3189</v>
      </c>
      <c r="B6" t="s">
        <v>4116</v>
      </c>
      <c r="C6" s="40">
        <v>44932</v>
      </c>
      <c r="D6">
        <v>12</v>
      </c>
      <c r="E6">
        <v>1443.43</v>
      </c>
      <c r="F6" t="s">
        <v>2049</v>
      </c>
      <c r="G6" t="s">
        <v>2065</v>
      </c>
    </row>
    <row r="7" spans="1:7" x14ac:dyDescent="0.25">
      <c r="A7" t="s">
        <v>2050</v>
      </c>
      <c r="B7" t="s">
        <v>2051</v>
      </c>
      <c r="C7" s="40">
        <v>44593</v>
      </c>
      <c r="D7">
        <v>83</v>
      </c>
      <c r="E7">
        <v>324.41000000000003</v>
      </c>
      <c r="F7" t="s">
        <v>2049</v>
      </c>
      <c r="G7" t="s">
        <v>2063</v>
      </c>
    </row>
    <row r="8" spans="1:7" x14ac:dyDescent="0.25">
      <c r="A8" t="s">
        <v>4786</v>
      </c>
      <c r="B8" t="s">
        <v>4787</v>
      </c>
      <c r="C8" s="40">
        <v>45670</v>
      </c>
      <c r="D8">
        <v>8</v>
      </c>
      <c r="E8">
        <v>436.45</v>
      </c>
      <c r="F8" t="s">
        <v>2049</v>
      </c>
      <c r="G8" t="s">
        <v>4788</v>
      </c>
    </row>
    <row r="9" spans="1:7" x14ac:dyDescent="0.25">
      <c r="A9" t="s">
        <v>4682</v>
      </c>
      <c r="B9" t="s">
        <v>4683</v>
      </c>
      <c r="C9" s="40">
        <v>45444</v>
      </c>
      <c r="D9">
        <v>7</v>
      </c>
      <c r="E9">
        <v>4429.8</v>
      </c>
      <c r="F9" t="s">
        <v>2049</v>
      </c>
      <c r="G9" t="s">
        <v>4684</v>
      </c>
    </row>
    <row r="10" spans="1:7" x14ac:dyDescent="0.25">
      <c r="A10" t="s">
        <v>2052</v>
      </c>
      <c r="B10" t="s">
        <v>2053</v>
      </c>
      <c r="C10" s="40">
        <v>44593</v>
      </c>
      <c r="D10">
        <v>9</v>
      </c>
      <c r="E10">
        <v>525.48</v>
      </c>
      <c r="F10" t="s">
        <v>2049</v>
      </c>
      <c r="G10" t="s">
        <v>2063</v>
      </c>
    </row>
    <row r="11" spans="1:7" x14ac:dyDescent="0.25">
      <c r="A11" t="s">
        <v>3191</v>
      </c>
      <c r="B11" t="s">
        <v>4117</v>
      </c>
      <c r="C11" s="40">
        <v>44932</v>
      </c>
      <c r="D11">
        <v>5</v>
      </c>
      <c r="E11">
        <v>2413.17</v>
      </c>
      <c r="F11" t="s">
        <v>2049</v>
      </c>
      <c r="G11" t="s">
        <v>2065</v>
      </c>
    </row>
    <row r="12" spans="1:7" x14ac:dyDescent="0.25">
      <c r="A12" t="s">
        <v>3192</v>
      </c>
      <c r="B12" t="s">
        <v>4118</v>
      </c>
      <c r="C12" s="40">
        <v>44932</v>
      </c>
      <c r="D12">
        <v>7</v>
      </c>
      <c r="E12">
        <v>2741.3</v>
      </c>
      <c r="F12" t="s">
        <v>2049</v>
      </c>
      <c r="G12" t="s">
        <v>2061</v>
      </c>
    </row>
    <row r="13" spans="1:7" x14ac:dyDescent="0.25">
      <c r="A13" t="s">
        <v>2054</v>
      </c>
      <c r="B13" t="s">
        <v>2055</v>
      </c>
      <c r="C13" s="40">
        <v>44623</v>
      </c>
      <c r="D13">
        <v>19</v>
      </c>
      <c r="E13">
        <v>1290.22</v>
      </c>
      <c r="F13" t="s">
        <v>2049</v>
      </c>
      <c r="G13" t="s">
        <v>2064</v>
      </c>
    </row>
    <row r="14" spans="1:7" x14ac:dyDescent="0.25">
      <c r="A14" t="s">
        <v>3500</v>
      </c>
      <c r="B14" t="s">
        <v>3502</v>
      </c>
      <c r="C14" s="40">
        <v>45099</v>
      </c>
      <c r="D14">
        <v>7</v>
      </c>
      <c r="E14">
        <v>3405.91</v>
      </c>
      <c r="F14" t="s">
        <v>2049</v>
      </c>
      <c r="G14" t="s">
        <v>3504</v>
      </c>
    </row>
    <row r="15" spans="1:7" x14ac:dyDescent="0.25">
      <c r="A15" t="s">
        <v>3501</v>
      </c>
      <c r="B15" t="s">
        <v>3503</v>
      </c>
      <c r="C15" s="40">
        <v>45099</v>
      </c>
      <c r="D15">
        <v>5</v>
      </c>
      <c r="E15">
        <v>2875.16</v>
      </c>
      <c r="F15" t="s">
        <v>2049</v>
      </c>
      <c r="G15" t="s">
        <v>3505</v>
      </c>
    </row>
  </sheetData>
  <autoFilter ref="A1:G11" xr:uid="{00000000-0009-0000-0000-000001000000}">
    <sortState xmlns:xlrd2="http://schemas.microsoft.com/office/spreadsheetml/2017/richdata2" ref="A2:G15">
      <sortCondition ref="A1:A11"/>
    </sortState>
  </autoFilter>
  <conditionalFormatting sqref="A1:A1048576">
    <cfRule type="duplicateValues" dxfId="39" priority="1"/>
    <cfRule type="duplicateValues" dxfId="38" priority="5307"/>
  </conditionalFormatting>
  <conditionalFormatting sqref="A12:A13 A5:A7">
    <cfRule type="duplicateValues" dxfId="37" priority="5306"/>
  </conditionalFormatting>
  <conditionalFormatting sqref="B10:B11">
    <cfRule type="duplicateValues" dxfId="36" priority="3"/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20"/>
  <sheetViews>
    <sheetView workbookViewId="0">
      <selection activeCell="E29" sqref="E29"/>
    </sheetView>
  </sheetViews>
  <sheetFormatPr defaultColWidth="8.85546875" defaultRowHeight="15" x14ac:dyDescent="0.25"/>
  <cols>
    <col min="1" max="1" width="5.42578125" style="8" bestFit="1" customWidth="1"/>
    <col min="2" max="2" width="29.140625" style="58" customWidth="1"/>
    <col min="3" max="3" width="23" style="58" customWidth="1"/>
    <col min="4" max="4" width="14.42578125" style="49" bestFit="1" customWidth="1"/>
    <col min="5" max="5" width="9.5703125" style="49" bestFit="1" customWidth="1"/>
    <col min="6" max="6" width="9.7109375" style="49" customWidth="1"/>
    <col min="7" max="7" width="17.7109375" style="49" customWidth="1"/>
    <col min="8" max="9" width="9.85546875" style="8" customWidth="1"/>
    <col min="10" max="10" width="15.28515625" style="8" bestFit="1" customWidth="1"/>
    <col min="11" max="11" width="15.7109375" style="8" customWidth="1"/>
    <col min="12" max="12" width="22.140625" style="8" customWidth="1"/>
    <col min="13" max="16384" width="8.85546875" style="8"/>
  </cols>
  <sheetData>
    <row r="1" spans="1:12" x14ac:dyDescent="0.25">
      <c r="A1" s="24" t="s">
        <v>336</v>
      </c>
      <c r="B1" s="134" t="s">
        <v>337</v>
      </c>
      <c r="C1" s="134" t="s">
        <v>346</v>
      </c>
      <c r="D1" s="24" t="s">
        <v>891</v>
      </c>
      <c r="E1" s="24" t="s">
        <v>338</v>
      </c>
      <c r="F1" s="24" t="s">
        <v>339</v>
      </c>
      <c r="G1" s="24" t="s">
        <v>901</v>
      </c>
      <c r="H1" s="24" t="s">
        <v>347</v>
      </c>
      <c r="I1" s="24" t="s">
        <v>389</v>
      </c>
      <c r="J1" s="24" t="s">
        <v>348</v>
      </c>
      <c r="K1" s="24" t="s">
        <v>349</v>
      </c>
      <c r="L1" s="24" t="s">
        <v>353</v>
      </c>
    </row>
    <row r="2" spans="1:12" ht="28.9" hidden="1" customHeight="1" x14ac:dyDescent="0.25">
      <c r="A2" s="11">
        <v>1</v>
      </c>
      <c r="B2" s="98" t="s">
        <v>1205</v>
      </c>
      <c r="C2" s="135" t="s">
        <v>1174</v>
      </c>
      <c r="D2" s="25" t="s">
        <v>1176</v>
      </c>
      <c r="E2" s="62">
        <v>0</v>
      </c>
      <c r="F2" s="28" t="s">
        <v>342</v>
      </c>
      <c r="G2" s="28" t="s">
        <v>902</v>
      </c>
      <c r="H2" s="27">
        <v>44344</v>
      </c>
      <c r="I2" s="48">
        <f t="shared" ref="I2" ca="1" si="0">(TODAY()-H2)/365.25</f>
        <v>4.0246406570841886</v>
      </c>
      <c r="J2" s="86">
        <v>0</v>
      </c>
      <c r="K2" s="86">
        <f t="shared" ref="K2" si="1">J2</f>
        <v>0</v>
      </c>
      <c r="L2" s="136" t="s">
        <v>1177</v>
      </c>
    </row>
    <row r="3" spans="1:12" ht="28.9" hidden="1" customHeight="1" x14ac:dyDescent="0.25">
      <c r="A3" s="11">
        <v>2</v>
      </c>
      <c r="B3" s="145" t="s">
        <v>669</v>
      </c>
      <c r="C3" s="146" t="s">
        <v>786</v>
      </c>
      <c r="D3" s="25" t="s">
        <v>898</v>
      </c>
      <c r="E3" s="62">
        <v>0</v>
      </c>
      <c r="F3" s="147" t="s">
        <v>342</v>
      </c>
      <c r="G3" s="147" t="s">
        <v>1204</v>
      </c>
      <c r="H3" s="27">
        <v>44027</v>
      </c>
      <c r="I3" s="48">
        <f t="shared" ref="I3:I4" ca="1" si="2">(TODAY()-H3)/365.25</f>
        <v>4.8925393566050648</v>
      </c>
      <c r="J3" s="86">
        <v>0</v>
      </c>
      <c r="K3" s="86">
        <f t="shared" ref="K3" si="3">J3</f>
        <v>0</v>
      </c>
      <c r="L3" s="136" t="s">
        <v>351</v>
      </c>
    </row>
    <row r="4" spans="1:12" ht="28.9" hidden="1" customHeight="1" x14ac:dyDescent="0.25">
      <c r="A4" s="11">
        <v>3</v>
      </c>
      <c r="B4" s="119" t="s">
        <v>344</v>
      </c>
      <c r="C4" s="137" t="s">
        <v>787</v>
      </c>
      <c r="D4" s="25" t="s">
        <v>895</v>
      </c>
      <c r="E4" s="62">
        <v>0</v>
      </c>
      <c r="F4" s="26" t="s">
        <v>341</v>
      </c>
      <c r="G4" s="28" t="s">
        <v>902</v>
      </c>
      <c r="H4" s="27">
        <v>43101</v>
      </c>
      <c r="I4" s="48">
        <f t="shared" ca="1" si="2"/>
        <v>7.4277891854893907</v>
      </c>
      <c r="J4" s="85">
        <v>0</v>
      </c>
      <c r="K4" s="86">
        <f t="shared" ref="K4" si="4">J4</f>
        <v>0</v>
      </c>
      <c r="L4" s="136" t="s">
        <v>351</v>
      </c>
    </row>
    <row r="5" spans="1:12" ht="28.9" customHeight="1" x14ac:dyDescent="0.25">
      <c r="A5" s="11">
        <v>16</v>
      </c>
      <c r="B5" s="87" t="s">
        <v>3172</v>
      </c>
      <c r="C5" s="148" t="s">
        <v>3168</v>
      </c>
      <c r="D5" s="25" t="s">
        <v>3169</v>
      </c>
      <c r="E5" s="155">
        <v>82</v>
      </c>
      <c r="F5" s="147" t="s">
        <v>3170</v>
      </c>
      <c r="G5" s="147" t="s">
        <v>1204</v>
      </c>
      <c r="H5" s="27">
        <v>44935</v>
      </c>
      <c r="I5" s="48">
        <f t="shared" ref="I5:I16" ca="1" si="5">(TODAY()-H5)/365.25</f>
        <v>2.406570841889117</v>
      </c>
      <c r="J5" s="86">
        <v>33000</v>
      </c>
      <c r="K5" s="86">
        <f t="shared" ref="K5:K16" si="6">J5</f>
        <v>33000</v>
      </c>
      <c r="L5" s="11"/>
    </row>
    <row r="6" spans="1:12" ht="28.9" hidden="1" customHeight="1" x14ac:dyDescent="0.25">
      <c r="A6" s="11">
        <v>5</v>
      </c>
      <c r="B6" s="119" t="s">
        <v>343</v>
      </c>
      <c r="C6" s="137" t="s">
        <v>789</v>
      </c>
      <c r="D6" s="25" t="s">
        <v>894</v>
      </c>
      <c r="E6" s="62">
        <v>0</v>
      </c>
      <c r="F6" s="26" t="s">
        <v>342</v>
      </c>
      <c r="G6" s="28" t="s">
        <v>902</v>
      </c>
      <c r="H6" s="27">
        <v>42948</v>
      </c>
      <c r="I6" s="48">
        <f t="shared" ca="1" si="5"/>
        <v>7.8466803559206024</v>
      </c>
      <c r="J6" s="85">
        <v>0</v>
      </c>
      <c r="K6" s="86">
        <f t="shared" si="6"/>
        <v>0</v>
      </c>
      <c r="L6" s="136" t="s">
        <v>350</v>
      </c>
    </row>
    <row r="7" spans="1:12" ht="15.6" hidden="1" customHeight="1" x14ac:dyDescent="0.25">
      <c r="A7" s="11">
        <v>6</v>
      </c>
      <c r="B7" s="98" t="s">
        <v>340</v>
      </c>
      <c r="C7" s="137" t="s">
        <v>788</v>
      </c>
      <c r="D7" s="25" t="s">
        <v>892</v>
      </c>
      <c r="E7" s="62">
        <v>0</v>
      </c>
      <c r="F7" s="26" t="s">
        <v>341</v>
      </c>
      <c r="G7" s="28" t="s">
        <v>902</v>
      </c>
      <c r="H7" s="27">
        <v>43101</v>
      </c>
      <c r="I7" s="48">
        <f t="shared" ca="1" si="5"/>
        <v>7.4277891854893907</v>
      </c>
      <c r="J7" s="85">
        <v>0</v>
      </c>
      <c r="K7" s="86">
        <f t="shared" si="6"/>
        <v>0</v>
      </c>
      <c r="L7" s="136" t="s">
        <v>350</v>
      </c>
    </row>
    <row r="8" spans="1:12" ht="28.9" customHeight="1" x14ac:dyDescent="0.25">
      <c r="A8" s="11">
        <v>7</v>
      </c>
      <c r="B8" s="160" t="s">
        <v>2994</v>
      </c>
      <c r="C8" s="146" t="s">
        <v>2995</v>
      </c>
      <c r="D8" s="25" t="s">
        <v>893</v>
      </c>
      <c r="E8" s="62">
        <v>4806.7830000000004</v>
      </c>
      <c r="F8" s="26" t="s">
        <v>342</v>
      </c>
      <c r="G8" s="147" t="s">
        <v>1204</v>
      </c>
      <c r="H8" s="27">
        <v>43235</v>
      </c>
      <c r="I8" s="48">
        <f t="shared" ca="1" si="5"/>
        <v>7.0609171800136892</v>
      </c>
      <c r="J8" s="85">
        <v>170843.34</v>
      </c>
      <c r="K8" s="86">
        <f t="shared" si="6"/>
        <v>170843.34</v>
      </c>
      <c r="L8" s="136" t="s">
        <v>350</v>
      </c>
    </row>
    <row r="9" spans="1:12" ht="30" x14ac:dyDescent="0.25">
      <c r="A9" s="11">
        <v>4</v>
      </c>
      <c r="B9" s="160" t="s">
        <v>670</v>
      </c>
      <c r="C9" s="146" t="s">
        <v>790</v>
      </c>
      <c r="D9" s="25" t="s">
        <v>899</v>
      </c>
      <c r="E9" s="62">
        <v>10303.074000000001</v>
      </c>
      <c r="F9" s="147" t="s">
        <v>342</v>
      </c>
      <c r="G9" s="147" t="s">
        <v>1204</v>
      </c>
      <c r="H9" s="27">
        <v>44027</v>
      </c>
      <c r="I9" s="48">
        <f t="shared" ca="1" si="5"/>
        <v>4.8925393566050648</v>
      </c>
      <c r="J9" s="86">
        <v>145000</v>
      </c>
      <c r="K9" s="86">
        <f t="shared" si="6"/>
        <v>145000</v>
      </c>
      <c r="L9" s="136" t="s">
        <v>671</v>
      </c>
    </row>
    <row r="10" spans="1:12" ht="30" hidden="1" x14ac:dyDescent="0.25">
      <c r="A10" s="11">
        <v>9</v>
      </c>
      <c r="B10" s="98" t="s">
        <v>1381</v>
      </c>
      <c r="C10" s="138" t="s">
        <v>784</v>
      </c>
      <c r="D10" s="25" t="s">
        <v>897</v>
      </c>
      <c r="E10" s="62">
        <v>0</v>
      </c>
      <c r="F10" s="28" t="s">
        <v>342</v>
      </c>
      <c r="G10" s="28" t="s">
        <v>1204</v>
      </c>
      <c r="H10" s="27">
        <v>44027</v>
      </c>
      <c r="I10" s="48">
        <f t="shared" ca="1" si="5"/>
        <v>4.8925393566050648</v>
      </c>
      <c r="J10" s="85">
        <v>0</v>
      </c>
      <c r="K10" s="86">
        <f t="shared" si="6"/>
        <v>0</v>
      </c>
      <c r="L10" s="136" t="s">
        <v>352</v>
      </c>
    </row>
    <row r="11" spans="1:12" ht="24" customHeight="1" x14ac:dyDescent="0.25">
      <c r="A11" s="11">
        <v>8</v>
      </c>
      <c r="B11" s="150" t="s">
        <v>1380</v>
      </c>
      <c r="C11" s="151" t="s">
        <v>785</v>
      </c>
      <c r="D11" s="25" t="s">
        <v>900</v>
      </c>
      <c r="E11" s="159">
        <v>651.66200000000003</v>
      </c>
      <c r="F11" s="147" t="s">
        <v>342</v>
      </c>
      <c r="G11" s="147" t="s">
        <v>1204</v>
      </c>
      <c r="H11" s="27">
        <v>44058</v>
      </c>
      <c r="I11" s="48">
        <f t="shared" ca="1" si="5"/>
        <v>4.8076659822039698</v>
      </c>
      <c r="J11" s="86">
        <v>13000</v>
      </c>
      <c r="K11" s="86">
        <f t="shared" si="6"/>
        <v>13000</v>
      </c>
      <c r="L11" s="139" t="s">
        <v>700</v>
      </c>
    </row>
    <row r="12" spans="1:12" ht="30" x14ac:dyDescent="0.25">
      <c r="A12" s="11">
        <v>12</v>
      </c>
      <c r="B12" s="149" t="s">
        <v>345</v>
      </c>
      <c r="C12" s="146" t="s">
        <v>783</v>
      </c>
      <c r="D12" s="25" t="s">
        <v>896</v>
      </c>
      <c r="E12" s="155">
        <v>939</v>
      </c>
      <c r="F12" s="147" t="s">
        <v>342</v>
      </c>
      <c r="G12" s="147" t="s">
        <v>1204</v>
      </c>
      <c r="H12" s="27">
        <v>43344</v>
      </c>
      <c r="I12" s="48">
        <f t="shared" ca="1" si="5"/>
        <v>6.7624914442162902</v>
      </c>
      <c r="J12" s="86">
        <v>235000</v>
      </c>
      <c r="K12" s="86">
        <f t="shared" si="6"/>
        <v>235000</v>
      </c>
      <c r="L12" s="136" t="s">
        <v>352</v>
      </c>
    </row>
    <row r="13" spans="1:12" ht="15.75" x14ac:dyDescent="0.25">
      <c r="A13" s="11">
        <v>13</v>
      </c>
      <c r="B13" s="149" t="s">
        <v>1424</v>
      </c>
      <c r="C13" s="146" t="s">
        <v>1425</v>
      </c>
      <c r="D13" s="25" t="s">
        <v>1426</v>
      </c>
      <c r="E13" s="62">
        <v>1418</v>
      </c>
      <c r="F13" s="147" t="s">
        <v>342</v>
      </c>
      <c r="G13" s="147" t="s">
        <v>1204</v>
      </c>
      <c r="H13" s="27">
        <v>44454</v>
      </c>
      <c r="I13" s="48">
        <f t="shared" ca="1" si="5"/>
        <v>3.7234770704996576</v>
      </c>
      <c r="J13" s="86">
        <v>126000</v>
      </c>
      <c r="K13" s="86">
        <f t="shared" si="6"/>
        <v>126000</v>
      </c>
      <c r="L13" s="136" t="s">
        <v>1427</v>
      </c>
    </row>
    <row r="14" spans="1:12" ht="45" hidden="1" x14ac:dyDescent="0.25">
      <c r="A14" s="11">
        <v>15</v>
      </c>
      <c r="B14" s="145" t="s">
        <v>2131</v>
      </c>
      <c r="C14" s="146" t="s">
        <v>2132</v>
      </c>
      <c r="D14" s="25" t="s">
        <v>2133</v>
      </c>
      <c r="E14" s="62">
        <v>0</v>
      </c>
      <c r="F14" s="26" t="s">
        <v>342</v>
      </c>
      <c r="G14" s="147" t="s">
        <v>902</v>
      </c>
      <c r="H14" s="27">
        <v>44621</v>
      </c>
      <c r="I14" s="48">
        <f t="shared" ca="1" si="5"/>
        <v>3.2662559890485969</v>
      </c>
      <c r="J14" s="85">
        <v>0</v>
      </c>
      <c r="K14" s="86">
        <f t="shared" si="6"/>
        <v>0</v>
      </c>
      <c r="L14" s="136" t="s">
        <v>2130</v>
      </c>
    </row>
    <row r="15" spans="1:12" ht="30" x14ac:dyDescent="0.25">
      <c r="A15" s="11">
        <v>14</v>
      </c>
      <c r="B15" s="149" t="s">
        <v>1428</v>
      </c>
      <c r="C15" s="146" t="s">
        <v>1429</v>
      </c>
      <c r="D15" s="25" t="s">
        <v>1431</v>
      </c>
      <c r="E15" s="62">
        <v>521</v>
      </c>
      <c r="F15" s="147" t="s">
        <v>342</v>
      </c>
      <c r="G15" s="147" t="s">
        <v>1204</v>
      </c>
      <c r="H15" s="27">
        <v>44454</v>
      </c>
      <c r="I15" s="48">
        <f t="shared" ca="1" si="5"/>
        <v>3.7234770704996576</v>
      </c>
      <c r="J15" s="86">
        <v>67500</v>
      </c>
      <c r="K15" s="86">
        <f t="shared" si="6"/>
        <v>67500</v>
      </c>
      <c r="L15" s="139" t="s">
        <v>1430</v>
      </c>
    </row>
    <row r="16" spans="1:12" ht="45" x14ac:dyDescent="0.25">
      <c r="A16" s="11">
        <v>17</v>
      </c>
      <c r="B16" s="87" t="s">
        <v>3173</v>
      </c>
      <c r="C16" s="146" t="s">
        <v>3167</v>
      </c>
      <c r="D16" s="25" t="s">
        <v>3171</v>
      </c>
      <c r="E16" s="155">
        <v>916</v>
      </c>
      <c r="F16" s="147" t="s">
        <v>3170</v>
      </c>
      <c r="G16" s="147" t="s">
        <v>1204</v>
      </c>
      <c r="H16" s="27">
        <v>44935</v>
      </c>
      <c r="I16" s="48">
        <f t="shared" ca="1" si="5"/>
        <v>2.406570841889117</v>
      </c>
      <c r="J16" s="86">
        <v>64360</v>
      </c>
      <c r="K16" s="86">
        <f t="shared" si="6"/>
        <v>64360</v>
      </c>
      <c r="L16" s="135"/>
    </row>
    <row r="17" spans="1:11" ht="30" x14ac:dyDescent="0.25">
      <c r="A17" s="11">
        <v>18</v>
      </c>
      <c r="B17" s="87" t="s">
        <v>4119</v>
      </c>
      <c r="C17" s="163" t="s">
        <v>4119</v>
      </c>
      <c r="D17" s="162" t="s">
        <v>4517</v>
      </c>
      <c r="E17" s="155">
        <v>499.97500000000002</v>
      </c>
      <c r="F17" s="147" t="s">
        <v>3170</v>
      </c>
      <c r="G17" s="147" t="s">
        <v>1204</v>
      </c>
      <c r="H17" s="27">
        <v>45310</v>
      </c>
      <c r="I17" s="48"/>
      <c r="J17" s="86">
        <v>5000</v>
      </c>
      <c r="K17" s="86">
        <f t="shared" ref="K17" si="7">J17</f>
        <v>5000</v>
      </c>
    </row>
    <row r="18" spans="1:11" x14ac:dyDescent="0.25">
      <c r="E18" s="152"/>
      <c r="I18" s="143"/>
    </row>
    <row r="19" spans="1:11" x14ac:dyDescent="0.25">
      <c r="E19" s="152"/>
    </row>
    <row r="20" spans="1:11" x14ac:dyDescent="0.25">
      <c r="E20" s="152"/>
    </row>
  </sheetData>
  <autoFilter ref="A1:L16" xr:uid="{00000000-0009-0000-0000-000002000000}">
    <filterColumn colId="9">
      <filters>
        <filter val="1,13,274.59"/>
        <filter val="1,45,000.00"/>
        <filter val="1,70,843.34"/>
        <filter val="12,999.56"/>
        <filter val="13,000.00"/>
        <filter val="2,19,991.00"/>
        <filter val="25,998.69"/>
        <filter val="54,997.36"/>
      </filters>
    </filterColumn>
    <sortState xmlns:xlrd2="http://schemas.microsoft.com/office/spreadsheetml/2017/richdata2" ref="A5:L16">
      <sortCondition ref="B1:B16"/>
    </sortState>
  </autoFilter>
  <conditionalFormatting sqref="B1 B10:B11 B18:B1048576">
    <cfRule type="duplicateValues" dxfId="35" priority="2746"/>
  </conditionalFormatting>
  <conditionalFormatting sqref="B15:B17">
    <cfRule type="duplicateValues" dxfId="34" priority="5"/>
    <cfRule type="duplicateValues" dxfId="33" priority="6"/>
    <cfRule type="duplicateValues" dxfId="32" priority="7"/>
    <cfRule type="duplicateValues" dxfId="31" priority="8"/>
  </conditionalFormatting>
  <conditionalFormatting sqref="C17">
    <cfRule type="duplicateValues" dxfId="30" priority="1"/>
    <cfRule type="duplicateValues" dxfId="29" priority="2"/>
    <cfRule type="duplicateValues" dxfId="28" priority="3"/>
    <cfRule type="duplicateValues" dxfId="27" priority="4"/>
  </conditionalFormatting>
  <conditionalFormatting sqref="D11">
    <cfRule type="duplicateValues" dxfId="26" priority="19"/>
  </conditionalFormatting>
  <conditionalFormatting sqref="D12:D13">
    <cfRule type="duplicateValues" dxfId="25" priority="11"/>
  </conditionalFormatting>
  <conditionalFormatting sqref="D14">
    <cfRule type="duplicateValues" dxfId="24" priority="10"/>
  </conditionalFormatting>
  <conditionalFormatting sqref="D15:D17">
    <cfRule type="duplicateValues" dxfId="23" priority="9"/>
  </conditionalFormatting>
  <conditionalFormatting sqref="D18:D1048576 D1:D10">
    <cfRule type="duplicateValues" dxfId="22" priority="2751"/>
  </conditionalFormatting>
  <hyperlinks>
    <hyperlink ref="C6" r:id="rId1" display="https://www.moneycontrol.com/mutual-funds/nav/kotak-low-duration-fund-standard-plan/MAI049" xr:uid="{00000000-0004-0000-0200-000000000000}"/>
    <hyperlink ref="L7" r:id="rId2" xr:uid="{00000000-0004-0000-0200-000001000000}"/>
    <hyperlink ref="L3:L4" r:id="rId3" display="https://www.moneycontrol.com/mutual-funds/amc-details/KM" xr:uid="{00000000-0004-0000-0200-000002000000}"/>
    <hyperlink ref="L4" r:id="rId4" xr:uid="{00000000-0004-0000-0200-000003000000}"/>
    <hyperlink ref="L7:L8" r:id="rId5" display="https://www.moneycontrol.com/mutual-funds/amc-details/KM" xr:uid="{00000000-0004-0000-0200-000005000000}"/>
    <hyperlink ref="C9" r:id="rId6" display="Kotak Focused Equity Fund - Reg. (G)" xr:uid="{00000000-0004-0000-0200-000007000000}"/>
    <hyperlink ref="L3" r:id="rId7" xr:uid="{00000000-0004-0000-0200-000008000000}"/>
    <hyperlink ref="L12" r:id="rId8" xr:uid="{00000000-0004-0000-0200-000009000000}"/>
    <hyperlink ref="L10" r:id="rId9" xr:uid="{00000000-0004-0000-0200-00000A000000}"/>
    <hyperlink ref="L9" r:id="rId10" xr:uid="{00000000-0004-0000-0200-00000B000000}"/>
    <hyperlink ref="C8" r:id="rId11" display="https://www.moneycontrol.com/mutual-funds/nav/kotak-standard-multicap-fund-regular-plan/MKM311" xr:uid="{00000000-0004-0000-0200-00000C000000}"/>
    <hyperlink ref="C11" r:id="rId12" display="https://www.moneycontrol.com/mutual-funds/nav/nippon-india-gold-savings-fund/MRC647" xr:uid="{00000000-0004-0000-0200-00000D000000}"/>
    <hyperlink ref="L11" r:id="rId13" xr:uid="{00000000-0004-0000-0200-00000E000000}"/>
    <hyperlink ref="C3" r:id="rId14" display="https://www.moneycontrol.com/mutual-funds/nav/aditya-birla-sun-life-mnc-fund/MBS017" xr:uid="{00000000-0004-0000-0200-00000F000000}"/>
    <hyperlink ref="C4" r:id="rId15" display="https://www.moneycontrol.com/mutual-funds/nav/aditya-birla-sun-life-tax-relief-96/MBS291" xr:uid="{00000000-0004-0000-0200-000010000000}"/>
    <hyperlink ref="C7" r:id="rId16" display="https://www.moneycontrol.com/mutual-funds/nav/kotak-tax-saver-direct-plan/MKM518" xr:uid="{00000000-0004-0000-0200-000011000000}"/>
    <hyperlink ref="L2" r:id="rId17" display="https://www.moneycontrol.com/mutual-funds/nav/aditya-birla-sun-life-short-term-fund-retail-plan/MBS039" xr:uid="{00000000-0004-0000-0200-000012000000}"/>
    <hyperlink ref="L13" r:id="rId18" xr:uid="{00000000-0004-0000-0200-000013000000}"/>
    <hyperlink ref="L15" r:id="rId19" xr:uid="{00000000-0004-0000-0200-000014000000}"/>
    <hyperlink ref="L14" r:id="rId20" xr:uid="{00000000-0004-0000-0200-000015000000}"/>
    <hyperlink ref="C14" r:id="rId21" xr:uid="{00000000-0004-0000-0200-000016000000}"/>
    <hyperlink ref="C16" r:id="rId22" display="https://www.moneycontrol.com/mutual-funds/nav/parag-parikh-flexi-cap-fund-direct-plan/MPP002" xr:uid="{46FB8F3C-4A63-4839-9A7A-885147B69A88}"/>
    <hyperlink ref="C5" r:id="rId23" display="https://www.moneycontrol.com/mutual-funds/nav/hdfc-balanced-advantage-fund-direct-plan-growth/MHD1146" xr:uid="{457E2DCA-AF7A-4E80-B8B4-DBF7FC77E188}"/>
    <hyperlink ref="C17" r:id="rId24" xr:uid="{5EC51C94-8A3C-4A70-B256-CC75A8C835EA}"/>
  </hyperlinks>
  <pageMargins left="0.7" right="0.7" top="0.75" bottom="0.75" header="0.3" footer="0.3"/>
  <pageSetup paperSize="9" orientation="portrait" r:id="rId25"/>
  <drawing r:id="rId2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workbookViewId="0">
      <selection activeCell="E27" sqref="E27"/>
    </sheetView>
  </sheetViews>
  <sheetFormatPr defaultRowHeight="15" x14ac:dyDescent="0.25"/>
  <cols>
    <col min="1" max="1" width="13.28515625" bestFit="1" customWidth="1"/>
    <col min="2" max="2" width="27" bestFit="1" customWidth="1"/>
    <col min="3" max="3" width="9.28515625" bestFit="1" customWidth="1"/>
    <col min="4" max="4" width="11.85546875" bestFit="1" customWidth="1"/>
    <col min="5" max="5" width="19.28515625" bestFit="1" customWidth="1"/>
  </cols>
  <sheetData>
    <row r="1" spans="1:5" x14ac:dyDescent="0.25">
      <c r="A1" s="24" t="s">
        <v>1234</v>
      </c>
      <c r="B1" s="88" t="s">
        <v>573</v>
      </c>
      <c r="C1" s="88" t="s">
        <v>1129</v>
      </c>
      <c r="D1" s="88" t="s">
        <v>1327</v>
      </c>
      <c r="E1" s="88" t="s">
        <v>1329</v>
      </c>
    </row>
    <row r="2" spans="1:5" x14ac:dyDescent="0.25">
      <c r="A2" s="87" t="s">
        <v>893</v>
      </c>
      <c r="B2" s="87" t="s">
        <v>570</v>
      </c>
      <c r="C2" s="87" t="s">
        <v>1130</v>
      </c>
      <c r="D2" s="87" t="s">
        <v>1333</v>
      </c>
      <c r="E2" s="87" t="s">
        <v>1334</v>
      </c>
    </row>
    <row r="3" spans="1:5" x14ac:dyDescent="0.25">
      <c r="A3" s="87" t="s">
        <v>892</v>
      </c>
      <c r="B3" s="87" t="s">
        <v>568</v>
      </c>
      <c r="C3" s="87" t="s">
        <v>1130</v>
      </c>
      <c r="D3" s="87" t="s">
        <v>1332</v>
      </c>
      <c r="E3" s="87" t="s">
        <v>1330</v>
      </c>
    </row>
    <row r="4" spans="1:5" x14ac:dyDescent="0.25">
      <c r="A4" s="87" t="s">
        <v>899</v>
      </c>
      <c r="B4" s="87" t="s">
        <v>702</v>
      </c>
      <c r="C4" s="87" t="s">
        <v>1130</v>
      </c>
      <c r="D4" s="87" t="s">
        <v>1333</v>
      </c>
      <c r="E4" s="87" t="s">
        <v>1334</v>
      </c>
    </row>
    <row r="5" spans="1:5" x14ac:dyDescent="0.25">
      <c r="A5" s="87" t="s">
        <v>894</v>
      </c>
      <c r="B5" s="87" t="s">
        <v>569</v>
      </c>
      <c r="C5" s="87" t="s">
        <v>1130</v>
      </c>
      <c r="D5" s="87" t="s">
        <v>1328</v>
      </c>
      <c r="E5" s="87" t="s">
        <v>1331</v>
      </c>
    </row>
    <row r="6" spans="1:5" x14ac:dyDescent="0.25">
      <c r="A6" s="87" t="s">
        <v>896</v>
      </c>
      <c r="B6" s="87" t="s">
        <v>572</v>
      </c>
      <c r="C6" s="87" t="s">
        <v>1131</v>
      </c>
      <c r="D6" s="87" t="s">
        <v>1333</v>
      </c>
      <c r="E6" s="87" t="s">
        <v>1334</v>
      </c>
    </row>
    <row r="7" spans="1:5" x14ac:dyDescent="0.25">
      <c r="A7" s="87" t="s">
        <v>897</v>
      </c>
      <c r="B7" s="87" t="s">
        <v>704</v>
      </c>
      <c r="C7" s="87" t="s">
        <v>1131</v>
      </c>
      <c r="D7" s="87" t="s">
        <v>1328</v>
      </c>
      <c r="E7" s="87" t="s">
        <v>1330</v>
      </c>
    </row>
    <row r="8" spans="1:5" x14ac:dyDescent="0.25">
      <c r="A8" s="87" t="s">
        <v>900</v>
      </c>
      <c r="B8" s="87" t="s">
        <v>703</v>
      </c>
      <c r="C8" s="87" t="s">
        <v>1131</v>
      </c>
      <c r="D8" s="87" t="s">
        <v>1335</v>
      </c>
      <c r="E8" s="87" t="s">
        <v>1336</v>
      </c>
    </row>
    <row r="9" spans="1:5" x14ac:dyDescent="0.25">
      <c r="A9" s="87" t="s">
        <v>895</v>
      </c>
      <c r="B9" s="87" t="s">
        <v>571</v>
      </c>
      <c r="C9" s="87" t="s">
        <v>1132</v>
      </c>
      <c r="D9" s="87" t="s">
        <v>1332</v>
      </c>
      <c r="E9" s="87" t="s">
        <v>1330</v>
      </c>
    </row>
    <row r="10" spans="1:5" x14ac:dyDescent="0.25">
      <c r="A10" s="87" t="s">
        <v>898</v>
      </c>
      <c r="B10" s="87" t="s">
        <v>701</v>
      </c>
      <c r="C10" s="87" t="s">
        <v>1132</v>
      </c>
      <c r="D10" s="87" t="s">
        <v>1333</v>
      </c>
      <c r="E10" s="87" t="s">
        <v>1334</v>
      </c>
    </row>
    <row r="11" spans="1:5" x14ac:dyDescent="0.25">
      <c r="A11" s="87" t="s">
        <v>1176</v>
      </c>
      <c r="B11" s="87" t="s">
        <v>1175</v>
      </c>
      <c r="C11" s="87" t="s">
        <v>1132</v>
      </c>
      <c r="D11" s="87" t="s">
        <v>1328</v>
      </c>
      <c r="E11" s="87" t="s">
        <v>1331</v>
      </c>
    </row>
    <row r="12" spans="1:5" x14ac:dyDescent="0.25">
      <c r="A12" s="87" t="s">
        <v>1426</v>
      </c>
      <c r="B12" s="87" t="s">
        <v>1424</v>
      </c>
      <c r="C12" s="87" t="s">
        <v>1131</v>
      </c>
      <c r="D12" s="87" t="s">
        <v>1333</v>
      </c>
      <c r="E12" s="87" t="s">
        <v>1334</v>
      </c>
    </row>
    <row r="13" spans="1:5" x14ac:dyDescent="0.25">
      <c r="A13" s="87" t="s">
        <v>1431</v>
      </c>
      <c r="B13" s="87" t="s">
        <v>1428</v>
      </c>
      <c r="C13" s="87" t="s">
        <v>1131</v>
      </c>
      <c r="D13" s="87" t="s">
        <v>1333</v>
      </c>
      <c r="E13" s="87" t="s">
        <v>1334</v>
      </c>
    </row>
    <row r="14" spans="1:5" x14ac:dyDescent="0.25">
      <c r="A14" s="87" t="s">
        <v>2133</v>
      </c>
      <c r="B14" s="87" t="s">
        <v>2134</v>
      </c>
      <c r="C14" s="87" t="s">
        <v>1132</v>
      </c>
      <c r="D14" s="87" t="s">
        <v>1333</v>
      </c>
      <c r="E14" s="87" t="s">
        <v>1330</v>
      </c>
    </row>
    <row r="15" spans="1:5" x14ac:dyDescent="0.25">
      <c r="A15" s="87" t="s">
        <v>3169</v>
      </c>
      <c r="B15" s="87" t="s">
        <v>3172</v>
      </c>
      <c r="C15" s="87" t="s">
        <v>2057</v>
      </c>
      <c r="D15" s="87" t="s">
        <v>1333</v>
      </c>
      <c r="E15" s="87" t="s">
        <v>1330</v>
      </c>
    </row>
    <row r="16" spans="1:5" x14ac:dyDescent="0.25">
      <c r="A16" s="87" t="s">
        <v>3171</v>
      </c>
      <c r="B16" s="87" t="s">
        <v>3173</v>
      </c>
      <c r="C16" s="87" t="s">
        <v>3174</v>
      </c>
      <c r="D16" s="87" t="s">
        <v>1333</v>
      </c>
      <c r="E16" s="87" t="s">
        <v>1330</v>
      </c>
    </row>
    <row r="17" spans="1:5" x14ac:dyDescent="0.25">
      <c r="A17" t="s">
        <v>4517</v>
      </c>
      <c r="B17" t="s">
        <v>4119</v>
      </c>
      <c r="C17" s="164" t="s">
        <v>4518</v>
      </c>
      <c r="D17" s="87" t="s">
        <v>1333</v>
      </c>
      <c r="E17" s="87" t="s">
        <v>1330</v>
      </c>
    </row>
    <row r="20" spans="1:5" x14ac:dyDescent="0.25">
      <c r="B20" s="135"/>
      <c r="C20" s="135"/>
      <c r="D20" s="8"/>
    </row>
  </sheetData>
  <autoFilter ref="A1:E1" xr:uid="{00000000-0009-0000-0000-000003000000}">
    <sortState xmlns:xlrd2="http://schemas.microsoft.com/office/spreadsheetml/2017/richdata2" ref="A2:E15">
      <sortCondition ref="A1"/>
    </sortState>
  </autoFilter>
  <conditionalFormatting sqref="A1">
    <cfRule type="duplicateValues" dxfId="21" priority="2234"/>
  </conditionalFormatting>
  <conditionalFormatting sqref="A2:A9">
    <cfRule type="duplicateValues" dxfId="20" priority="4859"/>
  </conditionalFormatting>
  <conditionalFormatting sqref="A8:A9">
    <cfRule type="duplicateValues" dxfId="19" priority="2235"/>
  </conditionalFormatting>
  <conditionalFormatting sqref="A18:A1048576 A1:A9">
    <cfRule type="duplicateValues" dxfId="18" priority="2237"/>
  </conditionalFormatting>
  <conditionalFormatting sqref="A18:A1048576">
    <cfRule type="duplicateValues" dxfId="17" priority="16"/>
  </conditionalFormatting>
  <conditionalFormatting sqref="A10:E16 C17:E17">
    <cfRule type="duplicateValues" dxfId="16" priority="11"/>
    <cfRule type="duplicateValues" dxfId="15" priority="12"/>
    <cfRule type="duplicateValues" dxfId="14" priority="13"/>
    <cfRule type="duplicateValues" dxfId="13" priority="14"/>
  </conditionalFormatting>
  <conditionalFormatting sqref="B20">
    <cfRule type="duplicateValues" dxfId="12" priority="9"/>
  </conditionalFormatting>
  <conditionalFormatting sqref="B21:B1048576 B1:B9 B17:B19">
    <cfRule type="duplicateValues" dxfId="11" priority="35"/>
  </conditionalFormatting>
  <conditionalFormatting sqref="C1:C9">
    <cfRule type="duplicateValues" dxfId="10" priority="4861"/>
  </conditionalFormatting>
  <conditionalFormatting sqref="D1">
    <cfRule type="duplicateValues" dxfId="9" priority="20"/>
  </conditionalFormatting>
  <conditionalFormatting sqref="D20">
    <cfRule type="duplicateValues" dxfId="8" priority="10"/>
  </conditionalFormatting>
  <conditionalFormatting sqref="E1">
    <cfRule type="duplicateValues" dxfId="7" priority="19"/>
  </conditionalFormatting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BED6-91CC-40E8-8DCD-8AF55AA5310D}">
  <dimension ref="A1:O33"/>
  <sheetViews>
    <sheetView workbookViewId="0">
      <selection activeCell="T48" sqref="T48:U48"/>
    </sheetView>
  </sheetViews>
  <sheetFormatPr defaultRowHeight="15" x14ac:dyDescent="0.25"/>
  <cols>
    <col min="1" max="1" width="19.140625" bestFit="1" customWidth="1"/>
    <col min="2" max="2" width="16.5703125" bestFit="1" customWidth="1"/>
    <col min="3" max="3" width="8.7109375" bestFit="1" customWidth="1"/>
    <col min="4" max="4" width="22.7109375" bestFit="1" customWidth="1"/>
    <col min="5" max="5" width="18" bestFit="1" customWidth="1"/>
    <col min="6" max="6" width="8" bestFit="1" customWidth="1"/>
    <col min="7" max="7" width="17" bestFit="1" customWidth="1"/>
    <col min="8" max="8" width="16" bestFit="1" customWidth="1"/>
    <col min="9" max="9" width="8" bestFit="1" customWidth="1"/>
    <col min="10" max="10" width="13.42578125" bestFit="1" customWidth="1"/>
    <col min="11" max="11" width="15.140625" bestFit="1" customWidth="1"/>
    <col min="12" max="12" width="14.5703125" bestFit="1" customWidth="1"/>
    <col min="15" max="15" width="14" bestFit="1" customWidth="1"/>
  </cols>
  <sheetData>
    <row r="1" spans="1:12" s="157" customFormat="1" x14ac:dyDescent="0.25">
      <c r="A1" s="157" t="s">
        <v>3635</v>
      </c>
      <c r="D1" s="157" t="s">
        <v>3636</v>
      </c>
    </row>
    <row r="2" spans="1:12" x14ac:dyDescent="0.25">
      <c r="A2" t="s">
        <v>3637</v>
      </c>
      <c r="B2" t="s">
        <v>3638</v>
      </c>
      <c r="C2" t="s">
        <v>3639</v>
      </c>
      <c r="D2" t="s">
        <v>3640</v>
      </c>
      <c r="E2" t="s">
        <v>3641</v>
      </c>
      <c r="F2" t="s">
        <v>3642</v>
      </c>
      <c r="G2" t="s">
        <v>3643</v>
      </c>
      <c r="H2" t="s">
        <v>3644</v>
      </c>
      <c r="I2" t="s">
        <v>3645</v>
      </c>
      <c r="J2" t="s">
        <v>3646</v>
      </c>
      <c r="K2" t="s">
        <v>3647</v>
      </c>
      <c r="L2" t="s">
        <v>3648</v>
      </c>
    </row>
    <row r="3" spans="1:12" x14ac:dyDescent="0.25">
      <c r="A3" t="s">
        <v>3649</v>
      </c>
      <c r="B3">
        <v>1</v>
      </c>
      <c r="C3">
        <v>2</v>
      </c>
      <c r="D3">
        <v>2846.95</v>
      </c>
      <c r="E3">
        <v>3.24</v>
      </c>
      <c r="F3">
        <v>3128.5</v>
      </c>
      <c r="G3">
        <v>5693.9</v>
      </c>
      <c r="H3">
        <v>6257</v>
      </c>
      <c r="I3">
        <v>563.1</v>
      </c>
      <c r="J3">
        <v>9.89</v>
      </c>
      <c r="K3">
        <v>5.55</v>
      </c>
      <c r="L3">
        <v>0.18</v>
      </c>
    </row>
    <row r="4" spans="1:12" x14ac:dyDescent="0.25">
      <c r="A4" t="s">
        <v>3186</v>
      </c>
      <c r="B4">
        <v>1</v>
      </c>
      <c r="C4">
        <v>5</v>
      </c>
      <c r="D4">
        <v>1551.52</v>
      </c>
      <c r="E4">
        <v>5.01</v>
      </c>
      <c r="F4">
        <v>1938.1</v>
      </c>
      <c r="G4">
        <v>7757.6</v>
      </c>
      <c r="H4">
        <v>9690.5</v>
      </c>
      <c r="I4">
        <v>1932.9</v>
      </c>
      <c r="J4">
        <v>24.92</v>
      </c>
      <c r="K4">
        <v>-15.85</v>
      </c>
      <c r="L4">
        <v>-0.81</v>
      </c>
    </row>
    <row r="5" spans="1:12" x14ac:dyDescent="0.25">
      <c r="A5" t="s">
        <v>2047</v>
      </c>
      <c r="B5">
        <v>0</v>
      </c>
      <c r="C5">
        <v>25</v>
      </c>
      <c r="D5">
        <v>1289.22</v>
      </c>
      <c r="E5">
        <v>23.07</v>
      </c>
      <c r="F5">
        <v>1783.5</v>
      </c>
      <c r="G5">
        <v>32230.5</v>
      </c>
      <c r="H5">
        <v>44587.5</v>
      </c>
      <c r="I5">
        <v>12357</v>
      </c>
      <c r="J5">
        <v>38.340000000000003</v>
      </c>
      <c r="K5">
        <v>-8.6</v>
      </c>
      <c r="L5">
        <v>-0.48</v>
      </c>
    </row>
    <row r="6" spans="1:12" x14ac:dyDescent="0.25">
      <c r="A6" t="s">
        <v>3188</v>
      </c>
      <c r="B6">
        <v>1</v>
      </c>
      <c r="C6">
        <v>4</v>
      </c>
      <c r="D6">
        <v>2624.14</v>
      </c>
      <c r="E6">
        <v>5.2</v>
      </c>
      <c r="F6">
        <v>2511.5</v>
      </c>
      <c r="G6">
        <v>10496.56</v>
      </c>
      <c r="H6">
        <v>10046</v>
      </c>
      <c r="I6">
        <v>-450.56</v>
      </c>
      <c r="J6">
        <v>-4.29</v>
      </c>
      <c r="K6">
        <v>-8.4</v>
      </c>
      <c r="L6">
        <v>-0.33</v>
      </c>
    </row>
    <row r="7" spans="1:12" x14ac:dyDescent="0.25">
      <c r="A7" t="s">
        <v>3189</v>
      </c>
      <c r="B7">
        <v>1</v>
      </c>
      <c r="C7">
        <v>7</v>
      </c>
      <c r="D7">
        <v>1422.35</v>
      </c>
      <c r="E7">
        <v>5.23</v>
      </c>
      <c r="F7">
        <v>1443.75</v>
      </c>
      <c r="G7">
        <v>9956.4500000000007</v>
      </c>
      <c r="H7">
        <v>10106.25</v>
      </c>
      <c r="I7">
        <v>149.80000000000001</v>
      </c>
      <c r="J7">
        <v>1.5</v>
      </c>
      <c r="K7">
        <v>-5.5</v>
      </c>
      <c r="L7">
        <v>-0.38</v>
      </c>
    </row>
    <row r="8" spans="1:12" x14ac:dyDescent="0.25">
      <c r="A8" t="s">
        <v>2050</v>
      </c>
      <c r="B8">
        <v>1</v>
      </c>
      <c r="C8">
        <v>51</v>
      </c>
      <c r="D8">
        <v>256.49</v>
      </c>
      <c r="E8">
        <v>11.58</v>
      </c>
      <c r="F8">
        <v>438.75</v>
      </c>
      <c r="G8">
        <v>13080.99</v>
      </c>
      <c r="H8">
        <v>22376.25</v>
      </c>
      <c r="I8">
        <v>9295.26</v>
      </c>
      <c r="J8">
        <v>71.06</v>
      </c>
      <c r="K8">
        <v>-1.6</v>
      </c>
      <c r="L8">
        <v>-0.36</v>
      </c>
    </row>
    <row r="9" spans="1:12" x14ac:dyDescent="0.25">
      <c r="A9" t="s">
        <v>3650</v>
      </c>
      <c r="B9">
        <v>1</v>
      </c>
      <c r="C9">
        <v>3</v>
      </c>
      <c r="D9">
        <v>117.39</v>
      </c>
      <c r="E9">
        <v>0.34</v>
      </c>
      <c r="F9">
        <v>220.85</v>
      </c>
      <c r="G9">
        <v>352.17</v>
      </c>
      <c r="H9">
        <v>662.55</v>
      </c>
      <c r="I9">
        <v>310.38</v>
      </c>
      <c r="J9">
        <v>88.13</v>
      </c>
      <c r="K9">
        <v>-0.4</v>
      </c>
      <c r="L9">
        <v>-0.18</v>
      </c>
    </row>
    <row r="10" spans="1:12" x14ac:dyDescent="0.25">
      <c r="A10" t="s">
        <v>3190</v>
      </c>
      <c r="B10">
        <v>1</v>
      </c>
      <c r="C10">
        <v>18</v>
      </c>
      <c r="D10">
        <v>385.87</v>
      </c>
      <c r="E10">
        <v>3.57</v>
      </c>
      <c r="F10">
        <v>383.05</v>
      </c>
      <c r="G10">
        <v>6945.66</v>
      </c>
      <c r="H10">
        <v>6894.9</v>
      </c>
      <c r="I10">
        <v>-50.76</v>
      </c>
      <c r="J10">
        <v>-0.73</v>
      </c>
      <c r="K10">
        <v>1.55</v>
      </c>
      <c r="L10">
        <v>0.41</v>
      </c>
    </row>
    <row r="11" spans="1:12" x14ac:dyDescent="0.25">
      <c r="A11" t="s">
        <v>2052</v>
      </c>
      <c r="B11">
        <v>1</v>
      </c>
      <c r="C11">
        <v>25</v>
      </c>
      <c r="D11">
        <v>511.44</v>
      </c>
      <c r="E11">
        <v>6.91</v>
      </c>
      <c r="F11">
        <v>533.95000000000005</v>
      </c>
      <c r="G11">
        <v>12786</v>
      </c>
      <c r="H11">
        <v>13348.75</v>
      </c>
      <c r="I11">
        <v>562.75</v>
      </c>
      <c r="J11">
        <v>4.4000000000000004</v>
      </c>
      <c r="K11">
        <v>3.05</v>
      </c>
      <c r="L11">
        <v>0.56999999999999995</v>
      </c>
    </row>
    <row r="12" spans="1:12" x14ac:dyDescent="0.25">
      <c r="A12" t="s">
        <v>3191</v>
      </c>
      <c r="B12">
        <v>1</v>
      </c>
      <c r="C12">
        <v>2</v>
      </c>
      <c r="D12">
        <v>4329.6000000000004</v>
      </c>
      <c r="E12">
        <v>6.62</v>
      </c>
      <c r="F12">
        <v>6396.35</v>
      </c>
      <c r="G12">
        <v>8659.2000000000007</v>
      </c>
      <c r="H12">
        <v>12792.7</v>
      </c>
      <c r="I12">
        <v>4133.5</v>
      </c>
      <c r="J12">
        <v>47.74</v>
      </c>
      <c r="K12">
        <v>17.5</v>
      </c>
      <c r="L12">
        <v>0.27</v>
      </c>
    </row>
    <row r="13" spans="1:12" x14ac:dyDescent="0.25">
      <c r="A13" t="s">
        <v>3192</v>
      </c>
      <c r="B13">
        <v>1</v>
      </c>
      <c r="C13">
        <v>4</v>
      </c>
      <c r="D13">
        <v>2572</v>
      </c>
      <c r="E13">
        <v>5.17</v>
      </c>
      <c r="F13">
        <v>2496.0500000000002</v>
      </c>
      <c r="G13">
        <v>10288</v>
      </c>
      <c r="H13">
        <v>9984.2000000000007</v>
      </c>
      <c r="I13">
        <v>-303.8</v>
      </c>
      <c r="J13">
        <v>-2.95</v>
      </c>
      <c r="K13">
        <v>-13.25</v>
      </c>
      <c r="L13">
        <v>-0.53</v>
      </c>
    </row>
    <row r="14" spans="1:12" x14ac:dyDescent="0.25">
      <c r="A14" t="s">
        <v>3193</v>
      </c>
      <c r="B14">
        <v>1</v>
      </c>
      <c r="C14">
        <v>64</v>
      </c>
      <c r="D14">
        <v>172.16</v>
      </c>
      <c r="E14">
        <v>5.36</v>
      </c>
      <c r="F14">
        <v>161.80000000000001</v>
      </c>
      <c r="G14">
        <v>11018.24</v>
      </c>
      <c r="H14">
        <v>10355.200000000001</v>
      </c>
      <c r="I14">
        <v>-663.04</v>
      </c>
      <c r="J14">
        <v>-6.02</v>
      </c>
      <c r="K14">
        <v>3.65</v>
      </c>
      <c r="L14">
        <v>2.31</v>
      </c>
    </row>
    <row r="15" spans="1:12" x14ac:dyDescent="0.25">
      <c r="A15" t="s">
        <v>2054</v>
      </c>
      <c r="B15">
        <v>1</v>
      </c>
      <c r="C15">
        <v>4</v>
      </c>
      <c r="D15">
        <v>2372.12</v>
      </c>
      <c r="E15">
        <v>4.96</v>
      </c>
      <c r="F15">
        <v>2395.15</v>
      </c>
      <c r="G15">
        <v>9488.48</v>
      </c>
      <c r="H15">
        <v>9580.6</v>
      </c>
      <c r="I15">
        <v>92.12</v>
      </c>
      <c r="J15">
        <v>0.97</v>
      </c>
      <c r="K15">
        <v>-0.35</v>
      </c>
      <c r="L15">
        <v>-0.01</v>
      </c>
    </row>
    <row r="16" spans="1:12" x14ac:dyDescent="0.25">
      <c r="A16" t="s">
        <v>3500</v>
      </c>
      <c r="B16">
        <v>1</v>
      </c>
      <c r="C16">
        <v>5</v>
      </c>
      <c r="D16">
        <v>3090.65</v>
      </c>
      <c r="E16">
        <v>7.3</v>
      </c>
      <c r="F16">
        <v>2823.15</v>
      </c>
      <c r="G16">
        <v>15453.25</v>
      </c>
      <c r="H16">
        <v>14115.75</v>
      </c>
      <c r="I16">
        <v>-1337.5</v>
      </c>
      <c r="J16">
        <v>-8.66</v>
      </c>
      <c r="K16">
        <v>-19.5</v>
      </c>
      <c r="L16">
        <v>-0.69</v>
      </c>
    </row>
    <row r="17" spans="1:15" x14ac:dyDescent="0.25">
      <c r="A17" t="s">
        <v>3501</v>
      </c>
      <c r="B17">
        <v>1</v>
      </c>
      <c r="C17">
        <v>4</v>
      </c>
      <c r="D17">
        <v>2602.6999999999998</v>
      </c>
      <c r="E17">
        <v>6.46</v>
      </c>
      <c r="F17">
        <v>3124</v>
      </c>
      <c r="G17">
        <v>10410.799999999999</v>
      </c>
      <c r="H17">
        <v>12496</v>
      </c>
      <c r="I17">
        <v>2085.1999999999998</v>
      </c>
      <c r="J17">
        <v>20.03</v>
      </c>
      <c r="K17">
        <v>-11.9</v>
      </c>
      <c r="L17">
        <v>-0.38</v>
      </c>
    </row>
    <row r="19" spans="1:15" s="157" customFormat="1" x14ac:dyDescent="0.25">
      <c r="A19" s="157" t="s">
        <v>3651</v>
      </c>
    </row>
    <row r="20" spans="1:15" x14ac:dyDescent="0.25">
      <c r="A20" t="s">
        <v>3652</v>
      </c>
      <c r="B20" t="s">
        <v>3653</v>
      </c>
      <c r="C20" t="s">
        <v>3653</v>
      </c>
      <c r="D20" t="s">
        <v>3653</v>
      </c>
      <c r="E20">
        <v>66.239999999999995</v>
      </c>
      <c r="F20" t="s">
        <v>3653</v>
      </c>
      <c r="G20">
        <v>120532.25</v>
      </c>
      <c r="H20">
        <v>128041.65</v>
      </c>
      <c r="I20">
        <v>7509.4</v>
      </c>
      <c r="J20">
        <v>6.23</v>
      </c>
      <c r="K20" t="s">
        <v>3653</v>
      </c>
      <c r="L20" t="s">
        <v>3653</v>
      </c>
    </row>
    <row r="22" spans="1:15" x14ac:dyDescent="0.25">
      <c r="A22" s="158" t="s">
        <v>3654</v>
      </c>
      <c r="B22" s="158" t="s">
        <v>3655</v>
      </c>
      <c r="C22" s="158" t="s">
        <v>3656</v>
      </c>
      <c r="D22" s="158" t="s">
        <v>3657</v>
      </c>
      <c r="E22" s="158" t="s">
        <v>3658</v>
      </c>
      <c r="F22" s="158" t="s">
        <v>3659</v>
      </c>
      <c r="G22" s="158" t="s">
        <v>3660</v>
      </c>
      <c r="H22" s="158" t="s">
        <v>3661</v>
      </c>
      <c r="I22" s="158" t="s">
        <v>3662</v>
      </c>
      <c r="J22" s="158" t="s">
        <v>3644</v>
      </c>
      <c r="K22" s="158" t="s">
        <v>3663</v>
      </c>
      <c r="L22" s="158" t="s">
        <v>3664</v>
      </c>
      <c r="M22" s="158" t="s">
        <v>3665</v>
      </c>
      <c r="N22" s="158" t="s">
        <v>3666</v>
      </c>
      <c r="O22" s="158" t="s">
        <v>3667</v>
      </c>
    </row>
    <row r="23" spans="1:15" x14ac:dyDescent="0.25">
      <c r="A23" t="s">
        <v>3668</v>
      </c>
      <c r="B23" t="s">
        <v>3669</v>
      </c>
      <c r="C23" t="s">
        <v>3670</v>
      </c>
      <c r="D23" t="s">
        <v>3671</v>
      </c>
      <c r="E23" t="s">
        <v>3672</v>
      </c>
      <c r="F23" t="s">
        <v>3673</v>
      </c>
      <c r="G23">
        <v>1095.25</v>
      </c>
      <c r="H23">
        <v>5.89</v>
      </c>
      <c r="I23">
        <v>5518.27</v>
      </c>
      <c r="J23">
        <v>6455.4</v>
      </c>
      <c r="K23">
        <v>0.53</v>
      </c>
      <c r="L23">
        <v>937.13</v>
      </c>
      <c r="M23">
        <v>16.98</v>
      </c>
      <c r="N23">
        <v>1.95</v>
      </c>
      <c r="O23" s="41">
        <v>44026</v>
      </c>
    </row>
    <row r="24" spans="1:15" x14ac:dyDescent="0.25">
      <c r="A24" t="s">
        <v>3674</v>
      </c>
      <c r="B24" t="s">
        <v>3669</v>
      </c>
      <c r="C24" t="s">
        <v>3670</v>
      </c>
      <c r="D24" t="s">
        <v>3675</v>
      </c>
      <c r="E24" t="s">
        <v>3672</v>
      </c>
      <c r="F24" t="s">
        <v>3673</v>
      </c>
      <c r="G24">
        <v>14.65</v>
      </c>
      <c r="H24">
        <v>393.95</v>
      </c>
      <c r="I24">
        <v>4770.7299999999996</v>
      </c>
      <c r="J24">
        <v>5771.37</v>
      </c>
      <c r="K24">
        <v>0.48</v>
      </c>
      <c r="L24">
        <v>1000.64</v>
      </c>
      <c r="M24">
        <v>20.97</v>
      </c>
      <c r="N24">
        <v>26.37</v>
      </c>
      <c r="O24" s="41">
        <v>44957</v>
      </c>
    </row>
    <row r="25" spans="1:15" x14ac:dyDescent="0.25">
      <c r="A25" t="s">
        <v>3676</v>
      </c>
      <c r="B25" t="s">
        <v>3677</v>
      </c>
      <c r="C25" t="s">
        <v>3678</v>
      </c>
      <c r="D25" t="s">
        <v>3679</v>
      </c>
      <c r="E25" t="s">
        <v>3170</v>
      </c>
      <c r="F25" t="s">
        <v>3673</v>
      </c>
      <c r="G25">
        <v>423.38</v>
      </c>
      <c r="H25">
        <v>71.91</v>
      </c>
      <c r="I25">
        <v>27998.7</v>
      </c>
      <c r="J25">
        <v>30445.33</v>
      </c>
      <c r="K25">
        <v>2.5099999999999998</v>
      </c>
      <c r="L25">
        <v>2446.63</v>
      </c>
      <c r="M25">
        <v>8.74</v>
      </c>
      <c r="N25">
        <v>28.83</v>
      </c>
      <c r="O25" s="41">
        <v>44935</v>
      </c>
    </row>
    <row r="26" spans="1:15" x14ac:dyDescent="0.25">
      <c r="A26" t="s">
        <v>2995</v>
      </c>
      <c r="B26" t="s">
        <v>3680</v>
      </c>
      <c r="C26" t="s">
        <v>3670</v>
      </c>
      <c r="D26" t="s">
        <v>1212</v>
      </c>
      <c r="E26" t="s">
        <v>3672</v>
      </c>
      <c r="F26" t="s">
        <v>3673</v>
      </c>
      <c r="G26">
        <v>61.76</v>
      </c>
      <c r="H26">
        <v>4806.78</v>
      </c>
      <c r="I26">
        <v>170840.48</v>
      </c>
      <c r="J26">
        <v>296886.15000000002</v>
      </c>
      <c r="K26">
        <v>24.49</v>
      </c>
      <c r="L26">
        <v>126045.67</v>
      </c>
      <c r="M26">
        <v>73.78</v>
      </c>
      <c r="N26">
        <v>13.08</v>
      </c>
      <c r="O26" s="41">
        <v>42938</v>
      </c>
    </row>
    <row r="27" spans="1:15" x14ac:dyDescent="0.25">
      <c r="A27" t="s">
        <v>790</v>
      </c>
      <c r="B27" t="s">
        <v>3680</v>
      </c>
      <c r="C27" t="s">
        <v>3670</v>
      </c>
      <c r="D27" t="s">
        <v>3681</v>
      </c>
      <c r="E27" t="s">
        <v>3672</v>
      </c>
      <c r="F27" t="s">
        <v>3673</v>
      </c>
      <c r="G27">
        <v>18.809999999999999</v>
      </c>
      <c r="H27">
        <v>10303.07</v>
      </c>
      <c r="I27">
        <v>144992.76</v>
      </c>
      <c r="J27">
        <v>193780.23</v>
      </c>
      <c r="K27">
        <v>15.98</v>
      </c>
      <c r="L27">
        <v>48787.47</v>
      </c>
      <c r="M27">
        <v>33.65</v>
      </c>
      <c r="N27">
        <v>13.98</v>
      </c>
      <c r="O27" s="41">
        <v>44026</v>
      </c>
    </row>
    <row r="28" spans="1:15" x14ac:dyDescent="0.25">
      <c r="A28" t="s">
        <v>3682</v>
      </c>
      <c r="B28" t="s">
        <v>3683</v>
      </c>
      <c r="C28" t="s">
        <v>3670</v>
      </c>
      <c r="D28" t="s">
        <v>1212</v>
      </c>
      <c r="E28" t="s">
        <v>3170</v>
      </c>
      <c r="F28" t="s">
        <v>3673</v>
      </c>
      <c r="G28">
        <v>66.239999999999995</v>
      </c>
      <c r="H28">
        <v>809.96</v>
      </c>
      <c r="I28">
        <v>48497.59</v>
      </c>
      <c r="J28">
        <v>53650.22</v>
      </c>
      <c r="K28">
        <v>4.43</v>
      </c>
      <c r="L28">
        <v>5152.63</v>
      </c>
      <c r="M28">
        <v>10.62</v>
      </c>
      <c r="N28">
        <v>32.06</v>
      </c>
      <c r="O28" s="41">
        <v>44935</v>
      </c>
    </row>
    <row r="29" spans="1:15" x14ac:dyDescent="0.25">
      <c r="A29" t="s">
        <v>785</v>
      </c>
      <c r="B29" t="s">
        <v>3684</v>
      </c>
      <c r="C29" t="s">
        <v>1511</v>
      </c>
      <c r="D29" t="s">
        <v>3685</v>
      </c>
      <c r="E29" t="s">
        <v>3672</v>
      </c>
      <c r="F29" t="s">
        <v>3673</v>
      </c>
      <c r="G29">
        <v>24.16</v>
      </c>
      <c r="H29">
        <v>651.66</v>
      </c>
      <c r="I29">
        <v>12999.36</v>
      </c>
      <c r="J29">
        <v>15744.15</v>
      </c>
      <c r="K29">
        <v>1.3</v>
      </c>
      <c r="L29">
        <v>2744.79</v>
      </c>
      <c r="M29">
        <v>21.11</v>
      </c>
      <c r="N29">
        <v>7.14</v>
      </c>
      <c r="O29" s="41">
        <v>44060</v>
      </c>
    </row>
    <row r="30" spans="1:15" x14ac:dyDescent="0.25">
      <c r="A30" t="s">
        <v>783</v>
      </c>
      <c r="B30" t="s">
        <v>3684</v>
      </c>
      <c r="C30" t="s">
        <v>3670</v>
      </c>
      <c r="D30" t="s">
        <v>3686</v>
      </c>
      <c r="E30" t="s">
        <v>3672</v>
      </c>
      <c r="F30" t="s">
        <v>3673</v>
      </c>
      <c r="G30">
        <v>370</v>
      </c>
      <c r="H30">
        <v>939.46</v>
      </c>
      <c r="I30">
        <v>234990.39</v>
      </c>
      <c r="J30">
        <v>347602.26</v>
      </c>
      <c r="K30">
        <v>28.67</v>
      </c>
      <c r="L30">
        <v>112611.88</v>
      </c>
      <c r="M30">
        <v>47.92</v>
      </c>
      <c r="N30">
        <v>18.03</v>
      </c>
      <c r="O30" s="41">
        <v>43346</v>
      </c>
    </row>
    <row r="31" spans="1:15" x14ac:dyDescent="0.25">
      <c r="A31" t="s">
        <v>3687</v>
      </c>
      <c r="B31" t="s">
        <v>3684</v>
      </c>
      <c r="C31" t="s">
        <v>3670</v>
      </c>
      <c r="D31" t="s">
        <v>3688</v>
      </c>
      <c r="E31" t="s">
        <v>3672</v>
      </c>
      <c r="F31" t="s">
        <v>3673</v>
      </c>
      <c r="G31">
        <v>128.9</v>
      </c>
      <c r="H31">
        <v>1400.07</v>
      </c>
      <c r="I31">
        <v>123274.45</v>
      </c>
      <c r="J31">
        <v>180465.72</v>
      </c>
      <c r="K31">
        <v>14.89</v>
      </c>
      <c r="L31">
        <v>57191.27</v>
      </c>
      <c r="M31">
        <v>46.39</v>
      </c>
      <c r="N31">
        <v>28.77</v>
      </c>
      <c r="O31" s="41">
        <v>44441</v>
      </c>
    </row>
    <row r="32" spans="1:15" x14ac:dyDescent="0.25">
      <c r="A32" t="s">
        <v>1429</v>
      </c>
      <c r="B32" t="s">
        <v>3684</v>
      </c>
      <c r="C32" t="s">
        <v>3670</v>
      </c>
      <c r="D32" t="s">
        <v>3689</v>
      </c>
      <c r="E32" t="s">
        <v>3672</v>
      </c>
      <c r="F32" t="s">
        <v>3673</v>
      </c>
      <c r="G32">
        <v>160.78</v>
      </c>
      <c r="H32">
        <v>507.28</v>
      </c>
      <c r="I32">
        <v>64996.69</v>
      </c>
      <c r="J32">
        <v>81561.259999999995</v>
      </c>
      <c r="K32">
        <v>6.73</v>
      </c>
      <c r="L32">
        <v>16564.57</v>
      </c>
      <c r="M32">
        <v>25.49</v>
      </c>
      <c r="N32">
        <v>21.46</v>
      </c>
      <c r="O32" s="41">
        <v>44455</v>
      </c>
    </row>
    <row r="33" spans="1:15" x14ac:dyDescent="0.25">
      <c r="A33" s="157" t="s">
        <v>3690</v>
      </c>
      <c r="B33" s="157"/>
      <c r="C33" s="157"/>
      <c r="D33" s="157"/>
      <c r="E33" s="157"/>
      <c r="F33" s="157"/>
      <c r="G33" s="157"/>
      <c r="H33" s="157"/>
      <c r="I33" s="157">
        <v>838879.43</v>
      </c>
      <c r="J33" s="157">
        <v>1212362.1000000001</v>
      </c>
      <c r="K33" s="157">
        <v>100</v>
      </c>
      <c r="L33" s="157">
        <v>373482.66</v>
      </c>
      <c r="M33" s="157">
        <v>44.52</v>
      </c>
      <c r="N33" s="157"/>
      <c r="O33" s="15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"/>
  <sheetViews>
    <sheetView workbookViewId="0">
      <selection activeCell="H15" sqref="H15"/>
    </sheetView>
  </sheetViews>
  <sheetFormatPr defaultColWidth="8.85546875" defaultRowHeight="15" x14ac:dyDescent="0.25"/>
  <cols>
    <col min="1" max="1" width="6.140625" style="8" bestFit="1" customWidth="1"/>
    <col min="2" max="2" width="7.5703125" style="8" bestFit="1" customWidth="1"/>
    <col min="3" max="3" width="19.140625" style="8" customWidth="1"/>
    <col min="4" max="4" width="27.7109375" style="8" bestFit="1" customWidth="1"/>
    <col min="5" max="5" width="12.28515625" style="8" bestFit="1" customWidth="1"/>
    <col min="6" max="6" width="9.42578125" style="8" bestFit="1" customWidth="1"/>
    <col min="7" max="7" width="11.140625" style="8" bestFit="1" customWidth="1"/>
    <col min="8" max="8" width="5.85546875" style="8" bestFit="1" customWidth="1"/>
    <col min="9" max="9" width="13.28515625" style="8" bestFit="1" customWidth="1"/>
    <col min="10" max="10" width="16.28515625" style="8" bestFit="1" customWidth="1"/>
    <col min="11" max="11" width="2.5703125" style="8" customWidth="1"/>
    <col min="12" max="12" width="16.28515625" style="8" bestFit="1" customWidth="1"/>
    <col min="13" max="13" width="7" style="8" bestFit="1" customWidth="1"/>
    <col min="14" max="15" width="8.85546875" style="8"/>
    <col min="16" max="16" width="11" style="8" bestFit="1" customWidth="1"/>
    <col min="17" max="16384" width="8.85546875" style="8"/>
  </cols>
  <sheetData>
    <row r="1" spans="1:13" x14ac:dyDescent="0.25">
      <c r="A1" s="24" t="s">
        <v>364</v>
      </c>
      <c r="B1" s="24" t="s">
        <v>339</v>
      </c>
      <c r="C1" s="24" t="s">
        <v>363</v>
      </c>
      <c r="D1" s="24" t="s">
        <v>365</v>
      </c>
      <c r="E1" s="24" t="s">
        <v>366</v>
      </c>
      <c r="F1" s="24" t="s">
        <v>357</v>
      </c>
      <c r="G1" s="24" t="s">
        <v>358</v>
      </c>
      <c r="H1" s="24" t="s">
        <v>359</v>
      </c>
      <c r="I1" s="24" t="s">
        <v>367</v>
      </c>
      <c r="J1" s="24" t="s">
        <v>368</v>
      </c>
      <c r="K1" s="24" t="s">
        <v>369</v>
      </c>
      <c r="L1" s="24" t="s">
        <v>370</v>
      </c>
      <c r="M1" s="24" t="s">
        <v>8</v>
      </c>
    </row>
    <row r="2" spans="1:13" x14ac:dyDescent="0.25">
      <c r="A2" s="11">
        <v>0</v>
      </c>
      <c r="B2" s="29" t="s">
        <v>371</v>
      </c>
      <c r="C2" s="30">
        <v>33436074337</v>
      </c>
      <c r="D2" s="30" t="s">
        <v>361</v>
      </c>
      <c r="E2" s="31">
        <v>41586</v>
      </c>
      <c r="F2" s="63">
        <v>7.0999999999999994E-2</v>
      </c>
      <c r="G2" s="32">
        <v>0</v>
      </c>
      <c r="H2" s="32">
        <v>15</v>
      </c>
      <c r="I2" s="33">
        <f t="shared" ref="I2" si="0">E2+(H2*365.25)</f>
        <v>47064.75</v>
      </c>
      <c r="J2" s="34">
        <f>L2</f>
        <v>428312</v>
      </c>
      <c r="K2" s="35"/>
      <c r="L2" s="36">
        <v>428312</v>
      </c>
      <c r="M2" s="11" t="s">
        <v>362</v>
      </c>
    </row>
    <row r="3" spans="1:13" x14ac:dyDescent="0.25">
      <c r="A3" s="11">
        <v>1</v>
      </c>
      <c r="B3" s="29" t="s">
        <v>360</v>
      </c>
      <c r="C3" s="30">
        <v>43971647953</v>
      </c>
      <c r="D3" s="30" t="s">
        <v>361</v>
      </c>
      <c r="E3" s="31">
        <v>45751</v>
      </c>
      <c r="F3" s="63">
        <v>7.2499999999999995E-2</v>
      </c>
      <c r="G3" s="32">
        <v>0</v>
      </c>
      <c r="H3" s="32">
        <v>1</v>
      </c>
      <c r="I3" s="33">
        <f>E3+444</f>
        <v>46195</v>
      </c>
      <c r="J3" s="169">
        <v>873085</v>
      </c>
      <c r="K3" s="35"/>
      <c r="L3" s="34">
        <v>800000</v>
      </c>
      <c r="M3" s="11" t="s">
        <v>362</v>
      </c>
    </row>
    <row r="4" spans="1:13" x14ac:dyDescent="0.25">
      <c r="A4" s="11">
        <v>2</v>
      </c>
      <c r="B4" s="29" t="s">
        <v>360</v>
      </c>
      <c r="C4" s="30">
        <v>43971669217</v>
      </c>
      <c r="D4" s="30" t="s">
        <v>361</v>
      </c>
      <c r="E4" s="31">
        <v>45751</v>
      </c>
      <c r="F4" s="63">
        <v>7.2499999999999995E-2</v>
      </c>
      <c r="G4" s="32">
        <v>0</v>
      </c>
      <c r="H4" s="32">
        <v>1</v>
      </c>
      <c r="I4" s="33">
        <f t="shared" ref="I4:I5" si="1">E4+444</f>
        <v>46195</v>
      </c>
      <c r="J4" s="169">
        <v>1091356</v>
      </c>
      <c r="K4" s="35"/>
      <c r="L4" s="34">
        <v>1000000</v>
      </c>
      <c r="M4" s="11" t="s">
        <v>362</v>
      </c>
    </row>
    <row r="5" spans="1:13" x14ac:dyDescent="0.25">
      <c r="A5" s="11">
        <v>3</v>
      </c>
      <c r="B5" s="29" t="s">
        <v>360</v>
      </c>
      <c r="C5" s="30">
        <v>43971646223</v>
      </c>
      <c r="D5" s="30" t="s">
        <v>361</v>
      </c>
      <c r="E5" s="31">
        <v>45751</v>
      </c>
      <c r="F5" s="63">
        <v>7.2499999999999995E-2</v>
      </c>
      <c r="G5" s="32">
        <v>0</v>
      </c>
      <c r="H5" s="32">
        <v>1</v>
      </c>
      <c r="I5" s="33">
        <f t="shared" si="1"/>
        <v>46195</v>
      </c>
      <c r="J5" s="169">
        <v>1309627</v>
      </c>
      <c r="K5" s="35"/>
      <c r="L5" s="34">
        <v>1200000</v>
      </c>
      <c r="M5" s="11" t="s">
        <v>362</v>
      </c>
    </row>
    <row r="6" spans="1:13" x14ac:dyDescent="0.25">
      <c r="A6" s="11">
        <v>7</v>
      </c>
      <c r="B6" s="29" t="s">
        <v>1126</v>
      </c>
      <c r="C6" s="30">
        <v>39435504915</v>
      </c>
      <c r="D6" s="30" t="s">
        <v>361</v>
      </c>
      <c r="E6" s="31">
        <v>44307</v>
      </c>
      <c r="F6" s="63">
        <v>2.7E-2</v>
      </c>
      <c r="G6" s="32">
        <v>0</v>
      </c>
      <c r="H6" s="32">
        <v>10</v>
      </c>
      <c r="I6" s="33">
        <f t="shared" ref="I6:I8" si="2">E6+(H6*365.25)</f>
        <v>47959.5</v>
      </c>
      <c r="J6" s="34">
        <v>0</v>
      </c>
      <c r="K6" s="35"/>
      <c r="L6" s="36">
        <f>J6</f>
        <v>0</v>
      </c>
      <c r="M6" s="11" t="s">
        <v>362</v>
      </c>
    </row>
    <row r="7" spans="1:13" x14ac:dyDescent="0.25">
      <c r="A7" s="11">
        <v>8</v>
      </c>
      <c r="B7" s="29" t="s">
        <v>1382</v>
      </c>
      <c r="C7" s="30">
        <v>20181220065</v>
      </c>
      <c r="D7" s="30" t="s">
        <v>361</v>
      </c>
      <c r="E7" s="31">
        <v>44307</v>
      </c>
      <c r="F7" s="63">
        <v>2.7E-2</v>
      </c>
      <c r="G7" s="32">
        <v>0</v>
      </c>
      <c r="H7" s="32">
        <v>10</v>
      </c>
      <c r="I7" s="33">
        <f t="shared" si="2"/>
        <v>47959.5</v>
      </c>
      <c r="J7" s="34">
        <v>0</v>
      </c>
      <c r="K7" s="35"/>
      <c r="L7" s="36">
        <f t="shared" ref="L7:L8" si="3">J7</f>
        <v>0</v>
      </c>
      <c r="M7" s="11" t="s">
        <v>362</v>
      </c>
    </row>
    <row r="8" spans="1:13" x14ac:dyDescent="0.25">
      <c r="A8" s="11">
        <v>9</v>
      </c>
      <c r="B8" s="29" t="s">
        <v>302</v>
      </c>
      <c r="C8" s="140">
        <v>6126000100002240</v>
      </c>
      <c r="D8" s="30" t="s">
        <v>361</v>
      </c>
      <c r="E8" s="31">
        <v>44533</v>
      </c>
      <c r="F8" s="63">
        <v>0</v>
      </c>
      <c r="G8" s="32">
        <v>0</v>
      </c>
      <c r="H8" s="32">
        <v>10</v>
      </c>
      <c r="I8" s="33">
        <f t="shared" si="2"/>
        <v>48185.5</v>
      </c>
      <c r="J8" s="34">
        <v>0</v>
      </c>
      <c r="K8" s="35"/>
      <c r="L8" s="36">
        <f t="shared" si="3"/>
        <v>0</v>
      </c>
      <c r="M8" s="11" t="s">
        <v>1580</v>
      </c>
    </row>
  </sheetData>
  <autoFilter ref="A1:M8" xr:uid="{00000000-0009-0000-0000-000004000000}"/>
  <conditionalFormatting sqref="C1:C1048576">
    <cfRule type="duplicateValues" dxfId="6" priority="5308"/>
    <cfRule type="duplicateValues" dxfId="5" priority="5309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0"/>
  <sheetViews>
    <sheetView workbookViewId="0">
      <pane ySplit="1" topLeftCell="A68" activePane="bottomLeft" state="frozen"/>
      <selection pane="bottomLeft" activeCell="P82" sqref="P82"/>
    </sheetView>
  </sheetViews>
  <sheetFormatPr defaultColWidth="8.85546875" defaultRowHeight="15" x14ac:dyDescent="0.25"/>
  <cols>
    <col min="1" max="1" width="15.7109375" bestFit="1" customWidth="1"/>
    <col min="2" max="2" width="20.85546875" bestFit="1" customWidth="1"/>
    <col min="3" max="3" width="12.28515625" bestFit="1" customWidth="1"/>
    <col min="4" max="4" width="18.85546875" bestFit="1" customWidth="1"/>
    <col min="5" max="6" width="15.7109375" bestFit="1" customWidth="1"/>
    <col min="7" max="7" width="15.7109375" customWidth="1"/>
    <col min="8" max="8" width="12.140625" bestFit="1" customWidth="1"/>
    <col min="9" max="9" width="14.7109375" bestFit="1" customWidth="1"/>
    <col min="10" max="10" width="8.42578125" bestFit="1" customWidth="1"/>
    <col min="12" max="12" width="10.5703125" bestFit="1" customWidth="1"/>
  </cols>
  <sheetData>
    <row r="1" spans="1:10" x14ac:dyDescent="0.25">
      <c r="A1" s="24" t="s">
        <v>380</v>
      </c>
      <c r="B1" s="24" t="s">
        <v>372</v>
      </c>
      <c r="C1" s="24" t="s">
        <v>373</v>
      </c>
      <c r="D1" s="24" t="s">
        <v>374</v>
      </c>
      <c r="E1" s="24" t="s">
        <v>376</v>
      </c>
      <c r="F1" s="24" t="s">
        <v>379</v>
      </c>
      <c r="G1" s="24" t="s">
        <v>381</v>
      </c>
      <c r="H1" s="24" t="s">
        <v>375</v>
      </c>
      <c r="I1" s="24" t="s">
        <v>377</v>
      </c>
      <c r="J1" s="24" t="s">
        <v>378</v>
      </c>
    </row>
    <row r="2" spans="1:10" x14ac:dyDescent="0.25">
      <c r="A2" s="42">
        <v>234397289</v>
      </c>
      <c r="B2" s="43">
        <v>39627</v>
      </c>
      <c r="C2" s="43">
        <v>39627</v>
      </c>
      <c r="D2" s="44">
        <v>2347</v>
      </c>
      <c r="E2" s="43">
        <v>39627</v>
      </c>
      <c r="F2" s="44">
        <v>2347</v>
      </c>
      <c r="G2" s="44">
        <f>F2</f>
        <v>2347</v>
      </c>
      <c r="H2" s="45">
        <v>0</v>
      </c>
      <c r="I2" s="42">
        <v>200000</v>
      </c>
      <c r="J2" s="37">
        <v>2085.1063829787236</v>
      </c>
    </row>
    <row r="3" spans="1:10" x14ac:dyDescent="0.25">
      <c r="A3" s="42">
        <v>234397289</v>
      </c>
      <c r="B3" s="43">
        <v>39627</v>
      </c>
      <c r="C3" s="43">
        <v>39719</v>
      </c>
      <c r="D3" s="44">
        <v>2347</v>
      </c>
      <c r="E3" s="43">
        <v>39719</v>
      </c>
      <c r="F3" s="44">
        <v>2347</v>
      </c>
      <c r="G3" s="44">
        <f t="shared" ref="G3:G34" si="0">G2+F3</f>
        <v>4694</v>
      </c>
      <c r="H3" s="45">
        <v>0</v>
      </c>
      <c r="I3" s="42">
        <v>200000</v>
      </c>
      <c r="J3" s="37">
        <v>4170.2127659574471</v>
      </c>
    </row>
    <row r="4" spans="1:10" x14ac:dyDescent="0.25">
      <c r="A4" s="42">
        <v>234397289</v>
      </c>
      <c r="B4" s="43">
        <v>39627</v>
      </c>
      <c r="C4" s="43">
        <v>39810</v>
      </c>
      <c r="D4" s="44">
        <v>2347</v>
      </c>
      <c r="E4" s="43">
        <v>39810</v>
      </c>
      <c r="F4" s="44">
        <v>2347</v>
      </c>
      <c r="G4" s="44">
        <f t="shared" si="0"/>
        <v>7041</v>
      </c>
      <c r="H4" s="45">
        <v>0</v>
      </c>
      <c r="I4" s="42">
        <v>200000</v>
      </c>
      <c r="J4" s="37">
        <v>6255.3191489361707</v>
      </c>
    </row>
    <row r="5" spans="1:10" x14ac:dyDescent="0.25">
      <c r="A5" s="42">
        <v>234397289</v>
      </c>
      <c r="B5" s="43">
        <v>39627</v>
      </c>
      <c r="C5" s="43">
        <v>39900</v>
      </c>
      <c r="D5" s="44">
        <v>2347</v>
      </c>
      <c r="E5" s="43">
        <v>39900</v>
      </c>
      <c r="F5" s="44">
        <v>2347</v>
      </c>
      <c r="G5" s="44">
        <f t="shared" si="0"/>
        <v>9388</v>
      </c>
      <c r="H5" s="45">
        <v>0</v>
      </c>
      <c r="I5" s="42">
        <v>200000</v>
      </c>
      <c r="J5" s="37">
        <v>8340.4255319148942</v>
      </c>
    </row>
    <row r="6" spans="1:10" x14ac:dyDescent="0.25">
      <c r="A6" s="42">
        <v>234397289</v>
      </c>
      <c r="B6" s="43">
        <v>39627</v>
      </c>
      <c r="C6" s="43">
        <v>39992</v>
      </c>
      <c r="D6" s="44">
        <v>2347</v>
      </c>
      <c r="E6" s="43">
        <v>39992</v>
      </c>
      <c r="F6" s="44">
        <v>2347</v>
      </c>
      <c r="G6" s="44">
        <f t="shared" si="0"/>
        <v>11735</v>
      </c>
      <c r="H6" s="45">
        <v>0</v>
      </c>
      <c r="I6" s="42">
        <v>200000</v>
      </c>
      <c r="J6" s="37">
        <v>10425.531914893618</v>
      </c>
    </row>
    <row r="7" spans="1:10" x14ac:dyDescent="0.25">
      <c r="A7" s="42">
        <v>234397289</v>
      </c>
      <c r="B7" s="43">
        <v>39627</v>
      </c>
      <c r="C7" s="43">
        <v>40084</v>
      </c>
      <c r="D7" s="44">
        <v>2347</v>
      </c>
      <c r="E7" s="43">
        <v>40084</v>
      </c>
      <c r="F7" s="44">
        <v>2347</v>
      </c>
      <c r="G7" s="44">
        <f t="shared" si="0"/>
        <v>14082</v>
      </c>
      <c r="H7" s="45">
        <v>0</v>
      </c>
      <c r="I7" s="42">
        <v>200000</v>
      </c>
      <c r="J7" s="37">
        <v>12510.638297872341</v>
      </c>
    </row>
    <row r="8" spans="1:10" x14ac:dyDescent="0.25">
      <c r="A8" s="42">
        <v>234397289</v>
      </c>
      <c r="B8" s="43">
        <v>39627</v>
      </c>
      <c r="C8" s="43">
        <v>40175</v>
      </c>
      <c r="D8" s="44">
        <v>2347</v>
      </c>
      <c r="E8" s="43">
        <v>40175</v>
      </c>
      <c r="F8" s="44">
        <v>2347</v>
      </c>
      <c r="G8" s="44">
        <f t="shared" si="0"/>
        <v>16429</v>
      </c>
      <c r="H8" s="45">
        <v>0</v>
      </c>
      <c r="I8" s="42">
        <v>200000</v>
      </c>
      <c r="J8" s="37">
        <v>14595.744680851065</v>
      </c>
    </row>
    <row r="9" spans="1:10" x14ac:dyDescent="0.25">
      <c r="A9" s="42">
        <v>234397289</v>
      </c>
      <c r="B9" s="43">
        <v>39627</v>
      </c>
      <c r="C9" s="43">
        <v>40265</v>
      </c>
      <c r="D9" s="44">
        <v>2347</v>
      </c>
      <c r="E9" s="43">
        <v>40265</v>
      </c>
      <c r="F9" s="44">
        <v>2347</v>
      </c>
      <c r="G9" s="44">
        <f t="shared" si="0"/>
        <v>18776</v>
      </c>
      <c r="H9" s="45">
        <v>0</v>
      </c>
      <c r="I9" s="42">
        <v>200000</v>
      </c>
      <c r="J9" s="37">
        <v>16680.851063829788</v>
      </c>
    </row>
    <row r="10" spans="1:10" x14ac:dyDescent="0.25">
      <c r="A10" s="42">
        <v>234397289</v>
      </c>
      <c r="B10" s="43">
        <v>39627</v>
      </c>
      <c r="C10" s="43">
        <v>40357</v>
      </c>
      <c r="D10" s="44">
        <v>2347</v>
      </c>
      <c r="E10" s="43">
        <v>40357</v>
      </c>
      <c r="F10" s="44">
        <v>2347</v>
      </c>
      <c r="G10" s="44">
        <f t="shared" si="0"/>
        <v>21123</v>
      </c>
      <c r="H10" s="45">
        <v>0</v>
      </c>
      <c r="I10" s="42">
        <v>200000</v>
      </c>
      <c r="J10" s="37">
        <v>18765.957446808512</v>
      </c>
    </row>
    <row r="11" spans="1:10" x14ac:dyDescent="0.25">
      <c r="A11" s="42">
        <v>234397289</v>
      </c>
      <c r="B11" s="43">
        <v>39627</v>
      </c>
      <c r="C11" s="43">
        <v>40449</v>
      </c>
      <c r="D11" s="44">
        <v>2347</v>
      </c>
      <c r="E11" s="43">
        <v>40449</v>
      </c>
      <c r="F11" s="44">
        <v>2347</v>
      </c>
      <c r="G11" s="44">
        <f t="shared" si="0"/>
        <v>23470</v>
      </c>
      <c r="H11" s="45">
        <v>0</v>
      </c>
      <c r="I11" s="42">
        <v>200000</v>
      </c>
      <c r="J11" s="37">
        <v>20851.063829787236</v>
      </c>
    </row>
    <row r="12" spans="1:10" x14ac:dyDescent="0.25">
      <c r="A12" s="42">
        <v>234397289</v>
      </c>
      <c r="B12" s="43">
        <v>39627</v>
      </c>
      <c r="C12" s="43">
        <v>40540</v>
      </c>
      <c r="D12" s="44">
        <v>2347</v>
      </c>
      <c r="E12" s="43">
        <v>40540</v>
      </c>
      <c r="F12" s="44">
        <v>2347</v>
      </c>
      <c r="G12" s="44">
        <f t="shared" si="0"/>
        <v>25817</v>
      </c>
      <c r="H12" s="45">
        <v>0</v>
      </c>
      <c r="I12" s="42">
        <v>200000</v>
      </c>
      <c r="J12" s="37">
        <v>22936.170212765959</v>
      </c>
    </row>
    <row r="13" spans="1:10" x14ac:dyDescent="0.25">
      <c r="A13" s="42">
        <v>234397289</v>
      </c>
      <c r="B13" s="43">
        <v>39627</v>
      </c>
      <c r="C13" s="43">
        <v>40630</v>
      </c>
      <c r="D13" s="44">
        <v>2347</v>
      </c>
      <c r="E13" s="43">
        <v>40630</v>
      </c>
      <c r="F13" s="44">
        <v>2347</v>
      </c>
      <c r="G13" s="44">
        <f t="shared" si="0"/>
        <v>28164</v>
      </c>
      <c r="H13" s="45">
        <v>0</v>
      </c>
      <c r="I13" s="42">
        <v>200000</v>
      </c>
      <c r="J13" s="37">
        <v>25021.276595744683</v>
      </c>
    </row>
    <row r="14" spans="1:10" x14ac:dyDescent="0.25">
      <c r="A14" s="42">
        <v>234397289</v>
      </c>
      <c r="B14" s="43">
        <v>39627</v>
      </c>
      <c r="C14" s="43">
        <v>40722</v>
      </c>
      <c r="D14" s="44">
        <v>2347</v>
      </c>
      <c r="E14" s="43">
        <v>40722</v>
      </c>
      <c r="F14" s="44">
        <v>2347</v>
      </c>
      <c r="G14" s="44">
        <f t="shared" si="0"/>
        <v>30511</v>
      </c>
      <c r="H14" s="45">
        <v>0</v>
      </c>
      <c r="I14" s="42">
        <v>200000</v>
      </c>
      <c r="J14" s="37">
        <v>27106.382978723406</v>
      </c>
    </row>
    <row r="15" spans="1:10" x14ac:dyDescent="0.25">
      <c r="A15" s="42">
        <v>234397289</v>
      </c>
      <c r="B15" s="43">
        <v>39627</v>
      </c>
      <c r="C15" s="43">
        <v>40814</v>
      </c>
      <c r="D15" s="44">
        <v>2347</v>
      </c>
      <c r="E15" s="43">
        <v>40814</v>
      </c>
      <c r="F15" s="44">
        <v>2347</v>
      </c>
      <c r="G15" s="44">
        <f t="shared" si="0"/>
        <v>32858</v>
      </c>
      <c r="H15" s="45">
        <v>0</v>
      </c>
      <c r="I15" s="42">
        <v>200000</v>
      </c>
      <c r="J15" s="37">
        <v>29191.48936170213</v>
      </c>
    </row>
    <row r="16" spans="1:10" x14ac:dyDescent="0.25">
      <c r="A16" s="42">
        <v>234397289</v>
      </c>
      <c r="B16" s="43">
        <v>39627</v>
      </c>
      <c r="C16" s="43">
        <v>40905</v>
      </c>
      <c r="D16" s="44">
        <v>2347</v>
      </c>
      <c r="E16" s="43">
        <v>40905</v>
      </c>
      <c r="F16" s="44">
        <v>2347</v>
      </c>
      <c r="G16" s="44">
        <f t="shared" si="0"/>
        <v>35205</v>
      </c>
      <c r="H16" s="45">
        <v>0</v>
      </c>
      <c r="I16" s="42">
        <v>200000</v>
      </c>
      <c r="J16" s="37">
        <v>31276.595744680853</v>
      </c>
    </row>
    <row r="17" spans="1:10" x14ac:dyDescent="0.25">
      <c r="A17" s="42">
        <v>234397289</v>
      </c>
      <c r="B17" s="43">
        <v>39627</v>
      </c>
      <c r="C17" s="43">
        <v>40995</v>
      </c>
      <c r="D17" s="44">
        <v>2347</v>
      </c>
      <c r="E17" s="43">
        <v>40995</v>
      </c>
      <c r="F17" s="44">
        <v>2347</v>
      </c>
      <c r="G17" s="44">
        <f t="shared" si="0"/>
        <v>37552</v>
      </c>
      <c r="H17" s="45">
        <v>0</v>
      </c>
      <c r="I17" s="42">
        <v>200000</v>
      </c>
      <c r="J17" s="37">
        <v>33361.702127659577</v>
      </c>
    </row>
    <row r="18" spans="1:10" x14ac:dyDescent="0.25">
      <c r="A18" s="42">
        <v>234397289</v>
      </c>
      <c r="B18" s="43">
        <v>39627</v>
      </c>
      <c r="C18" s="43">
        <v>41088</v>
      </c>
      <c r="D18" s="44">
        <v>2347</v>
      </c>
      <c r="E18" s="43">
        <v>41088</v>
      </c>
      <c r="F18" s="44">
        <v>2347</v>
      </c>
      <c r="G18" s="44">
        <f t="shared" si="0"/>
        <v>39899</v>
      </c>
      <c r="H18" s="45">
        <v>0</v>
      </c>
      <c r="I18" s="42">
        <v>200000</v>
      </c>
      <c r="J18" s="37">
        <v>35446.808510638301</v>
      </c>
    </row>
    <row r="19" spans="1:10" x14ac:dyDescent="0.25">
      <c r="A19" s="42">
        <v>234397289</v>
      </c>
      <c r="B19" s="43">
        <v>39627</v>
      </c>
      <c r="C19" s="43">
        <v>41180</v>
      </c>
      <c r="D19" s="44">
        <v>2347</v>
      </c>
      <c r="E19" s="43">
        <v>41180</v>
      </c>
      <c r="F19" s="44">
        <v>2347</v>
      </c>
      <c r="G19" s="44">
        <f t="shared" si="0"/>
        <v>42246</v>
      </c>
      <c r="H19" s="45">
        <v>0</v>
      </c>
      <c r="I19" s="42">
        <v>200000</v>
      </c>
      <c r="J19" s="37">
        <v>37531.914893617024</v>
      </c>
    </row>
    <row r="20" spans="1:10" x14ac:dyDescent="0.25">
      <c r="A20" s="42">
        <v>234397289</v>
      </c>
      <c r="B20" s="43">
        <v>39627</v>
      </c>
      <c r="C20" s="43">
        <v>41271</v>
      </c>
      <c r="D20" s="44">
        <v>2347</v>
      </c>
      <c r="E20" s="43">
        <v>41271</v>
      </c>
      <c r="F20" s="44">
        <v>2347</v>
      </c>
      <c r="G20" s="44">
        <f t="shared" si="0"/>
        <v>44593</v>
      </c>
      <c r="H20" s="45">
        <v>0</v>
      </c>
      <c r="I20" s="42">
        <v>200000</v>
      </c>
      <c r="J20" s="37">
        <v>39617.021276595748</v>
      </c>
    </row>
    <row r="21" spans="1:10" x14ac:dyDescent="0.25">
      <c r="A21" s="42">
        <v>234397289</v>
      </c>
      <c r="B21" s="43">
        <v>39627</v>
      </c>
      <c r="C21" s="43">
        <v>41361</v>
      </c>
      <c r="D21" s="44">
        <v>2347</v>
      </c>
      <c r="E21" s="43">
        <v>41361</v>
      </c>
      <c r="F21" s="44">
        <v>2347</v>
      </c>
      <c r="G21" s="44">
        <f t="shared" si="0"/>
        <v>46940</v>
      </c>
      <c r="H21" s="45">
        <v>0</v>
      </c>
      <c r="I21" s="42">
        <v>200000</v>
      </c>
      <c r="J21" s="37">
        <v>41702.127659574471</v>
      </c>
    </row>
    <row r="22" spans="1:10" x14ac:dyDescent="0.25">
      <c r="A22" s="42">
        <v>234397289</v>
      </c>
      <c r="B22" s="43">
        <v>39627</v>
      </c>
      <c r="C22" s="43">
        <v>41453</v>
      </c>
      <c r="D22" s="44">
        <v>2347</v>
      </c>
      <c r="E22" s="43">
        <v>41453</v>
      </c>
      <c r="F22" s="44">
        <v>2347</v>
      </c>
      <c r="G22" s="44">
        <f t="shared" si="0"/>
        <v>49287</v>
      </c>
      <c r="H22" s="45">
        <v>0</v>
      </c>
      <c r="I22" s="42">
        <v>200000</v>
      </c>
      <c r="J22" s="37">
        <v>43787.234042553195</v>
      </c>
    </row>
    <row r="23" spans="1:10" x14ac:dyDescent="0.25">
      <c r="A23" s="42">
        <v>234397289</v>
      </c>
      <c r="B23" s="43">
        <v>39627</v>
      </c>
      <c r="C23" s="43">
        <v>41545</v>
      </c>
      <c r="D23" s="44">
        <v>2347</v>
      </c>
      <c r="E23" s="43">
        <v>41545</v>
      </c>
      <c r="F23" s="44">
        <v>2347</v>
      </c>
      <c r="G23" s="44">
        <f t="shared" si="0"/>
        <v>51634</v>
      </c>
      <c r="H23" s="45">
        <v>0</v>
      </c>
      <c r="I23" s="42">
        <v>200000</v>
      </c>
      <c r="J23" s="37">
        <v>45872.340425531918</v>
      </c>
    </row>
    <row r="24" spans="1:10" x14ac:dyDescent="0.25">
      <c r="A24" s="42">
        <v>234397289</v>
      </c>
      <c r="B24" s="43">
        <v>39627</v>
      </c>
      <c r="C24" s="43">
        <v>41636</v>
      </c>
      <c r="D24" s="44">
        <v>2347</v>
      </c>
      <c r="E24" s="43">
        <v>41636</v>
      </c>
      <c r="F24" s="44">
        <v>2347</v>
      </c>
      <c r="G24" s="44">
        <f t="shared" si="0"/>
        <v>53981</v>
      </c>
      <c r="H24" s="45">
        <v>0</v>
      </c>
      <c r="I24" s="42">
        <v>200000</v>
      </c>
      <c r="J24" s="37">
        <v>47957.446808510642</v>
      </c>
    </row>
    <row r="25" spans="1:10" x14ac:dyDescent="0.25">
      <c r="A25" s="42">
        <v>234397289</v>
      </c>
      <c r="B25" s="43">
        <v>39627</v>
      </c>
      <c r="C25" s="43">
        <v>41726</v>
      </c>
      <c r="D25" s="44">
        <v>2347</v>
      </c>
      <c r="E25" s="43">
        <v>41726</v>
      </c>
      <c r="F25" s="44">
        <v>2347</v>
      </c>
      <c r="G25" s="44">
        <f t="shared" si="0"/>
        <v>56328</v>
      </c>
      <c r="H25" s="45">
        <v>0</v>
      </c>
      <c r="I25" s="42">
        <v>200000</v>
      </c>
      <c r="J25" s="37">
        <v>50042.553191489365</v>
      </c>
    </row>
    <row r="26" spans="1:10" x14ac:dyDescent="0.25">
      <c r="A26" s="42">
        <v>234397289</v>
      </c>
      <c r="B26" s="43">
        <v>39627</v>
      </c>
      <c r="C26" s="43">
        <v>41818</v>
      </c>
      <c r="D26" s="44">
        <v>2347</v>
      </c>
      <c r="E26" s="43">
        <v>41818</v>
      </c>
      <c r="F26" s="44">
        <v>2347</v>
      </c>
      <c r="G26" s="44">
        <f t="shared" si="0"/>
        <v>58675</v>
      </c>
      <c r="H26" s="45">
        <v>0</v>
      </c>
      <c r="I26" s="42">
        <v>200000</v>
      </c>
      <c r="J26" s="37">
        <v>52127.659574468089</v>
      </c>
    </row>
    <row r="27" spans="1:10" x14ac:dyDescent="0.25">
      <c r="A27" s="42">
        <v>117645635</v>
      </c>
      <c r="B27" s="43">
        <v>41834</v>
      </c>
      <c r="C27" s="43">
        <v>41834</v>
      </c>
      <c r="D27" s="44">
        <v>18966</v>
      </c>
      <c r="E27" s="43">
        <v>41834</v>
      </c>
      <c r="F27" s="38">
        <v>18966</v>
      </c>
      <c r="G27" s="44">
        <f t="shared" si="0"/>
        <v>77641</v>
      </c>
      <c r="H27" s="45">
        <v>427</v>
      </c>
      <c r="I27" s="12">
        <v>500000</v>
      </c>
      <c r="J27" s="37">
        <v>6708.333333333333</v>
      </c>
    </row>
    <row r="28" spans="1:10" x14ac:dyDescent="0.25">
      <c r="A28" s="42">
        <v>234397289</v>
      </c>
      <c r="B28" s="43">
        <v>39627</v>
      </c>
      <c r="C28" s="43">
        <v>41910</v>
      </c>
      <c r="D28" s="44">
        <v>2347</v>
      </c>
      <c r="E28" s="43">
        <v>41910</v>
      </c>
      <c r="F28" s="44">
        <v>2347</v>
      </c>
      <c r="G28" s="44">
        <f t="shared" si="0"/>
        <v>79988</v>
      </c>
      <c r="H28" s="45">
        <v>0</v>
      </c>
      <c r="I28" s="42">
        <v>200000</v>
      </c>
      <c r="J28" s="37">
        <v>54212.765957446813</v>
      </c>
    </row>
    <row r="29" spans="1:10" x14ac:dyDescent="0.25">
      <c r="A29" s="42">
        <v>234397289</v>
      </c>
      <c r="B29" s="43">
        <v>39627</v>
      </c>
      <c r="C29" s="43">
        <v>42001</v>
      </c>
      <c r="D29" s="44">
        <v>2347</v>
      </c>
      <c r="E29" s="43">
        <v>42001</v>
      </c>
      <c r="F29" s="44">
        <v>2347</v>
      </c>
      <c r="G29" s="44">
        <f t="shared" si="0"/>
        <v>82335</v>
      </c>
      <c r="H29" s="45">
        <v>0</v>
      </c>
      <c r="I29" s="42">
        <v>200000</v>
      </c>
      <c r="J29" s="37">
        <v>56297.872340425536</v>
      </c>
    </row>
    <row r="30" spans="1:10" x14ac:dyDescent="0.25">
      <c r="A30" s="42">
        <v>117645635</v>
      </c>
      <c r="B30" s="43">
        <v>41834</v>
      </c>
      <c r="C30" s="43">
        <v>42018</v>
      </c>
      <c r="D30" s="44">
        <v>18966</v>
      </c>
      <c r="E30" s="43">
        <v>41834</v>
      </c>
      <c r="F30" s="38">
        <v>18966</v>
      </c>
      <c r="G30" s="44">
        <f t="shared" si="0"/>
        <v>101301</v>
      </c>
      <c r="H30" s="45">
        <v>426.74</v>
      </c>
      <c r="I30" s="12">
        <v>500000</v>
      </c>
      <c r="J30" s="37">
        <v>13416.666666666666</v>
      </c>
    </row>
    <row r="31" spans="1:10" x14ac:dyDescent="0.25">
      <c r="A31" s="42">
        <v>234397289</v>
      </c>
      <c r="B31" s="43">
        <v>39627</v>
      </c>
      <c r="C31" s="43">
        <v>42091</v>
      </c>
      <c r="D31" s="44">
        <v>2347</v>
      </c>
      <c r="E31" s="43">
        <v>42091</v>
      </c>
      <c r="F31" s="44">
        <v>2347</v>
      </c>
      <c r="G31" s="44">
        <f t="shared" si="0"/>
        <v>103648</v>
      </c>
      <c r="H31" s="45">
        <v>0</v>
      </c>
      <c r="I31" s="42">
        <v>200000</v>
      </c>
      <c r="J31" s="37">
        <v>58382.97872340426</v>
      </c>
    </row>
    <row r="32" spans="1:10" x14ac:dyDescent="0.25">
      <c r="A32" s="42">
        <v>234397289</v>
      </c>
      <c r="B32" s="43">
        <v>39627</v>
      </c>
      <c r="C32" s="43">
        <v>42183</v>
      </c>
      <c r="D32" s="44">
        <v>2347</v>
      </c>
      <c r="E32" s="43">
        <v>42183</v>
      </c>
      <c r="F32" s="44">
        <v>2347</v>
      </c>
      <c r="G32" s="44">
        <f t="shared" si="0"/>
        <v>105995</v>
      </c>
      <c r="H32" s="45">
        <v>0</v>
      </c>
      <c r="I32" s="42">
        <v>200000</v>
      </c>
      <c r="J32" s="37">
        <v>60468.085106382983</v>
      </c>
    </row>
    <row r="33" spans="1:10" x14ac:dyDescent="0.25">
      <c r="A33" s="37">
        <v>117645635</v>
      </c>
      <c r="B33" s="43">
        <v>41834</v>
      </c>
      <c r="C33" s="39">
        <v>42199</v>
      </c>
      <c r="D33" s="38">
        <v>18966</v>
      </c>
      <c r="E33" s="43">
        <v>42199</v>
      </c>
      <c r="F33" s="38">
        <v>18966</v>
      </c>
      <c r="G33" s="44">
        <f t="shared" si="0"/>
        <v>124961</v>
      </c>
      <c r="H33" s="12">
        <v>426.74</v>
      </c>
      <c r="I33" s="12">
        <v>500000</v>
      </c>
      <c r="J33" s="37">
        <v>20125</v>
      </c>
    </row>
    <row r="34" spans="1:10" x14ac:dyDescent="0.25">
      <c r="A34" s="42">
        <v>234397289</v>
      </c>
      <c r="B34" s="43">
        <v>39627</v>
      </c>
      <c r="C34" s="43">
        <v>42275</v>
      </c>
      <c r="D34" s="44">
        <v>2347</v>
      </c>
      <c r="E34" s="43">
        <v>42275</v>
      </c>
      <c r="F34" s="44">
        <v>2347</v>
      </c>
      <c r="G34" s="44">
        <f t="shared" si="0"/>
        <v>127308</v>
      </c>
      <c r="H34" s="45">
        <v>0</v>
      </c>
      <c r="I34" s="42">
        <v>200000</v>
      </c>
      <c r="J34" s="37">
        <v>62553.191489361707</v>
      </c>
    </row>
    <row r="35" spans="1:10" x14ac:dyDescent="0.25">
      <c r="A35" s="42">
        <v>234397289</v>
      </c>
      <c r="B35" s="43">
        <v>39627</v>
      </c>
      <c r="C35" s="43">
        <v>42366</v>
      </c>
      <c r="D35" s="44">
        <v>2347</v>
      </c>
      <c r="E35" s="43">
        <v>42366</v>
      </c>
      <c r="F35" s="44">
        <v>2347</v>
      </c>
      <c r="G35" s="44">
        <f t="shared" ref="G35:G66" si="1">G34+F35</f>
        <v>129655</v>
      </c>
      <c r="H35" s="45">
        <v>0</v>
      </c>
      <c r="I35" s="42">
        <v>200000</v>
      </c>
      <c r="J35" s="37">
        <v>64638.29787234043</v>
      </c>
    </row>
    <row r="36" spans="1:10" x14ac:dyDescent="0.25">
      <c r="A36" s="37">
        <v>117645635</v>
      </c>
      <c r="B36" s="43">
        <v>41834</v>
      </c>
      <c r="C36" s="39">
        <v>42383</v>
      </c>
      <c r="D36" s="38">
        <v>18966</v>
      </c>
      <c r="E36" s="43">
        <v>42383</v>
      </c>
      <c r="F36" s="38">
        <v>18966</v>
      </c>
      <c r="G36" s="44">
        <f t="shared" si="1"/>
        <v>148621</v>
      </c>
      <c r="H36" s="12">
        <v>426.74</v>
      </c>
      <c r="I36" s="12">
        <v>500000</v>
      </c>
      <c r="J36" s="37">
        <v>26833.333333333332</v>
      </c>
    </row>
    <row r="37" spans="1:10" x14ac:dyDescent="0.25">
      <c r="A37" s="42">
        <v>234397289</v>
      </c>
      <c r="B37" s="43">
        <v>39627</v>
      </c>
      <c r="C37" s="43">
        <v>42456</v>
      </c>
      <c r="D37" s="44">
        <v>2347</v>
      </c>
      <c r="E37" s="43">
        <v>42456</v>
      </c>
      <c r="F37" s="44">
        <v>2347</v>
      </c>
      <c r="G37" s="44">
        <f t="shared" si="1"/>
        <v>150968</v>
      </c>
      <c r="H37" s="45">
        <v>0</v>
      </c>
      <c r="I37" s="42">
        <v>200000</v>
      </c>
      <c r="J37" s="37">
        <v>66723.404255319154</v>
      </c>
    </row>
    <row r="38" spans="1:10" x14ac:dyDescent="0.25">
      <c r="A38" s="42">
        <v>234397289</v>
      </c>
      <c r="B38" s="43">
        <v>39627</v>
      </c>
      <c r="C38" s="43">
        <v>42549</v>
      </c>
      <c r="D38" s="44">
        <v>2347</v>
      </c>
      <c r="E38" s="43">
        <v>42549</v>
      </c>
      <c r="F38" s="44">
        <v>2347</v>
      </c>
      <c r="G38" s="44">
        <f t="shared" si="1"/>
        <v>153315</v>
      </c>
      <c r="H38" s="45">
        <v>0</v>
      </c>
      <c r="I38" s="42">
        <v>200000</v>
      </c>
      <c r="J38" s="37">
        <v>68808.510638297885</v>
      </c>
    </row>
    <row r="39" spans="1:10" x14ac:dyDescent="0.25">
      <c r="A39" s="37">
        <v>117645635</v>
      </c>
      <c r="B39" s="43">
        <v>41834</v>
      </c>
      <c r="C39" s="39">
        <v>42565</v>
      </c>
      <c r="D39" s="38">
        <v>18966</v>
      </c>
      <c r="E39" s="43">
        <v>42564</v>
      </c>
      <c r="F39" s="38">
        <v>18966</v>
      </c>
      <c r="G39" s="44">
        <f t="shared" si="1"/>
        <v>172281</v>
      </c>
      <c r="H39" s="12">
        <v>426.74</v>
      </c>
      <c r="I39" s="12">
        <v>500000</v>
      </c>
      <c r="J39" s="37">
        <v>33541.666666666664</v>
      </c>
    </row>
    <row r="40" spans="1:10" x14ac:dyDescent="0.25">
      <c r="A40" s="42">
        <v>234397289</v>
      </c>
      <c r="B40" s="43">
        <v>39627</v>
      </c>
      <c r="C40" s="43">
        <v>42641</v>
      </c>
      <c r="D40" s="44">
        <v>2347</v>
      </c>
      <c r="E40" s="43">
        <v>42641</v>
      </c>
      <c r="F40" s="44">
        <v>2347</v>
      </c>
      <c r="G40" s="44">
        <f t="shared" si="1"/>
        <v>174628</v>
      </c>
      <c r="H40" s="45">
        <v>0</v>
      </c>
      <c r="I40" s="42">
        <v>200000</v>
      </c>
      <c r="J40" s="37">
        <v>70893.617021276616</v>
      </c>
    </row>
    <row r="41" spans="1:10" x14ac:dyDescent="0.25">
      <c r="A41" s="42">
        <v>234397289</v>
      </c>
      <c r="B41" s="43">
        <v>39627</v>
      </c>
      <c r="C41" s="43">
        <v>42732</v>
      </c>
      <c r="D41" s="44">
        <v>2347</v>
      </c>
      <c r="E41" s="43">
        <v>42732</v>
      </c>
      <c r="F41" s="44">
        <v>2347</v>
      </c>
      <c r="G41" s="44">
        <f t="shared" si="1"/>
        <v>176975</v>
      </c>
      <c r="H41" s="45">
        <v>0</v>
      </c>
      <c r="I41" s="42">
        <v>200000</v>
      </c>
      <c r="J41" s="37">
        <v>72978.723404255346</v>
      </c>
    </row>
    <row r="42" spans="1:10" x14ac:dyDescent="0.25">
      <c r="A42" s="37">
        <v>117645635</v>
      </c>
      <c r="B42" s="43">
        <v>41834</v>
      </c>
      <c r="C42" s="39">
        <v>42749</v>
      </c>
      <c r="D42" s="38">
        <v>18966</v>
      </c>
      <c r="E42" s="43">
        <v>42748</v>
      </c>
      <c r="F42" s="38">
        <v>18966</v>
      </c>
      <c r="G42" s="44">
        <f t="shared" si="1"/>
        <v>195941</v>
      </c>
      <c r="H42" s="12">
        <v>426.74</v>
      </c>
      <c r="I42" s="12">
        <v>500000</v>
      </c>
      <c r="J42" s="37">
        <v>40250</v>
      </c>
    </row>
    <row r="43" spans="1:10" x14ac:dyDescent="0.25">
      <c r="A43" s="42">
        <v>234397289</v>
      </c>
      <c r="B43" s="43">
        <v>39627</v>
      </c>
      <c r="C43" s="43">
        <v>42822</v>
      </c>
      <c r="D43" s="44">
        <v>2347</v>
      </c>
      <c r="E43" s="43">
        <v>42822</v>
      </c>
      <c r="F43" s="44">
        <v>2347</v>
      </c>
      <c r="G43" s="44">
        <f t="shared" si="1"/>
        <v>198288</v>
      </c>
      <c r="H43" s="45">
        <v>0</v>
      </c>
      <c r="I43" s="42">
        <v>200000</v>
      </c>
      <c r="J43" s="37">
        <v>75063.829787234077</v>
      </c>
    </row>
    <row r="44" spans="1:10" x14ac:dyDescent="0.25">
      <c r="A44" s="42">
        <v>234397289</v>
      </c>
      <c r="B44" s="43">
        <v>39627</v>
      </c>
      <c r="C44" s="43">
        <v>42914</v>
      </c>
      <c r="D44" s="44">
        <v>2347</v>
      </c>
      <c r="E44" s="43">
        <v>42887</v>
      </c>
      <c r="F44" s="44">
        <v>2347</v>
      </c>
      <c r="G44" s="44">
        <f t="shared" si="1"/>
        <v>200635</v>
      </c>
      <c r="H44" s="45">
        <v>0</v>
      </c>
      <c r="I44" s="42">
        <v>200000</v>
      </c>
      <c r="J44" s="37">
        <v>77148.936170212808</v>
      </c>
    </row>
    <row r="45" spans="1:10" x14ac:dyDescent="0.25">
      <c r="A45" s="37">
        <v>117645635</v>
      </c>
      <c r="B45" s="43">
        <v>41834</v>
      </c>
      <c r="C45" s="39">
        <v>42930</v>
      </c>
      <c r="D45" s="38">
        <v>18966</v>
      </c>
      <c r="E45" s="43">
        <v>42919</v>
      </c>
      <c r="F45" s="38">
        <v>18966</v>
      </c>
      <c r="G45" s="44">
        <f t="shared" si="1"/>
        <v>219601</v>
      </c>
      <c r="H45" s="12">
        <v>426.74</v>
      </c>
      <c r="I45" s="12">
        <v>500000</v>
      </c>
      <c r="J45" s="37">
        <v>46958.333333333336</v>
      </c>
    </row>
    <row r="46" spans="1:10" x14ac:dyDescent="0.25">
      <c r="A46" s="42">
        <v>234397289</v>
      </c>
      <c r="B46" s="43">
        <v>39627</v>
      </c>
      <c r="C46" s="43">
        <v>43006</v>
      </c>
      <c r="D46" s="44">
        <v>2347</v>
      </c>
      <c r="E46" s="43">
        <v>42987</v>
      </c>
      <c r="F46" s="44">
        <v>2347</v>
      </c>
      <c r="G46" s="44">
        <f t="shared" si="1"/>
        <v>221948</v>
      </c>
      <c r="H46" s="45">
        <v>0</v>
      </c>
      <c r="I46" s="42">
        <v>200000</v>
      </c>
      <c r="J46" s="37">
        <v>79234.042553191539</v>
      </c>
    </row>
    <row r="47" spans="1:10" x14ac:dyDescent="0.25">
      <c r="A47" s="42">
        <v>234397289</v>
      </c>
      <c r="B47" s="43">
        <v>39627</v>
      </c>
      <c r="C47" s="43">
        <v>43097</v>
      </c>
      <c r="D47" s="44">
        <v>2347</v>
      </c>
      <c r="E47" s="43">
        <v>43090</v>
      </c>
      <c r="F47" s="44">
        <v>2347</v>
      </c>
      <c r="G47" s="44">
        <f t="shared" si="1"/>
        <v>224295</v>
      </c>
      <c r="H47" s="45">
        <v>0</v>
      </c>
      <c r="I47" s="42">
        <v>200000</v>
      </c>
      <c r="J47" s="37">
        <v>81319.14893617027</v>
      </c>
    </row>
    <row r="48" spans="1:10" x14ac:dyDescent="0.25">
      <c r="A48" s="37">
        <v>117645635</v>
      </c>
      <c r="B48" s="43">
        <v>41834</v>
      </c>
      <c r="C48" s="39">
        <v>43114</v>
      </c>
      <c r="D48" s="38">
        <v>18966</v>
      </c>
      <c r="E48" s="43">
        <v>43104</v>
      </c>
      <c r="F48" s="38">
        <v>18966</v>
      </c>
      <c r="G48" s="44">
        <f t="shared" si="1"/>
        <v>243261</v>
      </c>
      <c r="H48" s="12">
        <v>426.74</v>
      </c>
      <c r="I48" s="12">
        <v>500000</v>
      </c>
      <c r="J48" s="37">
        <v>53666.666666666672</v>
      </c>
    </row>
    <row r="49" spans="1:11" x14ac:dyDescent="0.25">
      <c r="A49" s="42">
        <v>234397289</v>
      </c>
      <c r="B49" s="43">
        <v>39627</v>
      </c>
      <c r="C49" s="43">
        <v>43187</v>
      </c>
      <c r="D49" s="44">
        <v>2347</v>
      </c>
      <c r="E49" s="43">
        <v>43186</v>
      </c>
      <c r="F49" s="44">
        <v>2347</v>
      </c>
      <c r="G49" s="44">
        <f t="shared" si="1"/>
        <v>245608</v>
      </c>
      <c r="H49" s="45">
        <v>0</v>
      </c>
      <c r="I49" s="42">
        <v>200000</v>
      </c>
      <c r="J49" s="37">
        <v>83404.255319149001</v>
      </c>
    </row>
    <row r="50" spans="1:11" x14ac:dyDescent="0.25">
      <c r="A50" s="42">
        <v>234397289</v>
      </c>
      <c r="B50" s="43">
        <v>39627</v>
      </c>
      <c r="C50" s="43">
        <v>43279</v>
      </c>
      <c r="D50" s="44">
        <v>2347</v>
      </c>
      <c r="E50" s="43">
        <v>43263</v>
      </c>
      <c r="F50" s="44">
        <v>2347</v>
      </c>
      <c r="G50" s="44">
        <f t="shared" si="1"/>
        <v>247955</v>
      </c>
      <c r="H50" s="45">
        <v>0</v>
      </c>
      <c r="I50" s="42">
        <v>200000</v>
      </c>
      <c r="J50" s="37">
        <v>85489.361702127731</v>
      </c>
    </row>
    <row r="51" spans="1:11" x14ac:dyDescent="0.25">
      <c r="A51" s="37">
        <v>117645635</v>
      </c>
      <c r="B51" s="43">
        <v>41834</v>
      </c>
      <c r="C51" s="39">
        <v>43295</v>
      </c>
      <c r="D51" s="38">
        <v>18966</v>
      </c>
      <c r="E51" s="43">
        <v>43295</v>
      </c>
      <c r="F51" s="38">
        <v>18966</v>
      </c>
      <c r="G51" s="44">
        <f t="shared" si="1"/>
        <v>266921</v>
      </c>
      <c r="H51" s="12">
        <v>426.74</v>
      </c>
      <c r="I51" s="12">
        <v>500000</v>
      </c>
      <c r="J51" s="37">
        <v>60375.000000000007</v>
      </c>
    </row>
    <row r="52" spans="1:11" x14ac:dyDescent="0.25">
      <c r="A52" s="42">
        <v>234397289</v>
      </c>
      <c r="B52" s="43">
        <v>39627</v>
      </c>
      <c r="C52" s="43">
        <v>43371</v>
      </c>
      <c r="D52" s="44">
        <v>2347</v>
      </c>
      <c r="E52" s="43">
        <v>43350</v>
      </c>
      <c r="F52" s="44">
        <v>2347</v>
      </c>
      <c r="G52" s="44">
        <f t="shared" si="1"/>
        <v>269268</v>
      </c>
      <c r="H52" s="45">
        <v>0</v>
      </c>
      <c r="I52" s="42">
        <v>200000</v>
      </c>
      <c r="J52" s="37">
        <v>87574.468085106462</v>
      </c>
    </row>
    <row r="53" spans="1:11" x14ac:dyDescent="0.25">
      <c r="A53" s="42">
        <v>234397289</v>
      </c>
      <c r="B53" s="43">
        <v>39627</v>
      </c>
      <c r="C53" s="43">
        <v>43462</v>
      </c>
      <c r="D53" s="44">
        <v>2347</v>
      </c>
      <c r="E53" s="43">
        <v>43455</v>
      </c>
      <c r="F53" s="44">
        <v>2347</v>
      </c>
      <c r="G53" s="44">
        <f t="shared" si="1"/>
        <v>271615</v>
      </c>
      <c r="H53" s="45">
        <v>0</v>
      </c>
      <c r="I53" s="42">
        <v>200000</v>
      </c>
      <c r="J53" s="37">
        <v>89659.574468085193</v>
      </c>
    </row>
    <row r="54" spans="1:11" x14ac:dyDescent="0.25">
      <c r="A54" s="37">
        <v>117645635</v>
      </c>
      <c r="B54" s="43">
        <v>41834</v>
      </c>
      <c r="C54" s="39">
        <v>43479</v>
      </c>
      <c r="D54" s="38">
        <v>18966</v>
      </c>
      <c r="E54" s="43">
        <v>43471</v>
      </c>
      <c r="F54" s="38">
        <v>18966</v>
      </c>
      <c r="G54" s="44">
        <f t="shared" si="1"/>
        <v>290581</v>
      </c>
      <c r="H54" s="12">
        <v>426.74</v>
      </c>
      <c r="I54" s="12">
        <v>500000</v>
      </c>
      <c r="J54" s="37">
        <v>67083.333333333343</v>
      </c>
    </row>
    <row r="55" spans="1:11" x14ac:dyDescent="0.25">
      <c r="A55" s="42">
        <v>234397289</v>
      </c>
      <c r="B55" s="43">
        <v>39627</v>
      </c>
      <c r="C55" s="43">
        <v>43552</v>
      </c>
      <c r="D55" s="44">
        <v>2347</v>
      </c>
      <c r="E55" s="43">
        <v>43553</v>
      </c>
      <c r="F55" s="44">
        <v>2347</v>
      </c>
      <c r="G55" s="44">
        <f t="shared" si="1"/>
        <v>292928</v>
      </c>
      <c r="H55" s="45">
        <v>0</v>
      </c>
      <c r="I55" s="42">
        <v>200000</v>
      </c>
      <c r="J55" s="37">
        <v>91744.680851063924</v>
      </c>
    </row>
    <row r="56" spans="1:11" x14ac:dyDescent="0.25">
      <c r="A56" s="42">
        <v>234397289</v>
      </c>
      <c r="B56" s="43">
        <v>39627</v>
      </c>
      <c r="C56" s="43">
        <v>43644</v>
      </c>
      <c r="D56" s="44">
        <v>2347</v>
      </c>
      <c r="E56" s="43">
        <v>43627</v>
      </c>
      <c r="F56" s="44">
        <v>2347</v>
      </c>
      <c r="G56" s="44">
        <f t="shared" si="1"/>
        <v>295275</v>
      </c>
      <c r="H56" s="45">
        <v>0</v>
      </c>
      <c r="I56" s="42">
        <v>200000</v>
      </c>
      <c r="J56" s="37">
        <v>93829.787234042655</v>
      </c>
    </row>
    <row r="57" spans="1:11" x14ac:dyDescent="0.25">
      <c r="A57" s="37">
        <v>117645635</v>
      </c>
      <c r="B57" s="43">
        <v>41834</v>
      </c>
      <c r="C57" s="39">
        <v>43660</v>
      </c>
      <c r="D57" s="38">
        <v>18966</v>
      </c>
      <c r="E57" s="43">
        <v>43652</v>
      </c>
      <c r="F57" s="38">
        <v>18966</v>
      </c>
      <c r="G57" s="44">
        <f t="shared" si="1"/>
        <v>314241</v>
      </c>
      <c r="H57" s="12">
        <v>426.74</v>
      </c>
      <c r="I57" s="12">
        <v>500000</v>
      </c>
      <c r="J57" s="37">
        <v>73791.666666666672</v>
      </c>
    </row>
    <row r="58" spans="1:11" x14ac:dyDescent="0.25">
      <c r="A58" s="42">
        <v>234397289</v>
      </c>
      <c r="B58" s="43">
        <v>39627</v>
      </c>
      <c r="C58" s="43">
        <v>43736</v>
      </c>
      <c r="D58" s="44">
        <v>2347</v>
      </c>
      <c r="E58" s="43">
        <v>43746</v>
      </c>
      <c r="F58" s="44">
        <v>2347</v>
      </c>
      <c r="G58" s="44">
        <f t="shared" si="1"/>
        <v>316588</v>
      </c>
      <c r="H58" s="45">
        <v>0</v>
      </c>
      <c r="I58" s="42">
        <v>200000</v>
      </c>
      <c r="J58" s="37">
        <v>95914.893617021386</v>
      </c>
    </row>
    <row r="59" spans="1:11" x14ac:dyDescent="0.25">
      <c r="A59" s="42">
        <v>234397289</v>
      </c>
      <c r="B59" s="43">
        <v>39627</v>
      </c>
      <c r="C59" s="43">
        <v>43827</v>
      </c>
      <c r="D59" s="44">
        <v>2347</v>
      </c>
      <c r="E59" s="43">
        <v>43827</v>
      </c>
      <c r="F59" s="44">
        <v>2347</v>
      </c>
      <c r="G59" s="44">
        <f t="shared" si="1"/>
        <v>318935</v>
      </c>
      <c r="H59" s="45">
        <v>0</v>
      </c>
      <c r="I59" s="42">
        <v>200000</v>
      </c>
      <c r="J59" s="37">
        <v>98000.000000000116</v>
      </c>
      <c r="K59" s="64"/>
    </row>
    <row r="60" spans="1:11" x14ac:dyDescent="0.25">
      <c r="A60" s="37">
        <v>117645635</v>
      </c>
      <c r="B60" s="43">
        <v>41834</v>
      </c>
      <c r="C60" s="39">
        <v>43844</v>
      </c>
      <c r="D60" s="38">
        <v>18966</v>
      </c>
      <c r="E60" s="43">
        <v>43840</v>
      </c>
      <c r="F60" s="38">
        <v>18966</v>
      </c>
      <c r="G60" s="44">
        <f t="shared" si="1"/>
        <v>337901</v>
      </c>
      <c r="H60" s="12">
        <v>426.74</v>
      </c>
      <c r="I60" s="12">
        <v>500000</v>
      </c>
      <c r="J60" s="37">
        <v>80500</v>
      </c>
    </row>
    <row r="61" spans="1:11" x14ac:dyDescent="0.25">
      <c r="A61" s="42">
        <v>234397289</v>
      </c>
      <c r="B61" s="43">
        <v>39627</v>
      </c>
      <c r="C61" s="43">
        <v>43917</v>
      </c>
      <c r="D61" s="44">
        <v>2347</v>
      </c>
      <c r="E61" s="43">
        <v>43914</v>
      </c>
      <c r="F61" s="44">
        <v>2347</v>
      </c>
      <c r="G61" s="44">
        <f t="shared" si="1"/>
        <v>340248</v>
      </c>
      <c r="H61" s="45">
        <v>0</v>
      </c>
      <c r="I61" s="42">
        <v>200000</v>
      </c>
      <c r="J61" s="37">
        <v>107600</v>
      </c>
    </row>
    <row r="62" spans="1:11" x14ac:dyDescent="0.25">
      <c r="A62" s="42">
        <v>234397289</v>
      </c>
      <c r="B62" s="43">
        <v>39627</v>
      </c>
      <c r="C62" s="43">
        <v>44010</v>
      </c>
      <c r="D62" s="44">
        <v>2347</v>
      </c>
      <c r="E62" s="43">
        <v>43992</v>
      </c>
      <c r="F62" s="44">
        <v>2347</v>
      </c>
      <c r="G62" s="44">
        <f t="shared" si="1"/>
        <v>342595</v>
      </c>
      <c r="H62" s="45">
        <v>0</v>
      </c>
      <c r="I62" s="42">
        <v>200000</v>
      </c>
      <c r="J62" s="37">
        <v>107600</v>
      </c>
    </row>
    <row r="63" spans="1:11" x14ac:dyDescent="0.25">
      <c r="A63" s="37">
        <v>117645635</v>
      </c>
      <c r="B63" s="43">
        <v>41834</v>
      </c>
      <c r="C63" s="39">
        <v>44026</v>
      </c>
      <c r="D63" s="38">
        <v>18966</v>
      </c>
      <c r="E63" s="43">
        <v>44015</v>
      </c>
      <c r="F63" s="38">
        <v>18966</v>
      </c>
      <c r="G63" s="44">
        <f t="shared" si="1"/>
        <v>361561</v>
      </c>
      <c r="H63" s="12">
        <v>426.74</v>
      </c>
      <c r="I63" s="12">
        <v>500000</v>
      </c>
      <c r="J63" s="37">
        <v>100000</v>
      </c>
    </row>
    <row r="64" spans="1:11" x14ac:dyDescent="0.25">
      <c r="A64" s="42">
        <v>234397289</v>
      </c>
      <c r="B64" s="43">
        <v>39627</v>
      </c>
      <c r="C64" s="43">
        <v>44102</v>
      </c>
      <c r="D64" s="44">
        <v>2347</v>
      </c>
      <c r="E64" s="43">
        <v>44093</v>
      </c>
      <c r="F64" s="44">
        <v>2347</v>
      </c>
      <c r="G64" s="44">
        <f t="shared" si="1"/>
        <v>363908</v>
      </c>
      <c r="H64" s="45">
        <v>0</v>
      </c>
      <c r="I64" s="42">
        <v>200000</v>
      </c>
      <c r="J64" s="37">
        <v>107600</v>
      </c>
    </row>
    <row r="65" spans="1:10" x14ac:dyDescent="0.25">
      <c r="A65" s="42">
        <v>234397289</v>
      </c>
      <c r="B65" s="43">
        <v>39627</v>
      </c>
      <c r="C65" s="43">
        <v>44193</v>
      </c>
      <c r="D65" s="44">
        <v>2347</v>
      </c>
      <c r="E65" s="43">
        <v>44170</v>
      </c>
      <c r="F65" s="44">
        <v>2347</v>
      </c>
      <c r="G65" s="44">
        <f t="shared" si="1"/>
        <v>366255</v>
      </c>
      <c r="H65" s="45">
        <v>0</v>
      </c>
      <c r="I65" s="42">
        <v>200000</v>
      </c>
      <c r="J65" s="37">
        <v>107600</v>
      </c>
    </row>
    <row r="66" spans="1:10" x14ac:dyDescent="0.25">
      <c r="A66" s="37">
        <v>117645635</v>
      </c>
      <c r="B66" s="43">
        <v>41834</v>
      </c>
      <c r="C66" s="39">
        <v>44210</v>
      </c>
      <c r="D66" s="38">
        <v>18966</v>
      </c>
      <c r="E66" s="43">
        <v>44198</v>
      </c>
      <c r="F66" s="38">
        <v>18966</v>
      </c>
      <c r="G66" s="44">
        <f t="shared" si="1"/>
        <v>385221</v>
      </c>
      <c r="H66" s="12">
        <v>426.74</v>
      </c>
      <c r="I66" s="12">
        <v>500000</v>
      </c>
      <c r="J66" s="37">
        <v>118000</v>
      </c>
    </row>
    <row r="67" spans="1:10" x14ac:dyDescent="0.25">
      <c r="A67" s="42">
        <v>234397289</v>
      </c>
      <c r="B67" s="43">
        <v>39627</v>
      </c>
      <c r="C67" s="43">
        <v>44283</v>
      </c>
      <c r="D67" s="44">
        <v>2347</v>
      </c>
      <c r="E67" s="43">
        <v>44260</v>
      </c>
      <c r="F67" s="44">
        <v>2347</v>
      </c>
      <c r="G67" s="44">
        <f t="shared" ref="G67:G98" si="2">G66+F67</f>
        <v>387568</v>
      </c>
      <c r="H67" s="45">
        <v>0</v>
      </c>
      <c r="I67" s="42">
        <v>200000</v>
      </c>
      <c r="J67" s="37">
        <v>116400</v>
      </c>
    </row>
    <row r="68" spans="1:10" x14ac:dyDescent="0.25">
      <c r="A68" s="42">
        <v>234397289</v>
      </c>
      <c r="B68" s="43">
        <v>39627</v>
      </c>
      <c r="C68" s="43">
        <v>44375</v>
      </c>
      <c r="D68" s="44">
        <v>2347</v>
      </c>
      <c r="E68" s="43">
        <v>44353</v>
      </c>
      <c r="F68" s="44">
        <v>2347</v>
      </c>
      <c r="G68" s="44">
        <f t="shared" si="2"/>
        <v>389915</v>
      </c>
      <c r="H68" s="45">
        <v>0</v>
      </c>
      <c r="I68" s="42">
        <v>200000</v>
      </c>
      <c r="J68" s="37">
        <v>116400</v>
      </c>
    </row>
    <row r="69" spans="1:10" x14ac:dyDescent="0.25">
      <c r="A69" s="37">
        <v>117645635</v>
      </c>
      <c r="B69" s="43">
        <v>41834</v>
      </c>
      <c r="C69" s="39">
        <v>44391</v>
      </c>
      <c r="D69" s="38">
        <v>18966</v>
      </c>
      <c r="E69" s="43">
        <v>44382</v>
      </c>
      <c r="F69" s="38">
        <v>18966</v>
      </c>
      <c r="G69" s="44">
        <f t="shared" si="2"/>
        <v>408881</v>
      </c>
      <c r="H69" s="128">
        <v>936.74</v>
      </c>
      <c r="I69" s="12">
        <v>500000</v>
      </c>
      <c r="J69" s="37">
        <v>118000</v>
      </c>
    </row>
    <row r="70" spans="1:10" x14ac:dyDescent="0.25">
      <c r="A70" s="42">
        <v>234397289</v>
      </c>
      <c r="B70" s="43">
        <v>39627</v>
      </c>
      <c r="C70" s="43">
        <v>44467</v>
      </c>
      <c r="D70" s="44">
        <v>2347</v>
      </c>
      <c r="E70" s="43">
        <v>44481</v>
      </c>
      <c r="F70" s="44">
        <v>2347</v>
      </c>
      <c r="G70" s="44">
        <f t="shared" si="2"/>
        <v>411228</v>
      </c>
      <c r="H70" s="45">
        <v>0</v>
      </c>
      <c r="I70" s="42">
        <v>200000</v>
      </c>
      <c r="J70" s="37">
        <v>116400</v>
      </c>
    </row>
    <row r="71" spans="1:10" x14ac:dyDescent="0.25">
      <c r="A71" s="42">
        <v>234397289</v>
      </c>
      <c r="B71" s="43">
        <v>39627</v>
      </c>
      <c r="C71" s="43">
        <v>44558</v>
      </c>
      <c r="D71" s="44">
        <v>2347</v>
      </c>
      <c r="E71" s="43">
        <v>44562</v>
      </c>
      <c r="F71" s="38">
        <v>18966</v>
      </c>
      <c r="G71" s="44">
        <f t="shared" si="2"/>
        <v>430194</v>
      </c>
      <c r="H71" s="12">
        <v>426.74</v>
      </c>
      <c r="I71" s="42">
        <v>200000</v>
      </c>
      <c r="J71" s="37">
        <v>118000</v>
      </c>
    </row>
    <row r="72" spans="1:10" x14ac:dyDescent="0.25">
      <c r="A72" s="37">
        <v>117645635</v>
      </c>
      <c r="B72" s="43">
        <v>41834</v>
      </c>
      <c r="C72" s="39">
        <v>44575</v>
      </c>
      <c r="D72" s="38">
        <v>18966</v>
      </c>
      <c r="E72" s="43">
        <v>44562</v>
      </c>
      <c r="F72" s="44">
        <v>2347</v>
      </c>
      <c r="G72" s="44">
        <f t="shared" si="2"/>
        <v>432541</v>
      </c>
      <c r="H72" s="12">
        <v>0</v>
      </c>
      <c r="I72" s="12">
        <v>500000</v>
      </c>
      <c r="J72" s="37">
        <v>116400</v>
      </c>
    </row>
    <row r="73" spans="1:10" x14ac:dyDescent="0.25">
      <c r="A73" s="42">
        <v>234397289</v>
      </c>
      <c r="B73" s="43">
        <v>39627</v>
      </c>
      <c r="C73" s="43">
        <v>44648</v>
      </c>
      <c r="D73" s="44">
        <v>2347</v>
      </c>
      <c r="E73" s="43">
        <v>44666</v>
      </c>
      <c r="F73" s="44">
        <v>2347</v>
      </c>
      <c r="G73" s="44">
        <f t="shared" si="2"/>
        <v>434888</v>
      </c>
      <c r="H73" s="45">
        <v>0</v>
      </c>
      <c r="I73" s="42">
        <v>200000</v>
      </c>
      <c r="J73" s="37">
        <v>116400</v>
      </c>
    </row>
    <row r="74" spans="1:10" x14ac:dyDescent="0.25">
      <c r="A74" s="42">
        <v>234397289</v>
      </c>
      <c r="B74" s="43">
        <v>39627</v>
      </c>
      <c r="C74" s="43">
        <v>44740</v>
      </c>
      <c r="D74" s="44">
        <v>2347</v>
      </c>
      <c r="E74" s="43">
        <v>44714</v>
      </c>
      <c r="F74" s="44">
        <v>2347</v>
      </c>
      <c r="G74" s="44">
        <f t="shared" si="2"/>
        <v>437235</v>
      </c>
      <c r="H74" s="45">
        <v>0</v>
      </c>
      <c r="I74" s="42">
        <v>200000</v>
      </c>
      <c r="J74" s="37">
        <v>125200</v>
      </c>
    </row>
    <row r="75" spans="1:10" x14ac:dyDescent="0.25">
      <c r="A75" s="37">
        <v>117645635</v>
      </c>
      <c r="B75" s="43">
        <v>41834</v>
      </c>
      <c r="C75" s="39">
        <v>44756</v>
      </c>
      <c r="D75" s="38">
        <v>18966</v>
      </c>
      <c r="E75" s="43">
        <v>44744</v>
      </c>
      <c r="F75" s="38">
        <v>18966</v>
      </c>
      <c r="G75" s="44">
        <f t="shared" si="2"/>
        <v>456201</v>
      </c>
      <c r="H75" s="12">
        <v>426.74</v>
      </c>
      <c r="I75" s="12">
        <v>500000</v>
      </c>
      <c r="J75" s="37">
        <v>136000</v>
      </c>
    </row>
    <row r="76" spans="1:10" x14ac:dyDescent="0.25">
      <c r="A76" s="42">
        <v>234397289</v>
      </c>
      <c r="B76" s="43">
        <v>39627</v>
      </c>
      <c r="C76" s="43">
        <v>44832</v>
      </c>
      <c r="D76" s="44">
        <v>2347</v>
      </c>
      <c r="E76" s="43">
        <v>44859</v>
      </c>
      <c r="F76" s="44">
        <v>2347</v>
      </c>
      <c r="G76" s="44">
        <f t="shared" si="2"/>
        <v>458548</v>
      </c>
      <c r="H76" s="45">
        <v>0</v>
      </c>
      <c r="I76" s="42">
        <v>200000</v>
      </c>
      <c r="J76" s="37">
        <v>125200</v>
      </c>
    </row>
    <row r="77" spans="1:10" x14ac:dyDescent="0.25">
      <c r="A77" s="42">
        <v>234397289</v>
      </c>
      <c r="B77" s="43">
        <v>39627</v>
      </c>
      <c r="C77" s="43">
        <v>44923</v>
      </c>
      <c r="D77" s="44">
        <v>2347</v>
      </c>
      <c r="E77" s="43">
        <v>44930</v>
      </c>
      <c r="F77" s="44">
        <v>2347</v>
      </c>
      <c r="G77" s="44">
        <f t="shared" si="2"/>
        <v>460895</v>
      </c>
      <c r="H77" s="45">
        <v>0</v>
      </c>
      <c r="I77" s="42">
        <v>200000</v>
      </c>
      <c r="J77" s="37">
        <v>134000</v>
      </c>
    </row>
    <row r="78" spans="1:10" x14ac:dyDescent="0.25">
      <c r="A78" s="37">
        <v>117645635</v>
      </c>
      <c r="B78" s="43">
        <v>41834</v>
      </c>
      <c r="C78" s="39">
        <v>44940</v>
      </c>
      <c r="D78" s="38">
        <v>18966</v>
      </c>
      <c r="E78" s="43">
        <v>44930</v>
      </c>
      <c r="F78" s="38">
        <v>18966</v>
      </c>
      <c r="G78" s="44">
        <f t="shared" si="2"/>
        <v>479861</v>
      </c>
      <c r="H78" s="12">
        <v>426.74</v>
      </c>
      <c r="I78" s="12">
        <v>500000</v>
      </c>
      <c r="J78" s="37">
        <v>154000</v>
      </c>
    </row>
    <row r="79" spans="1:10" x14ac:dyDescent="0.25">
      <c r="A79" s="42">
        <v>234397289</v>
      </c>
      <c r="B79" s="43">
        <v>39627</v>
      </c>
      <c r="C79" s="43">
        <v>45013</v>
      </c>
      <c r="D79" s="44">
        <v>2347</v>
      </c>
      <c r="E79" s="43">
        <v>45073</v>
      </c>
      <c r="F79" s="44">
        <v>2347</v>
      </c>
      <c r="G79" s="44">
        <f t="shared" si="2"/>
        <v>482208</v>
      </c>
      <c r="H79" s="45">
        <v>0</v>
      </c>
      <c r="I79" s="42">
        <v>200000</v>
      </c>
      <c r="J79" s="37">
        <v>134000</v>
      </c>
    </row>
    <row r="80" spans="1:10" x14ac:dyDescent="0.25">
      <c r="A80" s="42">
        <v>234397289</v>
      </c>
      <c r="B80" s="43">
        <v>39627</v>
      </c>
      <c r="C80" s="43">
        <v>45105</v>
      </c>
      <c r="D80" s="44">
        <v>2347</v>
      </c>
      <c r="E80" s="43">
        <v>45111</v>
      </c>
      <c r="F80" s="44">
        <v>2347</v>
      </c>
      <c r="G80" s="44">
        <f t="shared" si="2"/>
        <v>484555</v>
      </c>
      <c r="H80" s="45">
        <v>0</v>
      </c>
      <c r="I80" s="42">
        <v>200000</v>
      </c>
      <c r="J80" s="37">
        <v>134000</v>
      </c>
    </row>
    <row r="81" spans="1:13" x14ac:dyDescent="0.25">
      <c r="A81" s="37">
        <v>117645635</v>
      </c>
      <c r="B81" s="43">
        <v>41834</v>
      </c>
      <c r="C81" s="39">
        <v>45121</v>
      </c>
      <c r="D81" s="38">
        <v>18966</v>
      </c>
      <c r="E81" s="43">
        <v>45111</v>
      </c>
      <c r="F81" s="38">
        <v>18966</v>
      </c>
      <c r="G81" s="44">
        <f t="shared" ref="G81" si="3">G80+F81</f>
        <v>503521</v>
      </c>
      <c r="H81" s="12">
        <v>426.74</v>
      </c>
      <c r="I81" s="12">
        <v>500000</v>
      </c>
      <c r="J81" s="37">
        <v>154000</v>
      </c>
      <c r="M81" s="40"/>
    </row>
    <row r="82" spans="1:13" x14ac:dyDescent="0.25">
      <c r="A82" s="42">
        <v>234397289</v>
      </c>
      <c r="B82" s="43">
        <v>39627</v>
      </c>
      <c r="C82" s="43">
        <v>45197</v>
      </c>
      <c r="D82" s="44">
        <v>2347</v>
      </c>
      <c r="E82" s="43">
        <v>45191</v>
      </c>
      <c r="F82" s="44">
        <v>2347</v>
      </c>
      <c r="G82" s="44">
        <f t="shared" si="2"/>
        <v>505868</v>
      </c>
      <c r="H82" s="45">
        <v>0</v>
      </c>
      <c r="I82" s="42">
        <v>200000</v>
      </c>
      <c r="J82" s="37">
        <v>142800</v>
      </c>
    </row>
    <row r="83" spans="1:13" x14ac:dyDescent="0.25">
      <c r="A83" s="42">
        <v>234397289</v>
      </c>
      <c r="B83" s="43">
        <v>39627</v>
      </c>
      <c r="C83" s="43">
        <v>45288</v>
      </c>
      <c r="D83" s="44">
        <v>2347</v>
      </c>
      <c r="E83" s="43">
        <v>45300</v>
      </c>
      <c r="F83" s="38">
        <v>18966</v>
      </c>
      <c r="G83" s="44">
        <f t="shared" si="2"/>
        <v>524834</v>
      </c>
      <c r="H83" s="12">
        <v>426.74</v>
      </c>
      <c r="I83" s="42">
        <v>200000</v>
      </c>
      <c r="J83" s="37">
        <v>172000</v>
      </c>
    </row>
    <row r="84" spans="1:13" x14ac:dyDescent="0.25">
      <c r="A84" s="37">
        <v>117645635</v>
      </c>
      <c r="B84" s="43">
        <v>41834</v>
      </c>
      <c r="C84" s="39">
        <v>45305</v>
      </c>
      <c r="D84" s="38">
        <v>18966</v>
      </c>
      <c r="E84" s="43">
        <v>45300</v>
      </c>
      <c r="F84" s="44">
        <v>2347</v>
      </c>
      <c r="G84" s="44">
        <f t="shared" si="2"/>
        <v>527181</v>
      </c>
      <c r="H84" s="12">
        <v>0</v>
      </c>
      <c r="I84" s="12">
        <v>500000</v>
      </c>
      <c r="J84" s="37">
        <v>142800</v>
      </c>
      <c r="M84" s="40"/>
    </row>
    <row r="85" spans="1:13" x14ac:dyDescent="0.25">
      <c r="A85" s="42">
        <v>234397289</v>
      </c>
      <c r="B85" s="43">
        <v>39627</v>
      </c>
      <c r="C85" s="43">
        <v>45378</v>
      </c>
      <c r="D85" s="44">
        <v>2347</v>
      </c>
      <c r="E85" s="43">
        <v>45384</v>
      </c>
      <c r="F85" s="44">
        <v>2347</v>
      </c>
      <c r="G85" s="44">
        <f t="shared" si="2"/>
        <v>529528</v>
      </c>
      <c r="H85" s="45">
        <v>0</v>
      </c>
      <c r="I85" s="42">
        <v>200000</v>
      </c>
      <c r="J85" s="37">
        <v>142800</v>
      </c>
    </row>
    <row r="86" spans="1:13" x14ac:dyDescent="0.25">
      <c r="A86" s="42">
        <v>234397289</v>
      </c>
      <c r="B86" s="43">
        <v>39627</v>
      </c>
      <c r="C86" s="43">
        <v>45471</v>
      </c>
      <c r="D86" s="44">
        <v>2347</v>
      </c>
      <c r="E86" s="43">
        <v>45464</v>
      </c>
      <c r="F86" s="38">
        <v>18966</v>
      </c>
      <c r="G86" s="44">
        <f t="shared" ref="G86:G87" si="4">G85+F86</f>
        <v>548494</v>
      </c>
      <c r="H86" s="12">
        <v>426.74</v>
      </c>
      <c r="I86" s="42">
        <v>200000</v>
      </c>
      <c r="J86" s="37">
        <v>172000</v>
      </c>
    </row>
    <row r="87" spans="1:13" x14ac:dyDescent="0.25">
      <c r="A87" s="37">
        <v>117645635</v>
      </c>
      <c r="B87" s="43">
        <v>41834</v>
      </c>
      <c r="C87" s="39">
        <v>45487</v>
      </c>
      <c r="D87" s="38">
        <v>18966</v>
      </c>
      <c r="E87" s="43">
        <v>45464</v>
      </c>
      <c r="F87" s="44">
        <v>2347</v>
      </c>
      <c r="G87" s="44">
        <f t="shared" si="4"/>
        <v>550841</v>
      </c>
      <c r="H87" s="12">
        <v>0</v>
      </c>
      <c r="I87" s="12">
        <v>500000</v>
      </c>
      <c r="J87" s="37">
        <v>142800</v>
      </c>
    </row>
    <row r="88" spans="1:13" x14ac:dyDescent="0.25">
      <c r="A88" s="42">
        <v>234397289</v>
      </c>
      <c r="B88" s="43">
        <v>39627</v>
      </c>
      <c r="C88" s="43">
        <v>45563</v>
      </c>
      <c r="D88" s="44">
        <v>2347</v>
      </c>
      <c r="E88" s="43"/>
      <c r="F88" s="44"/>
      <c r="G88" s="44">
        <f t="shared" si="2"/>
        <v>550841</v>
      </c>
      <c r="H88" s="45">
        <v>0</v>
      </c>
      <c r="I88" s="42">
        <v>200000</v>
      </c>
      <c r="J88" s="37"/>
    </row>
    <row r="89" spans="1:13" x14ac:dyDescent="0.25">
      <c r="A89" s="42">
        <v>234397289</v>
      </c>
      <c r="B89" s="43">
        <v>39627</v>
      </c>
      <c r="C89" s="43">
        <v>45654</v>
      </c>
      <c r="D89" s="44">
        <v>2347</v>
      </c>
      <c r="E89" s="43"/>
      <c r="F89" s="44"/>
      <c r="G89" s="44">
        <f t="shared" si="2"/>
        <v>550841</v>
      </c>
      <c r="H89" s="45">
        <v>0</v>
      </c>
      <c r="I89" s="42">
        <v>200000</v>
      </c>
      <c r="J89" s="37"/>
    </row>
    <row r="90" spans="1:13" x14ac:dyDescent="0.25">
      <c r="A90" s="37">
        <v>117645635</v>
      </c>
      <c r="B90" s="43">
        <v>41834</v>
      </c>
      <c r="C90" s="39">
        <v>45671</v>
      </c>
      <c r="D90" s="38">
        <v>18966</v>
      </c>
      <c r="E90" s="43"/>
      <c r="F90" s="38"/>
      <c r="G90" s="44">
        <f t="shared" si="2"/>
        <v>550841</v>
      </c>
      <c r="H90" s="12"/>
      <c r="I90" s="12">
        <v>500000</v>
      </c>
      <c r="J90" s="37"/>
    </row>
    <row r="91" spans="1:13" x14ac:dyDescent="0.25">
      <c r="A91" s="42">
        <v>234397289</v>
      </c>
      <c r="B91" s="43">
        <v>39627</v>
      </c>
      <c r="C91" s="43">
        <v>45744</v>
      </c>
      <c r="D91" s="44">
        <v>2347</v>
      </c>
      <c r="E91" s="43"/>
      <c r="F91" s="44"/>
      <c r="G91" s="44">
        <f t="shared" si="2"/>
        <v>550841</v>
      </c>
      <c r="H91" s="45">
        <v>0</v>
      </c>
      <c r="I91" s="42">
        <v>200000</v>
      </c>
      <c r="J91" s="37"/>
      <c r="L91" s="41"/>
    </row>
    <row r="92" spans="1:13" x14ac:dyDescent="0.25">
      <c r="A92" s="42">
        <v>234397289</v>
      </c>
      <c r="B92" s="43">
        <v>39627</v>
      </c>
      <c r="C92" s="43">
        <v>45836</v>
      </c>
      <c r="D92" s="44">
        <v>2347</v>
      </c>
      <c r="E92" s="43"/>
      <c r="F92" s="44"/>
      <c r="G92" s="44">
        <f t="shared" si="2"/>
        <v>550841</v>
      </c>
      <c r="H92" s="45">
        <v>0</v>
      </c>
      <c r="I92" s="42">
        <v>200000</v>
      </c>
      <c r="J92" s="37"/>
      <c r="L92" s="41"/>
    </row>
    <row r="93" spans="1:13" x14ac:dyDescent="0.25">
      <c r="A93" s="37">
        <v>117645635</v>
      </c>
      <c r="B93" s="43">
        <v>41834</v>
      </c>
      <c r="C93" s="39">
        <v>45852</v>
      </c>
      <c r="D93" s="38">
        <v>18966</v>
      </c>
      <c r="E93" s="43"/>
      <c r="F93" s="38"/>
      <c r="G93" s="44">
        <f t="shared" si="2"/>
        <v>550841</v>
      </c>
      <c r="H93" s="12"/>
      <c r="I93" s="12">
        <v>500000</v>
      </c>
      <c r="J93" s="37"/>
      <c r="L93" s="41"/>
    </row>
    <row r="94" spans="1:13" x14ac:dyDescent="0.25">
      <c r="A94" s="42">
        <v>234397289</v>
      </c>
      <c r="B94" s="43">
        <v>39627</v>
      </c>
      <c r="C94" s="43">
        <v>45928</v>
      </c>
      <c r="D94" s="44">
        <v>2347</v>
      </c>
      <c r="E94" s="43"/>
      <c r="F94" s="44"/>
      <c r="G94" s="44">
        <f t="shared" si="2"/>
        <v>550841</v>
      </c>
      <c r="H94" s="45">
        <v>0</v>
      </c>
      <c r="I94" s="42">
        <v>200000</v>
      </c>
      <c r="J94" s="37"/>
      <c r="L94" s="41"/>
    </row>
    <row r="95" spans="1:13" x14ac:dyDescent="0.25">
      <c r="A95" s="42">
        <v>234397289</v>
      </c>
      <c r="B95" s="43">
        <v>39627</v>
      </c>
      <c r="C95" s="43">
        <v>46019</v>
      </c>
      <c r="D95" s="44">
        <v>2347</v>
      </c>
      <c r="E95" s="43"/>
      <c r="F95" s="44"/>
      <c r="G95" s="44">
        <f t="shared" si="2"/>
        <v>550841</v>
      </c>
      <c r="H95" s="45">
        <v>0</v>
      </c>
      <c r="I95" s="42">
        <v>200000</v>
      </c>
      <c r="J95" s="37"/>
    </row>
    <row r="96" spans="1:13" x14ac:dyDescent="0.25">
      <c r="A96" s="37">
        <v>117645635</v>
      </c>
      <c r="B96" s="43">
        <v>41834</v>
      </c>
      <c r="C96" s="39">
        <v>46036</v>
      </c>
      <c r="D96" s="38">
        <v>18966</v>
      </c>
      <c r="E96" s="43"/>
      <c r="F96" s="38"/>
      <c r="G96" s="44">
        <f t="shared" si="2"/>
        <v>550841</v>
      </c>
      <c r="H96" s="12"/>
      <c r="I96" s="12">
        <v>500000</v>
      </c>
      <c r="J96" s="37"/>
    </row>
    <row r="97" spans="1:12" x14ac:dyDescent="0.25">
      <c r="A97" s="42">
        <v>234397289</v>
      </c>
      <c r="B97" s="43">
        <v>39627</v>
      </c>
      <c r="C97" s="43">
        <v>46109</v>
      </c>
      <c r="D97" s="44">
        <v>2347</v>
      </c>
      <c r="E97" s="43"/>
      <c r="F97" s="44"/>
      <c r="G97" s="44">
        <f t="shared" si="2"/>
        <v>550841</v>
      </c>
      <c r="H97" s="45">
        <v>0</v>
      </c>
      <c r="I97" s="42">
        <v>200000</v>
      </c>
      <c r="J97" s="37"/>
    </row>
    <row r="98" spans="1:12" x14ac:dyDescent="0.25">
      <c r="A98" s="42">
        <v>234397289</v>
      </c>
      <c r="B98" s="43">
        <v>39627</v>
      </c>
      <c r="C98" s="43">
        <v>46201</v>
      </c>
      <c r="D98" s="44">
        <v>2347</v>
      </c>
      <c r="E98" s="43"/>
      <c r="F98" s="44"/>
      <c r="G98" s="44">
        <f t="shared" si="2"/>
        <v>550841</v>
      </c>
      <c r="H98" s="45">
        <v>0</v>
      </c>
      <c r="I98" s="42">
        <v>200000</v>
      </c>
      <c r="J98" s="37"/>
    </row>
    <row r="99" spans="1:12" x14ac:dyDescent="0.25">
      <c r="A99" s="37">
        <v>117645635</v>
      </c>
      <c r="B99" s="43">
        <v>41834</v>
      </c>
      <c r="C99" s="39">
        <v>46217</v>
      </c>
      <c r="D99" s="38">
        <v>18966</v>
      </c>
      <c r="E99" s="43"/>
      <c r="F99" s="38"/>
      <c r="G99" s="44">
        <f t="shared" ref="G99:G127" si="5">G98+F99</f>
        <v>550841</v>
      </c>
      <c r="H99" s="12"/>
      <c r="I99" s="12">
        <v>500000</v>
      </c>
      <c r="J99" s="37"/>
      <c r="L99" s="41"/>
    </row>
    <row r="100" spans="1:12" x14ac:dyDescent="0.25">
      <c r="A100" s="42">
        <v>234397289</v>
      </c>
      <c r="B100" s="43">
        <v>39627</v>
      </c>
      <c r="C100" s="43">
        <v>46293</v>
      </c>
      <c r="D100" s="44">
        <v>2347</v>
      </c>
      <c r="E100" s="43"/>
      <c r="F100" s="44"/>
      <c r="G100" s="44">
        <f t="shared" si="5"/>
        <v>550841</v>
      </c>
      <c r="H100" s="45">
        <v>0</v>
      </c>
      <c r="I100" s="42">
        <v>200000</v>
      </c>
      <c r="J100" s="37"/>
      <c r="L100" s="41"/>
    </row>
    <row r="101" spans="1:12" x14ac:dyDescent="0.25">
      <c r="A101" s="42">
        <v>234397289</v>
      </c>
      <c r="B101" s="43">
        <v>39627</v>
      </c>
      <c r="C101" s="43">
        <v>46384</v>
      </c>
      <c r="D101" s="44">
        <v>2347</v>
      </c>
      <c r="E101" s="43"/>
      <c r="F101" s="44"/>
      <c r="G101" s="44">
        <f t="shared" si="5"/>
        <v>550841</v>
      </c>
      <c r="H101" s="45">
        <v>0</v>
      </c>
      <c r="I101" s="42">
        <v>200000</v>
      </c>
      <c r="J101" s="37"/>
      <c r="L101" s="41"/>
    </row>
    <row r="102" spans="1:12" x14ac:dyDescent="0.25">
      <c r="A102" s="37">
        <v>117645635</v>
      </c>
      <c r="B102" s="43">
        <v>41834</v>
      </c>
      <c r="C102" s="39">
        <v>46401</v>
      </c>
      <c r="D102" s="38">
        <v>18966</v>
      </c>
      <c r="E102" s="43"/>
      <c r="F102" s="38"/>
      <c r="G102" s="44">
        <f t="shared" si="5"/>
        <v>550841</v>
      </c>
      <c r="H102" s="12"/>
      <c r="I102" s="12">
        <v>500000</v>
      </c>
      <c r="J102" s="37"/>
      <c r="L102" s="41"/>
    </row>
    <row r="103" spans="1:12" x14ac:dyDescent="0.25">
      <c r="A103" s="42">
        <v>234397289</v>
      </c>
      <c r="B103" s="43">
        <v>39627</v>
      </c>
      <c r="C103" s="43">
        <v>46474</v>
      </c>
      <c r="D103" s="44">
        <v>2347</v>
      </c>
      <c r="E103" s="43"/>
      <c r="F103" s="44"/>
      <c r="G103" s="44">
        <f t="shared" si="5"/>
        <v>550841</v>
      </c>
      <c r="H103" s="45">
        <v>0</v>
      </c>
      <c r="I103" s="42">
        <v>200000</v>
      </c>
      <c r="J103" s="37"/>
    </row>
    <row r="104" spans="1:12" x14ac:dyDescent="0.25">
      <c r="A104" s="42">
        <v>234397289</v>
      </c>
      <c r="B104" s="43">
        <v>39627</v>
      </c>
      <c r="C104" s="43">
        <v>46566</v>
      </c>
      <c r="D104" s="44">
        <v>2347</v>
      </c>
      <c r="E104" s="43"/>
      <c r="F104" s="44"/>
      <c r="G104" s="44">
        <f t="shared" si="5"/>
        <v>550841</v>
      </c>
      <c r="H104" s="45">
        <v>0</v>
      </c>
      <c r="I104" s="42">
        <v>200000</v>
      </c>
      <c r="J104" s="37"/>
    </row>
    <row r="105" spans="1:12" x14ac:dyDescent="0.25">
      <c r="A105" s="37">
        <v>117645635</v>
      </c>
      <c r="B105" s="43">
        <v>41834</v>
      </c>
      <c r="C105" s="39">
        <v>46582</v>
      </c>
      <c r="D105" s="38">
        <v>18966</v>
      </c>
      <c r="E105" s="43"/>
      <c r="F105" s="38"/>
      <c r="G105" s="44">
        <f t="shared" si="5"/>
        <v>550841</v>
      </c>
      <c r="H105" s="12"/>
      <c r="I105" s="12">
        <v>500000</v>
      </c>
      <c r="J105" s="37"/>
    </row>
    <row r="106" spans="1:12" x14ac:dyDescent="0.25">
      <c r="A106" s="42">
        <v>234397289</v>
      </c>
      <c r="B106" s="43">
        <v>39627</v>
      </c>
      <c r="C106" s="43">
        <v>46658</v>
      </c>
      <c r="D106" s="44">
        <v>2347</v>
      </c>
      <c r="E106" s="43"/>
      <c r="F106" s="44"/>
      <c r="G106" s="44">
        <f t="shared" si="5"/>
        <v>550841</v>
      </c>
      <c r="H106" s="45">
        <v>0</v>
      </c>
      <c r="I106" s="42">
        <v>200000</v>
      </c>
      <c r="J106" s="37"/>
    </row>
    <row r="107" spans="1:12" x14ac:dyDescent="0.25">
      <c r="A107" s="42">
        <v>234397289</v>
      </c>
      <c r="B107" s="43">
        <v>39627</v>
      </c>
      <c r="C107" s="43">
        <v>46749</v>
      </c>
      <c r="D107" s="44">
        <v>2347</v>
      </c>
      <c r="E107" s="43"/>
      <c r="F107" s="44"/>
      <c r="G107" s="44">
        <f t="shared" si="5"/>
        <v>550841</v>
      </c>
      <c r="H107" s="45">
        <v>0</v>
      </c>
      <c r="I107" s="42">
        <v>200000</v>
      </c>
      <c r="J107" s="37"/>
      <c r="L107" s="41"/>
    </row>
    <row r="108" spans="1:12" x14ac:dyDescent="0.25">
      <c r="A108" s="37">
        <v>117645635</v>
      </c>
      <c r="B108" s="43">
        <v>41834</v>
      </c>
      <c r="C108" s="39">
        <v>46766</v>
      </c>
      <c r="D108" s="38">
        <v>18966</v>
      </c>
      <c r="E108" s="43"/>
      <c r="F108" s="38"/>
      <c r="G108" s="44">
        <f t="shared" si="5"/>
        <v>550841</v>
      </c>
      <c r="H108" s="12"/>
      <c r="I108" s="12">
        <v>500000</v>
      </c>
      <c r="J108" s="37"/>
      <c r="L108" s="41"/>
    </row>
    <row r="109" spans="1:12" x14ac:dyDescent="0.25">
      <c r="A109" s="42">
        <v>234397289</v>
      </c>
      <c r="B109" s="43">
        <v>39627</v>
      </c>
      <c r="C109" s="43">
        <v>46839</v>
      </c>
      <c r="D109" s="44">
        <v>2347</v>
      </c>
      <c r="E109" s="43"/>
      <c r="F109" s="44"/>
      <c r="G109" s="44">
        <f t="shared" si="5"/>
        <v>550841</v>
      </c>
      <c r="H109" s="45">
        <v>0</v>
      </c>
      <c r="I109" s="42">
        <v>200000</v>
      </c>
      <c r="J109" s="37"/>
      <c r="L109" s="41"/>
    </row>
    <row r="110" spans="1:12" x14ac:dyDescent="0.25">
      <c r="A110" s="42">
        <v>234397289</v>
      </c>
      <c r="B110" s="43">
        <v>39627</v>
      </c>
      <c r="C110" s="43">
        <v>46932</v>
      </c>
      <c r="D110" s="44">
        <v>2347</v>
      </c>
      <c r="E110" s="43"/>
      <c r="F110" s="44"/>
      <c r="G110" s="44">
        <f t="shared" si="5"/>
        <v>550841</v>
      </c>
      <c r="H110" s="45">
        <v>0</v>
      </c>
      <c r="I110" s="42">
        <v>200000</v>
      </c>
      <c r="J110" s="37"/>
      <c r="L110" s="41"/>
    </row>
    <row r="111" spans="1:12" x14ac:dyDescent="0.25">
      <c r="A111" s="37">
        <v>117645635</v>
      </c>
      <c r="B111" s="43">
        <v>41834</v>
      </c>
      <c r="C111" s="39">
        <v>46948</v>
      </c>
      <c r="D111" s="38">
        <v>18966</v>
      </c>
      <c r="E111" s="43"/>
      <c r="F111" s="38"/>
      <c r="G111" s="44">
        <f t="shared" si="5"/>
        <v>550841</v>
      </c>
      <c r="H111" s="12"/>
      <c r="I111" s="12">
        <v>500000</v>
      </c>
      <c r="J111" s="37"/>
    </row>
    <row r="112" spans="1:12" x14ac:dyDescent="0.25">
      <c r="A112" s="42">
        <v>234397289</v>
      </c>
      <c r="B112" s="43">
        <v>39627</v>
      </c>
      <c r="C112" s="43">
        <v>47024</v>
      </c>
      <c r="D112" s="44">
        <v>2347</v>
      </c>
      <c r="E112" s="43"/>
      <c r="F112" s="44"/>
      <c r="G112" s="44">
        <f t="shared" si="5"/>
        <v>550841</v>
      </c>
      <c r="H112" s="45">
        <v>0</v>
      </c>
      <c r="I112" s="42">
        <v>200000</v>
      </c>
      <c r="J112" s="37"/>
    </row>
    <row r="113" spans="1:12" x14ac:dyDescent="0.25">
      <c r="A113" s="42">
        <v>234397289</v>
      </c>
      <c r="B113" s="43">
        <v>39627</v>
      </c>
      <c r="C113" s="43">
        <v>47115</v>
      </c>
      <c r="D113" s="44">
        <v>2347</v>
      </c>
      <c r="E113" s="43"/>
      <c r="F113" s="44"/>
      <c r="G113" s="44">
        <f t="shared" si="5"/>
        <v>550841</v>
      </c>
      <c r="H113" s="45">
        <v>0</v>
      </c>
      <c r="I113" s="42">
        <v>200000</v>
      </c>
      <c r="J113" s="37"/>
    </row>
    <row r="114" spans="1:12" x14ac:dyDescent="0.25">
      <c r="A114" s="37">
        <v>117645635</v>
      </c>
      <c r="B114" s="43">
        <v>41834</v>
      </c>
      <c r="C114" s="39">
        <v>47132</v>
      </c>
      <c r="D114" s="38">
        <v>18966</v>
      </c>
      <c r="E114" s="43"/>
      <c r="F114" s="38"/>
      <c r="G114" s="44">
        <f t="shared" si="5"/>
        <v>550841</v>
      </c>
      <c r="H114" s="12"/>
      <c r="I114" s="12">
        <v>500000</v>
      </c>
      <c r="J114" s="37"/>
    </row>
    <row r="115" spans="1:12" x14ac:dyDescent="0.25">
      <c r="A115" s="42">
        <v>234397289</v>
      </c>
      <c r="B115" s="43">
        <v>39627</v>
      </c>
      <c r="C115" s="43">
        <v>47205</v>
      </c>
      <c r="D115" s="44">
        <v>2347</v>
      </c>
      <c r="E115" s="43"/>
      <c r="F115" s="44"/>
      <c r="G115" s="44">
        <f t="shared" si="5"/>
        <v>550841</v>
      </c>
      <c r="H115" s="45">
        <v>0</v>
      </c>
      <c r="I115" s="42">
        <v>200000</v>
      </c>
      <c r="J115" s="37"/>
      <c r="L115" s="41"/>
    </row>
    <row r="116" spans="1:12" x14ac:dyDescent="0.25">
      <c r="A116" s="42">
        <v>234397289</v>
      </c>
      <c r="B116" s="43">
        <v>39627</v>
      </c>
      <c r="C116" s="43">
        <v>47297</v>
      </c>
      <c r="D116" s="44">
        <v>2347</v>
      </c>
      <c r="E116" s="43"/>
      <c r="F116" s="44"/>
      <c r="G116" s="44">
        <f t="shared" si="5"/>
        <v>550841</v>
      </c>
      <c r="H116" s="45">
        <v>0</v>
      </c>
      <c r="I116" s="42">
        <v>200000</v>
      </c>
      <c r="J116" s="37"/>
      <c r="L116" s="41"/>
    </row>
    <row r="117" spans="1:12" x14ac:dyDescent="0.25">
      <c r="A117" s="37">
        <v>117645635</v>
      </c>
      <c r="B117" s="43">
        <v>41834</v>
      </c>
      <c r="C117" s="39">
        <v>47313</v>
      </c>
      <c r="D117" s="38"/>
      <c r="E117" s="43"/>
      <c r="F117" s="38"/>
      <c r="G117" s="44">
        <f t="shared" si="5"/>
        <v>550841</v>
      </c>
      <c r="H117" s="12"/>
      <c r="I117" s="12">
        <v>500000</v>
      </c>
      <c r="J117" s="37"/>
      <c r="L117" s="41"/>
    </row>
    <row r="118" spans="1:12" x14ac:dyDescent="0.25">
      <c r="A118" s="37">
        <v>117645635</v>
      </c>
      <c r="B118" s="43">
        <v>41834</v>
      </c>
      <c r="C118" s="39">
        <v>47497</v>
      </c>
      <c r="D118" s="38"/>
      <c r="E118" s="43"/>
      <c r="F118" s="38"/>
      <c r="G118" s="44">
        <f t="shared" si="5"/>
        <v>550841</v>
      </c>
      <c r="H118" s="12"/>
      <c r="I118" s="12">
        <v>500000</v>
      </c>
      <c r="J118" s="37"/>
      <c r="L118" s="41"/>
    </row>
    <row r="119" spans="1:12" x14ac:dyDescent="0.25">
      <c r="A119" s="37">
        <v>117645635</v>
      </c>
      <c r="B119" s="43">
        <v>41834</v>
      </c>
      <c r="C119" s="39">
        <v>47678</v>
      </c>
      <c r="D119" s="38"/>
      <c r="E119" s="43"/>
      <c r="F119" s="38"/>
      <c r="G119" s="44">
        <f t="shared" si="5"/>
        <v>550841</v>
      </c>
      <c r="H119" s="12"/>
      <c r="I119" s="12">
        <v>500000</v>
      </c>
      <c r="J119" s="37"/>
    </row>
    <row r="120" spans="1:12" x14ac:dyDescent="0.25">
      <c r="A120" s="37">
        <v>117645635</v>
      </c>
      <c r="B120" s="43">
        <v>41834</v>
      </c>
      <c r="C120" s="39">
        <v>47862</v>
      </c>
      <c r="D120" s="38"/>
      <c r="E120" s="43"/>
      <c r="F120" s="38"/>
      <c r="G120" s="44">
        <f t="shared" si="5"/>
        <v>550841</v>
      </c>
      <c r="H120" s="12"/>
      <c r="I120" s="12">
        <v>500000</v>
      </c>
      <c r="J120" s="37"/>
    </row>
    <row r="121" spans="1:12" x14ac:dyDescent="0.25">
      <c r="A121" s="37">
        <v>117645635</v>
      </c>
      <c r="B121" s="43">
        <v>41834</v>
      </c>
      <c r="C121" s="39">
        <v>48043</v>
      </c>
      <c r="D121" s="38"/>
      <c r="E121" s="43"/>
      <c r="F121" s="38"/>
      <c r="G121" s="44">
        <f t="shared" si="5"/>
        <v>550841</v>
      </c>
      <c r="H121" s="12"/>
      <c r="I121" s="12">
        <v>500000</v>
      </c>
      <c r="J121" s="37"/>
    </row>
    <row r="122" spans="1:12" x14ac:dyDescent="0.25">
      <c r="A122" s="37">
        <v>117645635</v>
      </c>
      <c r="B122" s="43">
        <v>41834</v>
      </c>
      <c r="C122" s="39">
        <v>48227</v>
      </c>
      <c r="D122" s="12"/>
      <c r="E122" s="12"/>
      <c r="F122" s="38"/>
      <c r="G122" s="44">
        <f t="shared" si="5"/>
        <v>550841</v>
      </c>
      <c r="H122" s="12"/>
      <c r="I122" s="12">
        <v>500000</v>
      </c>
      <c r="J122" s="37"/>
    </row>
    <row r="123" spans="1:12" x14ac:dyDescent="0.25">
      <c r="A123" s="37">
        <v>117645635</v>
      </c>
      <c r="B123" s="43">
        <v>41834</v>
      </c>
      <c r="C123" s="39">
        <v>48409</v>
      </c>
      <c r="D123" s="12"/>
      <c r="E123" s="12"/>
      <c r="F123" s="38"/>
      <c r="G123" s="44">
        <f t="shared" si="5"/>
        <v>550841</v>
      </c>
      <c r="H123" s="12"/>
      <c r="I123" s="12">
        <v>500000</v>
      </c>
      <c r="J123" s="37"/>
      <c r="L123" s="41"/>
    </row>
    <row r="124" spans="1:12" x14ac:dyDescent="0.25">
      <c r="A124" s="37">
        <v>117645635</v>
      </c>
      <c r="B124" s="43">
        <v>41834</v>
      </c>
      <c r="C124" s="39">
        <v>48593</v>
      </c>
      <c r="D124" s="12"/>
      <c r="E124" s="12"/>
      <c r="F124" s="38"/>
      <c r="G124" s="44">
        <f t="shared" si="5"/>
        <v>550841</v>
      </c>
      <c r="H124" s="12"/>
      <c r="I124" s="12">
        <v>500000</v>
      </c>
      <c r="J124" s="37"/>
      <c r="L124" s="41"/>
    </row>
    <row r="125" spans="1:12" x14ac:dyDescent="0.25">
      <c r="A125" s="37">
        <v>117645635</v>
      </c>
      <c r="B125" s="43">
        <v>41834</v>
      </c>
      <c r="C125" s="39">
        <v>48774</v>
      </c>
      <c r="D125" s="12"/>
      <c r="E125" s="12"/>
      <c r="F125" s="38"/>
      <c r="G125" s="44">
        <f t="shared" si="5"/>
        <v>550841</v>
      </c>
      <c r="H125" s="12"/>
      <c r="I125" s="12">
        <v>500000</v>
      </c>
      <c r="J125" s="37"/>
      <c r="L125" s="41"/>
    </row>
    <row r="126" spans="1:12" x14ac:dyDescent="0.25">
      <c r="A126" s="37">
        <v>117645635</v>
      </c>
      <c r="B126" s="43">
        <v>41834</v>
      </c>
      <c r="C126" s="39">
        <v>48958</v>
      </c>
      <c r="D126" s="12"/>
      <c r="E126" s="12"/>
      <c r="F126" s="38"/>
      <c r="G126" s="44">
        <f t="shared" si="5"/>
        <v>550841</v>
      </c>
      <c r="H126" s="12"/>
      <c r="I126" s="12">
        <v>500000</v>
      </c>
      <c r="J126" s="37"/>
      <c r="L126" s="41"/>
    </row>
    <row r="127" spans="1:12" x14ac:dyDescent="0.25">
      <c r="A127" s="37">
        <v>117645635</v>
      </c>
      <c r="B127" s="43">
        <v>41834</v>
      </c>
      <c r="C127" s="39">
        <v>49140</v>
      </c>
      <c r="D127" s="12"/>
      <c r="E127" s="12"/>
      <c r="F127" s="38"/>
      <c r="G127" s="44">
        <f t="shared" si="5"/>
        <v>550841</v>
      </c>
      <c r="H127" s="12"/>
      <c r="I127" s="12">
        <v>500000</v>
      </c>
      <c r="J127" s="37"/>
    </row>
    <row r="128" spans="1:12" x14ac:dyDescent="0.25">
      <c r="C128" s="41"/>
      <c r="F128" s="38"/>
    </row>
    <row r="129" spans="3:6" x14ac:dyDescent="0.25">
      <c r="C129" s="41"/>
    </row>
    <row r="130" spans="3:6" x14ac:dyDescent="0.25">
      <c r="C130" s="41"/>
      <c r="F130" s="127"/>
    </row>
  </sheetData>
  <autoFilter ref="A1:J127" xr:uid="{00000000-0009-0000-0000-000005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34"/>
  <sheetViews>
    <sheetView workbookViewId="0">
      <pane ySplit="1" topLeftCell="A2" activePane="bottomLeft" state="frozen"/>
      <selection pane="bottomLeft" activeCell="F9" sqref="F9"/>
    </sheetView>
  </sheetViews>
  <sheetFormatPr defaultColWidth="8.85546875" defaultRowHeight="15" x14ac:dyDescent="0.25"/>
  <cols>
    <col min="1" max="1" width="3" style="49" bestFit="1" customWidth="1"/>
    <col min="2" max="2" width="11.5703125" style="49" bestFit="1" customWidth="1"/>
    <col min="3" max="3" width="9.7109375" style="49" customWidth="1"/>
    <col min="4" max="4" width="18.42578125" style="49" bestFit="1" customWidth="1"/>
    <col min="5" max="5" width="15.140625" style="49" customWidth="1"/>
    <col min="6" max="6" width="9.5703125" style="49" bestFit="1" customWidth="1"/>
    <col min="7" max="7" width="9.7109375" style="49" bestFit="1" customWidth="1"/>
    <col min="8" max="8" width="8.28515625" style="49" bestFit="1" customWidth="1"/>
    <col min="9" max="9" width="7.7109375" style="49" bestFit="1" customWidth="1"/>
    <col min="10" max="10" width="12.42578125" style="49" customWidth="1"/>
    <col min="11" max="11" width="15.140625" style="49" customWidth="1"/>
    <col min="12" max="12" width="12.140625" style="49" bestFit="1" customWidth="1"/>
    <col min="13" max="13" width="9.85546875" style="49" customWidth="1"/>
    <col min="14" max="14" width="10.7109375" style="49" bestFit="1" customWidth="1"/>
    <col min="15" max="15" width="8.7109375" style="49" bestFit="1" customWidth="1"/>
    <col min="16" max="16" width="6.5703125" style="49" bestFit="1" customWidth="1"/>
    <col min="17" max="17" width="13.42578125" style="49" bestFit="1" customWidth="1"/>
    <col min="18" max="18" width="12.85546875" style="49" bestFit="1" customWidth="1"/>
    <col min="19" max="19" width="14.140625" style="49" customWidth="1"/>
    <col min="20" max="20" width="10.28515625" style="58" bestFit="1" customWidth="1"/>
    <col min="21" max="21" width="6.140625" style="49" bestFit="1" customWidth="1"/>
    <col min="22" max="22" width="7.28515625" style="49" bestFit="1" customWidth="1"/>
    <col min="23" max="23" width="19" style="49" bestFit="1" customWidth="1"/>
    <col min="24" max="16384" width="8.85546875" style="49"/>
  </cols>
  <sheetData>
    <row r="1" spans="1:23" s="57" customFormat="1" ht="60" x14ac:dyDescent="0.25">
      <c r="A1" s="57" t="s">
        <v>416</v>
      </c>
      <c r="B1" s="57" t="s">
        <v>422</v>
      </c>
      <c r="C1" s="57" t="s">
        <v>1511</v>
      </c>
      <c r="D1" s="57" t="s">
        <v>424</v>
      </c>
      <c r="E1" s="57" t="s">
        <v>434</v>
      </c>
      <c r="F1" s="57" t="s">
        <v>417</v>
      </c>
      <c r="G1" s="57" t="s">
        <v>418</v>
      </c>
      <c r="H1" s="57" t="s">
        <v>419</v>
      </c>
      <c r="I1" s="57" t="s">
        <v>428</v>
      </c>
      <c r="J1" s="57" t="s">
        <v>462</v>
      </c>
      <c r="K1" s="57" t="s">
        <v>463</v>
      </c>
      <c r="L1" s="57" t="s">
        <v>420</v>
      </c>
      <c r="M1" s="57" t="s">
        <v>421</v>
      </c>
      <c r="N1" s="57" t="s">
        <v>435</v>
      </c>
      <c r="O1" s="57" t="s">
        <v>439</v>
      </c>
      <c r="P1" s="57" t="s">
        <v>440</v>
      </c>
      <c r="Q1" s="57" t="s">
        <v>441</v>
      </c>
      <c r="R1" s="57" t="s">
        <v>467</v>
      </c>
      <c r="S1" s="57" t="s">
        <v>468</v>
      </c>
      <c r="T1" s="57" t="s">
        <v>429</v>
      </c>
      <c r="U1" s="57" t="s">
        <v>430</v>
      </c>
      <c r="V1" s="57" t="s">
        <v>443</v>
      </c>
      <c r="W1" s="57" t="s">
        <v>423</v>
      </c>
    </row>
    <row r="2" spans="1:23" x14ac:dyDescent="0.25">
      <c r="A2" s="49">
        <v>1</v>
      </c>
      <c r="B2" s="61">
        <v>42005</v>
      </c>
      <c r="C2" s="61" t="s">
        <v>1367</v>
      </c>
      <c r="D2" s="49" t="s">
        <v>4789</v>
      </c>
      <c r="E2" s="49" t="s">
        <v>449</v>
      </c>
      <c r="F2" s="49" t="s">
        <v>451</v>
      </c>
      <c r="G2" s="49">
        <v>1</v>
      </c>
      <c r="K2" s="59"/>
      <c r="N2" s="107"/>
      <c r="T2" s="58" t="s">
        <v>446</v>
      </c>
      <c r="U2" s="49" t="s">
        <v>446</v>
      </c>
      <c r="V2" s="49" t="s">
        <v>14</v>
      </c>
      <c r="W2" s="49" t="s">
        <v>445</v>
      </c>
    </row>
    <row r="3" spans="1:23" x14ac:dyDescent="0.25">
      <c r="A3" s="49">
        <v>2</v>
      </c>
      <c r="B3" s="61">
        <v>42005</v>
      </c>
      <c r="C3" s="61" t="s">
        <v>1367</v>
      </c>
      <c r="D3" s="49" t="s">
        <v>4790</v>
      </c>
      <c r="E3" s="49" t="s">
        <v>450</v>
      </c>
      <c r="F3" s="49" t="s">
        <v>452</v>
      </c>
      <c r="G3" s="49">
        <v>1</v>
      </c>
      <c r="K3" s="59"/>
      <c r="N3" s="107"/>
      <c r="T3" s="58" t="s">
        <v>446</v>
      </c>
      <c r="U3" s="49" t="s">
        <v>446</v>
      </c>
      <c r="V3" s="49" t="s">
        <v>14</v>
      </c>
      <c r="W3" s="49" t="s">
        <v>445</v>
      </c>
    </row>
    <row r="4" spans="1:23" x14ac:dyDescent="0.25">
      <c r="A4" s="49">
        <v>3</v>
      </c>
      <c r="B4" s="61">
        <v>43070</v>
      </c>
      <c r="C4" s="61" t="s">
        <v>1367</v>
      </c>
      <c r="D4" s="49" t="s">
        <v>4791</v>
      </c>
      <c r="E4" s="49" t="s">
        <v>447</v>
      </c>
      <c r="F4" s="49" t="s">
        <v>437</v>
      </c>
      <c r="G4" s="49">
        <v>1</v>
      </c>
      <c r="K4" s="59"/>
      <c r="N4" s="107"/>
      <c r="T4" s="58" t="s">
        <v>444</v>
      </c>
      <c r="U4" s="49" t="s">
        <v>444</v>
      </c>
      <c r="V4" s="49" t="s">
        <v>14</v>
      </c>
      <c r="W4" s="49" t="s">
        <v>445</v>
      </c>
    </row>
    <row r="5" spans="1:23" x14ac:dyDescent="0.25">
      <c r="A5" s="49">
        <v>4</v>
      </c>
      <c r="B5" s="61">
        <v>43070</v>
      </c>
      <c r="C5" s="61" t="s">
        <v>1367</v>
      </c>
      <c r="D5" s="49" t="s">
        <v>4792</v>
      </c>
      <c r="E5" s="49" t="s">
        <v>448</v>
      </c>
      <c r="F5" s="49" t="s">
        <v>437</v>
      </c>
      <c r="G5" s="49">
        <v>1</v>
      </c>
      <c r="K5" s="59"/>
      <c r="N5" s="107"/>
      <c r="T5" s="58" t="s">
        <v>446</v>
      </c>
      <c r="U5" s="49" t="s">
        <v>446</v>
      </c>
      <c r="V5" s="49" t="s">
        <v>14</v>
      </c>
      <c r="W5" s="49" t="s">
        <v>445</v>
      </c>
    </row>
    <row r="6" spans="1:23" ht="30" x14ac:dyDescent="0.25">
      <c r="A6" s="49">
        <v>5</v>
      </c>
      <c r="B6" s="61">
        <v>43070</v>
      </c>
      <c r="C6" s="61" t="s">
        <v>1367</v>
      </c>
      <c r="D6" s="49" t="s">
        <v>4793</v>
      </c>
      <c r="E6" s="49" t="s">
        <v>458</v>
      </c>
      <c r="F6" s="49" t="s">
        <v>2281</v>
      </c>
      <c r="G6" s="49">
        <v>4</v>
      </c>
      <c r="K6" s="59"/>
      <c r="N6" s="107"/>
      <c r="T6" s="58" t="s">
        <v>454</v>
      </c>
      <c r="U6" s="49" t="s">
        <v>446</v>
      </c>
      <c r="V6" s="49" t="s">
        <v>14</v>
      </c>
      <c r="W6" s="49" t="s">
        <v>453</v>
      </c>
    </row>
    <row r="7" spans="1:23" ht="30" x14ac:dyDescent="0.25">
      <c r="A7" s="49">
        <v>6</v>
      </c>
      <c r="B7" s="61">
        <v>43070</v>
      </c>
      <c r="C7" s="61" t="s">
        <v>1367</v>
      </c>
      <c r="D7" s="49" t="s">
        <v>4794</v>
      </c>
      <c r="E7" s="49" t="s">
        <v>459</v>
      </c>
      <c r="F7" s="49" t="s">
        <v>433</v>
      </c>
      <c r="G7" s="49">
        <v>1</v>
      </c>
      <c r="K7" s="59"/>
      <c r="N7" s="107"/>
      <c r="T7" s="58" t="s">
        <v>454</v>
      </c>
      <c r="U7" s="49" t="s">
        <v>446</v>
      </c>
      <c r="V7" s="49" t="s">
        <v>14</v>
      </c>
      <c r="W7" s="49" t="s">
        <v>453</v>
      </c>
    </row>
    <row r="8" spans="1:23" ht="30" x14ac:dyDescent="0.25">
      <c r="A8" s="49">
        <v>7</v>
      </c>
      <c r="B8" s="61">
        <v>43070</v>
      </c>
      <c r="C8" s="61" t="s">
        <v>1367</v>
      </c>
      <c r="D8" s="49" t="s">
        <v>4795</v>
      </c>
      <c r="E8" s="49" t="s">
        <v>460</v>
      </c>
      <c r="F8" s="49" t="s">
        <v>455</v>
      </c>
      <c r="G8" s="49">
        <v>1</v>
      </c>
      <c r="K8" s="59"/>
      <c r="N8" s="107"/>
      <c r="T8" s="58" t="s">
        <v>454</v>
      </c>
      <c r="U8" s="49" t="s">
        <v>446</v>
      </c>
      <c r="V8" s="49" t="s">
        <v>14</v>
      </c>
      <c r="W8" s="49" t="s">
        <v>453</v>
      </c>
    </row>
    <row r="9" spans="1:23" ht="30" x14ac:dyDescent="0.25">
      <c r="A9" s="49">
        <v>8</v>
      </c>
      <c r="B9" s="61">
        <v>43070</v>
      </c>
      <c r="C9" s="61" t="s">
        <v>1367</v>
      </c>
      <c r="D9" s="49" t="s">
        <v>4796</v>
      </c>
      <c r="E9" s="49" t="s">
        <v>461</v>
      </c>
      <c r="F9" s="49" t="s">
        <v>426</v>
      </c>
      <c r="G9" s="49">
        <v>1</v>
      </c>
      <c r="K9" s="59"/>
      <c r="N9" s="107"/>
      <c r="T9" s="58" t="s">
        <v>456</v>
      </c>
      <c r="U9" s="49" t="s">
        <v>457</v>
      </c>
      <c r="V9" s="49" t="s">
        <v>14</v>
      </c>
      <c r="W9" s="49" t="s">
        <v>453</v>
      </c>
    </row>
    <row r="10" spans="1:23" ht="30" x14ac:dyDescent="0.25">
      <c r="A10" s="49">
        <v>9</v>
      </c>
      <c r="B10" s="61">
        <v>43070</v>
      </c>
      <c r="C10" s="61" t="s">
        <v>1367</v>
      </c>
      <c r="D10" s="49" t="s">
        <v>4797</v>
      </c>
      <c r="E10" s="49" t="s">
        <v>464</v>
      </c>
      <c r="F10" s="49" t="s">
        <v>426</v>
      </c>
      <c r="G10" s="49">
        <v>1</v>
      </c>
      <c r="K10" s="59"/>
      <c r="N10" s="107"/>
      <c r="T10" s="58" t="s">
        <v>454</v>
      </c>
      <c r="U10" s="49" t="s">
        <v>446</v>
      </c>
      <c r="V10" s="49" t="s">
        <v>14</v>
      </c>
      <c r="W10" s="49" t="s">
        <v>453</v>
      </c>
    </row>
    <row r="11" spans="1:23" x14ac:dyDescent="0.25">
      <c r="A11" s="49">
        <v>10</v>
      </c>
      <c r="B11" s="50">
        <v>43760</v>
      </c>
      <c r="C11" s="61" t="s">
        <v>1367</v>
      </c>
      <c r="D11" s="49" t="s">
        <v>4798</v>
      </c>
      <c r="E11" s="49" t="s">
        <v>442</v>
      </c>
      <c r="F11" s="49" t="s">
        <v>437</v>
      </c>
      <c r="G11" s="49">
        <v>1</v>
      </c>
      <c r="H11" s="49" t="s">
        <v>427</v>
      </c>
      <c r="I11" s="49">
        <v>3.35</v>
      </c>
      <c r="J11" s="49">
        <v>169</v>
      </c>
      <c r="K11" s="59">
        <f>J11*19.41</f>
        <v>3280.29</v>
      </c>
      <c r="L11" s="49">
        <f>I11</f>
        <v>3.35</v>
      </c>
      <c r="M11" s="49">
        <v>73.5</v>
      </c>
      <c r="N11" s="107">
        <f>M11/(I11*J11)</f>
        <v>0.12982425152344784</v>
      </c>
      <c r="O11" s="56">
        <f>(I11*J11)+M11</f>
        <v>639.65</v>
      </c>
      <c r="P11" s="53">
        <v>0</v>
      </c>
      <c r="Q11" s="54">
        <f>O11*P11</f>
        <v>0</v>
      </c>
      <c r="R11" s="55">
        <f>O11+Q11</f>
        <v>639.65</v>
      </c>
      <c r="S11" s="60">
        <f>R11*K11/J11</f>
        <v>12415.606499999998</v>
      </c>
      <c r="T11" s="58" t="s">
        <v>107</v>
      </c>
      <c r="U11" s="49" t="s">
        <v>431</v>
      </c>
      <c r="V11" s="49" t="s">
        <v>438</v>
      </c>
      <c r="W11" s="49" t="s">
        <v>466</v>
      </c>
    </row>
    <row r="12" spans="1:23" ht="30" x14ac:dyDescent="0.25">
      <c r="A12" s="49">
        <v>11</v>
      </c>
      <c r="B12" s="61">
        <v>44148</v>
      </c>
      <c r="C12" s="61" t="s">
        <v>1367</v>
      </c>
      <c r="D12" s="49" t="s">
        <v>4799</v>
      </c>
      <c r="E12" s="49" t="s">
        <v>866</v>
      </c>
      <c r="F12" s="49" t="s">
        <v>867</v>
      </c>
      <c r="G12" s="49">
        <v>1</v>
      </c>
      <c r="H12" s="49" t="s">
        <v>868</v>
      </c>
      <c r="I12" s="49">
        <v>1.99</v>
      </c>
      <c r="K12" s="59"/>
      <c r="N12" s="107"/>
      <c r="O12" s="56"/>
      <c r="P12" s="53"/>
      <c r="Q12" s="54"/>
      <c r="R12" s="55"/>
      <c r="S12" s="60"/>
      <c r="T12" s="58" t="s">
        <v>454</v>
      </c>
      <c r="U12" s="49" t="s">
        <v>446</v>
      </c>
      <c r="V12" s="49" t="s">
        <v>14</v>
      </c>
      <c r="W12" s="49" t="s">
        <v>453</v>
      </c>
    </row>
    <row r="13" spans="1:23" x14ac:dyDescent="0.25">
      <c r="A13" s="49">
        <v>12</v>
      </c>
      <c r="B13" s="50">
        <v>43784</v>
      </c>
      <c r="C13" s="61" t="s">
        <v>1367</v>
      </c>
      <c r="D13" s="49" t="s">
        <v>432</v>
      </c>
      <c r="E13" s="51">
        <v>800110269085</v>
      </c>
      <c r="F13" s="49" t="s">
        <v>433</v>
      </c>
      <c r="G13" s="49">
        <v>1</v>
      </c>
      <c r="H13" s="49" t="s">
        <v>427</v>
      </c>
      <c r="I13" s="49">
        <v>13.72</v>
      </c>
      <c r="J13" s="49">
        <v>169.5</v>
      </c>
      <c r="K13" s="59">
        <f>J13*19.72</f>
        <v>3342.54</v>
      </c>
      <c r="L13" s="49">
        <f>I13</f>
        <v>13.72</v>
      </c>
      <c r="M13" s="49">
        <v>316.41000000000003</v>
      </c>
      <c r="N13" s="107">
        <f t="shared" ref="N13:N22" si="0">M13/(I13*J13)</f>
        <v>0.13605872184524886</v>
      </c>
      <c r="O13" s="56">
        <f t="shared" ref="O13:O32" si="1">(I13*J13)+M13</f>
        <v>2641.95</v>
      </c>
      <c r="P13" s="53">
        <v>0</v>
      </c>
      <c r="Q13" s="54">
        <f t="shared" ref="Q13:Q21" si="2">O13*P13</f>
        <v>0</v>
      </c>
      <c r="R13" s="55">
        <f t="shared" ref="R13:R32" si="3">O13+Q13</f>
        <v>2641.95</v>
      </c>
      <c r="S13" s="60">
        <f t="shared" ref="S13:S22" si="4">R13*K13/J13</f>
        <v>52099.253999999994</v>
      </c>
      <c r="T13" s="58" t="s">
        <v>173</v>
      </c>
      <c r="U13" s="49" t="s">
        <v>431</v>
      </c>
      <c r="V13" s="49" t="s">
        <v>14</v>
      </c>
      <c r="W13" s="49" t="s">
        <v>453</v>
      </c>
    </row>
    <row r="14" spans="1:23" x14ac:dyDescent="0.25">
      <c r="A14" s="49">
        <v>13</v>
      </c>
      <c r="B14" s="50">
        <v>43847</v>
      </c>
      <c r="C14" s="61" t="s">
        <v>1367</v>
      </c>
      <c r="D14" s="50" t="s">
        <v>425</v>
      </c>
      <c r="E14" s="51">
        <v>131000449407</v>
      </c>
      <c r="F14" s="49" t="s">
        <v>426</v>
      </c>
      <c r="G14" s="49">
        <v>1</v>
      </c>
      <c r="H14" s="49" t="s">
        <v>427</v>
      </c>
      <c r="I14" s="49">
        <v>1.29</v>
      </c>
      <c r="J14" s="49">
        <v>179</v>
      </c>
      <c r="K14" s="59">
        <f>J14*19.51</f>
        <v>3492.2900000000004</v>
      </c>
      <c r="L14" s="49">
        <v>1.29</v>
      </c>
      <c r="M14" s="49">
        <v>44.09</v>
      </c>
      <c r="N14" s="107">
        <f t="shared" si="0"/>
        <v>0.19094019314884589</v>
      </c>
      <c r="O14" s="52">
        <f t="shared" si="1"/>
        <v>275</v>
      </c>
      <c r="P14" s="53">
        <v>0</v>
      </c>
      <c r="Q14" s="54">
        <f t="shared" si="2"/>
        <v>0</v>
      </c>
      <c r="R14" s="55">
        <f t="shared" si="3"/>
        <v>275</v>
      </c>
      <c r="S14" s="60">
        <f t="shared" si="4"/>
        <v>5365.2500000000009</v>
      </c>
      <c r="T14" s="58" t="s">
        <v>107</v>
      </c>
      <c r="U14" s="49" t="s">
        <v>431</v>
      </c>
      <c r="V14" s="49" t="s">
        <v>14</v>
      </c>
      <c r="W14" s="49" t="s">
        <v>453</v>
      </c>
    </row>
    <row r="15" spans="1:23" x14ac:dyDescent="0.25">
      <c r="A15" s="49">
        <v>14</v>
      </c>
      <c r="B15" s="50">
        <v>43867</v>
      </c>
      <c r="C15" s="61" t="s">
        <v>1367</v>
      </c>
      <c r="D15" s="49" t="s">
        <v>436</v>
      </c>
      <c r="E15" s="51">
        <v>800110303818</v>
      </c>
      <c r="F15" s="49" t="s">
        <v>437</v>
      </c>
      <c r="G15" s="49">
        <v>1</v>
      </c>
      <c r="H15" s="49" t="s">
        <v>427</v>
      </c>
      <c r="I15" s="49">
        <v>4.43</v>
      </c>
      <c r="J15" s="49">
        <v>179.5</v>
      </c>
      <c r="K15" s="59">
        <f>J15*19.55</f>
        <v>3509.2249999999999</v>
      </c>
      <c r="L15" s="49">
        <f>I15</f>
        <v>4.43</v>
      </c>
      <c r="M15" s="49">
        <v>95.81</v>
      </c>
      <c r="N15" s="107">
        <f t="shared" si="0"/>
        <v>0.12048768525563235</v>
      </c>
      <c r="O15" s="56">
        <f t="shared" si="1"/>
        <v>890.99499999999989</v>
      </c>
      <c r="P15" s="53">
        <v>0</v>
      </c>
      <c r="Q15" s="54">
        <f t="shared" si="2"/>
        <v>0</v>
      </c>
      <c r="R15" s="55">
        <f t="shared" si="3"/>
        <v>890.99499999999989</v>
      </c>
      <c r="S15" s="60">
        <f t="shared" si="4"/>
        <v>17418.952249999998</v>
      </c>
      <c r="T15" s="58" t="s">
        <v>173</v>
      </c>
      <c r="U15" s="49" t="s">
        <v>431</v>
      </c>
      <c r="V15" s="49" t="s">
        <v>438</v>
      </c>
      <c r="W15" s="49" t="s">
        <v>465</v>
      </c>
    </row>
    <row r="16" spans="1:23" x14ac:dyDescent="0.25">
      <c r="A16" s="49">
        <v>15</v>
      </c>
      <c r="B16" s="50">
        <v>43869</v>
      </c>
      <c r="C16" s="61" t="s">
        <v>1367</v>
      </c>
      <c r="D16" s="49" t="s">
        <v>470</v>
      </c>
      <c r="E16" s="51">
        <v>800110270040</v>
      </c>
      <c r="F16" s="49" t="s">
        <v>451</v>
      </c>
      <c r="G16" s="49">
        <v>1</v>
      </c>
      <c r="H16" s="49" t="s">
        <v>427</v>
      </c>
      <c r="I16" s="49">
        <v>4.6399999999999997</v>
      </c>
      <c r="J16" s="49">
        <v>181</v>
      </c>
      <c r="K16" s="59">
        <f>J16*19.65</f>
        <v>3556.6499999999996</v>
      </c>
      <c r="L16" s="49">
        <v>4.63</v>
      </c>
      <c r="M16" s="49">
        <v>117.16</v>
      </c>
      <c r="N16" s="107">
        <f t="shared" si="0"/>
        <v>0.13950276243093923</v>
      </c>
      <c r="O16" s="56">
        <f t="shared" si="1"/>
        <v>956.99999999999989</v>
      </c>
      <c r="P16" s="53">
        <v>0</v>
      </c>
      <c r="Q16" s="54">
        <f t="shared" si="2"/>
        <v>0</v>
      </c>
      <c r="R16" s="55">
        <f t="shared" si="3"/>
        <v>956.99999999999989</v>
      </c>
      <c r="S16" s="60">
        <f t="shared" si="4"/>
        <v>18805.049999999996</v>
      </c>
      <c r="T16" s="58" t="s">
        <v>173</v>
      </c>
      <c r="U16" s="49" t="s">
        <v>431</v>
      </c>
      <c r="V16" s="49" t="s">
        <v>438</v>
      </c>
      <c r="W16" s="49" t="s">
        <v>472</v>
      </c>
    </row>
    <row r="17" spans="1:23" x14ac:dyDescent="0.25">
      <c r="A17" s="49">
        <v>16</v>
      </c>
      <c r="B17" s="50">
        <v>43869</v>
      </c>
      <c r="C17" s="61" t="s">
        <v>1367</v>
      </c>
      <c r="D17" s="49" t="s">
        <v>470</v>
      </c>
      <c r="E17" s="51">
        <v>800110221945</v>
      </c>
      <c r="F17" s="49" t="s">
        <v>471</v>
      </c>
      <c r="G17" s="49">
        <v>1</v>
      </c>
      <c r="H17" s="49" t="s">
        <v>427</v>
      </c>
      <c r="I17" s="49">
        <v>1.74</v>
      </c>
      <c r="J17" s="49">
        <v>181</v>
      </c>
      <c r="K17" s="59">
        <f>J17*19.65</f>
        <v>3556.6499999999996</v>
      </c>
      <c r="L17" s="49">
        <v>1.71</v>
      </c>
      <c r="M17" s="49">
        <v>50.87</v>
      </c>
      <c r="N17" s="107">
        <f t="shared" si="0"/>
        <v>0.16152282974534832</v>
      </c>
      <c r="O17" s="56">
        <f t="shared" si="1"/>
        <v>365.81</v>
      </c>
      <c r="P17" s="53">
        <v>0</v>
      </c>
      <c r="Q17" s="54">
        <f t="shared" si="2"/>
        <v>0</v>
      </c>
      <c r="R17" s="55">
        <f t="shared" si="3"/>
        <v>365.81</v>
      </c>
      <c r="S17" s="60">
        <f t="shared" si="4"/>
        <v>7188.1664999999985</v>
      </c>
      <c r="T17" s="58" t="s">
        <v>173</v>
      </c>
      <c r="U17" s="49" t="s">
        <v>431</v>
      </c>
      <c r="V17" s="49" t="s">
        <v>438</v>
      </c>
      <c r="W17" s="49" t="s">
        <v>472</v>
      </c>
    </row>
    <row r="18" spans="1:23" x14ac:dyDescent="0.25">
      <c r="A18" s="49">
        <v>17</v>
      </c>
      <c r="B18" s="50">
        <v>44053</v>
      </c>
      <c r="C18" s="61" t="s">
        <v>1367</v>
      </c>
      <c r="D18" s="49" t="s">
        <v>696</v>
      </c>
      <c r="E18" s="51">
        <v>131000517089</v>
      </c>
      <c r="F18" s="49" t="s">
        <v>697</v>
      </c>
      <c r="G18" s="49">
        <v>1</v>
      </c>
      <c r="H18" s="49" t="s">
        <v>427</v>
      </c>
      <c r="I18" s="49">
        <v>4</v>
      </c>
      <c r="J18" s="49">
        <v>234.5</v>
      </c>
      <c r="K18" s="59">
        <f>J18*20.25</f>
        <v>4748.625</v>
      </c>
      <c r="L18" s="49">
        <v>4</v>
      </c>
      <c r="M18" s="49">
        <v>6</v>
      </c>
      <c r="N18" s="107">
        <f t="shared" si="0"/>
        <v>6.3965884861407248E-3</v>
      </c>
      <c r="O18" s="56">
        <f t="shared" si="1"/>
        <v>944</v>
      </c>
      <c r="P18" s="53">
        <v>0</v>
      </c>
      <c r="Q18" s="54">
        <f t="shared" si="2"/>
        <v>0</v>
      </c>
      <c r="R18" s="55">
        <f t="shared" si="3"/>
        <v>944</v>
      </c>
      <c r="S18" s="60">
        <f t="shared" si="4"/>
        <v>19116</v>
      </c>
      <c r="T18" s="58" t="s">
        <v>107</v>
      </c>
      <c r="U18" s="49" t="s">
        <v>431</v>
      </c>
      <c r="V18" s="49" t="s">
        <v>14</v>
      </c>
      <c r="W18" s="49" t="s">
        <v>453</v>
      </c>
    </row>
    <row r="19" spans="1:23" x14ac:dyDescent="0.25">
      <c r="A19" s="49">
        <v>18</v>
      </c>
      <c r="B19" s="50">
        <v>44053</v>
      </c>
      <c r="C19" s="61" t="s">
        <v>1367</v>
      </c>
      <c r="D19" s="49" t="s">
        <v>696</v>
      </c>
      <c r="E19" s="51">
        <v>131000517135</v>
      </c>
      <c r="F19" s="49" t="s">
        <v>697</v>
      </c>
      <c r="G19" s="49">
        <v>2</v>
      </c>
      <c r="H19" s="49" t="s">
        <v>427</v>
      </c>
      <c r="I19" s="49">
        <v>4</v>
      </c>
      <c r="J19" s="49">
        <v>234.5</v>
      </c>
      <c r="K19" s="59">
        <f>J19*20.25</f>
        <v>4748.625</v>
      </c>
      <c r="L19" s="49">
        <v>4</v>
      </c>
      <c r="M19" s="49">
        <v>6</v>
      </c>
      <c r="N19" s="107">
        <f t="shared" si="0"/>
        <v>6.3965884861407248E-3</v>
      </c>
      <c r="O19" s="56">
        <f t="shared" si="1"/>
        <v>944</v>
      </c>
      <c r="P19" s="53">
        <v>0</v>
      </c>
      <c r="Q19" s="54">
        <f t="shared" si="2"/>
        <v>0</v>
      </c>
      <c r="R19" s="55">
        <f t="shared" si="3"/>
        <v>944</v>
      </c>
      <c r="S19" s="60">
        <f t="shared" si="4"/>
        <v>19116</v>
      </c>
      <c r="T19" s="58" t="s">
        <v>107</v>
      </c>
      <c r="U19" s="49" t="s">
        <v>431</v>
      </c>
      <c r="V19" s="49" t="s">
        <v>14</v>
      </c>
      <c r="W19" s="49" t="s">
        <v>453</v>
      </c>
    </row>
    <row r="20" spans="1:23" x14ac:dyDescent="0.25">
      <c r="A20" s="49">
        <v>19</v>
      </c>
      <c r="B20" s="50">
        <v>44232</v>
      </c>
      <c r="C20" s="61" t="s">
        <v>1367</v>
      </c>
      <c r="D20" s="49" t="s">
        <v>1004</v>
      </c>
      <c r="E20" s="51">
        <v>800110342105</v>
      </c>
      <c r="F20" s="49" t="s">
        <v>451</v>
      </c>
      <c r="G20" s="49">
        <v>1</v>
      </c>
      <c r="H20" s="49" t="s">
        <v>427</v>
      </c>
      <c r="I20" s="49">
        <v>8.68</v>
      </c>
      <c r="J20" s="49">
        <v>208</v>
      </c>
      <c r="K20" s="59">
        <f>J20*20.05</f>
        <v>4170.4000000000005</v>
      </c>
      <c r="L20" s="49">
        <v>8.68</v>
      </c>
      <c r="M20" s="49">
        <v>135.56</v>
      </c>
      <c r="N20" s="107">
        <f t="shared" si="0"/>
        <v>7.508419000354484E-2</v>
      </c>
      <c r="O20" s="56">
        <f t="shared" si="1"/>
        <v>1941</v>
      </c>
      <c r="P20" s="53">
        <v>0</v>
      </c>
      <c r="Q20" s="54">
        <f t="shared" si="2"/>
        <v>0</v>
      </c>
      <c r="R20" s="55">
        <f t="shared" si="3"/>
        <v>1941</v>
      </c>
      <c r="S20" s="60">
        <f t="shared" si="4"/>
        <v>38917.050000000003</v>
      </c>
      <c r="T20" s="58" t="s">
        <v>173</v>
      </c>
      <c r="U20" s="49" t="s">
        <v>431</v>
      </c>
      <c r="V20" s="49" t="s">
        <v>14</v>
      </c>
      <c r="W20" s="49" t="s">
        <v>4801</v>
      </c>
    </row>
    <row r="21" spans="1:23" ht="30" x14ac:dyDescent="0.25">
      <c r="A21" s="49">
        <v>20</v>
      </c>
      <c r="B21" s="50">
        <v>44510</v>
      </c>
      <c r="C21" s="49" t="s">
        <v>1587</v>
      </c>
      <c r="D21" s="49" t="s">
        <v>1512</v>
      </c>
      <c r="E21" s="49" t="s">
        <v>1513</v>
      </c>
      <c r="F21" s="49" t="s">
        <v>1514</v>
      </c>
      <c r="G21" s="49">
        <v>1</v>
      </c>
      <c r="H21" s="49" t="s">
        <v>1515</v>
      </c>
      <c r="I21" s="49">
        <v>1000</v>
      </c>
      <c r="J21" s="49">
        <f>K21/20</f>
        <v>3.25</v>
      </c>
      <c r="K21" s="59">
        <v>65</v>
      </c>
      <c r="L21" s="49">
        <v>1000</v>
      </c>
      <c r="M21" s="49">
        <v>0</v>
      </c>
      <c r="N21" s="107">
        <f t="shared" si="0"/>
        <v>0</v>
      </c>
      <c r="O21" s="56">
        <f t="shared" si="1"/>
        <v>3250</v>
      </c>
      <c r="P21" s="53">
        <v>0</v>
      </c>
      <c r="Q21" s="54">
        <f t="shared" si="2"/>
        <v>0</v>
      </c>
      <c r="R21" s="55">
        <f t="shared" si="3"/>
        <v>3250</v>
      </c>
      <c r="S21" s="60">
        <f t="shared" si="4"/>
        <v>65000</v>
      </c>
      <c r="T21" s="58" t="s">
        <v>1516</v>
      </c>
      <c r="U21" s="49" t="s">
        <v>431</v>
      </c>
      <c r="V21" s="49" t="s">
        <v>14</v>
      </c>
      <c r="W21" s="49" t="s">
        <v>1005</v>
      </c>
    </row>
    <row r="22" spans="1:23" x14ac:dyDescent="0.25">
      <c r="A22" s="49">
        <v>21</v>
      </c>
      <c r="B22" s="50">
        <v>44685</v>
      </c>
      <c r="C22" s="49" t="s">
        <v>1367</v>
      </c>
      <c r="D22" s="49" t="s">
        <v>2277</v>
      </c>
      <c r="E22" s="49" t="s">
        <v>2278</v>
      </c>
      <c r="F22" s="49" t="s">
        <v>2281</v>
      </c>
      <c r="G22" s="49">
        <v>2</v>
      </c>
      <c r="H22" s="49" t="s">
        <v>427</v>
      </c>
      <c r="I22" s="49">
        <v>35.08</v>
      </c>
      <c r="J22" s="49">
        <v>205.7</v>
      </c>
      <c r="K22" s="59">
        <f>J22*20.95</f>
        <v>4309.415</v>
      </c>
      <c r="L22" s="49">
        <v>35.08</v>
      </c>
      <c r="M22" s="49">
        <v>1900</v>
      </c>
      <c r="N22" s="107">
        <f t="shared" si="0"/>
        <v>0.2633053749219092</v>
      </c>
      <c r="O22" s="56">
        <f t="shared" si="1"/>
        <v>9115.9559999999983</v>
      </c>
      <c r="P22" s="53">
        <v>0</v>
      </c>
      <c r="Q22" s="54">
        <v>32.005434455047713</v>
      </c>
      <c r="R22" s="55">
        <f t="shared" si="3"/>
        <v>9147.9614344550464</v>
      </c>
      <c r="S22" s="60">
        <f t="shared" si="4"/>
        <v>191649.79205183324</v>
      </c>
      <c r="T22" s="58" t="s">
        <v>2284</v>
      </c>
      <c r="U22" s="49" t="s">
        <v>2263</v>
      </c>
      <c r="V22" s="49" t="s">
        <v>14</v>
      </c>
      <c r="W22" s="49" t="s">
        <v>453</v>
      </c>
    </row>
    <row r="23" spans="1:23" x14ac:dyDescent="0.25">
      <c r="A23" s="49">
        <v>22</v>
      </c>
      <c r="B23" s="50">
        <v>44685</v>
      </c>
      <c r="C23" s="49" t="s">
        <v>1367</v>
      </c>
      <c r="D23" s="49" t="s">
        <v>2277</v>
      </c>
      <c r="E23" s="49" t="s">
        <v>2279</v>
      </c>
      <c r="F23" s="49" t="s">
        <v>437</v>
      </c>
      <c r="G23" s="49">
        <v>1</v>
      </c>
      <c r="H23" s="49" t="s">
        <v>427</v>
      </c>
      <c r="I23" s="49">
        <v>0</v>
      </c>
      <c r="J23" s="49">
        <v>0</v>
      </c>
      <c r="K23" s="59">
        <f>J23*20.95</f>
        <v>0</v>
      </c>
      <c r="L23" s="49">
        <v>0</v>
      </c>
      <c r="M23" s="49">
        <v>0</v>
      </c>
      <c r="N23" s="107">
        <v>0</v>
      </c>
      <c r="O23" s="56">
        <f t="shared" si="1"/>
        <v>0</v>
      </c>
      <c r="P23" s="53">
        <v>0</v>
      </c>
      <c r="Q23" s="167">
        <v>0</v>
      </c>
      <c r="R23" s="55">
        <f t="shared" si="3"/>
        <v>0</v>
      </c>
      <c r="S23" s="60">
        <v>0</v>
      </c>
      <c r="T23" s="58" t="s">
        <v>4807</v>
      </c>
      <c r="U23" s="49" t="s">
        <v>2263</v>
      </c>
      <c r="V23" s="49" t="s">
        <v>14</v>
      </c>
      <c r="W23" s="49" t="s">
        <v>445</v>
      </c>
    </row>
    <row r="24" spans="1:23" x14ac:dyDescent="0.25">
      <c r="A24" s="49">
        <v>23</v>
      </c>
      <c r="B24" s="50">
        <v>44685</v>
      </c>
      <c r="C24" s="49" t="s">
        <v>1587</v>
      </c>
      <c r="D24" s="49" t="s">
        <v>2277</v>
      </c>
      <c r="E24" s="49" t="s">
        <v>2280</v>
      </c>
      <c r="F24" s="49" t="s">
        <v>2282</v>
      </c>
      <c r="G24" s="49">
        <v>1</v>
      </c>
      <c r="H24" s="49" t="s">
        <v>2283</v>
      </c>
      <c r="I24" s="49">
        <v>17.88</v>
      </c>
      <c r="J24" s="49">
        <v>7.92</v>
      </c>
      <c r="K24" s="59">
        <f>J24*20.95</f>
        <v>165.92400000000001</v>
      </c>
      <c r="L24" s="49">
        <v>17.88</v>
      </c>
      <c r="M24" s="49">
        <v>35</v>
      </c>
      <c r="N24" s="107">
        <f t="shared" ref="N24:N32" si="5">M24/(I24*J24)</f>
        <v>0.24715838474227736</v>
      </c>
      <c r="O24" s="56">
        <f t="shared" si="1"/>
        <v>176.6096</v>
      </c>
      <c r="P24" s="53">
        <v>0</v>
      </c>
      <c r="Q24" s="54">
        <f>O24*P24</f>
        <v>0</v>
      </c>
      <c r="R24" s="55">
        <f t="shared" si="3"/>
        <v>176.6096</v>
      </c>
      <c r="S24" s="60">
        <f t="shared" ref="S24:S32" si="6">R24*K24/J24</f>
        <v>3699.9711200000002</v>
      </c>
      <c r="T24" s="58" t="s">
        <v>2284</v>
      </c>
      <c r="U24" s="49" t="s">
        <v>2263</v>
      </c>
      <c r="V24" s="49" t="s">
        <v>14</v>
      </c>
      <c r="W24" s="49" t="s">
        <v>453</v>
      </c>
    </row>
    <row r="25" spans="1:23" x14ac:dyDescent="0.25">
      <c r="A25" s="49">
        <v>24</v>
      </c>
      <c r="B25" s="50">
        <v>44823</v>
      </c>
      <c r="C25" s="61" t="s">
        <v>1367</v>
      </c>
      <c r="D25" s="50" t="s">
        <v>2792</v>
      </c>
      <c r="E25" s="51">
        <v>800110460272</v>
      </c>
      <c r="F25" s="49" t="s">
        <v>426</v>
      </c>
      <c r="G25" s="49">
        <v>1</v>
      </c>
      <c r="H25" s="49" t="s">
        <v>427</v>
      </c>
      <c r="I25" s="49">
        <v>2.2000000000000002</v>
      </c>
      <c r="J25" s="49">
        <v>195.5</v>
      </c>
      <c r="K25" s="59">
        <f>J25*21.9</f>
        <v>4281.45</v>
      </c>
      <c r="L25" s="49">
        <v>2.2000000000000002</v>
      </c>
      <c r="M25" s="49">
        <v>84.9</v>
      </c>
      <c r="N25" s="107">
        <f t="shared" si="5"/>
        <v>0.19739595442920252</v>
      </c>
      <c r="O25" s="52">
        <f t="shared" si="1"/>
        <v>515</v>
      </c>
      <c r="P25" s="53">
        <v>0</v>
      </c>
      <c r="Q25" s="54">
        <f>O25*P25</f>
        <v>0</v>
      </c>
      <c r="R25" s="55">
        <f t="shared" si="3"/>
        <v>515</v>
      </c>
      <c r="S25" s="60">
        <f t="shared" si="6"/>
        <v>11278.5</v>
      </c>
      <c r="T25" s="58" t="s">
        <v>173</v>
      </c>
      <c r="U25" s="49" t="s">
        <v>431</v>
      </c>
      <c r="V25" s="49" t="s">
        <v>14</v>
      </c>
      <c r="W25" s="49" t="s">
        <v>453</v>
      </c>
    </row>
    <row r="26" spans="1:23" x14ac:dyDescent="0.25">
      <c r="A26" s="49">
        <v>25</v>
      </c>
      <c r="B26" s="50">
        <v>44837</v>
      </c>
      <c r="C26" s="61" t="s">
        <v>1367</v>
      </c>
      <c r="D26" s="50" t="s">
        <v>4805</v>
      </c>
      <c r="E26" s="51">
        <v>131001029667</v>
      </c>
      <c r="F26" s="49" t="s">
        <v>426</v>
      </c>
      <c r="G26" s="49">
        <v>1</v>
      </c>
      <c r="H26" s="49" t="s">
        <v>427</v>
      </c>
      <c r="I26" s="49">
        <v>9.86</v>
      </c>
      <c r="J26" s="49">
        <v>200</v>
      </c>
      <c r="K26" s="59">
        <f>J26*22.5</f>
        <v>4500</v>
      </c>
      <c r="L26" s="49">
        <v>9.8000000000000007</v>
      </c>
      <c r="M26" s="49">
        <v>508</v>
      </c>
      <c r="N26" s="107">
        <f t="shared" si="5"/>
        <v>0.25760649087221094</v>
      </c>
      <c r="O26" s="52">
        <f t="shared" si="1"/>
        <v>2480</v>
      </c>
      <c r="P26" s="53">
        <v>0</v>
      </c>
      <c r="Q26" s="54">
        <f>O26*P26</f>
        <v>0</v>
      </c>
      <c r="R26" s="55">
        <f t="shared" si="3"/>
        <v>2480</v>
      </c>
      <c r="S26" s="60">
        <f t="shared" si="6"/>
        <v>55800</v>
      </c>
      <c r="T26" s="58" t="s">
        <v>107</v>
      </c>
      <c r="U26" s="49" t="s">
        <v>431</v>
      </c>
      <c r="V26" s="49" t="s">
        <v>14</v>
      </c>
      <c r="W26" s="49" t="s">
        <v>453</v>
      </c>
    </row>
    <row r="27" spans="1:23" x14ac:dyDescent="0.25">
      <c r="A27" s="49">
        <v>26</v>
      </c>
      <c r="B27" s="50">
        <v>44878</v>
      </c>
      <c r="C27" s="61" t="s">
        <v>1367</v>
      </c>
      <c r="D27" s="49" t="s">
        <v>4785</v>
      </c>
      <c r="E27" s="51">
        <v>800110463172</v>
      </c>
      <c r="F27" s="49" t="s">
        <v>451</v>
      </c>
      <c r="G27" s="49">
        <v>1</v>
      </c>
      <c r="H27" s="49" t="s">
        <v>427</v>
      </c>
      <c r="I27" s="49">
        <v>20.54</v>
      </c>
      <c r="J27" s="49">
        <v>199.01</v>
      </c>
      <c r="K27" s="59">
        <f>J27*22.12</f>
        <v>4402.1012000000001</v>
      </c>
      <c r="L27" s="49">
        <f>I27</f>
        <v>20.54</v>
      </c>
      <c r="M27" s="49">
        <v>422.33</v>
      </c>
      <c r="N27" s="107">
        <f t="shared" si="5"/>
        <v>0.10331814340772608</v>
      </c>
      <c r="O27" s="56">
        <f t="shared" si="1"/>
        <v>4509.9953999999998</v>
      </c>
      <c r="P27" s="53">
        <v>0</v>
      </c>
      <c r="Q27" s="54">
        <f>O27*P27</f>
        <v>0</v>
      </c>
      <c r="R27" s="60">
        <f t="shared" si="3"/>
        <v>4509.9953999999998</v>
      </c>
      <c r="S27" s="60">
        <f t="shared" si="6"/>
        <v>99761.098247999995</v>
      </c>
      <c r="T27" s="58" t="s">
        <v>173</v>
      </c>
      <c r="U27" s="49" t="s">
        <v>431</v>
      </c>
      <c r="V27" s="49" t="s">
        <v>14</v>
      </c>
      <c r="W27" s="49" t="s">
        <v>445</v>
      </c>
    </row>
    <row r="28" spans="1:23" x14ac:dyDescent="0.25">
      <c r="A28" s="49">
        <v>27</v>
      </c>
      <c r="B28" s="50">
        <v>45489</v>
      </c>
      <c r="C28" s="49" t="s">
        <v>1367</v>
      </c>
      <c r="D28" s="49" t="s">
        <v>4800</v>
      </c>
      <c r="E28" s="51">
        <v>800110574408</v>
      </c>
      <c r="F28" s="49" t="s">
        <v>471</v>
      </c>
      <c r="G28" s="49">
        <v>1</v>
      </c>
      <c r="H28" s="49" t="s">
        <v>427</v>
      </c>
      <c r="I28" s="49">
        <v>2.23</v>
      </c>
      <c r="J28" s="49">
        <v>280</v>
      </c>
      <c r="K28" s="59">
        <f>J28*22.92</f>
        <v>6417.6</v>
      </c>
      <c r="L28" s="49">
        <v>2.23</v>
      </c>
      <c r="M28" s="49">
        <v>111.6</v>
      </c>
      <c r="N28" s="107">
        <f t="shared" si="5"/>
        <v>0.17873158231902625</v>
      </c>
      <c r="O28" s="52">
        <f t="shared" si="1"/>
        <v>736</v>
      </c>
      <c r="P28" s="53">
        <v>0</v>
      </c>
      <c r="Q28" s="54">
        <f>O28*P28</f>
        <v>0</v>
      </c>
      <c r="R28" s="55">
        <f t="shared" si="3"/>
        <v>736</v>
      </c>
      <c r="S28" s="60">
        <f t="shared" si="6"/>
        <v>16869.120000000003</v>
      </c>
      <c r="T28" s="58" t="s">
        <v>173</v>
      </c>
      <c r="U28" s="49" t="s">
        <v>431</v>
      </c>
      <c r="V28" s="49" t="s">
        <v>14</v>
      </c>
      <c r="W28" s="49" t="s">
        <v>4801</v>
      </c>
    </row>
    <row r="29" spans="1:23" x14ac:dyDescent="0.25">
      <c r="A29" s="49">
        <v>28</v>
      </c>
      <c r="B29" s="50">
        <v>45513</v>
      </c>
      <c r="C29" s="49" t="s">
        <v>1367</v>
      </c>
      <c r="D29" s="49" t="s">
        <v>4803</v>
      </c>
      <c r="E29" s="51" t="s">
        <v>4804</v>
      </c>
      <c r="F29" s="49" t="s">
        <v>451</v>
      </c>
      <c r="G29" s="49">
        <v>1</v>
      </c>
      <c r="H29" s="49" t="s">
        <v>427</v>
      </c>
      <c r="I29" s="49">
        <v>11.86</v>
      </c>
      <c r="J29" s="49">
        <v>279</v>
      </c>
      <c r="K29" s="49">
        <v>6425</v>
      </c>
      <c r="L29" s="49">
        <v>11.86</v>
      </c>
      <c r="M29" s="168">
        <v>487.02040000000005</v>
      </c>
      <c r="N29" s="107">
        <f t="shared" si="5"/>
        <v>0.1471832067066795</v>
      </c>
      <c r="O29" s="51">
        <f t="shared" si="1"/>
        <v>3795.9603999999999</v>
      </c>
      <c r="P29" s="53">
        <v>0</v>
      </c>
      <c r="Q29" s="54">
        <v>113.5</v>
      </c>
      <c r="R29" s="55">
        <f t="shared" si="3"/>
        <v>3909.4603999999999</v>
      </c>
      <c r="S29" s="60">
        <f t="shared" si="6"/>
        <v>90029.688422939071</v>
      </c>
      <c r="T29" s="58" t="s">
        <v>173</v>
      </c>
      <c r="U29" s="49" t="s">
        <v>4806</v>
      </c>
      <c r="V29" s="49" t="s">
        <v>14</v>
      </c>
      <c r="W29" s="49" t="s">
        <v>1005</v>
      </c>
    </row>
    <row r="30" spans="1:23" x14ac:dyDescent="0.25">
      <c r="A30" s="49">
        <v>29</v>
      </c>
      <c r="B30" s="50">
        <v>45569</v>
      </c>
      <c r="C30" s="49" t="s">
        <v>1367</v>
      </c>
      <c r="D30" s="49" t="s">
        <v>4808</v>
      </c>
      <c r="E30" s="51">
        <v>800110581838</v>
      </c>
      <c r="F30" s="49" t="s">
        <v>437</v>
      </c>
      <c r="G30" s="49">
        <v>1</v>
      </c>
      <c r="H30" s="49" t="s">
        <v>427</v>
      </c>
      <c r="I30" s="49">
        <v>8.26</v>
      </c>
      <c r="J30" s="49">
        <v>302.5</v>
      </c>
      <c r="K30" s="59">
        <f>J30*23.05</f>
        <v>6972.625</v>
      </c>
      <c r="L30" s="49">
        <v>8.26</v>
      </c>
      <c r="M30" s="49">
        <v>293.72000000000003</v>
      </c>
      <c r="N30" s="107">
        <f t="shared" si="5"/>
        <v>0.11755147779801094</v>
      </c>
      <c r="O30" s="56">
        <f t="shared" si="1"/>
        <v>2792.37</v>
      </c>
      <c r="P30" s="53">
        <v>0</v>
      </c>
      <c r="Q30" s="167">
        <v>0</v>
      </c>
      <c r="R30" s="55">
        <f t="shared" si="3"/>
        <v>2792.37</v>
      </c>
      <c r="S30" s="60">
        <f t="shared" si="6"/>
        <v>64364.128499999999</v>
      </c>
      <c r="T30" s="58" t="s">
        <v>2284</v>
      </c>
      <c r="U30" s="49" t="s">
        <v>431</v>
      </c>
      <c r="V30" s="49" t="s">
        <v>14</v>
      </c>
      <c r="W30" s="49" t="s">
        <v>445</v>
      </c>
    </row>
    <row r="31" spans="1:23" x14ac:dyDescent="0.25">
      <c r="A31" s="49">
        <v>30</v>
      </c>
      <c r="B31" s="50">
        <v>45569</v>
      </c>
      <c r="C31" s="49" t="s">
        <v>1367</v>
      </c>
      <c r="D31" s="49" t="s">
        <v>4808</v>
      </c>
      <c r="E31" s="51">
        <v>800710004990</v>
      </c>
      <c r="F31" s="49" t="s">
        <v>471</v>
      </c>
      <c r="G31" s="49">
        <v>1</v>
      </c>
      <c r="H31" s="49" t="s">
        <v>427</v>
      </c>
      <c r="I31" s="49">
        <v>14.38</v>
      </c>
      <c r="J31" s="49">
        <v>302.5</v>
      </c>
      <c r="K31" s="59">
        <f>J31*23.05</f>
        <v>6972.625</v>
      </c>
      <c r="L31" s="49">
        <v>14.38</v>
      </c>
      <c r="M31" s="49">
        <v>696.32</v>
      </c>
      <c r="N31" s="107">
        <f t="shared" si="5"/>
        <v>0.16007540316555366</v>
      </c>
      <c r="O31" s="56">
        <f t="shared" si="1"/>
        <v>5046.2699999999995</v>
      </c>
      <c r="P31" s="53">
        <v>0</v>
      </c>
      <c r="Q31" s="167">
        <v>0</v>
      </c>
      <c r="R31" s="55">
        <f t="shared" si="3"/>
        <v>5046.2699999999995</v>
      </c>
      <c r="S31" s="60">
        <f t="shared" si="6"/>
        <v>116316.52349999998</v>
      </c>
      <c r="T31" s="58" t="s">
        <v>2284</v>
      </c>
      <c r="U31" s="49" t="s">
        <v>431</v>
      </c>
      <c r="V31" s="49" t="s">
        <v>14</v>
      </c>
      <c r="W31" s="49" t="s">
        <v>445</v>
      </c>
    </row>
    <row r="32" spans="1:23" x14ac:dyDescent="0.25">
      <c r="A32" s="49">
        <v>31</v>
      </c>
      <c r="B32" s="50">
        <v>45583</v>
      </c>
      <c r="C32" s="49" t="s">
        <v>1367</v>
      </c>
      <c r="D32" s="49" t="s">
        <v>4802</v>
      </c>
      <c r="E32" s="51">
        <v>800110545356</v>
      </c>
      <c r="F32" s="49" t="s">
        <v>433</v>
      </c>
      <c r="G32" s="49">
        <v>1</v>
      </c>
      <c r="H32" s="49" t="s">
        <v>427</v>
      </c>
      <c r="I32" s="49">
        <v>45.25</v>
      </c>
      <c r="J32" s="49">
        <v>307</v>
      </c>
      <c r="K32" s="59">
        <f>J32*23.92</f>
        <v>7343.4400000000005</v>
      </c>
      <c r="L32" s="49">
        <v>45.25</v>
      </c>
      <c r="M32" s="49">
        <v>2640</v>
      </c>
      <c r="N32" s="107">
        <f t="shared" si="5"/>
        <v>0.19004085158457357</v>
      </c>
      <c r="O32" s="51">
        <f t="shared" si="1"/>
        <v>16531.75</v>
      </c>
      <c r="P32" s="53">
        <v>0</v>
      </c>
      <c r="Q32" s="54">
        <f>O32*P32</f>
        <v>0</v>
      </c>
      <c r="R32" s="55">
        <f t="shared" si="3"/>
        <v>16531.75</v>
      </c>
      <c r="S32" s="60">
        <f t="shared" si="6"/>
        <v>395439.46</v>
      </c>
      <c r="T32" s="58" t="s">
        <v>173</v>
      </c>
      <c r="U32" s="49" t="s">
        <v>431</v>
      </c>
      <c r="V32" s="49" t="s">
        <v>14</v>
      </c>
      <c r="W32" s="49" t="s">
        <v>453</v>
      </c>
    </row>
    <row r="33" spans="5:5" x14ac:dyDescent="0.25">
      <c r="E33" s="51"/>
    </row>
    <row r="34" spans="5:5" x14ac:dyDescent="0.25">
      <c r="E34" s="51"/>
    </row>
  </sheetData>
  <autoFilter ref="A1:W32" xr:uid="{00000000-0009-0000-0000-000006000000}">
    <sortState xmlns:xlrd2="http://schemas.microsoft.com/office/spreadsheetml/2017/richdata2" ref="A2:W32">
      <sortCondition ref="B1:B27"/>
    </sortState>
  </autoFilter>
  <phoneticPr fontId="42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"/>
  <sheetViews>
    <sheetView workbookViewId="0">
      <pane ySplit="1" topLeftCell="A2" activePane="bottomLeft" state="frozen"/>
      <selection pane="bottomLeft" activeCell="K5" sqref="K5"/>
    </sheetView>
  </sheetViews>
  <sheetFormatPr defaultRowHeight="15" x14ac:dyDescent="0.25"/>
  <cols>
    <col min="1" max="1" width="3.28515625" bestFit="1" customWidth="1"/>
    <col min="2" max="2" width="23.28515625" bestFit="1" customWidth="1"/>
    <col min="3" max="3" width="10.28515625" bestFit="1" customWidth="1"/>
    <col min="4" max="4" width="13.5703125" bestFit="1" customWidth="1"/>
    <col min="5" max="5" width="14.42578125" bestFit="1" customWidth="1"/>
    <col min="6" max="6" width="14.28515625" bestFit="1" customWidth="1"/>
    <col min="7" max="7" width="13.85546875" bestFit="1" customWidth="1"/>
    <col min="8" max="8" width="11.7109375" bestFit="1" customWidth="1"/>
    <col min="9" max="9" width="17.28515625" bestFit="1" customWidth="1"/>
    <col min="10" max="10" width="22.5703125" bestFit="1" customWidth="1"/>
    <col min="11" max="11" width="8.7109375" bestFit="1" customWidth="1"/>
    <col min="12" max="12" width="16.7109375" bestFit="1" customWidth="1"/>
  </cols>
  <sheetData>
    <row r="1" spans="1:12" s="69" customFormat="1" x14ac:dyDescent="0.25">
      <c r="A1" s="69" t="s">
        <v>336</v>
      </c>
      <c r="B1" s="69" t="s">
        <v>539</v>
      </c>
      <c r="C1" s="69" t="s">
        <v>534</v>
      </c>
      <c r="D1" s="69" t="s">
        <v>528</v>
      </c>
      <c r="E1" s="69" t="s">
        <v>529</v>
      </c>
      <c r="F1" s="69" t="s">
        <v>533</v>
      </c>
      <c r="G1" s="69" t="s">
        <v>535</v>
      </c>
      <c r="H1" s="69" t="s">
        <v>536</v>
      </c>
      <c r="I1" s="69" t="s">
        <v>538</v>
      </c>
      <c r="J1" s="69" t="s">
        <v>530</v>
      </c>
      <c r="K1" s="69" t="s">
        <v>537</v>
      </c>
      <c r="L1" s="69" t="s">
        <v>531</v>
      </c>
    </row>
    <row r="2" spans="1:12" x14ac:dyDescent="0.25">
      <c r="A2">
        <v>1</v>
      </c>
      <c r="B2" t="s">
        <v>532</v>
      </c>
      <c r="C2" s="40">
        <f>D2</f>
        <v>43383</v>
      </c>
      <c r="D2" s="40">
        <v>43383</v>
      </c>
      <c r="E2" s="67">
        <v>751000</v>
      </c>
      <c r="F2" s="40">
        <v>43383</v>
      </c>
      <c r="G2" s="40">
        <f>D2</f>
        <v>43383</v>
      </c>
      <c r="H2" s="40">
        <v>43747.25</v>
      </c>
      <c r="I2">
        <v>36013</v>
      </c>
      <c r="J2" s="40">
        <f>H2-7</f>
        <v>43740.25</v>
      </c>
      <c r="K2" s="67">
        <v>667276</v>
      </c>
      <c r="L2" s="68">
        <f>E2*90%</f>
        <v>675900</v>
      </c>
    </row>
    <row r="3" spans="1:12" x14ac:dyDescent="0.25">
      <c r="A3">
        <v>2</v>
      </c>
      <c r="B3" t="s">
        <v>532</v>
      </c>
      <c r="C3" s="40">
        <f>J2</f>
        <v>43740.25</v>
      </c>
      <c r="D3" s="40">
        <v>43383</v>
      </c>
      <c r="E3" s="68">
        <f>E2</f>
        <v>751000</v>
      </c>
      <c r="F3" s="40">
        <v>43747.25</v>
      </c>
      <c r="G3" s="40">
        <f>G2+365</f>
        <v>43748</v>
      </c>
      <c r="H3" s="40">
        <f>G3+365</f>
        <v>44113</v>
      </c>
      <c r="I3">
        <v>13291</v>
      </c>
      <c r="J3" s="40">
        <f>H3-7</f>
        <v>44106</v>
      </c>
      <c r="K3" s="67">
        <v>596778</v>
      </c>
      <c r="L3" s="68">
        <f>L2*90%</f>
        <v>608310</v>
      </c>
    </row>
    <row r="4" spans="1:12" x14ac:dyDescent="0.25">
      <c r="A4">
        <v>2</v>
      </c>
      <c r="B4" t="s">
        <v>2587</v>
      </c>
      <c r="C4" s="41">
        <v>44753</v>
      </c>
      <c r="D4" s="41">
        <v>44753</v>
      </c>
      <c r="E4" s="68">
        <f>70000*21.6</f>
        <v>1512000</v>
      </c>
      <c r="F4" s="40">
        <v>44613</v>
      </c>
      <c r="G4" s="40">
        <f>F4</f>
        <v>44613</v>
      </c>
      <c r="H4" s="40">
        <f>G4+365</f>
        <v>44978</v>
      </c>
      <c r="I4">
        <f>1800*21.6</f>
        <v>38880</v>
      </c>
      <c r="J4" s="40">
        <f>H4-7</f>
        <v>44971</v>
      </c>
      <c r="K4">
        <f>75000*21.6</f>
        <v>1620000</v>
      </c>
      <c r="L4" s="68">
        <f>E4</f>
        <v>1512000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I503"/>
  <sheetViews>
    <sheetView workbookViewId="0">
      <pane ySplit="1" topLeftCell="A2" activePane="bottomLeft" state="frozen"/>
      <selection pane="bottomLeft" activeCell="C511" sqref="C511"/>
    </sheetView>
  </sheetViews>
  <sheetFormatPr defaultColWidth="8.85546875" defaultRowHeight="15" x14ac:dyDescent="0.25"/>
  <cols>
    <col min="1" max="1" width="34.140625" bestFit="1" customWidth="1"/>
    <col min="2" max="2" width="11.42578125" bestFit="1" customWidth="1"/>
    <col min="3" max="3" width="38.85546875" bestFit="1" customWidth="1"/>
    <col min="4" max="4" width="19.5703125" bestFit="1" customWidth="1"/>
    <col min="5" max="5" width="13.42578125" bestFit="1" customWidth="1"/>
    <col min="6" max="6" width="17.7109375" bestFit="1" customWidth="1"/>
    <col min="7" max="7" width="14.85546875" bestFit="1" customWidth="1"/>
    <col min="8" max="8" width="18" bestFit="1" customWidth="1"/>
    <col min="9" max="9" width="21.7109375" bestFit="1" customWidth="1"/>
  </cols>
  <sheetData>
    <row r="1" spans="1:9" s="9" customFormat="1" ht="14.45" customHeight="1" x14ac:dyDescent="0.25">
      <c r="A1" s="121" t="s">
        <v>1224</v>
      </c>
      <c r="B1" s="24" t="s">
        <v>891</v>
      </c>
      <c r="C1" s="121" t="s">
        <v>1225</v>
      </c>
      <c r="D1" s="121" t="s">
        <v>1226</v>
      </c>
      <c r="E1" s="121" t="s">
        <v>1227</v>
      </c>
      <c r="F1" s="121" t="s">
        <v>1228</v>
      </c>
      <c r="G1" s="121" t="s">
        <v>1229</v>
      </c>
      <c r="H1" s="121" t="s">
        <v>1230</v>
      </c>
      <c r="I1" s="121" t="s">
        <v>1231</v>
      </c>
    </row>
    <row r="2" spans="1:9" hidden="1" x14ac:dyDescent="0.25">
      <c r="A2" s="122" t="s">
        <v>1211</v>
      </c>
      <c r="B2" s="122" t="s">
        <v>893</v>
      </c>
      <c r="C2" s="120" t="s">
        <v>1212</v>
      </c>
      <c r="D2" s="122" t="s">
        <v>1204</v>
      </c>
      <c r="E2" s="123" t="s">
        <v>1213</v>
      </c>
      <c r="F2" s="124">
        <v>43110</v>
      </c>
      <c r="G2" s="123">
        <v>9.16</v>
      </c>
      <c r="H2" s="123">
        <v>33.892000000000003</v>
      </c>
      <c r="I2" s="123">
        <v>310</v>
      </c>
    </row>
    <row r="3" spans="1:9" hidden="1" x14ac:dyDescent="0.25">
      <c r="A3" s="122" t="s">
        <v>1211</v>
      </c>
      <c r="B3" s="122" t="s">
        <v>893</v>
      </c>
      <c r="C3" s="120" t="s">
        <v>1212</v>
      </c>
      <c r="D3" s="122" t="s">
        <v>1210</v>
      </c>
      <c r="E3" s="123" t="s">
        <v>1213</v>
      </c>
      <c r="F3" s="124">
        <v>43153</v>
      </c>
      <c r="G3" s="123">
        <v>31.06</v>
      </c>
      <c r="H3" s="123">
        <v>32.195999999999998</v>
      </c>
      <c r="I3" s="125">
        <v>1000</v>
      </c>
    </row>
    <row r="4" spans="1:9" hidden="1" x14ac:dyDescent="0.25">
      <c r="A4" s="122" t="s">
        <v>1211</v>
      </c>
      <c r="B4" s="122" t="s">
        <v>893</v>
      </c>
      <c r="C4" s="120" t="s">
        <v>1212</v>
      </c>
      <c r="D4" s="122" t="s">
        <v>1210</v>
      </c>
      <c r="E4" s="123" t="s">
        <v>1213</v>
      </c>
      <c r="F4" s="124">
        <v>43154</v>
      </c>
      <c r="G4" s="123">
        <v>30.707000000000001</v>
      </c>
      <c r="H4" s="123">
        <v>32.566000000000003</v>
      </c>
      <c r="I4" s="125">
        <v>1000</v>
      </c>
    </row>
    <row r="5" spans="1:9" hidden="1" x14ac:dyDescent="0.25">
      <c r="A5" s="122" t="s">
        <v>1211</v>
      </c>
      <c r="B5" s="122" t="s">
        <v>893</v>
      </c>
      <c r="C5" s="120" t="s">
        <v>1212</v>
      </c>
      <c r="D5" s="122" t="s">
        <v>1210</v>
      </c>
      <c r="E5" s="123" t="s">
        <v>1213</v>
      </c>
      <c r="F5" s="124">
        <v>43157</v>
      </c>
      <c r="G5" s="123">
        <v>30.346</v>
      </c>
      <c r="H5" s="123">
        <v>32.953000000000003</v>
      </c>
      <c r="I5" s="125">
        <v>1000</v>
      </c>
    </row>
    <row r="6" spans="1:9" hidden="1" x14ac:dyDescent="0.25">
      <c r="A6" s="122" t="s">
        <v>1211</v>
      </c>
      <c r="B6" s="122" t="s">
        <v>893</v>
      </c>
      <c r="C6" s="120" t="s">
        <v>1212</v>
      </c>
      <c r="D6" s="122" t="s">
        <v>1210</v>
      </c>
      <c r="E6" s="123" t="s">
        <v>1213</v>
      </c>
      <c r="F6" s="124">
        <v>43158</v>
      </c>
      <c r="G6" s="123">
        <v>30.417999999999999</v>
      </c>
      <c r="H6" s="123">
        <v>32.875</v>
      </c>
      <c r="I6" s="125">
        <v>1000</v>
      </c>
    </row>
    <row r="7" spans="1:9" hidden="1" x14ac:dyDescent="0.25">
      <c r="A7" s="122" t="s">
        <v>1211</v>
      </c>
      <c r="B7" s="122" t="s">
        <v>893</v>
      </c>
      <c r="C7" s="120" t="s">
        <v>1212</v>
      </c>
      <c r="D7" s="122" t="s">
        <v>1210</v>
      </c>
      <c r="E7" s="123" t="s">
        <v>1213</v>
      </c>
      <c r="F7" s="124">
        <v>43159</v>
      </c>
      <c r="G7" s="123">
        <v>30.553000000000001</v>
      </c>
      <c r="H7" s="123">
        <v>32.729999999999997</v>
      </c>
      <c r="I7" s="125">
        <v>1000</v>
      </c>
    </row>
    <row r="8" spans="1:9" hidden="1" x14ac:dyDescent="0.25">
      <c r="A8" s="122" t="s">
        <v>1211</v>
      </c>
      <c r="B8" s="122" t="s">
        <v>893</v>
      </c>
      <c r="C8" s="120" t="s">
        <v>1212</v>
      </c>
      <c r="D8" s="122" t="s">
        <v>1210</v>
      </c>
      <c r="E8" s="123" t="s">
        <v>1213</v>
      </c>
      <c r="F8" s="124">
        <v>43160</v>
      </c>
      <c r="G8" s="123">
        <v>30.713000000000001</v>
      </c>
      <c r="H8" s="123">
        <v>32.558999999999997</v>
      </c>
      <c r="I8" s="125">
        <v>1000</v>
      </c>
    </row>
    <row r="9" spans="1:9" hidden="1" x14ac:dyDescent="0.25">
      <c r="A9" s="122" t="s">
        <v>1211</v>
      </c>
      <c r="B9" s="122" t="s">
        <v>893</v>
      </c>
      <c r="C9" s="120" t="s">
        <v>1212</v>
      </c>
      <c r="D9" s="122" t="s">
        <v>1210</v>
      </c>
      <c r="E9" s="123" t="s">
        <v>1213</v>
      </c>
      <c r="F9" s="124">
        <v>43164</v>
      </c>
      <c r="G9" s="123">
        <v>61.94</v>
      </c>
      <c r="H9" s="123">
        <v>32.289000000000001</v>
      </c>
      <c r="I9" s="125">
        <v>2000</v>
      </c>
    </row>
    <row r="10" spans="1:9" hidden="1" x14ac:dyDescent="0.25">
      <c r="A10" s="122" t="s">
        <v>1211</v>
      </c>
      <c r="B10" s="122" t="s">
        <v>893</v>
      </c>
      <c r="C10" s="120" t="s">
        <v>1212</v>
      </c>
      <c r="D10" s="122" t="s">
        <v>1210</v>
      </c>
      <c r="E10" s="123" t="s">
        <v>1213</v>
      </c>
      <c r="F10" s="124">
        <v>43165</v>
      </c>
      <c r="G10" s="123">
        <v>31.248000000000001</v>
      </c>
      <c r="H10" s="123">
        <v>32.002000000000002</v>
      </c>
      <c r="I10" s="125">
        <v>1000</v>
      </c>
    </row>
    <row r="11" spans="1:9" hidden="1" x14ac:dyDescent="0.25">
      <c r="A11" s="122" t="s">
        <v>1211</v>
      </c>
      <c r="B11" s="122" t="s">
        <v>893</v>
      </c>
      <c r="C11" s="120" t="s">
        <v>1212</v>
      </c>
      <c r="D11" s="122" t="s">
        <v>1210</v>
      </c>
      <c r="E11" s="123" t="s">
        <v>1213</v>
      </c>
      <c r="F11" s="124">
        <v>43166</v>
      </c>
      <c r="G11" s="123">
        <v>31.594999999999999</v>
      </c>
      <c r="H11" s="123">
        <v>31.651</v>
      </c>
      <c r="I11" s="125">
        <v>1000</v>
      </c>
    </row>
    <row r="12" spans="1:9" hidden="1" x14ac:dyDescent="0.25">
      <c r="A12" s="122" t="s">
        <v>1211</v>
      </c>
      <c r="B12" s="122" t="s">
        <v>893</v>
      </c>
      <c r="C12" s="120" t="s">
        <v>1212</v>
      </c>
      <c r="D12" s="122" t="s">
        <v>1210</v>
      </c>
      <c r="E12" s="123" t="s">
        <v>1213</v>
      </c>
      <c r="F12" s="124">
        <v>43167</v>
      </c>
      <c r="G12" s="123">
        <v>31.321999999999999</v>
      </c>
      <c r="H12" s="123">
        <v>31.925999999999998</v>
      </c>
      <c r="I12" s="125">
        <v>1000</v>
      </c>
    </row>
    <row r="13" spans="1:9" hidden="1" x14ac:dyDescent="0.25">
      <c r="A13" s="122" t="s">
        <v>1211</v>
      </c>
      <c r="B13" s="122" t="s">
        <v>893</v>
      </c>
      <c r="C13" s="120" t="s">
        <v>1212</v>
      </c>
      <c r="D13" s="122" t="s">
        <v>1210</v>
      </c>
      <c r="E13" s="123" t="s">
        <v>1213</v>
      </c>
      <c r="F13" s="124">
        <v>43168</v>
      </c>
      <c r="G13" s="123">
        <v>31.381</v>
      </c>
      <c r="H13" s="123">
        <v>31.866</v>
      </c>
      <c r="I13" s="125">
        <v>1000</v>
      </c>
    </row>
    <row r="14" spans="1:9" hidden="1" x14ac:dyDescent="0.25">
      <c r="A14" s="122" t="s">
        <v>1211</v>
      </c>
      <c r="B14" s="122" t="s">
        <v>893</v>
      </c>
      <c r="C14" s="120" t="s">
        <v>1212</v>
      </c>
      <c r="D14" s="122" t="s">
        <v>1210</v>
      </c>
      <c r="E14" s="123" t="s">
        <v>1213</v>
      </c>
      <c r="F14" s="124">
        <v>43171</v>
      </c>
      <c r="G14" s="123">
        <v>30.946000000000002</v>
      </c>
      <c r="H14" s="123">
        <v>32.314</v>
      </c>
      <c r="I14" s="125">
        <v>1000</v>
      </c>
    </row>
    <row r="15" spans="1:9" hidden="1" x14ac:dyDescent="0.25">
      <c r="A15" s="122" t="s">
        <v>1211</v>
      </c>
      <c r="B15" s="122" t="s">
        <v>893</v>
      </c>
      <c r="C15" s="120" t="s">
        <v>1212</v>
      </c>
      <c r="D15" s="122" t="s">
        <v>1210</v>
      </c>
      <c r="E15" s="123" t="s">
        <v>1213</v>
      </c>
      <c r="F15" s="124">
        <v>43172</v>
      </c>
      <c r="G15" s="123">
        <v>30.774999999999999</v>
      </c>
      <c r="H15" s="123">
        <v>32.494</v>
      </c>
      <c r="I15" s="125">
        <v>1000</v>
      </c>
    </row>
    <row r="16" spans="1:9" hidden="1" x14ac:dyDescent="0.25">
      <c r="A16" s="122" t="s">
        <v>1211</v>
      </c>
      <c r="B16" s="122" t="s">
        <v>893</v>
      </c>
      <c r="C16" s="120" t="s">
        <v>1212</v>
      </c>
      <c r="D16" s="122" t="s">
        <v>1210</v>
      </c>
      <c r="E16" s="123" t="s">
        <v>1213</v>
      </c>
      <c r="F16" s="124">
        <v>43173</v>
      </c>
      <c r="G16" s="123">
        <v>30.82</v>
      </c>
      <c r="H16" s="123">
        <v>32.445999999999998</v>
      </c>
      <c r="I16" s="125">
        <v>1000</v>
      </c>
    </row>
    <row r="17" spans="1:9" hidden="1" x14ac:dyDescent="0.25">
      <c r="A17" s="122" t="s">
        <v>1211</v>
      </c>
      <c r="B17" s="122" t="s">
        <v>893</v>
      </c>
      <c r="C17" s="120" t="s">
        <v>1212</v>
      </c>
      <c r="D17" s="122" t="s">
        <v>1210</v>
      </c>
      <c r="E17" s="123" t="s">
        <v>1213</v>
      </c>
      <c r="F17" s="124">
        <v>43174</v>
      </c>
      <c r="G17" s="123">
        <v>30.911000000000001</v>
      </c>
      <c r="H17" s="123">
        <v>32.350999999999999</v>
      </c>
      <c r="I17" s="125">
        <v>1000</v>
      </c>
    </row>
    <row r="18" spans="1:9" hidden="1" x14ac:dyDescent="0.25">
      <c r="A18" s="122" t="s">
        <v>1211</v>
      </c>
      <c r="B18" s="122" t="s">
        <v>893</v>
      </c>
      <c r="C18" s="120" t="s">
        <v>1212</v>
      </c>
      <c r="D18" s="122" t="s">
        <v>1210</v>
      </c>
      <c r="E18" s="123" t="s">
        <v>1213</v>
      </c>
      <c r="F18" s="124">
        <v>43175</v>
      </c>
      <c r="G18" s="123">
        <v>31.4</v>
      </c>
      <c r="H18" s="123">
        <v>31.847000000000001</v>
      </c>
      <c r="I18" s="125">
        <v>1000</v>
      </c>
    </row>
    <row r="19" spans="1:9" hidden="1" x14ac:dyDescent="0.25">
      <c r="A19" s="122" t="s">
        <v>1211</v>
      </c>
      <c r="B19" s="122" t="s">
        <v>893</v>
      </c>
      <c r="C19" s="120" t="s">
        <v>1212</v>
      </c>
      <c r="D19" s="122" t="s">
        <v>1210</v>
      </c>
      <c r="E19" s="123" t="s">
        <v>1213</v>
      </c>
      <c r="F19" s="124">
        <v>43178</v>
      </c>
      <c r="G19" s="123">
        <v>31.663</v>
      </c>
      <c r="H19" s="123">
        <v>31.582999999999998</v>
      </c>
      <c r="I19" s="125">
        <v>1000</v>
      </c>
    </row>
    <row r="20" spans="1:9" hidden="1" x14ac:dyDescent="0.25">
      <c r="A20" s="122" t="s">
        <v>1211</v>
      </c>
      <c r="B20" s="122" t="s">
        <v>893</v>
      </c>
      <c r="C20" s="120" t="s">
        <v>1212</v>
      </c>
      <c r="D20" s="122" t="s">
        <v>1210</v>
      </c>
      <c r="E20" s="123" t="s">
        <v>1213</v>
      </c>
      <c r="F20" s="124">
        <v>43179</v>
      </c>
      <c r="G20" s="123">
        <v>31.574999999999999</v>
      </c>
      <c r="H20" s="123">
        <v>31.670999999999999</v>
      </c>
      <c r="I20" s="125">
        <v>1000</v>
      </c>
    </row>
    <row r="21" spans="1:9" hidden="1" x14ac:dyDescent="0.25">
      <c r="A21" s="122" t="s">
        <v>1211</v>
      </c>
      <c r="B21" s="122" t="s">
        <v>893</v>
      </c>
      <c r="C21" s="120" t="s">
        <v>1212</v>
      </c>
      <c r="D21" s="122" t="s">
        <v>1210</v>
      </c>
      <c r="E21" s="123" t="s">
        <v>1213</v>
      </c>
      <c r="F21" s="124">
        <v>43180</v>
      </c>
      <c r="G21" s="123">
        <v>31.477</v>
      </c>
      <c r="H21" s="123">
        <v>31.768999999999998</v>
      </c>
      <c r="I21" s="125">
        <v>1000</v>
      </c>
    </row>
    <row r="22" spans="1:9" hidden="1" x14ac:dyDescent="0.25">
      <c r="A22" s="122" t="s">
        <v>1211</v>
      </c>
      <c r="B22" s="122" t="s">
        <v>893</v>
      </c>
      <c r="C22" s="120" t="s">
        <v>1212</v>
      </c>
      <c r="D22" s="122" t="s">
        <v>1210</v>
      </c>
      <c r="E22" s="123" t="s">
        <v>1213</v>
      </c>
      <c r="F22" s="124">
        <v>43181</v>
      </c>
      <c r="G22" s="123">
        <v>31.634</v>
      </c>
      <c r="H22" s="123">
        <v>31.611999999999998</v>
      </c>
      <c r="I22" s="125">
        <v>1000</v>
      </c>
    </row>
    <row r="23" spans="1:9" hidden="1" x14ac:dyDescent="0.25">
      <c r="A23" s="122" t="s">
        <v>1211</v>
      </c>
      <c r="B23" s="122" t="s">
        <v>893</v>
      </c>
      <c r="C23" s="120" t="s">
        <v>1212</v>
      </c>
      <c r="D23" s="122" t="s">
        <v>1210</v>
      </c>
      <c r="E23" s="123" t="s">
        <v>1213</v>
      </c>
      <c r="F23" s="124">
        <v>43182</v>
      </c>
      <c r="G23" s="123">
        <v>31.965</v>
      </c>
      <c r="H23" s="123">
        <v>31.283999999999999</v>
      </c>
      <c r="I23" s="125">
        <v>1000</v>
      </c>
    </row>
    <row r="24" spans="1:9" hidden="1" x14ac:dyDescent="0.25">
      <c r="A24" s="122" t="s">
        <v>1211</v>
      </c>
      <c r="B24" s="122" t="s">
        <v>893</v>
      </c>
      <c r="C24" s="120" t="s">
        <v>1212</v>
      </c>
      <c r="D24" s="122" t="s">
        <v>1210</v>
      </c>
      <c r="E24" s="123" t="s">
        <v>1213</v>
      </c>
      <c r="F24" s="124">
        <v>43185</v>
      </c>
      <c r="G24" s="123">
        <v>31.545999999999999</v>
      </c>
      <c r="H24" s="123">
        <v>31.7</v>
      </c>
      <c r="I24" s="125">
        <v>1000</v>
      </c>
    </row>
    <row r="25" spans="1:9" hidden="1" x14ac:dyDescent="0.25">
      <c r="A25" s="122" t="s">
        <v>1211</v>
      </c>
      <c r="B25" s="122" t="s">
        <v>893</v>
      </c>
      <c r="C25" s="120" t="s">
        <v>1212</v>
      </c>
      <c r="D25" s="122" t="s">
        <v>1210</v>
      </c>
      <c r="E25" s="123" t="s">
        <v>1213</v>
      </c>
      <c r="F25" s="124">
        <v>43186</v>
      </c>
      <c r="G25" s="123">
        <v>31.309000000000001</v>
      </c>
      <c r="H25" s="123">
        <v>31.94</v>
      </c>
      <c r="I25" s="125">
        <v>1000</v>
      </c>
    </row>
    <row r="26" spans="1:9" hidden="1" x14ac:dyDescent="0.25">
      <c r="A26" s="122" t="s">
        <v>1211</v>
      </c>
      <c r="B26" s="122" t="s">
        <v>893</v>
      </c>
      <c r="C26" s="120" t="s">
        <v>1212</v>
      </c>
      <c r="D26" s="122" t="s">
        <v>1210</v>
      </c>
      <c r="E26" s="123" t="s">
        <v>1213</v>
      </c>
      <c r="F26" s="124">
        <v>43187</v>
      </c>
      <c r="G26" s="123">
        <v>31.43</v>
      </c>
      <c r="H26" s="123">
        <v>31.817</v>
      </c>
      <c r="I26" s="125">
        <v>1000</v>
      </c>
    </row>
    <row r="27" spans="1:9" hidden="1" x14ac:dyDescent="0.25">
      <c r="A27" s="122" t="s">
        <v>1211</v>
      </c>
      <c r="B27" s="122" t="s">
        <v>893</v>
      </c>
      <c r="C27" s="120" t="s">
        <v>1212</v>
      </c>
      <c r="D27" s="122" t="s">
        <v>1210</v>
      </c>
      <c r="E27" s="123" t="s">
        <v>1213</v>
      </c>
      <c r="F27" s="124">
        <v>43193</v>
      </c>
      <c r="G27" s="123">
        <v>123.82</v>
      </c>
      <c r="H27" s="123">
        <v>32.305</v>
      </c>
      <c r="I27" s="125">
        <v>4000</v>
      </c>
    </row>
    <row r="28" spans="1:9" hidden="1" x14ac:dyDescent="0.25">
      <c r="A28" s="122" t="s">
        <v>1211</v>
      </c>
      <c r="B28" s="122" t="s">
        <v>893</v>
      </c>
      <c r="C28" s="120" t="s">
        <v>1212</v>
      </c>
      <c r="D28" s="122" t="s">
        <v>1210</v>
      </c>
      <c r="E28" s="123" t="s">
        <v>1213</v>
      </c>
      <c r="F28" s="124">
        <v>43194</v>
      </c>
      <c r="G28" s="123">
        <v>31.245999999999999</v>
      </c>
      <c r="H28" s="123">
        <v>32.003999999999998</v>
      </c>
      <c r="I28" s="125">
        <v>1000</v>
      </c>
    </row>
    <row r="29" spans="1:9" hidden="1" x14ac:dyDescent="0.25">
      <c r="A29" s="122" t="s">
        <v>1211</v>
      </c>
      <c r="B29" s="122" t="s">
        <v>893</v>
      </c>
      <c r="C29" s="120" t="s">
        <v>1212</v>
      </c>
      <c r="D29" s="122" t="s">
        <v>1210</v>
      </c>
      <c r="E29" s="123" t="s">
        <v>1213</v>
      </c>
      <c r="F29" s="124">
        <v>43195</v>
      </c>
      <c r="G29" s="123">
        <v>30.66</v>
      </c>
      <c r="H29" s="123">
        <v>32.616</v>
      </c>
      <c r="I29" s="125">
        <v>1000</v>
      </c>
    </row>
    <row r="30" spans="1:9" hidden="1" x14ac:dyDescent="0.25">
      <c r="A30" s="122" t="s">
        <v>1211</v>
      </c>
      <c r="B30" s="122" t="s">
        <v>893</v>
      </c>
      <c r="C30" s="120" t="s">
        <v>1212</v>
      </c>
      <c r="D30" s="122" t="s">
        <v>1210</v>
      </c>
      <c r="E30" s="123" t="s">
        <v>1213</v>
      </c>
      <c r="F30" s="124">
        <v>43196</v>
      </c>
      <c r="G30" s="123">
        <v>30.555</v>
      </c>
      <c r="H30" s="123">
        <v>32.728000000000002</v>
      </c>
      <c r="I30" s="125">
        <v>1000</v>
      </c>
    </row>
    <row r="31" spans="1:9" hidden="1" x14ac:dyDescent="0.25">
      <c r="A31" s="122" t="s">
        <v>1211</v>
      </c>
      <c r="B31" s="122" t="s">
        <v>893</v>
      </c>
      <c r="C31" s="120" t="s">
        <v>1212</v>
      </c>
      <c r="D31" s="122" t="s">
        <v>1210</v>
      </c>
      <c r="E31" s="123" t="s">
        <v>1213</v>
      </c>
      <c r="F31" s="124">
        <v>43199</v>
      </c>
      <c r="G31" s="123">
        <v>30.425999999999998</v>
      </c>
      <c r="H31" s="123">
        <v>32.866999999999997</v>
      </c>
      <c r="I31" s="125">
        <v>1000</v>
      </c>
    </row>
    <row r="32" spans="1:9" hidden="1" x14ac:dyDescent="0.25">
      <c r="A32" s="122" t="s">
        <v>1211</v>
      </c>
      <c r="B32" s="122" t="s">
        <v>893</v>
      </c>
      <c r="C32" s="120" t="s">
        <v>1212</v>
      </c>
      <c r="D32" s="122" t="s">
        <v>1210</v>
      </c>
      <c r="E32" s="123" t="s">
        <v>1213</v>
      </c>
      <c r="F32" s="124">
        <v>43200</v>
      </c>
      <c r="G32" s="123">
        <v>30.379000000000001</v>
      </c>
      <c r="H32" s="123">
        <v>32.917000000000002</v>
      </c>
      <c r="I32" s="125">
        <v>1000</v>
      </c>
    </row>
    <row r="33" spans="1:9" hidden="1" x14ac:dyDescent="0.25">
      <c r="A33" s="122" t="s">
        <v>1211</v>
      </c>
      <c r="B33" s="122" t="s">
        <v>893</v>
      </c>
      <c r="C33" s="120" t="s">
        <v>1212</v>
      </c>
      <c r="D33" s="122" t="s">
        <v>1210</v>
      </c>
      <c r="E33" s="123" t="s">
        <v>1213</v>
      </c>
      <c r="F33" s="124">
        <v>43201</v>
      </c>
      <c r="G33" s="123">
        <v>30.422000000000001</v>
      </c>
      <c r="H33" s="123">
        <v>32.871000000000002</v>
      </c>
      <c r="I33" s="125">
        <v>1000</v>
      </c>
    </row>
    <row r="34" spans="1:9" hidden="1" x14ac:dyDescent="0.25">
      <c r="A34" s="122" t="s">
        <v>1211</v>
      </c>
      <c r="B34" s="122" t="s">
        <v>893</v>
      </c>
      <c r="C34" s="120" t="s">
        <v>1212</v>
      </c>
      <c r="D34" s="122" t="s">
        <v>1210</v>
      </c>
      <c r="E34" s="123" t="s">
        <v>1213</v>
      </c>
      <c r="F34" s="124">
        <v>43202</v>
      </c>
      <c r="G34" s="123">
        <v>30.385000000000002</v>
      </c>
      <c r="H34" s="123">
        <v>32.911000000000001</v>
      </c>
      <c r="I34" s="125">
        <v>1000</v>
      </c>
    </row>
    <row r="35" spans="1:9" hidden="1" x14ac:dyDescent="0.25">
      <c r="A35" s="122" t="s">
        <v>1211</v>
      </c>
      <c r="B35" s="122" t="s">
        <v>893</v>
      </c>
      <c r="C35" s="120" t="s">
        <v>1212</v>
      </c>
      <c r="D35" s="122" t="s">
        <v>1210</v>
      </c>
      <c r="E35" s="123" t="s">
        <v>1213</v>
      </c>
      <c r="F35" s="124">
        <v>43203</v>
      </c>
      <c r="G35" s="123">
        <v>30.390999999999998</v>
      </c>
      <c r="H35" s="123">
        <v>32.905000000000001</v>
      </c>
      <c r="I35" s="125">
        <v>1000</v>
      </c>
    </row>
    <row r="36" spans="1:9" hidden="1" x14ac:dyDescent="0.25">
      <c r="A36" s="122" t="s">
        <v>1211</v>
      </c>
      <c r="B36" s="122" t="s">
        <v>893</v>
      </c>
      <c r="C36" s="120" t="s">
        <v>1212</v>
      </c>
      <c r="D36" s="122" t="s">
        <v>1210</v>
      </c>
      <c r="E36" s="123" t="s">
        <v>1213</v>
      </c>
      <c r="F36" s="124">
        <v>43206</v>
      </c>
      <c r="G36" s="123">
        <v>30.25</v>
      </c>
      <c r="H36" s="123">
        <v>33.058</v>
      </c>
      <c r="I36" s="125">
        <v>1000</v>
      </c>
    </row>
    <row r="37" spans="1:9" hidden="1" x14ac:dyDescent="0.25">
      <c r="A37" s="122" t="s">
        <v>1211</v>
      </c>
      <c r="B37" s="122" t="s">
        <v>893</v>
      </c>
      <c r="C37" s="120" t="s">
        <v>1212</v>
      </c>
      <c r="D37" s="122" t="s">
        <v>1210</v>
      </c>
      <c r="E37" s="123" t="s">
        <v>1213</v>
      </c>
      <c r="F37" s="124">
        <v>43207</v>
      </c>
      <c r="G37" s="123">
        <v>30.207000000000001</v>
      </c>
      <c r="H37" s="123">
        <v>33.104999999999997</v>
      </c>
      <c r="I37" s="125">
        <v>1000</v>
      </c>
    </row>
    <row r="38" spans="1:9" hidden="1" x14ac:dyDescent="0.25">
      <c r="A38" s="122" t="s">
        <v>1211</v>
      </c>
      <c r="B38" s="122" t="s">
        <v>893</v>
      </c>
      <c r="C38" s="120" t="s">
        <v>1212</v>
      </c>
      <c r="D38" s="122" t="s">
        <v>1210</v>
      </c>
      <c r="E38" s="123" t="s">
        <v>1213</v>
      </c>
      <c r="F38" s="124">
        <v>43208</v>
      </c>
      <c r="G38" s="123">
        <v>30.288</v>
      </c>
      <c r="H38" s="123">
        <v>33.015999999999998</v>
      </c>
      <c r="I38" s="125">
        <v>1000</v>
      </c>
    </row>
    <row r="39" spans="1:9" hidden="1" x14ac:dyDescent="0.25">
      <c r="A39" s="122" t="s">
        <v>1211</v>
      </c>
      <c r="B39" s="122" t="s">
        <v>893</v>
      </c>
      <c r="C39" s="120" t="s">
        <v>1212</v>
      </c>
      <c r="D39" s="122" t="s">
        <v>1210</v>
      </c>
      <c r="E39" s="123" t="s">
        <v>1213</v>
      </c>
      <c r="F39" s="124">
        <v>43209</v>
      </c>
      <c r="G39" s="123">
        <v>30.228000000000002</v>
      </c>
      <c r="H39" s="123">
        <v>33.082000000000001</v>
      </c>
      <c r="I39" s="125">
        <v>1000</v>
      </c>
    </row>
    <row r="40" spans="1:9" hidden="1" x14ac:dyDescent="0.25">
      <c r="A40" s="122" t="s">
        <v>1211</v>
      </c>
      <c r="B40" s="122" t="s">
        <v>893</v>
      </c>
      <c r="C40" s="120" t="s">
        <v>1212</v>
      </c>
      <c r="D40" s="122" t="s">
        <v>1210</v>
      </c>
      <c r="E40" s="123" t="s">
        <v>1213</v>
      </c>
      <c r="F40" s="124">
        <v>43210</v>
      </c>
      <c r="G40" s="123">
        <v>30.372</v>
      </c>
      <c r="H40" s="123">
        <v>32.924999999999997</v>
      </c>
      <c r="I40" s="125">
        <v>1000</v>
      </c>
    </row>
    <row r="41" spans="1:9" hidden="1" x14ac:dyDescent="0.25">
      <c r="A41" s="122" t="s">
        <v>1211</v>
      </c>
      <c r="B41" s="122" t="s">
        <v>893</v>
      </c>
      <c r="C41" s="120" t="s">
        <v>1212</v>
      </c>
      <c r="D41" s="122" t="s">
        <v>1210</v>
      </c>
      <c r="E41" s="123" t="s">
        <v>1213</v>
      </c>
      <c r="F41" s="124">
        <v>43213</v>
      </c>
      <c r="G41" s="123">
        <v>30.300999999999998</v>
      </c>
      <c r="H41" s="123">
        <v>33.002000000000002</v>
      </c>
      <c r="I41" s="125">
        <v>1000</v>
      </c>
    </row>
    <row r="42" spans="1:9" hidden="1" x14ac:dyDescent="0.25">
      <c r="A42" s="122" t="s">
        <v>1211</v>
      </c>
      <c r="B42" s="122" t="s">
        <v>893</v>
      </c>
      <c r="C42" s="120" t="s">
        <v>1212</v>
      </c>
      <c r="D42" s="122" t="s">
        <v>1210</v>
      </c>
      <c r="E42" s="123" t="s">
        <v>1213</v>
      </c>
      <c r="F42" s="124">
        <v>43214</v>
      </c>
      <c r="G42" s="123">
        <v>30.132000000000001</v>
      </c>
      <c r="H42" s="123">
        <v>33.186999999999998</v>
      </c>
      <c r="I42" s="125">
        <v>1000</v>
      </c>
    </row>
    <row r="43" spans="1:9" hidden="1" x14ac:dyDescent="0.25">
      <c r="A43" s="122" t="s">
        <v>1211</v>
      </c>
      <c r="B43" s="122" t="s">
        <v>893</v>
      </c>
      <c r="C43" s="120" t="s">
        <v>1212</v>
      </c>
      <c r="D43" s="122" t="s">
        <v>1210</v>
      </c>
      <c r="E43" s="123" t="s">
        <v>1213</v>
      </c>
      <c r="F43" s="124">
        <v>43215</v>
      </c>
      <c r="G43" s="123">
        <v>30.32</v>
      </c>
      <c r="H43" s="123">
        <v>32.981999999999999</v>
      </c>
      <c r="I43" s="125">
        <v>1000</v>
      </c>
    </row>
    <row r="44" spans="1:9" hidden="1" x14ac:dyDescent="0.25">
      <c r="A44" s="122" t="s">
        <v>1211</v>
      </c>
      <c r="B44" s="122" t="s">
        <v>893</v>
      </c>
      <c r="C44" s="120" t="s">
        <v>1212</v>
      </c>
      <c r="D44" s="122" t="s">
        <v>1210</v>
      </c>
      <c r="E44" s="123" t="s">
        <v>1213</v>
      </c>
      <c r="F44" s="124">
        <v>43216</v>
      </c>
      <c r="G44" s="123">
        <v>30.31</v>
      </c>
      <c r="H44" s="123">
        <v>32.991999999999997</v>
      </c>
      <c r="I44" s="125">
        <v>1000</v>
      </c>
    </row>
    <row r="45" spans="1:9" hidden="1" x14ac:dyDescent="0.25">
      <c r="A45" s="122" t="s">
        <v>1211</v>
      </c>
      <c r="B45" s="122" t="s">
        <v>893</v>
      </c>
      <c r="C45" s="120" t="s">
        <v>1212</v>
      </c>
      <c r="D45" s="122" t="s">
        <v>1210</v>
      </c>
      <c r="E45" s="123" t="s">
        <v>1213</v>
      </c>
      <c r="F45" s="124">
        <v>43217</v>
      </c>
      <c r="G45" s="123">
        <v>30.079000000000001</v>
      </c>
      <c r="H45" s="123">
        <v>33.246000000000002</v>
      </c>
      <c r="I45" s="125">
        <v>1000</v>
      </c>
    </row>
    <row r="46" spans="1:9" hidden="1" x14ac:dyDescent="0.25">
      <c r="A46" s="122" t="s">
        <v>1211</v>
      </c>
      <c r="B46" s="122" t="s">
        <v>893</v>
      </c>
      <c r="C46" s="120" t="s">
        <v>1212</v>
      </c>
      <c r="D46" s="122" t="s">
        <v>1210</v>
      </c>
      <c r="E46" s="123" t="s">
        <v>1213</v>
      </c>
      <c r="F46" s="124">
        <v>43222</v>
      </c>
      <c r="G46" s="123">
        <v>90.66</v>
      </c>
      <c r="H46" s="123">
        <v>33.091000000000001</v>
      </c>
      <c r="I46" s="125">
        <v>3000</v>
      </c>
    </row>
    <row r="47" spans="1:9" hidden="1" x14ac:dyDescent="0.25">
      <c r="A47" s="122" t="s">
        <v>1211</v>
      </c>
      <c r="B47" s="122" t="s">
        <v>893</v>
      </c>
      <c r="C47" s="120" t="s">
        <v>1212</v>
      </c>
      <c r="D47" s="122" t="s">
        <v>1210</v>
      </c>
      <c r="E47" s="123" t="s">
        <v>1213</v>
      </c>
      <c r="F47" s="124">
        <v>43223</v>
      </c>
      <c r="G47" s="123">
        <v>30.390999999999998</v>
      </c>
      <c r="H47" s="123">
        <v>32.905000000000001</v>
      </c>
      <c r="I47" s="125">
        <v>1000</v>
      </c>
    </row>
    <row r="48" spans="1:9" hidden="1" x14ac:dyDescent="0.25">
      <c r="A48" s="122" t="s">
        <v>1211</v>
      </c>
      <c r="B48" s="122" t="s">
        <v>893</v>
      </c>
      <c r="C48" s="120" t="s">
        <v>1212</v>
      </c>
      <c r="D48" s="122" t="s">
        <v>1210</v>
      </c>
      <c r="E48" s="123" t="s">
        <v>1213</v>
      </c>
      <c r="F48" s="124">
        <v>43224</v>
      </c>
      <c r="G48" s="123">
        <v>30.477</v>
      </c>
      <c r="H48" s="123">
        <v>32.811999999999998</v>
      </c>
      <c r="I48" s="125">
        <v>1000</v>
      </c>
    </row>
    <row r="49" spans="1:9" hidden="1" x14ac:dyDescent="0.25">
      <c r="A49" s="122" t="s">
        <v>1211</v>
      </c>
      <c r="B49" s="122" t="s">
        <v>893</v>
      </c>
      <c r="C49" s="120" t="s">
        <v>1212</v>
      </c>
      <c r="D49" s="122" t="s">
        <v>1210</v>
      </c>
      <c r="E49" s="123" t="s">
        <v>1213</v>
      </c>
      <c r="F49" s="124">
        <v>43227</v>
      </c>
      <c r="G49" s="123">
        <v>30.212</v>
      </c>
      <c r="H49" s="123">
        <v>33.098999999999997</v>
      </c>
      <c r="I49" s="125">
        <v>1000</v>
      </c>
    </row>
    <row r="50" spans="1:9" hidden="1" x14ac:dyDescent="0.25">
      <c r="A50" s="122" t="s">
        <v>1211</v>
      </c>
      <c r="B50" s="122" t="s">
        <v>893</v>
      </c>
      <c r="C50" s="120" t="s">
        <v>1212</v>
      </c>
      <c r="D50" s="122" t="s">
        <v>1210</v>
      </c>
      <c r="E50" s="123" t="s">
        <v>1213</v>
      </c>
      <c r="F50" s="124">
        <v>43228</v>
      </c>
      <c r="G50" s="123">
        <v>30.141999999999999</v>
      </c>
      <c r="H50" s="123">
        <v>33.176000000000002</v>
      </c>
      <c r="I50" s="125">
        <v>1000</v>
      </c>
    </row>
    <row r="51" spans="1:9" hidden="1" x14ac:dyDescent="0.25">
      <c r="A51" s="122" t="s">
        <v>1211</v>
      </c>
      <c r="B51" s="122" t="s">
        <v>893</v>
      </c>
      <c r="C51" s="120" t="s">
        <v>1212</v>
      </c>
      <c r="D51" s="122" t="s">
        <v>1210</v>
      </c>
      <c r="E51" s="123" t="s">
        <v>1213</v>
      </c>
      <c r="F51" s="124">
        <v>43229</v>
      </c>
      <c r="G51" s="123">
        <v>30.201000000000001</v>
      </c>
      <c r="H51" s="123">
        <v>33.110999999999997</v>
      </c>
      <c r="I51" s="125">
        <v>1000</v>
      </c>
    </row>
    <row r="52" spans="1:9" hidden="1" x14ac:dyDescent="0.25">
      <c r="A52" s="122" t="s">
        <v>1211</v>
      </c>
      <c r="B52" s="122" t="s">
        <v>893</v>
      </c>
      <c r="C52" s="120" t="s">
        <v>1212</v>
      </c>
      <c r="D52" s="122" t="s">
        <v>1210</v>
      </c>
      <c r="E52" s="123" t="s">
        <v>1213</v>
      </c>
      <c r="F52" s="124">
        <v>43230</v>
      </c>
      <c r="G52" s="123">
        <v>30.35</v>
      </c>
      <c r="H52" s="123">
        <v>32.948999999999998</v>
      </c>
      <c r="I52" s="125">
        <v>1000</v>
      </c>
    </row>
    <row r="53" spans="1:9" hidden="1" x14ac:dyDescent="0.25">
      <c r="A53" s="122" t="s">
        <v>1211</v>
      </c>
      <c r="B53" s="122" t="s">
        <v>893</v>
      </c>
      <c r="C53" s="120" t="s">
        <v>1212</v>
      </c>
      <c r="D53" s="122" t="s">
        <v>1210</v>
      </c>
      <c r="E53" s="123" t="s">
        <v>1213</v>
      </c>
      <c r="F53" s="124">
        <v>43231</v>
      </c>
      <c r="G53" s="123">
        <v>30.065000000000001</v>
      </c>
      <c r="H53" s="123">
        <v>33.261000000000003</v>
      </c>
      <c r="I53" s="125">
        <v>1000</v>
      </c>
    </row>
    <row r="54" spans="1:9" hidden="1" x14ac:dyDescent="0.25">
      <c r="A54" s="122" t="s">
        <v>1211</v>
      </c>
      <c r="B54" s="122" t="s">
        <v>893</v>
      </c>
      <c r="C54" s="120" t="s">
        <v>1212</v>
      </c>
      <c r="D54" s="122" t="s">
        <v>1210</v>
      </c>
      <c r="E54" s="123" t="s">
        <v>1213</v>
      </c>
      <c r="F54" s="124">
        <v>43234</v>
      </c>
      <c r="G54" s="123">
        <v>30.056999999999999</v>
      </c>
      <c r="H54" s="123">
        <v>33.270000000000003</v>
      </c>
      <c r="I54" s="125">
        <v>1000</v>
      </c>
    </row>
    <row r="55" spans="1:9" hidden="1" x14ac:dyDescent="0.25">
      <c r="A55" s="122" t="s">
        <v>1211</v>
      </c>
      <c r="B55" s="122" t="s">
        <v>893</v>
      </c>
      <c r="C55" s="120" t="s">
        <v>1212</v>
      </c>
      <c r="D55" s="122" t="s">
        <v>1210</v>
      </c>
      <c r="E55" s="123" t="s">
        <v>1213</v>
      </c>
      <c r="F55" s="124">
        <v>43235</v>
      </c>
      <c r="G55" s="123">
        <v>30.184000000000001</v>
      </c>
      <c r="H55" s="123">
        <v>33.130000000000003</v>
      </c>
      <c r="I55" s="125">
        <v>1000</v>
      </c>
    </row>
    <row r="56" spans="1:9" hidden="1" x14ac:dyDescent="0.25">
      <c r="A56" s="122" t="s">
        <v>1211</v>
      </c>
      <c r="B56" s="122" t="s">
        <v>893</v>
      </c>
      <c r="C56" s="120" t="s">
        <v>1212</v>
      </c>
      <c r="D56" s="122" t="s">
        <v>1210</v>
      </c>
      <c r="E56" s="123" t="s">
        <v>1213</v>
      </c>
      <c r="F56" s="124">
        <v>43236</v>
      </c>
      <c r="G56" s="123">
        <v>30.350999999999999</v>
      </c>
      <c r="H56" s="123">
        <v>32.948</v>
      </c>
      <c r="I56" s="125">
        <v>1000</v>
      </c>
    </row>
    <row r="57" spans="1:9" hidden="1" x14ac:dyDescent="0.25">
      <c r="A57" s="122" t="s">
        <v>1211</v>
      </c>
      <c r="B57" s="122" t="s">
        <v>893</v>
      </c>
      <c r="C57" s="120" t="s">
        <v>1212</v>
      </c>
      <c r="D57" s="122" t="s">
        <v>1210</v>
      </c>
      <c r="E57" s="123" t="s">
        <v>1213</v>
      </c>
      <c r="F57" s="124">
        <v>43237</v>
      </c>
      <c r="G57" s="123">
        <v>30.38</v>
      </c>
      <c r="H57" s="123">
        <v>32.915999999999997</v>
      </c>
      <c r="I57" s="125">
        <v>1000</v>
      </c>
    </row>
    <row r="58" spans="1:9" hidden="1" x14ac:dyDescent="0.25">
      <c r="A58" s="122" t="s">
        <v>1211</v>
      </c>
      <c r="B58" s="122" t="s">
        <v>893</v>
      </c>
      <c r="C58" s="120" t="s">
        <v>1212</v>
      </c>
      <c r="D58" s="122" t="s">
        <v>1210</v>
      </c>
      <c r="E58" s="123" t="s">
        <v>1213</v>
      </c>
      <c r="F58" s="124">
        <v>43238</v>
      </c>
      <c r="G58" s="123">
        <v>30.670999999999999</v>
      </c>
      <c r="H58" s="123">
        <v>32.603999999999999</v>
      </c>
      <c r="I58" s="125">
        <v>1000</v>
      </c>
    </row>
    <row r="59" spans="1:9" hidden="1" x14ac:dyDescent="0.25">
      <c r="A59" s="122" t="s">
        <v>1211</v>
      </c>
      <c r="B59" s="122" t="s">
        <v>893</v>
      </c>
      <c r="C59" s="120" t="s">
        <v>1212</v>
      </c>
      <c r="D59" s="122" t="s">
        <v>1210</v>
      </c>
      <c r="E59" s="123" t="s">
        <v>1213</v>
      </c>
      <c r="F59" s="124">
        <v>43241</v>
      </c>
      <c r="G59" s="123">
        <v>31.013999999999999</v>
      </c>
      <c r="H59" s="123">
        <v>32.244</v>
      </c>
      <c r="I59" s="125">
        <v>1000</v>
      </c>
    </row>
    <row r="60" spans="1:9" hidden="1" x14ac:dyDescent="0.25">
      <c r="A60" s="122" t="s">
        <v>1211</v>
      </c>
      <c r="B60" s="122" t="s">
        <v>893</v>
      </c>
      <c r="C60" s="120" t="s">
        <v>1212</v>
      </c>
      <c r="D60" s="122" t="s">
        <v>1210</v>
      </c>
      <c r="E60" s="123" t="s">
        <v>1213</v>
      </c>
      <c r="F60" s="124">
        <v>43242</v>
      </c>
      <c r="G60" s="123">
        <v>30.94</v>
      </c>
      <c r="H60" s="123">
        <v>32.320999999999998</v>
      </c>
      <c r="I60" s="125">
        <v>1000</v>
      </c>
    </row>
    <row r="61" spans="1:9" hidden="1" x14ac:dyDescent="0.25">
      <c r="A61" s="122" t="s">
        <v>1211</v>
      </c>
      <c r="B61" s="122" t="s">
        <v>893</v>
      </c>
      <c r="C61" s="120" t="s">
        <v>1212</v>
      </c>
      <c r="D61" s="122" t="s">
        <v>1210</v>
      </c>
      <c r="E61" s="123" t="s">
        <v>1213</v>
      </c>
      <c r="F61" s="124">
        <v>43243</v>
      </c>
      <c r="G61" s="123">
        <v>31.140999999999998</v>
      </c>
      <c r="H61" s="123">
        <v>32.112000000000002</v>
      </c>
      <c r="I61" s="125">
        <v>1000</v>
      </c>
    </row>
    <row r="62" spans="1:9" hidden="1" x14ac:dyDescent="0.25">
      <c r="A62" s="122" t="s">
        <v>1211</v>
      </c>
      <c r="B62" s="122" t="s">
        <v>893</v>
      </c>
      <c r="C62" s="120" t="s">
        <v>1212</v>
      </c>
      <c r="D62" s="122" t="s">
        <v>1210</v>
      </c>
      <c r="E62" s="123" t="s">
        <v>1213</v>
      </c>
      <c r="F62" s="124">
        <v>43244</v>
      </c>
      <c r="G62" s="123">
        <v>30.991</v>
      </c>
      <c r="H62" s="123">
        <v>32.267000000000003</v>
      </c>
      <c r="I62" s="125">
        <v>1000</v>
      </c>
    </row>
    <row r="63" spans="1:9" hidden="1" x14ac:dyDescent="0.25">
      <c r="A63" s="122" t="s">
        <v>1211</v>
      </c>
      <c r="B63" s="122" t="s">
        <v>893</v>
      </c>
      <c r="C63" s="120" t="s">
        <v>1212</v>
      </c>
      <c r="D63" s="122" t="s">
        <v>1210</v>
      </c>
      <c r="E63" s="123" t="s">
        <v>1213</v>
      </c>
      <c r="F63" s="124">
        <v>43245</v>
      </c>
      <c r="G63" s="123">
        <v>30.66</v>
      </c>
      <c r="H63" s="123">
        <v>32.616</v>
      </c>
      <c r="I63" s="125">
        <v>1000</v>
      </c>
    </row>
    <row r="64" spans="1:9" hidden="1" x14ac:dyDescent="0.25">
      <c r="A64" s="122" t="s">
        <v>1211</v>
      </c>
      <c r="B64" s="122" t="s">
        <v>893</v>
      </c>
      <c r="C64" s="120" t="s">
        <v>1212</v>
      </c>
      <c r="D64" s="122" t="s">
        <v>1210</v>
      </c>
      <c r="E64" s="123" t="s">
        <v>1213</v>
      </c>
      <c r="F64" s="124">
        <v>43248</v>
      </c>
      <c r="G64" s="123">
        <v>30.350999999999999</v>
      </c>
      <c r="H64" s="123">
        <v>32.948</v>
      </c>
      <c r="I64" s="125">
        <v>1000</v>
      </c>
    </row>
    <row r="65" spans="1:9" hidden="1" x14ac:dyDescent="0.25">
      <c r="A65" s="122" t="s">
        <v>1211</v>
      </c>
      <c r="B65" s="122" t="s">
        <v>893</v>
      </c>
      <c r="C65" s="120" t="s">
        <v>1212</v>
      </c>
      <c r="D65" s="122" t="s">
        <v>1210</v>
      </c>
      <c r="E65" s="123" t="s">
        <v>1213</v>
      </c>
      <c r="F65" s="124">
        <v>43249</v>
      </c>
      <c r="G65" s="123">
        <v>30.448</v>
      </c>
      <c r="H65" s="123">
        <v>32.843000000000004</v>
      </c>
      <c r="I65" s="125">
        <v>1000</v>
      </c>
    </row>
    <row r="66" spans="1:9" hidden="1" x14ac:dyDescent="0.25">
      <c r="A66" s="122" t="s">
        <v>1211</v>
      </c>
      <c r="B66" s="122" t="s">
        <v>893</v>
      </c>
      <c r="C66" s="120" t="s">
        <v>1212</v>
      </c>
      <c r="D66" s="122" t="s">
        <v>1210</v>
      </c>
      <c r="E66" s="123" t="s">
        <v>1213</v>
      </c>
      <c r="F66" s="124">
        <v>43250</v>
      </c>
      <c r="G66" s="123">
        <v>30.477</v>
      </c>
      <c r="H66" s="123">
        <v>32.811999999999998</v>
      </c>
      <c r="I66" s="125">
        <v>1000</v>
      </c>
    </row>
    <row r="67" spans="1:9" hidden="1" x14ac:dyDescent="0.25">
      <c r="A67" s="122" t="s">
        <v>1211</v>
      </c>
      <c r="B67" s="122" t="s">
        <v>893</v>
      </c>
      <c r="C67" s="120" t="s">
        <v>1212</v>
      </c>
      <c r="D67" s="122" t="s">
        <v>1210</v>
      </c>
      <c r="E67" s="123" t="s">
        <v>1213</v>
      </c>
      <c r="F67" s="124">
        <v>43251</v>
      </c>
      <c r="G67" s="123">
        <v>30.254000000000001</v>
      </c>
      <c r="H67" s="123">
        <v>33.052999999999997</v>
      </c>
      <c r="I67" s="125">
        <v>1000</v>
      </c>
    </row>
    <row r="68" spans="1:9" hidden="1" x14ac:dyDescent="0.25">
      <c r="A68" s="122" t="s">
        <v>1211</v>
      </c>
      <c r="B68" s="122" t="s">
        <v>893</v>
      </c>
      <c r="C68" s="120" t="s">
        <v>1212</v>
      </c>
      <c r="D68" s="122" t="s">
        <v>1210</v>
      </c>
      <c r="E68" s="123" t="s">
        <v>1213</v>
      </c>
      <c r="F68" s="124">
        <v>43252</v>
      </c>
      <c r="G68" s="123">
        <v>30.462</v>
      </c>
      <c r="H68" s="123">
        <v>32.828000000000003</v>
      </c>
      <c r="I68" s="125">
        <v>1000</v>
      </c>
    </row>
    <row r="69" spans="1:9" hidden="1" x14ac:dyDescent="0.25">
      <c r="A69" s="122" t="s">
        <v>1211</v>
      </c>
      <c r="B69" s="122" t="s">
        <v>893</v>
      </c>
      <c r="C69" s="120" t="s">
        <v>1212</v>
      </c>
      <c r="D69" s="122" t="s">
        <v>1210</v>
      </c>
      <c r="E69" s="123" t="s">
        <v>1213</v>
      </c>
      <c r="F69" s="124">
        <v>43255</v>
      </c>
      <c r="G69" s="123">
        <v>30.68</v>
      </c>
      <c r="H69" s="123">
        <v>32.594000000000001</v>
      </c>
      <c r="I69" s="125">
        <v>1000</v>
      </c>
    </row>
    <row r="70" spans="1:9" hidden="1" x14ac:dyDescent="0.25">
      <c r="A70" s="122" t="s">
        <v>1211</v>
      </c>
      <c r="B70" s="122" t="s">
        <v>893</v>
      </c>
      <c r="C70" s="120" t="s">
        <v>1212</v>
      </c>
      <c r="D70" s="122" t="s">
        <v>1210</v>
      </c>
      <c r="E70" s="123" t="s">
        <v>1213</v>
      </c>
      <c r="F70" s="124">
        <v>43256</v>
      </c>
      <c r="G70" s="123">
        <v>30.776</v>
      </c>
      <c r="H70" s="123">
        <v>32.493000000000002</v>
      </c>
      <c r="I70" s="125">
        <v>1000</v>
      </c>
    </row>
    <row r="71" spans="1:9" hidden="1" x14ac:dyDescent="0.25">
      <c r="A71" s="122" t="s">
        <v>1211</v>
      </c>
      <c r="B71" s="122" t="s">
        <v>893</v>
      </c>
      <c r="C71" s="120" t="s">
        <v>1212</v>
      </c>
      <c r="D71" s="122" t="s">
        <v>1210</v>
      </c>
      <c r="E71" s="123" t="s">
        <v>1213</v>
      </c>
      <c r="F71" s="124">
        <v>43257</v>
      </c>
      <c r="G71" s="123">
        <v>30.504999999999999</v>
      </c>
      <c r="H71" s="123">
        <v>32.780999999999999</v>
      </c>
      <c r="I71" s="125">
        <v>1000</v>
      </c>
    </row>
    <row r="72" spans="1:9" hidden="1" x14ac:dyDescent="0.25">
      <c r="A72" s="122" t="s">
        <v>1211</v>
      </c>
      <c r="B72" s="122" t="s">
        <v>893</v>
      </c>
      <c r="C72" s="120" t="s">
        <v>1212</v>
      </c>
      <c r="D72" s="122" t="s">
        <v>1210</v>
      </c>
      <c r="E72" s="123" t="s">
        <v>1213</v>
      </c>
      <c r="F72" s="124">
        <v>43258</v>
      </c>
      <c r="G72" s="123">
        <v>30.222000000000001</v>
      </c>
      <c r="H72" s="123">
        <v>33.088000000000001</v>
      </c>
      <c r="I72" s="125">
        <v>1000</v>
      </c>
    </row>
    <row r="73" spans="1:9" hidden="1" x14ac:dyDescent="0.25">
      <c r="A73" s="122" t="s">
        <v>1211</v>
      </c>
      <c r="B73" s="122" t="s">
        <v>893</v>
      </c>
      <c r="C73" s="120" t="s">
        <v>1212</v>
      </c>
      <c r="D73" s="122" t="s">
        <v>1210</v>
      </c>
      <c r="E73" s="123" t="s">
        <v>1213</v>
      </c>
      <c r="F73" s="124">
        <v>43259</v>
      </c>
      <c r="G73" s="123">
        <v>30.196999999999999</v>
      </c>
      <c r="H73" s="123">
        <v>33.116</v>
      </c>
      <c r="I73" s="125">
        <v>1000</v>
      </c>
    </row>
    <row r="74" spans="1:9" hidden="1" x14ac:dyDescent="0.25">
      <c r="A74" s="122" t="s">
        <v>1211</v>
      </c>
      <c r="B74" s="122" t="s">
        <v>893</v>
      </c>
      <c r="C74" s="120" t="s">
        <v>1212</v>
      </c>
      <c r="D74" s="122" t="s">
        <v>1210</v>
      </c>
      <c r="E74" s="123" t="s">
        <v>1213</v>
      </c>
      <c r="F74" s="124">
        <v>43262</v>
      </c>
      <c r="G74" s="123">
        <v>30.14</v>
      </c>
      <c r="H74" s="123">
        <v>33.179000000000002</v>
      </c>
      <c r="I74" s="125">
        <v>1000</v>
      </c>
    </row>
    <row r="75" spans="1:9" hidden="1" x14ac:dyDescent="0.25">
      <c r="A75" s="122" t="s">
        <v>1211</v>
      </c>
      <c r="B75" s="122" t="s">
        <v>893</v>
      </c>
      <c r="C75" s="120" t="s">
        <v>1212</v>
      </c>
      <c r="D75" s="122" t="s">
        <v>1210</v>
      </c>
      <c r="E75" s="123" t="s">
        <v>1213</v>
      </c>
      <c r="F75" s="124">
        <v>43263</v>
      </c>
      <c r="G75" s="123">
        <v>29.922999999999998</v>
      </c>
      <c r="H75" s="123">
        <v>33.418999999999997</v>
      </c>
      <c r="I75" s="125">
        <v>1000</v>
      </c>
    </row>
    <row r="76" spans="1:9" hidden="1" x14ac:dyDescent="0.25">
      <c r="A76" s="122" t="s">
        <v>1211</v>
      </c>
      <c r="B76" s="122" t="s">
        <v>893</v>
      </c>
      <c r="C76" s="120" t="s">
        <v>1212</v>
      </c>
      <c r="D76" s="122" t="s">
        <v>1210</v>
      </c>
      <c r="E76" s="123" t="s">
        <v>1213</v>
      </c>
      <c r="F76" s="124">
        <v>43264</v>
      </c>
      <c r="G76" s="123">
        <v>29.931999999999999</v>
      </c>
      <c r="H76" s="123">
        <v>33.408999999999999</v>
      </c>
      <c r="I76" s="125">
        <v>1000</v>
      </c>
    </row>
    <row r="77" spans="1:9" hidden="1" x14ac:dyDescent="0.25">
      <c r="A77" s="122" t="s">
        <v>1211</v>
      </c>
      <c r="B77" s="122" t="s">
        <v>893</v>
      </c>
      <c r="C77" s="120" t="s">
        <v>1212</v>
      </c>
      <c r="D77" s="122" t="s">
        <v>1210</v>
      </c>
      <c r="E77" s="123" t="s">
        <v>1213</v>
      </c>
      <c r="F77" s="124">
        <v>43265</v>
      </c>
      <c r="G77" s="123">
        <v>30.041</v>
      </c>
      <c r="H77" s="123">
        <v>33.287999999999997</v>
      </c>
      <c r="I77" s="125">
        <v>1000</v>
      </c>
    </row>
    <row r="78" spans="1:9" hidden="1" x14ac:dyDescent="0.25">
      <c r="A78" s="122" t="s">
        <v>1211</v>
      </c>
      <c r="B78" s="122" t="s">
        <v>893</v>
      </c>
      <c r="C78" s="120" t="s">
        <v>1212</v>
      </c>
      <c r="D78" s="122" t="s">
        <v>1210</v>
      </c>
      <c r="E78" s="123" t="s">
        <v>1213</v>
      </c>
      <c r="F78" s="124">
        <v>43266</v>
      </c>
      <c r="G78" s="123">
        <v>30.123999999999999</v>
      </c>
      <c r="H78" s="123">
        <v>33.195999999999998</v>
      </c>
      <c r="I78" s="125">
        <v>1000</v>
      </c>
    </row>
    <row r="79" spans="1:9" hidden="1" x14ac:dyDescent="0.25">
      <c r="A79" s="122" t="s">
        <v>1211</v>
      </c>
      <c r="B79" s="122" t="s">
        <v>893</v>
      </c>
      <c r="C79" s="120" t="s">
        <v>1212</v>
      </c>
      <c r="D79" s="122" t="s">
        <v>1210</v>
      </c>
      <c r="E79" s="123" t="s">
        <v>1213</v>
      </c>
      <c r="F79" s="124">
        <v>43269</v>
      </c>
      <c r="G79" s="123">
        <v>30.204999999999998</v>
      </c>
      <c r="H79" s="123">
        <v>33.106999999999999</v>
      </c>
      <c r="I79" s="125">
        <v>1000</v>
      </c>
    </row>
    <row r="80" spans="1:9" hidden="1" x14ac:dyDescent="0.25">
      <c r="A80" s="122" t="s">
        <v>1211</v>
      </c>
      <c r="B80" s="122" t="s">
        <v>893</v>
      </c>
      <c r="C80" s="120" t="s">
        <v>1212</v>
      </c>
      <c r="D80" s="122" t="s">
        <v>1210</v>
      </c>
      <c r="E80" s="123" t="s">
        <v>1213</v>
      </c>
      <c r="F80" s="124">
        <v>43270</v>
      </c>
      <c r="G80" s="123">
        <v>30.43</v>
      </c>
      <c r="H80" s="123">
        <v>32.862000000000002</v>
      </c>
      <c r="I80" s="125">
        <v>1000</v>
      </c>
    </row>
    <row r="81" spans="1:9" hidden="1" x14ac:dyDescent="0.25">
      <c r="A81" s="122" t="s">
        <v>1211</v>
      </c>
      <c r="B81" s="122" t="s">
        <v>893</v>
      </c>
      <c r="C81" s="120" t="s">
        <v>1212</v>
      </c>
      <c r="D81" s="122" t="s">
        <v>1210</v>
      </c>
      <c r="E81" s="123" t="s">
        <v>1213</v>
      </c>
      <c r="F81" s="124">
        <v>43271</v>
      </c>
      <c r="G81" s="123">
        <v>30.315999999999999</v>
      </c>
      <c r="H81" s="123">
        <v>32.985999999999997</v>
      </c>
      <c r="I81" s="125">
        <v>1000</v>
      </c>
    </row>
    <row r="82" spans="1:9" hidden="1" x14ac:dyDescent="0.25">
      <c r="A82" s="122" t="s">
        <v>1211</v>
      </c>
      <c r="B82" s="122" t="s">
        <v>893</v>
      </c>
      <c r="C82" s="120" t="s">
        <v>1212</v>
      </c>
      <c r="D82" s="122" t="s">
        <v>1210</v>
      </c>
      <c r="E82" s="123" t="s">
        <v>1213</v>
      </c>
      <c r="F82" s="124">
        <v>43272</v>
      </c>
      <c r="G82" s="123">
        <v>30.414999999999999</v>
      </c>
      <c r="H82" s="123">
        <v>32.878999999999998</v>
      </c>
      <c r="I82" s="125">
        <v>1000</v>
      </c>
    </row>
    <row r="83" spans="1:9" hidden="1" x14ac:dyDescent="0.25">
      <c r="A83" s="122" t="s">
        <v>1211</v>
      </c>
      <c r="B83" s="122" t="s">
        <v>893</v>
      </c>
      <c r="C83" s="120" t="s">
        <v>1212</v>
      </c>
      <c r="D83" s="122" t="s">
        <v>1210</v>
      </c>
      <c r="E83" s="123" t="s">
        <v>1213</v>
      </c>
      <c r="F83" s="124">
        <v>43273</v>
      </c>
      <c r="G83" s="123">
        <v>30.183</v>
      </c>
      <c r="H83" s="123">
        <v>33.131</v>
      </c>
      <c r="I83" s="125">
        <v>1000</v>
      </c>
    </row>
    <row r="84" spans="1:9" hidden="1" x14ac:dyDescent="0.25">
      <c r="A84" s="122" t="s">
        <v>1211</v>
      </c>
      <c r="B84" s="122" t="s">
        <v>893</v>
      </c>
      <c r="C84" s="120" t="s">
        <v>1212</v>
      </c>
      <c r="D84" s="122" t="s">
        <v>1210</v>
      </c>
      <c r="E84" s="123" t="s">
        <v>1213</v>
      </c>
      <c r="F84" s="124">
        <v>43276</v>
      </c>
      <c r="G84" s="123">
        <v>30.297999999999998</v>
      </c>
      <c r="H84" s="123">
        <v>33.005000000000003</v>
      </c>
      <c r="I84" s="125">
        <v>1000</v>
      </c>
    </row>
    <row r="85" spans="1:9" hidden="1" x14ac:dyDescent="0.25">
      <c r="A85" s="122" t="s">
        <v>1211</v>
      </c>
      <c r="B85" s="122" t="s">
        <v>893</v>
      </c>
      <c r="C85" s="120" t="s">
        <v>1212</v>
      </c>
      <c r="D85" s="122" t="s">
        <v>1210</v>
      </c>
      <c r="E85" s="123" t="s">
        <v>1213</v>
      </c>
      <c r="F85" s="124">
        <v>43277</v>
      </c>
      <c r="G85" s="123">
        <v>30.254000000000001</v>
      </c>
      <c r="H85" s="123">
        <v>33.054000000000002</v>
      </c>
      <c r="I85" s="125">
        <v>1000</v>
      </c>
    </row>
    <row r="86" spans="1:9" hidden="1" x14ac:dyDescent="0.25">
      <c r="A86" s="122" t="s">
        <v>1211</v>
      </c>
      <c r="B86" s="122" t="s">
        <v>893</v>
      </c>
      <c r="C86" s="120" t="s">
        <v>1212</v>
      </c>
      <c r="D86" s="122" t="s">
        <v>1210</v>
      </c>
      <c r="E86" s="123" t="s">
        <v>1213</v>
      </c>
      <c r="F86" s="124">
        <v>43278</v>
      </c>
      <c r="G86" s="123">
        <v>30.625</v>
      </c>
      <c r="H86" s="123">
        <v>32.652999999999999</v>
      </c>
      <c r="I86" s="125">
        <v>1000</v>
      </c>
    </row>
    <row r="87" spans="1:9" hidden="1" x14ac:dyDescent="0.25">
      <c r="A87" s="122" t="s">
        <v>1211</v>
      </c>
      <c r="B87" s="122" t="s">
        <v>893</v>
      </c>
      <c r="C87" s="120" t="s">
        <v>1212</v>
      </c>
      <c r="D87" s="122" t="s">
        <v>1210</v>
      </c>
      <c r="E87" s="123" t="s">
        <v>1213</v>
      </c>
      <c r="F87" s="124">
        <v>43279</v>
      </c>
      <c r="G87" s="123">
        <v>30.916</v>
      </c>
      <c r="H87" s="123">
        <v>32.345999999999997</v>
      </c>
      <c r="I87" s="125">
        <v>1000</v>
      </c>
    </row>
    <row r="88" spans="1:9" hidden="1" x14ac:dyDescent="0.25">
      <c r="A88" s="122" t="s">
        <v>1211</v>
      </c>
      <c r="B88" s="122" t="s">
        <v>893</v>
      </c>
      <c r="C88" s="120" t="s">
        <v>1212</v>
      </c>
      <c r="D88" s="122" t="s">
        <v>1210</v>
      </c>
      <c r="E88" s="123" t="s">
        <v>1213</v>
      </c>
      <c r="F88" s="124">
        <v>43280</v>
      </c>
      <c r="G88" s="123">
        <v>30.506</v>
      </c>
      <c r="H88" s="123">
        <v>32.78</v>
      </c>
      <c r="I88" s="125">
        <v>1000</v>
      </c>
    </row>
    <row r="89" spans="1:9" hidden="1" x14ac:dyDescent="0.25">
      <c r="A89" s="122" t="s">
        <v>1211</v>
      </c>
      <c r="B89" s="122" t="s">
        <v>893</v>
      </c>
      <c r="C89" s="120" t="s">
        <v>1212</v>
      </c>
      <c r="D89" s="122" t="s">
        <v>1210</v>
      </c>
      <c r="E89" s="123" t="s">
        <v>1213</v>
      </c>
      <c r="F89" s="124">
        <v>43283</v>
      </c>
      <c r="G89" s="123">
        <v>30.648</v>
      </c>
      <c r="H89" s="123">
        <v>32.628999999999998</v>
      </c>
      <c r="I89" s="125">
        <v>1000</v>
      </c>
    </row>
    <row r="90" spans="1:9" hidden="1" x14ac:dyDescent="0.25">
      <c r="A90" s="122" t="s">
        <v>1211</v>
      </c>
      <c r="B90" s="122" t="s">
        <v>893</v>
      </c>
      <c r="C90" s="120" t="s">
        <v>1212</v>
      </c>
      <c r="D90" s="122" t="s">
        <v>1210</v>
      </c>
      <c r="E90" s="123" t="s">
        <v>1213</v>
      </c>
      <c r="F90" s="124">
        <v>43284</v>
      </c>
      <c r="G90" s="123">
        <v>30.501000000000001</v>
      </c>
      <c r="H90" s="123">
        <v>32.786000000000001</v>
      </c>
      <c r="I90" s="125">
        <v>1000</v>
      </c>
    </row>
    <row r="91" spans="1:9" hidden="1" x14ac:dyDescent="0.25">
      <c r="A91" s="122" t="s">
        <v>1211</v>
      </c>
      <c r="B91" s="122" t="s">
        <v>893</v>
      </c>
      <c r="C91" s="120" t="s">
        <v>1212</v>
      </c>
      <c r="D91" s="122" t="s">
        <v>1210</v>
      </c>
      <c r="E91" s="123" t="s">
        <v>1213</v>
      </c>
      <c r="F91" s="124">
        <v>43285</v>
      </c>
      <c r="G91" s="123">
        <v>30.286999999999999</v>
      </c>
      <c r="H91" s="123">
        <v>33.018000000000001</v>
      </c>
      <c r="I91" s="125">
        <v>1000</v>
      </c>
    </row>
    <row r="92" spans="1:9" hidden="1" x14ac:dyDescent="0.25">
      <c r="A92" s="122" t="s">
        <v>1211</v>
      </c>
      <c r="B92" s="122" t="s">
        <v>893</v>
      </c>
      <c r="C92" s="120" t="s">
        <v>1212</v>
      </c>
      <c r="D92" s="122" t="s">
        <v>1210</v>
      </c>
      <c r="E92" s="123" t="s">
        <v>1213</v>
      </c>
      <c r="F92" s="124">
        <v>43286</v>
      </c>
      <c r="G92" s="123">
        <v>30.36</v>
      </c>
      <c r="H92" s="123">
        <v>32.938000000000002</v>
      </c>
      <c r="I92" s="125">
        <v>1000</v>
      </c>
    </row>
    <row r="93" spans="1:9" hidden="1" x14ac:dyDescent="0.25">
      <c r="A93" s="122" t="s">
        <v>1211</v>
      </c>
      <c r="B93" s="122" t="s">
        <v>893</v>
      </c>
      <c r="C93" s="120" t="s">
        <v>1212</v>
      </c>
      <c r="D93" s="122" t="s">
        <v>1210</v>
      </c>
      <c r="E93" s="123" t="s">
        <v>1213</v>
      </c>
      <c r="F93" s="124">
        <v>43287</v>
      </c>
      <c r="G93" s="123">
        <v>30.227</v>
      </c>
      <c r="H93" s="123">
        <v>33.082999999999998</v>
      </c>
      <c r="I93" s="125">
        <v>1000</v>
      </c>
    </row>
    <row r="94" spans="1:9" hidden="1" x14ac:dyDescent="0.25">
      <c r="A94" s="122" t="s">
        <v>1211</v>
      </c>
      <c r="B94" s="122" t="s">
        <v>893</v>
      </c>
      <c r="C94" s="120" t="s">
        <v>1212</v>
      </c>
      <c r="D94" s="122" t="s">
        <v>1210</v>
      </c>
      <c r="E94" s="123" t="s">
        <v>1213</v>
      </c>
      <c r="F94" s="124">
        <v>43290</v>
      </c>
      <c r="G94" s="123">
        <v>30.013000000000002</v>
      </c>
      <c r="H94" s="123">
        <v>33.319000000000003</v>
      </c>
      <c r="I94" s="125">
        <v>1000</v>
      </c>
    </row>
    <row r="95" spans="1:9" hidden="1" x14ac:dyDescent="0.25">
      <c r="A95" s="122" t="s">
        <v>1211</v>
      </c>
      <c r="B95" s="122" t="s">
        <v>893</v>
      </c>
      <c r="C95" s="120" t="s">
        <v>1212</v>
      </c>
      <c r="D95" s="122" t="s">
        <v>1210</v>
      </c>
      <c r="E95" s="123" t="s">
        <v>1213</v>
      </c>
      <c r="F95" s="124">
        <v>43291</v>
      </c>
      <c r="G95" s="123">
        <v>29.783000000000001</v>
      </c>
      <c r="H95" s="123">
        <v>33.576000000000001</v>
      </c>
      <c r="I95" s="125">
        <v>1000</v>
      </c>
    </row>
    <row r="96" spans="1:9" hidden="1" x14ac:dyDescent="0.25">
      <c r="A96" s="122" t="s">
        <v>1211</v>
      </c>
      <c r="B96" s="122" t="s">
        <v>893</v>
      </c>
      <c r="C96" s="120" t="s">
        <v>1212</v>
      </c>
      <c r="D96" s="122" t="s">
        <v>1210</v>
      </c>
      <c r="E96" s="123" t="s">
        <v>1213</v>
      </c>
      <c r="F96" s="124">
        <v>43292</v>
      </c>
      <c r="G96" s="123">
        <v>29.875</v>
      </c>
      <c r="H96" s="123">
        <v>33.472999999999999</v>
      </c>
      <c r="I96" s="125">
        <v>1000</v>
      </c>
    </row>
    <row r="97" spans="1:9" hidden="1" x14ac:dyDescent="0.25">
      <c r="A97" s="122" t="s">
        <v>1211</v>
      </c>
      <c r="B97" s="122" t="s">
        <v>893</v>
      </c>
      <c r="C97" s="120" t="s">
        <v>1212</v>
      </c>
      <c r="D97" s="122" t="s">
        <v>1210</v>
      </c>
      <c r="E97" s="123" t="s">
        <v>1213</v>
      </c>
      <c r="F97" s="124">
        <v>43293</v>
      </c>
      <c r="G97" s="123">
        <v>29.692</v>
      </c>
      <c r="H97" s="123">
        <v>33.679000000000002</v>
      </c>
      <c r="I97" s="125">
        <v>1000</v>
      </c>
    </row>
    <row r="98" spans="1:9" x14ac:dyDescent="0.25">
      <c r="A98" s="122" t="s">
        <v>1208</v>
      </c>
      <c r="B98" s="122" t="s">
        <v>895</v>
      </c>
      <c r="C98" s="120" t="s">
        <v>1209</v>
      </c>
      <c r="D98" s="122" t="s">
        <v>1204</v>
      </c>
      <c r="E98" s="123">
        <v>1019420000</v>
      </c>
      <c r="F98" s="124">
        <v>43322</v>
      </c>
      <c r="G98" s="123">
        <v>77.28</v>
      </c>
      <c r="H98" s="123">
        <v>32.35</v>
      </c>
      <c r="I98" s="125">
        <v>2500</v>
      </c>
    </row>
    <row r="99" spans="1:9" hidden="1" x14ac:dyDescent="0.25">
      <c r="A99" s="122" t="s">
        <v>1222</v>
      </c>
      <c r="B99" s="122" t="s">
        <v>896</v>
      </c>
      <c r="C99" s="120" t="s">
        <v>1223</v>
      </c>
      <c r="D99" s="122" t="s">
        <v>1221</v>
      </c>
      <c r="E99" s="123">
        <v>499203639934</v>
      </c>
      <c r="F99" s="124">
        <v>43346</v>
      </c>
      <c r="G99" s="123">
        <v>123.13500000000001</v>
      </c>
      <c r="H99" s="123">
        <v>162.423</v>
      </c>
      <c r="I99" s="125">
        <v>20000</v>
      </c>
    </row>
    <row r="100" spans="1:9" hidden="1" x14ac:dyDescent="0.25">
      <c r="A100" s="122" t="s">
        <v>1216</v>
      </c>
      <c r="B100" s="122" t="s">
        <v>894</v>
      </c>
      <c r="C100" s="120" t="s">
        <v>1217</v>
      </c>
      <c r="D100" s="122" t="s">
        <v>1203</v>
      </c>
      <c r="E100" s="123" t="s">
        <v>1213</v>
      </c>
      <c r="F100" s="124">
        <v>43347</v>
      </c>
      <c r="G100" s="123">
        <v>6.8719999999999999</v>
      </c>
      <c r="H100" s="126">
        <v>2182.6819999999998</v>
      </c>
      <c r="I100" s="125">
        <v>14999</v>
      </c>
    </row>
    <row r="101" spans="1:9" x14ac:dyDescent="0.25">
      <c r="A101" s="122" t="s">
        <v>1208</v>
      </c>
      <c r="B101" s="122" t="s">
        <v>895</v>
      </c>
      <c r="C101" s="120" t="s">
        <v>1209</v>
      </c>
      <c r="D101" s="122" t="s">
        <v>1210</v>
      </c>
      <c r="E101" s="123">
        <v>1019420000</v>
      </c>
      <c r="F101" s="124">
        <v>43364</v>
      </c>
      <c r="G101" s="123">
        <v>75.543000000000006</v>
      </c>
      <c r="H101" s="123">
        <v>31.77</v>
      </c>
      <c r="I101" s="125">
        <v>2400</v>
      </c>
    </row>
    <row r="102" spans="1:9" x14ac:dyDescent="0.25">
      <c r="A102" s="122" t="s">
        <v>1208</v>
      </c>
      <c r="B102" s="122" t="s">
        <v>895</v>
      </c>
      <c r="C102" s="120" t="s">
        <v>1209</v>
      </c>
      <c r="D102" s="122" t="s">
        <v>1210</v>
      </c>
      <c r="E102" s="123">
        <v>1019420000</v>
      </c>
      <c r="F102" s="124">
        <v>43395</v>
      </c>
      <c r="G102" s="123">
        <v>83.045000000000002</v>
      </c>
      <c r="H102" s="123">
        <v>28.9</v>
      </c>
      <c r="I102" s="125">
        <v>2400</v>
      </c>
    </row>
    <row r="103" spans="1:9" x14ac:dyDescent="0.25">
      <c r="A103" s="122" t="s">
        <v>1208</v>
      </c>
      <c r="B103" s="122" t="s">
        <v>895</v>
      </c>
      <c r="C103" s="120" t="s">
        <v>1209</v>
      </c>
      <c r="D103" s="122" t="s">
        <v>1210</v>
      </c>
      <c r="E103" s="123">
        <v>1019420000</v>
      </c>
      <c r="F103" s="124">
        <v>43426</v>
      </c>
      <c r="G103" s="123">
        <v>80.617999999999995</v>
      </c>
      <c r="H103" s="123">
        <v>29.77</v>
      </c>
      <c r="I103" s="125">
        <v>2400</v>
      </c>
    </row>
    <row r="104" spans="1:9" x14ac:dyDescent="0.25">
      <c r="A104" s="122" t="s">
        <v>1208</v>
      </c>
      <c r="B104" s="122" t="s">
        <v>895</v>
      </c>
      <c r="C104" s="120" t="s">
        <v>1209</v>
      </c>
      <c r="D104" s="122" t="s">
        <v>1210</v>
      </c>
      <c r="E104" s="123">
        <v>1019420000</v>
      </c>
      <c r="F104" s="124">
        <v>43455</v>
      </c>
      <c r="G104" s="123">
        <v>78.584999999999994</v>
      </c>
      <c r="H104" s="123">
        <v>30.54</v>
      </c>
      <c r="I104" s="125">
        <v>2400</v>
      </c>
    </row>
    <row r="105" spans="1:9" x14ac:dyDescent="0.25">
      <c r="A105" s="122" t="s">
        <v>1208</v>
      </c>
      <c r="B105" s="122" t="s">
        <v>895</v>
      </c>
      <c r="C105" s="120" t="s">
        <v>1209</v>
      </c>
      <c r="D105" s="122" t="s">
        <v>1210</v>
      </c>
      <c r="E105" s="123">
        <v>1019420000</v>
      </c>
      <c r="F105" s="124">
        <v>43486</v>
      </c>
      <c r="G105" s="123">
        <v>78.483000000000004</v>
      </c>
      <c r="H105" s="123">
        <v>30.58</v>
      </c>
      <c r="I105" s="125">
        <v>2400</v>
      </c>
    </row>
    <row r="106" spans="1:9" x14ac:dyDescent="0.25">
      <c r="A106" s="122" t="s">
        <v>1208</v>
      </c>
      <c r="B106" s="122" t="s">
        <v>895</v>
      </c>
      <c r="C106" s="120" t="s">
        <v>1209</v>
      </c>
      <c r="D106" s="122" t="s">
        <v>1210</v>
      </c>
      <c r="E106" s="123">
        <v>1019420000</v>
      </c>
      <c r="F106" s="124">
        <v>43517</v>
      </c>
      <c r="G106" s="123">
        <v>80.998999999999995</v>
      </c>
      <c r="H106" s="123">
        <v>29.63</v>
      </c>
      <c r="I106" s="125">
        <v>2400</v>
      </c>
    </row>
    <row r="107" spans="1:9" x14ac:dyDescent="0.25">
      <c r="A107" s="122" t="s">
        <v>1208</v>
      </c>
      <c r="B107" s="122" t="s">
        <v>895</v>
      </c>
      <c r="C107" s="120" t="s">
        <v>1209</v>
      </c>
      <c r="D107" s="122" t="s">
        <v>1210</v>
      </c>
      <c r="E107" s="123">
        <v>1019420000</v>
      </c>
      <c r="F107" s="124">
        <v>43546</v>
      </c>
      <c r="G107" s="123">
        <v>29.152000000000001</v>
      </c>
      <c r="H107" s="123">
        <v>31.11</v>
      </c>
      <c r="I107" s="123">
        <v>907</v>
      </c>
    </row>
    <row r="108" spans="1:9" hidden="1" x14ac:dyDescent="0.25">
      <c r="A108" s="122" t="s">
        <v>1211</v>
      </c>
      <c r="B108" s="122" t="s">
        <v>893</v>
      </c>
      <c r="C108" s="120" t="s">
        <v>1212</v>
      </c>
      <c r="D108" s="122" t="s">
        <v>1203</v>
      </c>
      <c r="E108" s="123" t="s">
        <v>1213</v>
      </c>
      <c r="F108" s="124">
        <v>43955</v>
      </c>
      <c r="G108" s="123">
        <v>863.91600000000005</v>
      </c>
      <c r="H108" s="123">
        <v>28.937999999999999</v>
      </c>
      <c r="I108" s="125">
        <v>25000</v>
      </c>
    </row>
    <row r="109" spans="1:9" hidden="1" x14ac:dyDescent="0.25">
      <c r="A109" s="122" t="s">
        <v>1216</v>
      </c>
      <c r="B109" s="122" t="s">
        <v>894</v>
      </c>
      <c r="C109" s="120" t="s">
        <v>1217</v>
      </c>
      <c r="D109" s="122" t="s">
        <v>1203</v>
      </c>
      <c r="E109" s="123" t="s">
        <v>1213</v>
      </c>
      <c r="F109" s="124">
        <v>43955</v>
      </c>
      <c r="G109" s="123">
        <v>2.0299999999999998</v>
      </c>
      <c r="H109" s="126">
        <v>2462.5279999999998</v>
      </c>
      <c r="I109" s="125">
        <v>4999</v>
      </c>
    </row>
    <row r="110" spans="1:9" hidden="1" x14ac:dyDescent="0.25">
      <c r="A110" s="122" t="s">
        <v>1222</v>
      </c>
      <c r="B110" s="122" t="s">
        <v>896</v>
      </c>
      <c r="C110" s="120" t="s">
        <v>1223</v>
      </c>
      <c r="D110" s="122" t="s">
        <v>1221</v>
      </c>
      <c r="E110" s="123">
        <v>499203639934</v>
      </c>
      <c r="F110" s="124">
        <v>43955</v>
      </c>
      <c r="G110" s="123">
        <v>110.381</v>
      </c>
      <c r="H110" s="123">
        <v>181.191</v>
      </c>
      <c r="I110" s="125">
        <v>20000</v>
      </c>
    </row>
    <row r="111" spans="1:9" hidden="1" x14ac:dyDescent="0.25">
      <c r="A111" s="122" t="s">
        <v>1201</v>
      </c>
      <c r="B111" s="122" t="s">
        <v>898</v>
      </c>
      <c r="C111" s="120" t="s">
        <v>1202</v>
      </c>
      <c r="D111" s="122" t="s">
        <v>1203</v>
      </c>
      <c r="E111" s="123">
        <v>1019420000</v>
      </c>
      <c r="F111" s="124">
        <v>44027</v>
      </c>
      <c r="G111" s="123">
        <v>6.9029999999999996</v>
      </c>
      <c r="H111" s="123">
        <v>724.25</v>
      </c>
      <c r="I111" s="125">
        <v>5000</v>
      </c>
    </row>
    <row r="112" spans="1:9" hidden="1" x14ac:dyDescent="0.25">
      <c r="A112" s="122" t="s">
        <v>1214</v>
      </c>
      <c r="B112" s="122" t="s">
        <v>899</v>
      </c>
      <c r="C112" s="120" t="s">
        <v>1215</v>
      </c>
      <c r="D112" s="122" t="s">
        <v>1203</v>
      </c>
      <c r="E112" s="123" t="s">
        <v>1213</v>
      </c>
      <c r="F112" s="124">
        <v>44027</v>
      </c>
      <c r="G112" s="123">
        <v>515.226</v>
      </c>
      <c r="H112" s="123">
        <v>9.7040000000000006</v>
      </c>
      <c r="I112" s="125">
        <v>5000</v>
      </c>
    </row>
    <row r="113" spans="1:9" hidden="1" x14ac:dyDescent="0.25">
      <c r="A113" s="122" t="s">
        <v>1233</v>
      </c>
      <c r="B113" s="122" t="s">
        <v>897</v>
      </c>
      <c r="C113" s="120" t="s">
        <v>1220</v>
      </c>
      <c r="D113" s="122" t="s">
        <v>1221</v>
      </c>
      <c r="E113" s="123">
        <v>499203639934</v>
      </c>
      <c r="F113" s="124">
        <v>44027</v>
      </c>
      <c r="G113" s="123">
        <v>71.343999999999994</v>
      </c>
      <c r="H113" s="123">
        <v>70.078999999999994</v>
      </c>
      <c r="I113" s="125">
        <v>5000</v>
      </c>
    </row>
    <row r="114" spans="1:9" hidden="1" x14ac:dyDescent="0.25">
      <c r="A114" s="122" t="s">
        <v>1222</v>
      </c>
      <c r="B114" s="122" t="s">
        <v>896</v>
      </c>
      <c r="C114" s="120" t="s">
        <v>1223</v>
      </c>
      <c r="D114" s="122" t="s">
        <v>1221</v>
      </c>
      <c r="E114" s="123">
        <v>499203639934</v>
      </c>
      <c r="F114" s="124">
        <v>44027</v>
      </c>
      <c r="G114" s="123">
        <v>25.83</v>
      </c>
      <c r="H114" s="123">
        <v>193.566</v>
      </c>
      <c r="I114" s="125">
        <v>5000</v>
      </c>
    </row>
    <row r="115" spans="1:9" hidden="1" x14ac:dyDescent="0.25">
      <c r="A115" s="122" t="s">
        <v>1201</v>
      </c>
      <c r="B115" s="122" t="s">
        <v>898</v>
      </c>
      <c r="C115" s="120" t="s">
        <v>1202</v>
      </c>
      <c r="D115" s="122" t="s">
        <v>1204</v>
      </c>
      <c r="E115" s="123">
        <v>1019420000</v>
      </c>
      <c r="F115" s="124">
        <v>44060</v>
      </c>
      <c r="G115" s="123">
        <v>6.6120000000000001</v>
      </c>
      <c r="H115" s="123">
        <v>756.18</v>
      </c>
      <c r="I115" s="125">
        <v>5000</v>
      </c>
    </row>
    <row r="116" spans="1:9" hidden="1" x14ac:dyDescent="0.25">
      <c r="A116" s="122" t="s">
        <v>1214</v>
      </c>
      <c r="B116" s="122" t="s">
        <v>899</v>
      </c>
      <c r="C116" s="120" t="s">
        <v>1215</v>
      </c>
      <c r="D116" s="122" t="s">
        <v>1204</v>
      </c>
      <c r="E116" s="123" t="s">
        <v>1213</v>
      </c>
      <c r="F116" s="124">
        <v>44060</v>
      </c>
      <c r="G116" s="123">
        <v>491.37599999999998</v>
      </c>
      <c r="H116" s="123">
        <v>10.175000000000001</v>
      </c>
      <c r="I116" s="125">
        <v>5000</v>
      </c>
    </row>
    <row r="117" spans="1:9" hidden="1" x14ac:dyDescent="0.25">
      <c r="A117" s="122" t="s">
        <v>1232</v>
      </c>
      <c r="B117" s="122" t="s">
        <v>900</v>
      </c>
      <c r="C117" s="120" t="s">
        <v>1218</v>
      </c>
      <c r="D117" s="122" t="s">
        <v>1219</v>
      </c>
      <c r="E117" s="123">
        <v>499203639934</v>
      </c>
      <c r="F117" s="124">
        <v>44060</v>
      </c>
      <c r="G117" s="123">
        <v>46.088999999999999</v>
      </c>
      <c r="H117" s="123">
        <v>21.696000000000002</v>
      </c>
      <c r="I117" s="125">
        <v>1000</v>
      </c>
    </row>
    <row r="118" spans="1:9" hidden="1" x14ac:dyDescent="0.25">
      <c r="A118" s="122" t="s">
        <v>1233</v>
      </c>
      <c r="B118" s="122" t="s">
        <v>897</v>
      </c>
      <c r="C118" s="120" t="s">
        <v>1220</v>
      </c>
      <c r="D118" s="122" t="s">
        <v>1219</v>
      </c>
      <c r="E118" s="123">
        <v>499203639934</v>
      </c>
      <c r="F118" s="124">
        <v>44060</v>
      </c>
      <c r="G118" s="123">
        <v>57.445999999999998</v>
      </c>
      <c r="H118" s="123">
        <v>69.626999999999995</v>
      </c>
      <c r="I118" s="125">
        <v>4000</v>
      </c>
    </row>
    <row r="119" spans="1:9" hidden="1" x14ac:dyDescent="0.25">
      <c r="A119" s="122" t="s">
        <v>1222</v>
      </c>
      <c r="B119" s="122" t="s">
        <v>896</v>
      </c>
      <c r="C119" s="120" t="s">
        <v>1223</v>
      </c>
      <c r="D119" s="122" t="s">
        <v>1219</v>
      </c>
      <c r="E119" s="123">
        <v>499203639934</v>
      </c>
      <c r="F119" s="124">
        <v>44060</v>
      </c>
      <c r="G119" s="123">
        <v>22.407</v>
      </c>
      <c r="H119" s="123">
        <v>223.13800000000001</v>
      </c>
      <c r="I119" s="125">
        <v>5000</v>
      </c>
    </row>
    <row r="120" spans="1:9" hidden="1" x14ac:dyDescent="0.25">
      <c r="A120" s="122" t="s">
        <v>1201</v>
      </c>
      <c r="B120" s="122" t="s">
        <v>898</v>
      </c>
      <c r="C120" s="120" t="s">
        <v>1202</v>
      </c>
      <c r="D120" s="122" t="s">
        <v>1204</v>
      </c>
      <c r="E120" s="123">
        <v>1019420000</v>
      </c>
      <c r="F120" s="124">
        <v>44089</v>
      </c>
      <c r="G120" s="123">
        <v>6.2519999999999998</v>
      </c>
      <c r="H120" s="123">
        <v>799.73</v>
      </c>
      <c r="I120" s="125">
        <v>5000</v>
      </c>
    </row>
    <row r="121" spans="1:9" hidden="1" x14ac:dyDescent="0.25">
      <c r="A121" s="122" t="s">
        <v>1214</v>
      </c>
      <c r="B121" s="122" t="s">
        <v>899</v>
      </c>
      <c r="C121" s="120" t="s">
        <v>1215</v>
      </c>
      <c r="D121" s="122" t="s">
        <v>1204</v>
      </c>
      <c r="E121" s="123" t="s">
        <v>1213</v>
      </c>
      <c r="F121" s="124">
        <v>44089</v>
      </c>
      <c r="G121" s="123">
        <v>478.35300000000001</v>
      </c>
      <c r="H121" s="123">
        <v>10.452</v>
      </c>
      <c r="I121" s="125">
        <v>5000</v>
      </c>
    </row>
    <row r="122" spans="1:9" hidden="1" x14ac:dyDescent="0.25">
      <c r="A122" s="122" t="s">
        <v>1232</v>
      </c>
      <c r="B122" s="122" t="s">
        <v>900</v>
      </c>
      <c r="C122" s="120" t="s">
        <v>1218</v>
      </c>
      <c r="D122" s="122" t="s">
        <v>1219</v>
      </c>
      <c r="E122" s="123">
        <v>499203639934</v>
      </c>
      <c r="F122" s="124">
        <v>44089</v>
      </c>
      <c r="G122" s="123">
        <v>46.697000000000003</v>
      </c>
      <c r="H122" s="123">
        <v>21.414000000000001</v>
      </c>
      <c r="I122" s="125">
        <v>1000</v>
      </c>
    </row>
    <row r="123" spans="1:9" hidden="1" x14ac:dyDescent="0.25">
      <c r="A123" s="122" t="s">
        <v>1233</v>
      </c>
      <c r="B123" s="122" t="s">
        <v>897</v>
      </c>
      <c r="C123" s="120" t="s">
        <v>1220</v>
      </c>
      <c r="D123" s="122" t="s">
        <v>1219</v>
      </c>
      <c r="E123" s="123">
        <v>499203639934</v>
      </c>
      <c r="F123" s="124">
        <v>44089</v>
      </c>
      <c r="G123" s="123">
        <v>57.563000000000002</v>
      </c>
      <c r="H123" s="123">
        <v>69.486000000000004</v>
      </c>
      <c r="I123" s="125">
        <v>4000</v>
      </c>
    </row>
    <row r="124" spans="1:9" hidden="1" x14ac:dyDescent="0.25">
      <c r="A124" s="122" t="s">
        <v>1222</v>
      </c>
      <c r="B124" s="122" t="s">
        <v>896</v>
      </c>
      <c r="C124" s="120" t="s">
        <v>1223</v>
      </c>
      <c r="D124" s="122" t="s">
        <v>1219</v>
      </c>
      <c r="E124" s="123">
        <v>499203639934</v>
      </c>
      <c r="F124" s="124">
        <v>44089</v>
      </c>
      <c r="G124" s="123">
        <v>22.524999999999999</v>
      </c>
      <c r="H124" s="123">
        <v>221.96600000000001</v>
      </c>
      <c r="I124" s="125">
        <v>5000</v>
      </c>
    </row>
    <row r="125" spans="1:9" hidden="1" x14ac:dyDescent="0.25">
      <c r="A125" s="122" t="s">
        <v>1201</v>
      </c>
      <c r="B125" s="122" t="s">
        <v>898</v>
      </c>
      <c r="C125" s="120" t="s">
        <v>1202</v>
      </c>
      <c r="D125" s="122" t="s">
        <v>1204</v>
      </c>
      <c r="E125" s="123">
        <v>1019420000</v>
      </c>
      <c r="F125" s="124">
        <v>44119</v>
      </c>
      <c r="G125" s="123">
        <v>6.5970000000000004</v>
      </c>
      <c r="H125" s="123">
        <v>757.91</v>
      </c>
      <c r="I125" s="125">
        <v>5000</v>
      </c>
    </row>
    <row r="126" spans="1:9" hidden="1" x14ac:dyDescent="0.25">
      <c r="A126" s="122" t="s">
        <v>1214</v>
      </c>
      <c r="B126" s="122" t="s">
        <v>899</v>
      </c>
      <c r="C126" s="120" t="s">
        <v>1215</v>
      </c>
      <c r="D126" s="122" t="s">
        <v>1204</v>
      </c>
      <c r="E126" s="123" t="s">
        <v>1213</v>
      </c>
      <c r="F126" s="124">
        <v>44119</v>
      </c>
      <c r="G126" s="123">
        <v>471.85300000000001</v>
      </c>
      <c r="H126" s="123">
        <v>10.596</v>
      </c>
      <c r="I126" s="125">
        <v>5000</v>
      </c>
    </row>
    <row r="127" spans="1:9" hidden="1" x14ac:dyDescent="0.25">
      <c r="A127" s="122" t="s">
        <v>1232</v>
      </c>
      <c r="B127" s="122" t="s">
        <v>900</v>
      </c>
      <c r="C127" s="120" t="s">
        <v>1218</v>
      </c>
      <c r="D127" s="122" t="s">
        <v>1219</v>
      </c>
      <c r="E127" s="123">
        <v>499203639934</v>
      </c>
      <c r="F127" s="124">
        <v>44119</v>
      </c>
      <c r="G127" s="123">
        <v>48.04</v>
      </c>
      <c r="H127" s="123">
        <v>20.815000000000001</v>
      </c>
      <c r="I127" s="125">
        <v>1000</v>
      </c>
    </row>
    <row r="128" spans="1:9" hidden="1" x14ac:dyDescent="0.25">
      <c r="A128" s="122" t="s">
        <v>1233</v>
      </c>
      <c r="B128" s="122" t="s">
        <v>897</v>
      </c>
      <c r="C128" s="120" t="s">
        <v>1220</v>
      </c>
      <c r="D128" s="122" t="s">
        <v>1219</v>
      </c>
      <c r="E128" s="123">
        <v>499203639934</v>
      </c>
      <c r="F128" s="124">
        <v>44119</v>
      </c>
      <c r="G128" s="123">
        <v>56.756999999999998</v>
      </c>
      <c r="H128" s="123">
        <v>70.471999999999994</v>
      </c>
      <c r="I128" s="125">
        <v>4000</v>
      </c>
    </row>
    <row r="129" spans="1:9" hidden="1" x14ac:dyDescent="0.25">
      <c r="A129" s="122" t="s">
        <v>1222</v>
      </c>
      <c r="B129" s="122" t="s">
        <v>896</v>
      </c>
      <c r="C129" s="120" t="s">
        <v>1223</v>
      </c>
      <c r="D129" s="122" t="s">
        <v>1219</v>
      </c>
      <c r="E129" s="123">
        <v>499203639934</v>
      </c>
      <c r="F129" s="124">
        <v>44119</v>
      </c>
      <c r="G129" s="123">
        <v>22.053000000000001</v>
      </c>
      <c r="H129" s="123">
        <v>226.71600000000001</v>
      </c>
      <c r="I129" s="125">
        <v>5000</v>
      </c>
    </row>
    <row r="130" spans="1:9" hidden="1" x14ac:dyDescent="0.25">
      <c r="A130" s="122" t="s">
        <v>1201</v>
      </c>
      <c r="B130" s="122" t="s">
        <v>898</v>
      </c>
      <c r="C130" s="120" t="s">
        <v>1202</v>
      </c>
      <c r="D130" s="122" t="s">
        <v>1204</v>
      </c>
      <c r="E130" s="123">
        <v>1019420000</v>
      </c>
      <c r="F130" s="124">
        <v>44152</v>
      </c>
      <c r="G130" s="123">
        <v>6.2969999999999997</v>
      </c>
      <c r="H130" s="123">
        <v>794.02</v>
      </c>
      <c r="I130" s="125">
        <v>5000</v>
      </c>
    </row>
    <row r="131" spans="1:9" hidden="1" x14ac:dyDescent="0.25">
      <c r="A131" s="122" t="s">
        <v>1214</v>
      </c>
      <c r="B131" s="122" t="s">
        <v>899</v>
      </c>
      <c r="C131" s="120" t="s">
        <v>1215</v>
      </c>
      <c r="D131" s="122" t="s">
        <v>1204</v>
      </c>
      <c r="E131" s="123" t="s">
        <v>1213</v>
      </c>
      <c r="F131" s="124">
        <v>44152</v>
      </c>
      <c r="G131" s="123">
        <v>437.577</v>
      </c>
      <c r="H131" s="123">
        <v>11.426</v>
      </c>
      <c r="I131" s="125">
        <v>5000</v>
      </c>
    </row>
    <row r="132" spans="1:9" hidden="1" x14ac:dyDescent="0.25">
      <c r="A132" s="122" t="s">
        <v>1232</v>
      </c>
      <c r="B132" s="122" t="s">
        <v>900</v>
      </c>
      <c r="C132" s="120" t="s">
        <v>1218</v>
      </c>
      <c r="D132" s="122" t="s">
        <v>1219</v>
      </c>
      <c r="E132" s="123">
        <v>499203639934</v>
      </c>
      <c r="F132" s="124">
        <v>44152</v>
      </c>
      <c r="G132" s="123">
        <v>47.829000000000001</v>
      </c>
      <c r="H132" s="123">
        <v>20.907</v>
      </c>
      <c r="I132" s="125">
        <v>1000</v>
      </c>
    </row>
    <row r="133" spans="1:9" hidden="1" x14ac:dyDescent="0.25">
      <c r="A133" s="122" t="s">
        <v>1233</v>
      </c>
      <c r="B133" s="122" t="s">
        <v>897</v>
      </c>
      <c r="C133" s="120" t="s">
        <v>1220</v>
      </c>
      <c r="D133" s="122" t="s">
        <v>1219</v>
      </c>
      <c r="E133" s="123">
        <v>499203639934</v>
      </c>
      <c r="F133" s="124">
        <v>44152</v>
      </c>
      <c r="G133" s="123">
        <v>56.372</v>
      </c>
      <c r="H133" s="123">
        <v>70.953999999999994</v>
      </c>
      <c r="I133" s="125">
        <v>4000</v>
      </c>
    </row>
    <row r="134" spans="1:9" hidden="1" x14ac:dyDescent="0.25">
      <c r="A134" s="122" t="s">
        <v>1222</v>
      </c>
      <c r="B134" s="122" t="s">
        <v>896</v>
      </c>
      <c r="C134" s="120" t="s">
        <v>1223</v>
      </c>
      <c r="D134" s="122" t="s">
        <v>1219</v>
      </c>
      <c r="E134" s="123">
        <v>499203639934</v>
      </c>
      <c r="F134" s="124">
        <v>44152</v>
      </c>
      <c r="G134" s="123">
        <v>21.831</v>
      </c>
      <c r="H134" s="123">
        <v>229.02099999999999</v>
      </c>
      <c r="I134" s="125">
        <v>5000</v>
      </c>
    </row>
    <row r="135" spans="1:9" hidden="1" x14ac:dyDescent="0.25">
      <c r="A135" s="122" t="s">
        <v>1201</v>
      </c>
      <c r="B135" s="122" t="s">
        <v>898</v>
      </c>
      <c r="C135" s="120" t="s">
        <v>1202</v>
      </c>
      <c r="D135" s="122" t="s">
        <v>1204</v>
      </c>
      <c r="E135" s="123">
        <v>1019420000</v>
      </c>
      <c r="F135" s="124">
        <v>44180</v>
      </c>
      <c r="G135" s="123">
        <v>5.9139999999999997</v>
      </c>
      <c r="H135" s="123">
        <v>845.45</v>
      </c>
      <c r="I135" s="125">
        <v>5000</v>
      </c>
    </row>
    <row r="136" spans="1:9" hidden="1" x14ac:dyDescent="0.25">
      <c r="A136" s="122" t="s">
        <v>1214</v>
      </c>
      <c r="B136" s="122" t="s">
        <v>899</v>
      </c>
      <c r="C136" s="120" t="s">
        <v>1215</v>
      </c>
      <c r="D136" s="122" t="s">
        <v>1204</v>
      </c>
      <c r="E136" s="123" t="s">
        <v>1213</v>
      </c>
      <c r="F136" s="124">
        <v>44180</v>
      </c>
      <c r="G136" s="123">
        <v>415.05500000000001</v>
      </c>
      <c r="H136" s="123">
        <v>12.045999999999999</v>
      </c>
      <c r="I136" s="125">
        <v>5000</v>
      </c>
    </row>
    <row r="137" spans="1:9" hidden="1" x14ac:dyDescent="0.25">
      <c r="A137" s="122" t="s">
        <v>1232</v>
      </c>
      <c r="B137" s="122" t="s">
        <v>900</v>
      </c>
      <c r="C137" s="120" t="s">
        <v>1218</v>
      </c>
      <c r="D137" s="122" t="s">
        <v>1219</v>
      </c>
      <c r="E137" s="123">
        <v>499203639934</v>
      </c>
      <c r="F137" s="124">
        <v>44180</v>
      </c>
      <c r="G137" s="123">
        <v>49.726999999999997</v>
      </c>
      <c r="H137" s="123">
        <v>20.109000000000002</v>
      </c>
      <c r="I137" s="125">
        <v>1000</v>
      </c>
    </row>
    <row r="138" spans="1:9" hidden="1" x14ac:dyDescent="0.25">
      <c r="A138" s="122" t="s">
        <v>1233</v>
      </c>
      <c r="B138" s="122" t="s">
        <v>897</v>
      </c>
      <c r="C138" s="120" t="s">
        <v>1220</v>
      </c>
      <c r="D138" s="122" t="s">
        <v>1219</v>
      </c>
      <c r="E138" s="123">
        <v>499203639934</v>
      </c>
      <c r="F138" s="124">
        <v>44180</v>
      </c>
      <c r="G138" s="123">
        <v>56.164000000000001</v>
      </c>
      <c r="H138" s="123">
        <v>71.216999999999999</v>
      </c>
      <c r="I138" s="125">
        <v>4000</v>
      </c>
    </row>
    <row r="139" spans="1:9" hidden="1" x14ac:dyDescent="0.25">
      <c r="A139" s="122" t="s">
        <v>1222</v>
      </c>
      <c r="B139" s="122" t="s">
        <v>896</v>
      </c>
      <c r="C139" s="120" t="s">
        <v>1223</v>
      </c>
      <c r="D139" s="122" t="s">
        <v>1219</v>
      </c>
      <c r="E139" s="123">
        <v>499203639934</v>
      </c>
      <c r="F139" s="124">
        <v>44180</v>
      </c>
      <c r="G139" s="123">
        <v>20.352</v>
      </c>
      <c r="H139" s="123">
        <v>245.667</v>
      </c>
      <c r="I139" s="125">
        <v>5000</v>
      </c>
    </row>
    <row r="140" spans="1:9" hidden="1" x14ac:dyDescent="0.25">
      <c r="A140" s="122" t="s">
        <v>1201</v>
      </c>
      <c r="B140" s="122" t="s">
        <v>898</v>
      </c>
      <c r="C140" s="120" t="s">
        <v>1202</v>
      </c>
      <c r="D140" s="122" t="s">
        <v>1204</v>
      </c>
      <c r="E140" s="123">
        <v>1019420000</v>
      </c>
      <c r="F140" s="124">
        <v>44211</v>
      </c>
      <c r="G140" s="123">
        <v>5.6029999999999998</v>
      </c>
      <c r="H140" s="123">
        <v>892.31</v>
      </c>
      <c r="I140" s="125">
        <v>5000</v>
      </c>
    </row>
    <row r="141" spans="1:9" hidden="1" x14ac:dyDescent="0.25">
      <c r="A141" s="122" t="s">
        <v>1214</v>
      </c>
      <c r="B141" s="122" t="s">
        <v>899</v>
      </c>
      <c r="C141" s="120" t="s">
        <v>1215</v>
      </c>
      <c r="D141" s="122" t="s">
        <v>1204</v>
      </c>
      <c r="E141" s="123" t="s">
        <v>1213</v>
      </c>
      <c r="F141" s="124">
        <v>44211</v>
      </c>
      <c r="G141" s="123">
        <v>388.27</v>
      </c>
      <c r="H141" s="123">
        <v>12.877000000000001</v>
      </c>
      <c r="I141" s="125">
        <v>5000</v>
      </c>
    </row>
    <row r="142" spans="1:9" hidden="1" x14ac:dyDescent="0.25">
      <c r="A142" s="122" t="s">
        <v>1232</v>
      </c>
      <c r="B142" s="122" t="s">
        <v>900</v>
      </c>
      <c r="C142" s="120" t="s">
        <v>1218</v>
      </c>
      <c r="D142" s="122" t="s">
        <v>1219</v>
      </c>
      <c r="E142" s="123">
        <v>499203639934</v>
      </c>
      <c r="F142" s="124">
        <v>44211</v>
      </c>
      <c r="G142" s="123">
        <v>49.497</v>
      </c>
      <c r="H142" s="123">
        <v>20.202000000000002</v>
      </c>
      <c r="I142" s="125">
        <v>1000</v>
      </c>
    </row>
    <row r="143" spans="1:9" hidden="1" x14ac:dyDescent="0.25">
      <c r="A143" s="122" t="s">
        <v>1233</v>
      </c>
      <c r="B143" s="122" t="s">
        <v>897</v>
      </c>
      <c r="C143" s="120" t="s">
        <v>1220</v>
      </c>
      <c r="D143" s="122" t="s">
        <v>1219</v>
      </c>
      <c r="E143" s="123">
        <v>499203639934</v>
      </c>
      <c r="F143" s="124">
        <v>44211</v>
      </c>
      <c r="G143" s="123">
        <v>56.273000000000003</v>
      </c>
      <c r="H143" s="123">
        <v>71.078999999999994</v>
      </c>
      <c r="I143" s="125">
        <v>4000</v>
      </c>
    </row>
    <row r="144" spans="1:9" hidden="1" x14ac:dyDescent="0.25">
      <c r="A144" s="122" t="s">
        <v>1222</v>
      </c>
      <c r="B144" s="122" t="s">
        <v>896</v>
      </c>
      <c r="C144" s="120" t="s">
        <v>1223</v>
      </c>
      <c r="D144" s="122" t="s">
        <v>1219</v>
      </c>
      <c r="E144" s="123">
        <v>499203639934</v>
      </c>
      <c r="F144" s="124">
        <v>44211</v>
      </c>
      <c r="G144" s="123">
        <v>19.384</v>
      </c>
      <c r="H144" s="123">
        <v>257.93099999999998</v>
      </c>
      <c r="I144" s="125">
        <v>5000</v>
      </c>
    </row>
    <row r="145" spans="1:9" hidden="1" x14ac:dyDescent="0.25">
      <c r="A145" s="122" t="s">
        <v>1201</v>
      </c>
      <c r="B145" s="122" t="s">
        <v>898</v>
      </c>
      <c r="C145" s="120" t="s">
        <v>1202</v>
      </c>
      <c r="D145" s="122" t="s">
        <v>1204</v>
      </c>
      <c r="E145" s="123">
        <v>1019420000</v>
      </c>
      <c r="F145" s="124">
        <v>44244</v>
      </c>
      <c r="G145" s="123">
        <v>5.5259999999999998</v>
      </c>
      <c r="H145" s="123">
        <v>904.73</v>
      </c>
      <c r="I145" s="125">
        <v>5000</v>
      </c>
    </row>
    <row r="146" spans="1:9" hidden="1" x14ac:dyDescent="0.25">
      <c r="A146" s="122" t="s">
        <v>1214</v>
      </c>
      <c r="B146" s="122" t="s">
        <v>899</v>
      </c>
      <c r="C146" s="120" t="s">
        <v>1215</v>
      </c>
      <c r="D146" s="122" t="s">
        <v>1204</v>
      </c>
      <c r="E146" s="123" t="s">
        <v>1213</v>
      </c>
      <c r="F146" s="124">
        <v>44244</v>
      </c>
      <c r="G146" s="123">
        <v>360.10899999999998</v>
      </c>
      <c r="H146" s="123">
        <v>13.884</v>
      </c>
      <c r="I146" s="125">
        <v>5000</v>
      </c>
    </row>
    <row r="147" spans="1:9" hidden="1" x14ac:dyDescent="0.25">
      <c r="A147" s="122" t="s">
        <v>1232</v>
      </c>
      <c r="B147" s="122" t="s">
        <v>900</v>
      </c>
      <c r="C147" s="120" t="s">
        <v>1218</v>
      </c>
      <c r="D147" s="122" t="s">
        <v>1219</v>
      </c>
      <c r="E147" s="123">
        <v>499203639934</v>
      </c>
      <c r="F147" s="124">
        <v>44244</v>
      </c>
      <c r="G147" s="123">
        <v>52.576999999999998</v>
      </c>
      <c r="H147" s="123">
        <v>19.018999999999998</v>
      </c>
      <c r="I147" s="125">
        <v>1000</v>
      </c>
    </row>
    <row r="148" spans="1:9" hidden="1" x14ac:dyDescent="0.25">
      <c r="A148" s="122" t="s">
        <v>1233</v>
      </c>
      <c r="B148" s="122" t="s">
        <v>897</v>
      </c>
      <c r="C148" s="120" t="s">
        <v>1220</v>
      </c>
      <c r="D148" s="122" t="s">
        <v>1219</v>
      </c>
      <c r="E148" s="123">
        <v>499203639934</v>
      </c>
      <c r="F148" s="124">
        <v>44244</v>
      </c>
      <c r="G148" s="123">
        <v>57.125</v>
      </c>
      <c r="H148" s="123">
        <v>70.018000000000001</v>
      </c>
      <c r="I148" s="125">
        <v>4000</v>
      </c>
    </row>
    <row r="149" spans="1:9" hidden="1" x14ac:dyDescent="0.25">
      <c r="A149" s="122" t="s">
        <v>1222</v>
      </c>
      <c r="B149" s="122" t="s">
        <v>896</v>
      </c>
      <c r="C149" s="120" t="s">
        <v>1223</v>
      </c>
      <c r="D149" s="122" t="s">
        <v>1219</v>
      </c>
      <c r="E149" s="123">
        <v>499203639934</v>
      </c>
      <c r="F149" s="124">
        <v>44244</v>
      </c>
      <c r="G149" s="123">
        <v>19.739999999999998</v>
      </c>
      <c r="H149" s="123">
        <v>253.28399999999999</v>
      </c>
      <c r="I149" s="125">
        <v>5000</v>
      </c>
    </row>
    <row r="150" spans="1:9" hidden="1" x14ac:dyDescent="0.25">
      <c r="A150" s="122" t="s">
        <v>1201</v>
      </c>
      <c r="B150" s="122" t="s">
        <v>898</v>
      </c>
      <c r="C150" s="120" t="s">
        <v>1202</v>
      </c>
      <c r="D150" s="122" t="s">
        <v>1204</v>
      </c>
      <c r="E150" s="123">
        <v>1019420000</v>
      </c>
      <c r="F150" s="124">
        <v>44272</v>
      </c>
      <c r="G150" s="123">
        <v>5.5190000000000001</v>
      </c>
      <c r="H150" s="123">
        <v>905.96</v>
      </c>
      <c r="I150" s="125">
        <v>5000</v>
      </c>
    </row>
    <row r="151" spans="1:9" hidden="1" x14ac:dyDescent="0.25">
      <c r="A151" s="122" t="s">
        <v>1214</v>
      </c>
      <c r="B151" s="122" t="s">
        <v>899</v>
      </c>
      <c r="C151" s="120" t="s">
        <v>1215</v>
      </c>
      <c r="D151" s="122" t="s">
        <v>1204</v>
      </c>
      <c r="E151" s="123" t="s">
        <v>1213</v>
      </c>
      <c r="F151" s="124">
        <v>44272</v>
      </c>
      <c r="G151" s="123">
        <v>371.17700000000002</v>
      </c>
      <c r="H151" s="123">
        <v>13.47</v>
      </c>
      <c r="I151" s="125">
        <v>5000</v>
      </c>
    </row>
    <row r="152" spans="1:9" hidden="1" x14ac:dyDescent="0.25">
      <c r="A152" s="122" t="s">
        <v>1232</v>
      </c>
      <c r="B152" s="122" t="s">
        <v>900</v>
      </c>
      <c r="C152" s="120" t="s">
        <v>1218</v>
      </c>
      <c r="D152" s="122" t="s">
        <v>1219</v>
      </c>
      <c r="E152" s="123">
        <v>499203639934</v>
      </c>
      <c r="F152" s="124">
        <v>44272</v>
      </c>
      <c r="G152" s="123">
        <v>54.444000000000003</v>
      </c>
      <c r="H152" s="123">
        <v>18.367000000000001</v>
      </c>
      <c r="I152" s="125">
        <v>1000</v>
      </c>
    </row>
    <row r="153" spans="1:9" hidden="1" x14ac:dyDescent="0.25">
      <c r="A153" s="122" t="s">
        <v>1233</v>
      </c>
      <c r="B153" s="122" t="s">
        <v>897</v>
      </c>
      <c r="C153" s="120" t="s">
        <v>1220</v>
      </c>
      <c r="D153" s="122" t="s">
        <v>1219</v>
      </c>
      <c r="E153" s="123">
        <v>499203639934</v>
      </c>
      <c r="F153" s="124">
        <v>44272</v>
      </c>
      <c r="G153" s="123">
        <v>57.531999999999996</v>
      </c>
      <c r="H153" s="123">
        <v>69.522999999999996</v>
      </c>
      <c r="I153" s="125">
        <v>4000</v>
      </c>
    </row>
    <row r="154" spans="1:9" hidden="1" x14ac:dyDescent="0.25">
      <c r="A154" s="122" t="s">
        <v>1222</v>
      </c>
      <c r="B154" s="122" t="s">
        <v>896</v>
      </c>
      <c r="C154" s="120" t="s">
        <v>1223</v>
      </c>
      <c r="D154" s="122" t="s">
        <v>1219</v>
      </c>
      <c r="E154" s="123">
        <v>499203639934</v>
      </c>
      <c r="F154" s="124">
        <v>44272</v>
      </c>
      <c r="G154" s="123">
        <v>20.588000000000001</v>
      </c>
      <c r="H154" s="123">
        <v>242.846</v>
      </c>
      <c r="I154" s="125">
        <v>5000</v>
      </c>
    </row>
    <row r="155" spans="1:9" hidden="1" x14ac:dyDescent="0.25">
      <c r="A155" s="122" t="s">
        <v>1201</v>
      </c>
      <c r="B155" s="122" t="s">
        <v>898</v>
      </c>
      <c r="C155" s="120" t="s">
        <v>1202</v>
      </c>
      <c r="D155" s="122" t="s">
        <v>1204</v>
      </c>
      <c r="E155" s="123">
        <v>1019420000</v>
      </c>
      <c r="F155" s="124">
        <v>44305</v>
      </c>
      <c r="G155" s="123">
        <v>5.6420000000000003</v>
      </c>
      <c r="H155" s="123">
        <v>886.16</v>
      </c>
      <c r="I155" s="125">
        <v>5000</v>
      </c>
    </row>
    <row r="156" spans="1:9" hidden="1" x14ac:dyDescent="0.25">
      <c r="A156" s="122" t="s">
        <v>1214</v>
      </c>
      <c r="B156" s="122" t="s">
        <v>899</v>
      </c>
      <c r="C156" s="120" t="s">
        <v>1215</v>
      </c>
      <c r="D156" s="122" t="s">
        <v>1204</v>
      </c>
      <c r="E156" s="123" t="s">
        <v>1213</v>
      </c>
      <c r="F156" s="124">
        <v>44305</v>
      </c>
      <c r="G156" s="123">
        <v>379.71800000000002</v>
      </c>
      <c r="H156" s="123">
        <v>13.167</v>
      </c>
      <c r="I156" s="125">
        <v>5000</v>
      </c>
    </row>
    <row r="157" spans="1:9" hidden="1" x14ac:dyDescent="0.25">
      <c r="A157" s="122" t="s">
        <v>1232</v>
      </c>
      <c r="B157" s="122" t="s">
        <v>900</v>
      </c>
      <c r="C157" s="120" t="s">
        <v>1218</v>
      </c>
      <c r="D157" s="122" t="s">
        <v>1219</v>
      </c>
      <c r="E157" s="123">
        <v>499203639934</v>
      </c>
      <c r="F157" s="124">
        <v>44305</v>
      </c>
      <c r="G157" s="123">
        <v>51.335000000000001</v>
      </c>
      <c r="H157" s="123">
        <v>19.478999999999999</v>
      </c>
      <c r="I157" s="125">
        <v>1000</v>
      </c>
    </row>
    <row r="158" spans="1:9" hidden="1" x14ac:dyDescent="0.25">
      <c r="A158" s="122" t="s">
        <v>1233</v>
      </c>
      <c r="B158" s="122" t="s">
        <v>897</v>
      </c>
      <c r="C158" s="120" t="s">
        <v>1220</v>
      </c>
      <c r="D158" s="122" t="s">
        <v>1219</v>
      </c>
      <c r="E158" s="123">
        <v>499203639934</v>
      </c>
      <c r="F158" s="124">
        <v>44305</v>
      </c>
      <c r="G158" s="123">
        <v>56.621000000000002</v>
      </c>
      <c r="H158" s="123">
        <v>70.641999999999996</v>
      </c>
      <c r="I158" s="125">
        <v>4000</v>
      </c>
    </row>
    <row r="159" spans="1:9" hidden="1" x14ac:dyDescent="0.25">
      <c r="A159" s="122" t="s">
        <v>1222</v>
      </c>
      <c r="B159" s="122" t="s">
        <v>896</v>
      </c>
      <c r="C159" s="120" t="s">
        <v>1223</v>
      </c>
      <c r="D159" s="122" t="s">
        <v>1219</v>
      </c>
      <c r="E159" s="123">
        <v>499203639934</v>
      </c>
      <c r="F159" s="124">
        <v>44305</v>
      </c>
      <c r="G159" s="123">
        <v>18.481999999999999</v>
      </c>
      <c r="H159" s="123">
        <v>270.517</v>
      </c>
      <c r="I159" s="125">
        <v>5000</v>
      </c>
    </row>
    <row r="160" spans="1:9" hidden="1" x14ac:dyDescent="0.25">
      <c r="A160" s="122" t="s">
        <v>1201</v>
      </c>
      <c r="B160" s="122" t="s">
        <v>898</v>
      </c>
      <c r="C160" s="120" t="s">
        <v>1202</v>
      </c>
      <c r="D160" s="122" t="s">
        <v>1204</v>
      </c>
      <c r="E160" s="123">
        <v>1019420000</v>
      </c>
      <c r="F160" s="124">
        <v>44334</v>
      </c>
      <c r="G160" s="123">
        <v>5.4950000000000001</v>
      </c>
      <c r="H160" s="123">
        <v>909.93</v>
      </c>
      <c r="I160" s="125">
        <v>5000</v>
      </c>
    </row>
    <row r="161" spans="1:9" hidden="1" x14ac:dyDescent="0.25">
      <c r="A161" s="122" t="s">
        <v>1232</v>
      </c>
      <c r="B161" s="122" t="s">
        <v>900</v>
      </c>
      <c r="C161" s="120" t="s">
        <v>1218</v>
      </c>
      <c r="D161" s="122" t="s">
        <v>1219</v>
      </c>
      <c r="E161" s="123">
        <v>499203639934</v>
      </c>
      <c r="F161" s="124">
        <v>44334</v>
      </c>
      <c r="G161" s="123">
        <v>50.667999999999999</v>
      </c>
      <c r="H161" s="123">
        <v>19.736000000000001</v>
      </c>
      <c r="I161" s="125">
        <v>1000</v>
      </c>
    </row>
    <row r="162" spans="1:9" hidden="1" x14ac:dyDescent="0.25">
      <c r="A162" s="122" t="s">
        <v>1233</v>
      </c>
      <c r="B162" s="122" t="s">
        <v>897</v>
      </c>
      <c r="C162" s="120" t="s">
        <v>1220</v>
      </c>
      <c r="D162" s="122" t="s">
        <v>1219</v>
      </c>
      <c r="E162" s="123">
        <v>499203639934</v>
      </c>
      <c r="F162" s="124">
        <v>44334</v>
      </c>
      <c r="G162" s="123">
        <v>56.158999999999999</v>
      </c>
      <c r="H162" s="123">
        <v>71.222999999999999</v>
      </c>
      <c r="I162" s="125">
        <v>4000</v>
      </c>
    </row>
    <row r="163" spans="1:9" hidden="1" x14ac:dyDescent="0.25">
      <c r="A163" s="122" t="s">
        <v>1222</v>
      </c>
      <c r="B163" s="122" t="s">
        <v>896</v>
      </c>
      <c r="C163" s="120" t="s">
        <v>1223</v>
      </c>
      <c r="D163" s="122" t="s">
        <v>1219</v>
      </c>
      <c r="E163" s="123">
        <v>499203639934</v>
      </c>
      <c r="F163" s="124">
        <v>44334</v>
      </c>
      <c r="G163" s="123">
        <v>17.442</v>
      </c>
      <c r="H163" s="123">
        <v>286.64699999999999</v>
      </c>
      <c r="I163" s="125">
        <v>5000</v>
      </c>
    </row>
    <row r="164" spans="1:9" hidden="1" x14ac:dyDescent="0.25">
      <c r="A164" s="122" t="s">
        <v>1205</v>
      </c>
      <c r="B164" s="122" t="s">
        <v>1176</v>
      </c>
      <c r="C164" s="120" t="s">
        <v>1206</v>
      </c>
      <c r="D164" s="122" t="s">
        <v>1207</v>
      </c>
      <c r="E164" s="123">
        <v>1019420000</v>
      </c>
      <c r="F164" s="124">
        <v>44344</v>
      </c>
      <c r="G164" s="123">
        <v>578.66700000000003</v>
      </c>
      <c r="H164" s="123">
        <v>37.006999999999998</v>
      </c>
      <c r="I164" s="125">
        <v>21415</v>
      </c>
    </row>
    <row r="165" spans="1:9" hidden="1" x14ac:dyDescent="0.25">
      <c r="A165" s="122" t="s">
        <v>1214</v>
      </c>
      <c r="B165" s="122" t="s">
        <v>899</v>
      </c>
      <c r="C165" s="120" t="s">
        <v>1215</v>
      </c>
      <c r="D165" s="122" t="s">
        <v>1207</v>
      </c>
      <c r="E165" s="123" t="s">
        <v>1213</v>
      </c>
      <c r="F165" s="124">
        <v>44344</v>
      </c>
      <c r="G165" s="123">
        <v>355.52499999999998</v>
      </c>
      <c r="H165" s="123">
        <v>14.063000000000001</v>
      </c>
      <c r="I165" s="125">
        <v>5000</v>
      </c>
    </row>
    <row r="166" spans="1:9" hidden="1" x14ac:dyDescent="0.25">
      <c r="A166" s="122" t="s">
        <v>1216</v>
      </c>
      <c r="B166" s="122" t="s">
        <v>894</v>
      </c>
      <c r="C166" s="120" t="s">
        <v>1217</v>
      </c>
      <c r="D166" s="122" t="s">
        <v>1207</v>
      </c>
      <c r="E166" s="123" t="s">
        <v>1213</v>
      </c>
      <c r="F166" s="124">
        <v>44344</v>
      </c>
      <c r="G166" s="123">
        <v>7.6369999999999996</v>
      </c>
      <c r="H166" s="126">
        <v>2649.4940000000001</v>
      </c>
      <c r="I166" s="125">
        <v>20234</v>
      </c>
    </row>
    <row r="167" spans="1:9" hidden="1" x14ac:dyDescent="0.25">
      <c r="A167" s="122" t="s">
        <v>1201</v>
      </c>
      <c r="B167" s="122" t="s">
        <v>898</v>
      </c>
      <c r="C167" s="120" t="s">
        <v>1202</v>
      </c>
      <c r="D167" s="122" t="s">
        <v>1204</v>
      </c>
      <c r="E167" s="123">
        <v>1019420000</v>
      </c>
      <c r="F167" s="124">
        <v>44364</v>
      </c>
      <c r="G167" s="123">
        <v>5.2530000000000001</v>
      </c>
      <c r="H167" s="123">
        <v>951.7</v>
      </c>
      <c r="I167" s="125">
        <v>5000</v>
      </c>
    </row>
    <row r="168" spans="1:9" hidden="1" x14ac:dyDescent="0.25">
      <c r="A168" s="122" t="s">
        <v>1214</v>
      </c>
      <c r="B168" s="122" t="s">
        <v>899</v>
      </c>
      <c r="C168" s="120" t="s">
        <v>1215</v>
      </c>
      <c r="D168" s="122" t="s">
        <v>1204</v>
      </c>
      <c r="E168" s="123" t="s">
        <v>1213</v>
      </c>
      <c r="F168" s="124">
        <v>44364</v>
      </c>
      <c r="G168" s="123">
        <v>342.09699999999998</v>
      </c>
      <c r="H168" s="123">
        <v>14.615</v>
      </c>
      <c r="I168" s="125">
        <v>5000</v>
      </c>
    </row>
    <row r="169" spans="1:9" hidden="1" x14ac:dyDescent="0.25">
      <c r="A169" s="122" t="s">
        <v>1232</v>
      </c>
      <c r="B169" s="122" t="s">
        <v>900</v>
      </c>
      <c r="C169" s="120" t="s">
        <v>1218</v>
      </c>
      <c r="D169" s="122" t="s">
        <v>1219</v>
      </c>
      <c r="E169" s="123">
        <v>499203639934</v>
      </c>
      <c r="F169" s="124">
        <v>44364</v>
      </c>
      <c r="G169" s="123">
        <v>51.588000000000001</v>
      </c>
      <c r="H169" s="123">
        <v>19.382999999999999</v>
      </c>
      <c r="I169" s="125">
        <v>1000</v>
      </c>
    </row>
    <row r="170" spans="1:9" hidden="1" x14ac:dyDescent="0.25">
      <c r="A170" s="122" t="s">
        <v>1233</v>
      </c>
      <c r="B170" s="122" t="s">
        <v>897</v>
      </c>
      <c r="C170" s="120" t="s">
        <v>1220</v>
      </c>
      <c r="D170" s="122" t="s">
        <v>1219</v>
      </c>
      <c r="E170" s="123">
        <v>499203639934</v>
      </c>
      <c r="F170" s="124">
        <v>44364</v>
      </c>
      <c r="G170" s="123">
        <v>56.167000000000002</v>
      </c>
      <c r="H170" s="123">
        <v>71.212000000000003</v>
      </c>
      <c r="I170" s="125">
        <v>4000</v>
      </c>
    </row>
    <row r="171" spans="1:9" hidden="1" x14ac:dyDescent="0.25">
      <c r="A171" s="122" t="s">
        <v>1222</v>
      </c>
      <c r="B171" s="122" t="s">
        <v>896</v>
      </c>
      <c r="C171" s="120" t="s">
        <v>1223</v>
      </c>
      <c r="D171" s="122" t="s">
        <v>1219</v>
      </c>
      <c r="E171" s="123">
        <v>499203639934</v>
      </c>
      <c r="F171" s="131">
        <v>44364</v>
      </c>
      <c r="G171" s="123">
        <v>16.943000000000001</v>
      </c>
      <c r="H171" s="123">
        <v>295.08800000000002</v>
      </c>
      <c r="I171" s="125">
        <v>5000</v>
      </c>
    </row>
    <row r="172" spans="1:9" hidden="1" x14ac:dyDescent="0.25">
      <c r="A172" s="11" t="s">
        <v>1232</v>
      </c>
      <c r="B172" s="11" t="s">
        <v>900</v>
      </c>
      <c r="C172" s="87" t="s">
        <v>1218</v>
      </c>
      <c r="D172" s="11" t="s">
        <v>1219</v>
      </c>
      <c r="E172" s="129">
        <v>499203639934</v>
      </c>
      <c r="F172" s="132">
        <v>44392</v>
      </c>
      <c r="G172" s="87">
        <v>50.83</v>
      </c>
      <c r="H172" s="87">
        <v>19.672599999999999</v>
      </c>
      <c r="I172" s="130">
        <v>1000</v>
      </c>
    </row>
    <row r="173" spans="1:9" hidden="1" x14ac:dyDescent="0.25">
      <c r="A173" s="11" t="s">
        <v>1233</v>
      </c>
      <c r="B173" s="11" t="s">
        <v>897</v>
      </c>
      <c r="C173" s="87" t="s">
        <v>1220</v>
      </c>
      <c r="D173" s="11" t="s">
        <v>1219</v>
      </c>
      <c r="E173" s="129">
        <v>499203639934</v>
      </c>
      <c r="F173" s="132">
        <v>44392</v>
      </c>
      <c r="G173" s="87">
        <v>56.246000000000002</v>
      </c>
      <c r="H173" s="87">
        <v>71.112499999999997</v>
      </c>
      <c r="I173" s="130">
        <v>4000</v>
      </c>
    </row>
    <row r="174" spans="1:9" hidden="1" x14ac:dyDescent="0.25">
      <c r="A174" s="11" t="s">
        <v>1222</v>
      </c>
      <c r="B174" s="11" t="s">
        <v>896</v>
      </c>
      <c r="C174" s="87" t="s">
        <v>1223</v>
      </c>
      <c r="D174" s="11" t="s">
        <v>1219</v>
      </c>
      <c r="E174" s="129">
        <v>499203639934</v>
      </c>
      <c r="F174" s="132">
        <v>44392</v>
      </c>
      <c r="G174" s="87">
        <v>16.100000000000001</v>
      </c>
      <c r="H174" s="87">
        <v>310.5478</v>
      </c>
      <c r="I174" s="130">
        <v>5000</v>
      </c>
    </row>
    <row r="175" spans="1:9" hidden="1" x14ac:dyDescent="0.25">
      <c r="A175" s="11" t="s">
        <v>1201</v>
      </c>
      <c r="B175" s="11" t="s">
        <v>898</v>
      </c>
      <c r="C175" s="87" t="s">
        <v>1202</v>
      </c>
      <c r="D175" s="11" t="s">
        <v>1204</v>
      </c>
      <c r="E175" s="129">
        <v>1019420000</v>
      </c>
      <c r="F175" s="132">
        <v>44396</v>
      </c>
      <c r="G175" s="87">
        <v>5.1280000000000001</v>
      </c>
      <c r="H175" s="87">
        <v>974.91</v>
      </c>
      <c r="I175" s="130">
        <v>5000</v>
      </c>
    </row>
    <row r="176" spans="1:9" hidden="1" x14ac:dyDescent="0.25">
      <c r="A176" s="11" t="s">
        <v>1214</v>
      </c>
      <c r="B176" s="11" t="s">
        <v>899</v>
      </c>
      <c r="C176" s="87" t="s">
        <v>1215</v>
      </c>
      <c r="D176" s="11" t="s">
        <v>1204</v>
      </c>
      <c r="E176" s="129" t="s">
        <v>1213</v>
      </c>
      <c r="F176" s="132">
        <v>44396</v>
      </c>
      <c r="G176" s="87">
        <v>335.23899999999998</v>
      </c>
      <c r="H176" s="87">
        <v>14.914</v>
      </c>
      <c r="I176" s="130">
        <v>5000</v>
      </c>
    </row>
    <row r="177" spans="1:9" hidden="1" x14ac:dyDescent="0.25">
      <c r="A177" s="11" t="s">
        <v>1319</v>
      </c>
      <c r="B177" s="11" t="s">
        <v>900</v>
      </c>
      <c r="C177" s="87" t="s">
        <v>1218</v>
      </c>
      <c r="D177" s="11" t="s">
        <v>1219</v>
      </c>
      <c r="E177" s="129">
        <v>499203639934</v>
      </c>
      <c r="F177" s="132">
        <v>44424</v>
      </c>
      <c r="G177" s="87">
        <v>52.341000000000001</v>
      </c>
      <c r="H177" s="87">
        <v>19.105</v>
      </c>
      <c r="I177" s="130">
        <v>999.94899999999996</v>
      </c>
    </row>
    <row r="178" spans="1:9" hidden="1" x14ac:dyDescent="0.25">
      <c r="A178" s="11" t="s">
        <v>1320</v>
      </c>
      <c r="B178" s="11" t="s">
        <v>896</v>
      </c>
      <c r="C178" s="87" t="s">
        <v>1223</v>
      </c>
      <c r="D178" s="11" t="s">
        <v>1219</v>
      </c>
      <c r="E178" s="129">
        <v>499203639934</v>
      </c>
      <c r="F178" s="132">
        <v>44424</v>
      </c>
      <c r="G178" s="87">
        <v>16.388999999999999</v>
      </c>
      <c r="H178" s="87">
        <v>305.065</v>
      </c>
      <c r="I178" s="130">
        <v>4999.7039999999997</v>
      </c>
    </row>
    <row r="179" spans="1:9" hidden="1" x14ac:dyDescent="0.25">
      <c r="A179" s="11" t="s">
        <v>1318</v>
      </c>
      <c r="B179" s="11" t="s">
        <v>897</v>
      </c>
      <c r="C179" s="87" t="s">
        <v>1220</v>
      </c>
      <c r="D179" s="11" t="s">
        <v>1219</v>
      </c>
      <c r="E179" s="129">
        <v>499203639934</v>
      </c>
      <c r="F179" s="132">
        <v>44425</v>
      </c>
      <c r="G179" s="87">
        <v>56.03</v>
      </c>
      <c r="H179" s="87">
        <v>71.387</v>
      </c>
      <c r="I179" s="130">
        <v>3999.8139999999999</v>
      </c>
    </row>
    <row r="180" spans="1:9" hidden="1" x14ac:dyDescent="0.25">
      <c r="A180" s="11" t="s">
        <v>1322</v>
      </c>
      <c r="B180" s="11" t="s">
        <v>898</v>
      </c>
      <c r="C180" s="87" t="s">
        <v>1202</v>
      </c>
      <c r="D180" s="11" t="s">
        <v>1321</v>
      </c>
      <c r="E180" s="129">
        <v>1019420000</v>
      </c>
      <c r="F180" s="132">
        <v>44428</v>
      </c>
      <c r="G180" s="87">
        <v>5.1859999999999999</v>
      </c>
      <c r="H180" s="87">
        <v>964.12</v>
      </c>
      <c r="I180" s="130">
        <v>4999.9260000000004</v>
      </c>
    </row>
    <row r="181" spans="1:9" hidden="1" x14ac:dyDescent="0.25">
      <c r="A181" s="122" t="s">
        <v>1205</v>
      </c>
      <c r="B181" s="11" t="s">
        <v>1176</v>
      </c>
      <c r="C181" s="87" t="s">
        <v>1206</v>
      </c>
      <c r="D181" s="11" t="s">
        <v>1323</v>
      </c>
      <c r="E181" s="129">
        <v>1019420000</v>
      </c>
      <c r="F181" s="132">
        <v>44428</v>
      </c>
      <c r="G181" s="87">
        <v>13.343</v>
      </c>
      <c r="H181" s="87">
        <v>37.472000000000001</v>
      </c>
      <c r="I181" s="130">
        <v>499.98200000000003</v>
      </c>
    </row>
    <row r="182" spans="1:9" hidden="1" x14ac:dyDescent="0.25">
      <c r="A182" s="11" t="s">
        <v>1324</v>
      </c>
      <c r="B182" s="11" t="s">
        <v>899</v>
      </c>
      <c r="C182" s="87" t="s">
        <v>1215</v>
      </c>
      <c r="D182" s="11" t="s">
        <v>1321</v>
      </c>
      <c r="E182" s="129" t="s">
        <v>1213</v>
      </c>
      <c r="F182" s="132">
        <v>44428</v>
      </c>
      <c r="G182" s="87">
        <v>327.72399999999999</v>
      </c>
      <c r="H182" s="87">
        <v>15.256</v>
      </c>
      <c r="I182" s="130">
        <v>4999.7569999999996</v>
      </c>
    </row>
    <row r="183" spans="1:9" hidden="1" x14ac:dyDescent="0.25">
      <c r="A183" s="11" t="s">
        <v>1326</v>
      </c>
      <c r="B183" s="11" t="s">
        <v>894</v>
      </c>
      <c r="C183" s="87" t="s">
        <v>1217</v>
      </c>
      <c r="D183" s="11" t="s">
        <v>1325</v>
      </c>
      <c r="E183" s="129" t="s">
        <v>1213</v>
      </c>
      <c r="F183" s="132">
        <v>44428</v>
      </c>
      <c r="G183" s="87">
        <v>0.187</v>
      </c>
      <c r="H183" s="87">
        <v>2675.951</v>
      </c>
      <c r="I183" s="130">
        <v>500.40300000000002</v>
      </c>
    </row>
    <row r="184" spans="1:9" hidden="1" x14ac:dyDescent="0.25">
      <c r="A184" s="132" t="s">
        <v>1322</v>
      </c>
      <c r="B184" s="11" t="s">
        <v>898</v>
      </c>
      <c r="C184" s="87" t="s">
        <v>1215</v>
      </c>
      <c r="D184" s="11" t="s">
        <v>1683</v>
      </c>
      <c r="E184" s="129">
        <v>1019420000</v>
      </c>
      <c r="F184" s="132">
        <v>44431</v>
      </c>
      <c r="G184" s="87">
        <v>0.52300000000000002</v>
      </c>
      <c r="H184" s="87">
        <v>955.61</v>
      </c>
      <c r="I184" s="130">
        <v>499.78403000000003</v>
      </c>
    </row>
    <row r="185" spans="1:9" hidden="1" x14ac:dyDescent="0.25">
      <c r="A185" s="132" t="s">
        <v>1174</v>
      </c>
      <c r="B185" s="11" t="s">
        <v>1176</v>
      </c>
      <c r="C185" s="87" t="s">
        <v>1215</v>
      </c>
      <c r="D185" s="11" t="s">
        <v>1684</v>
      </c>
      <c r="E185" s="129">
        <v>1019420000</v>
      </c>
      <c r="F185" s="132">
        <v>44431</v>
      </c>
      <c r="G185" s="87">
        <v>13.339</v>
      </c>
      <c r="H185" s="87">
        <v>37.483600000000003</v>
      </c>
      <c r="I185" s="130">
        <v>499.99374040000004</v>
      </c>
    </row>
    <row r="186" spans="1:9" hidden="1" x14ac:dyDescent="0.25">
      <c r="A186" s="132" t="s">
        <v>1685</v>
      </c>
      <c r="B186" s="11" t="s">
        <v>893</v>
      </c>
      <c r="C186" s="87" t="s">
        <v>1215</v>
      </c>
      <c r="D186" s="11" t="s">
        <v>1686</v>
      </c>
      <c r="E186" s="129" t="s">
        <v>1213</v>
      </c>
      <c r="F186" s="132">
        <v>44431</v>
      </c>
      <c r="G186" s="87">
        <v>10.029</v>
      </c>
      <c r="H186" s="87">
        <v>49.850999999999999</v>
      </c>
      <c r="I186" s="130">
        <v>499.95567899999998</v>
      </c>
    </row>
    <row r="187" spans="1:9" hidden="1" x14ac:dyDescent="0.25">
      <c r="A187" s="132" t="s">
        <v>1326</v>
      </c>
      <c r="B187" s="11" t="s">
        <v>894</v>
      </c>
      <c r="C187" s="87" t="s">
        <v>1215</v>
      </c>
      <c r="D187" s="11" t="s">
        <v>1687</v>
      </c>
      <c r="E187" s="129" t="s">
        <v>1213</v>
      </c>
      <c r="F187" s="132">
        <v>44431</v>
      </c>
      <c r="G187" s="87">
        <v>0.187</v>
      </c>
      <c r="H187" s="87">
        <v>2677.3081999999999</v>
      </c>
      <c r="I187" s="130">
        <v>500.65663339999998</v>
      </c>
    </row>
    <row r="188" spans="1:9" hidden="1" x14ac:dyDescent="0.25">
      <c r="A188" s="132" t="s">
        <v>1322</v>
      </c>
      <c r="B188" s="11" t="s">
        <v>898</v>
      </c>
      <c r="C188" s="87" t="s">
        <v>1215</v>
      </c>
      <c r="D188" s="11" t="s">
        <v>1688</v>
      </c>
      <c r="E188" s="129">
        <v>1019420000</v>
      </c>
      <c r="F188" s="132">
        <v>44432</v>
      </c>
      <c r="G188" s="87">
        <v>0.51900000000000002</v>
      </c>
      <c r="H188" s="87">
        <v>963.97</v>
      </c>
      <c r="I188" s="130">
        <v>500.30043000000001</v>
      </c>
    </row>
    <row r="189" spans="1:9" hidden="1" x14ac:dyDescent="0.25">
      <c r="A189" s="132" t="s">
        <v>1174</v>
      </c>
      <c r="B189" s="11" t="s">
        <v>1176</v>
      </c>
      <c r="C189" s="87" t="s">
        <v>1215</v>
      </c>
      <c r="D189" s="11" t="s">
        <v>1689</v>
      </c>
      <c r="E189" s="129">
        <v>1019420000</v>
      </c>
      <c r="F189" s="132">
        <v>44432</v>
      </c>
      <c r="G189" s="87">
        <v>13.337999999999999</v>
      </c>
      <c r="H189" s="87">
        <v>37.487000000000002</v>
      </c>
      <c r="I189" s="130">
        <v>500.00160599999998</v>
      </c>
    </row>
    <row r="190" spans="1:9" hidden="1" x14ac:dyDescent="0.25">
      <c r="A190" s="132" t="s">
        <v>1685</v>
      </c>
      <c r="B190" s="11" t="s">
        <v>893</v>
      </c>
      <c r="C190" s="87" t="s">
        <v>1215</v>
      </c>
      <c r="D190" s="11" t="s">
        <v>1690</v>
      </c>
      <c r="E190" s="129" t="s">
        <v>1213</v>
      </c>
      <c r="F190" s="132">
        <v>44432</v>
      </c>
      <c r="G190" s="87">
        <v>9.9510000000000005</v>
      </c>
      <c r="H190" s="87">
        <v>50.246000000000002</v>
      </c>
      <c r="I190" s="130">
        <v>499.99794600000007</v>
      </c>
    </row>
    <row r="191" spans="1:9" hidden="1" x14ac:dyDescent="0.25">
      <c r="A191" s="132" t="s">
        <v>1326</v>
      </c>
      <c r="B191" s="11" t="s">
        <v>894</v>
      </c>
      <c r="C191" s="87" t="s">
        <v>1215</v>
      </c>
      <c r="D191" s="11" t="s">
        <v>1691</v>
      </c>
      <c r="E191" s="129" t="s">
        <v>1213</v>
      </c>
      <c r="F191" s="132">
        <v>44432</v>
      </c>
      <c r="G191" s="87">
        <v>0.187</v>
      </c>
      <c r="H191" s="87">
        <v>2677.3681999999999</v>
      </c>
      <c r="I191" s="130">
        <v>500.66785339999996</v>
      </c>
    </row>
    <row r="192" spans="1:9" hidden="1" x14ac:dyDescent="0.25">
      <c r="A192" s="132" t="s">
        <v>1322</v>
      </c>
      <c r="B192" s="11" t="s">
        <v>898</v>
      </c>
      <c r="C192" s="87" t="s">
        <v>1215</v>
      </c>
      <c r="D192" s="11" t="s">
        <v>1692</v>
      </c>
      <c r="E192" s="129">
        <v>1019420000</v>
      </c>
      <c r="F192" s="132">
        <v>44433</v>
      </c>
      <c r="G192" s="87">
        <v>0.51900000000000002</v>
      </c>
      <c r="H192" s="87">
        <v>963.21</v>
      </c>
      <c r="I192" s="130">
        <v>499.90599000000003</v>
      </c>
    </row>
    <row r="193" spans="1:9" hidden="1" x14ac:dyDescent="0.25">
      <c r="A193" s="132" t="s">
        <v>1174</v>
      </c>
      <c r="B193" s="11" t="s">
        <v>1176</v>
      </c>
      <c r="C193" s="87" t="s">
        <v>1215</v>
      </c>
      <c r="D193" s="11" t="s">
        <v>1693</v>
      </c>
      <c r="E193" s="129">
        <v>1019420000</v>
      </c>
      <c r="F193" s="132">
        <v>44433</v>
      </c>
      <c r="G193" s="87">
        <v>13.336</v>
      </c>
      <c r="H193" s="87">
        <v>37.493600000000001</v>
      </c>
      <c r="I193" s="130">
        <v>500.01464960000004</v>
      </c>
    </row>
    <row r="194" spans="1:9" hidden="1" x14ac:dyDescent="0.25">
      <c r="A194" s="132" t="s">
        <v>1685</v>
      </c>
      <c r="B194" s="11" t="s">
        <v>893</v>
      </c>
      <c r="C194" s="87" t="s">
        <v>1215</v>
      </c>
      <c r="D194" s="11" t="s">
        <v>1694</v>
      </c>
      <c r="E194" s="129" t="s">
        <v>1213</v>
      </c>
      <c r="F194" s="132">
        <v>44433</v>
      </c>
      <c r="G194" s="87">
        <v>9.9380000000000006</v>
      </c>
      <c r="H194" s="87">
        <v>50.308</v>
      </c>
      <c r="I194" s="130">
        <v>499.96090400000003</v>
      </c>
    </row>
    <row r="195" spans="1:9" hidden="1" x14ac:dyDescent="0.25">
      <c r="A195" s="132" t="s">
        <v>1326</v>
      </c>
      <c r="B195" s="11" t="s">
        <v>894</v>
      </c>
      <c r="C195" s="87" t="s">
        <v>1215</v>
      </c>
      <c r="D195" s="11" t="s">
        <v>1695</v>
      </c>
      <c r="E195" s="129" t="s">
        <v>1213</v>
      </c>
      <c r="F195" s="132">
        <v>44433</v>
      </c>
      <c r="G195" s="87">
        <v>0.187</v>
      </c>
      <c r="H195" s="87">
        <v>2677.8798999999999</v>
      </c>
      <c r="I195" s="130">
        <v>500.76354129999999</v>
      </c>
    </row>
    <row r="196" spans="1:9" hidden="1" x14ac:dyDescent="0.25">
      <c r="A196" s="132" t="s">
        <v>1322</v>
      </c>
      <c r="B196" s="11" t="s">
        <v>898</v>
      </c>
      <c r="C196" s="87" t="s">
        <v>1215</v>
      </c>
      <c r="D196" s="11" t="s">
        <v>1696</v>
      </c>
      <c r="E196" s="129">
        <v>1019420000</v>
      </c>
      <c r="F196" s="132">
        <v>44434</v>
      </c>
      <c r="G196" s="87">
        <v>0.52</v>
      </c>
      <c r="H196" s="87">
        <v>961.71</v>
      </c>
      <c r="I196" s="130">
        <v>500.08920000000006</v>
      </c>
    </row>
    <row r="197" spans="1:9" hidden="1" x14ac:dyDescent="0.25">
      <c r="A197" s="132" t="s">
        <v>1174</v>
      </c>
      <c r="B197" s="11" t="s">
        <v>1176</v>
      </c>
      <c r="C197" s="87" t="s">
        <v>1215</v>
      </c>
      <c r="D197" s="11" t="s">
        <v>1697</v>
      </c>
      <c r="E197" s="129">
        <v>1019420000</v>
      </c>
      <c r="F197" s="132">
        <v>44434</v>
      </c>
      <c r="G197" s="87">
        <v>13.333</v>
      </c>
      <c r="H197" s="87">
        <v>37.4998</v>
      </c>
      <c r="I197" s="130">
        <v>499.98483340000001</v>
      </c>
    </row>
    <row r="198" spans="1:9" hidden="1" x14ac:dyDescent="0.25">
      <c r="A198" s="132" t="s">
        <v>1685</v>
      </c>
      <c r="B198" s="11" t="s">
        <v>893</v>
      </c>
      <c r="C198" s="87" t="s">
        <v>1215</v>
      </c>
      <c r="D198" s="11" t="s">
        <v>1698</v>
      </c>
      <c r="E198" s="129" t="s">
        <v>1213</v>
      </c>
      <c r="F198" s="132">
        <v>44434</v>
      </c>
      <c r="G198" s="87">
        <v>9.9190000000000005</v>
      </c>
      <c r="H198" s="87">
        <v>50.406999999999996</v>
      </c>
      <c r="I198" s="130">
        <v>499.987033</v>
      </c>
    </row>
    <row r="199" spans="1:9" hidden="1" x14ac:dyDescent="0.25">
      <c r="A199" s="132" t="s">
        <v>1326</v>
      </c>
      <c r="B199" s="11" t="s">
        <v>894</v>
      </c>
      <c r="C199" s="87" t="s">
        <v>1215</v>
      </c>
      <c r="D199" s="11" t="s">
        <v>1699</v>
      </c>
      <c r="E199" s="129" t="s">
        <v>1213</v>
      </c>
      <c r="F199" s="132">
        <v>44434</v>
      </c>
      <c r="G199" s="87">
        <v>0.187</v>
      </c>
      <c r="H199" s="87">
        <v>2677.7049999999999</v>
      </c>
      <c r="I199" s="130">
        <v>500.73083500000001</v>
      </c>
    </row>
    <row r="200" spans="1:9" hidden="1" x14ac:dyDescent="0.25">
      <c r="A200" s="132" t="s">
        <v>1322</v>
      </c>
      <c r="B200" s="11" t="s">
        <v>898</v>
      </c>
      <c r="C200" s="87" t="s">
        <v>1215</v>
      </c>
      <c r="D200" s="11" t="s">
        <v>1700</v>
      </c>
      <c r="E200" s="129">
        <v>1019420000</v>
      </c>
      <c r="F200" s="132">
        <v>44435</v>
      </c>
      <c r="G200" s="87">
        <v>0.51700000000000002</v>
      </c>
      <c r="H200" s="87">
        <v>967.92</v>
      </c>
      <c r="I200" s="130">
        <v>500.41464000000002</v>
      </c>
    </row>
    <row r="201" spans="1:9" hidden="1" x14ac:dyDescent="0.25">
      <c r="A201" s="132" t="s">
        <v>1174</v>
      </c>
      <c r="B201" s="11" t="s">
        <v>1176</v>
      </c>
      <c r="C201" s="87" t="s">
        <v>1215</v>
      </c>
      <c r="D201" s="11" t="s">
        <v>1701</v>
      </c>
      <c r="E201" s="129">
        <v>1019420000</v>
      </c>
      <c r="F201" s="132">
        <v>44435</v>
      </c>
      <c r="G201" s="87">
        <v>13.329000000000001</v>
      </c>
      <c r="H201" s="87">
        <v>37.512799999999999</v>
      </c>
      <c r="I201" s="130">
        <v>500.00811120000003</v>
      </c>
    </row>
    <row r="202" spans="1:9" hidden="1" x14ac:dyDescent="0.25">
      <c r="A202" s="132" t="s">
        <v>1685</v>
      </c>
      <c r="B202" s="11" t="s">
        <v>893</v>
      </c>
      <c r="C202" s="87" t="s">
        <v>1215</v>
      </c>
      <c r="D202" s="11" t="s">
        <v>1702</v>
      </c>
      <c r="E202" s="129" t="s">
        <v>1213</v>
      </c>
      <c r="F202" s="132">
        <v>44435</v>
      </c>
      <c r="G202" s="87">
        <v>9.8420000000000005</v>
      </c>
      <c r="H202" s="87">
        <v>50.8</v>
      </c>
      <c r="I202" s="130">
        <v>499.97359999999998</v>
      </c>
    </row>
    <row r="203" spans="1:9" hidden="1" x14ac:dyDescent="0.25">
      <c r="A203" s="132" t="s">
        <v>1326</v>
      </c>
      <c r="B203" s="11" t="s">
        <v>894</v>
      </c>
      <c r="C203" s="87" t="s">
        <v>1215</v>
      </c>
      <c r="D203" s="11" t="s">
        <v>1703</v>
      </c>
      <c r="E203" s="129" t="s">
        <v>1213</v>
      </c>
      <c r="F203" s="132">
        <v>44435</v>
      </c>
      <c r="G203" s="87">
        <v>0.187</v>
      </c>
      <c r="H203" s="87">
        <v>2678.5709999999999</v>
      </c>
      <c r="I203" s="130">
        <v>500.89277699999997</v>
      </c>
    </row>
    <row r="204" spans="1:9" hidden="1" x14ac:dyDescent="0.25">
      <c r="A204" s="132" t="s">
        <v>1322</v>
      </c>
      <c r="B204" s="11" t="s">
        <v>898</v>
      </c>
      <c r="C204" s="87" t="s">
        <v>1215</v>
      </c>
      <c r="D204" s="11" t="s">
        <v>1704</v>
      </c>
      <c r="E204" s="129">
        <v>1019420000</v>
      </c>
      <c r="F204" s="132">
        <v>44438</v>
      </c>
      <c r="G204" s="87">
        <v>0.51400000000000001</v>
      </c>
      <c r="H204" s="87">
        <v>973.23</v>
      </c>
      <c r="I204" s="130">
        <v>500.24022000000002</v>
      </c>
    </row>
    <row r="205" spans="1:9" hidden="1" x14ac:dyDescent="0.25">
      <c r="A205" s="132" t="s">
        <v>1174</v>
      </c>
      <c r="B205" s="11" t="s">
        <v>1176</v>
      </c>
      <c r="C205" s="87" t="s">
        <v>1215</v>
      </c>
      <c r="D205" s="11" t="s">
        <v>1705</v>
      </c>
      <c r="E205" s="129">
        <v>1019420000</v>
      </c>
      <c r="F205" s="132">
        <v>44438</v>
      </c>
      <c r="G205" s="87">
        <v>13.32</v>
      </c>
      <c r="H205" s="87">
        <v>37.537100000000002</v>
      </c>
      <c r="I205" s="130">
        <v>499.99417200000005</v>
      </c>
    </row>
    <row r="206" spans="1:9" hidden="1" x14ac:dyDescent="0.25">
      <c r="A206" s="132" t="s">
        <v>1685</v>
      </c>
      <c r="B206" s="11" t="s">
        <v>893</v>
      </c>
      <c r="C206" s="87" t="s">
        <v>1215</v>
      </c>
      <c r="D206" s="11" t="s">
        <v>1706</v>
      </c>
      <c r="E206" s="129" t="s">
        <v>1213</v>
      </c>
      <c r="F206" s="132">
        <v>44438</v>
      </c>
      <c r="G206" s="87">
        <v>9.6959999999999997</v>
      </c>
      <c r="H206" s="87">
        <v>51.564</v>
      </c>
      <c r="I206" s="130">
        <v>499.96454399999999</v>
      </c>
    </row>
    <row r="207" spans="1:9" hidden="1" x14ac:dyDescent="0.25">
      <c r="A207" s="132" t="s">
        <v>1326</v>
      </c>
      <c r="B207" s="11" t="s">
        <v>894</v>
      </c>
      <c r="C207" s="87" t="s">
        <v>1215</v>
      </c>
      <c r="D207" s="11" t="s">
        <v>1707</v>
      </c>
      <c r="E207" s="129" t="s">
        <v>1213</v>
      </c>
      <c r="F207" s="132">
        <v>44438</v>
      </c>
      <c r="G207" s="87">
        <v>0.187</v>
      </c>
      <c r="H207" s="87">
        <v>2679.8236000000002</v>
      </c>
      <c r="I207" s="130">
        <v>501.12701320000002</v>
      </c>
    </row>
    <row r="208" spans="1:9" hidden="1" x14ac:dyDescent="0.25">
      <c r="A208" s="132" t="s">
        <v>1322</v>
      </c>
      <c r="B208" s="11" t="s">
        <v>898</v>
      </c>
      <c r="C208" s="87" t="s">
        <v>1215</v>
      </c>
      <c r="D208" s="11" t="s">
        <v>1708</v>
      </c>
      <c r="E208" s="129">
        <v>1019420000</v>
      </c>
      <c r="F208" s="132">
        <v>44439</v>
      </c>
      <c r="G208" s="87">
        <v>0.51200000000000001</v>
      </c>
      <c r="H208" s="87">
        <v>976.46</v>
      </c>
      <c r="I208" s="130">
        <v>499.94752000000005</v>
      </c>
    </row>
    <row r="209" spans="1:9" hidden="1" x14ac:dyDescent="0.25">
      <c r="A209" s="132" t="s">
        <v>1174</v>
      </c>
      <c r="B209" s="11" t="s">
        <v>1176</v>
      </c>
      <c r="C209" s="87" t="s">
        <v>1215</v>
      </c>
      <c r="D209" s="11" t="s">
        <v>1709</v>
      </c>
      <c r="E209" s="129">
        <v>1019420000</v>
      </c>
      <c r="F209" s="132">
        <v>44439</v>
      </c>
      <c r="G209" s="87">
        <v>13.315</v>
      </c>
      <c r="H209" s="87">
        <v>37.5503</v>
      </c>
      <c r="I209" s="130">
        <v>499.98224449999998</v>
      </c>
    </row>
    <row r="210" spans="1:9" hidden="1" x14ac:dyDescent="0.25">
      <c r="A210" s="132" t="s">
        <v>1685</v>
      </c>
      <c r="B210" s="11" t="s">
        <v>893</v>
      </c>
      <c r="C210" s="87" t="s">
        <v>1215</v>
      </c>
      <c r="D210" s="11" t="s">
        <v>1710</v>
      </c>
      <c r="E210" s="129" t="s">
        <v>1213</v>
      </c>
      <c r="F210" s="132">
        <v>44439</v>
      </c>
      <c r="G210" s="87">
        <v>9.6120000000000001</v>
      </c>
      <c r="H210" s="87">
        <v>52.015999999999998</v>
      </c>
      <c r="I210" s="130">
        <v>499.97779199999997</v>
      </c>
    </row>
    <row r="211" spans="1:9" hidden="1" x14ac:dyDescent="0.25">
      <c r="A211" s="132" t="s">
        <v>1326</v>
      </c>
      <c r="B211" s="11" t="s">
        <v>894</v>
      </c>
      <c r="C211" s="87" t="s">
        <v>1215</v>
      </c>
      <c r="D211" s="11" t="s">
        <v>1711</v>
      </c>
      <c r="E211" s="129" t="s">
        <v>1213</v>
      </c>
      <c r="F211" s="132">
        <v>44439</v>
      </c>
      <c r="G211" s="87">
        <v>0.187</v>
      </c>
      <c r="H211" s="87">
        <v>2680.6619999999998</v>
      </c>
      <c r="I211" s="130">
        <v>501.28379399999994</v>
      </c>
    </row>
    <row r="212" spans="1:9" hidden="1" x14ac:dyDescent="0.25">
      <c r="A212" s="132" t="s">
        <v>1322</v>
      </c>
      <c r="B212" s="11" t="s">
        <v>898</v>
      </c>
      <c r="C212" s="87" t="s">
        <v>1215</v>
      </c>
      <c r="D212" s="11" t="s">
        <v>1712</v>
      </c>
      <c r="E212" s="129">
        <v>1019420000</v>
      </c>
      <c r="F212" s="132">
        <v>44440</v>
      </c>
      <c r="G212" s="87">
        <v>0.51</v>
      </c>
      <c r="H212" s="87">
        <v>980.16</v>
      </c>
      <c r="I212" s="130">
        <v>499.88159999999999</v>
      </c>
    </row>
    <row r="213" spans="1:9" hidden="1" x14ac:dyDescent="0.25">
      <c r="A213" s="132" t="s">
        <v>1174</v>
      </c>
      <c r="B213" s="11" t="s">
        <v>1176</v>
      </c>
      <c r="C213" s="87" t="s">
        <v>1215</v>
      </c>
      <c r="D213" s="11" t="s">
        <v>1713</v>
      </c>
      <c r="E213" s="129">
        <v>1019420000</v>
      </c>
      <c r="F213" s="132">
        <v>44440</v>
      </c>
      <c r="G213" s="87">
        <v>13.307</v>
      </c>
      <c r="H213" s="87">
        <v>37.575099999999999</v>
      </c>
      <c r="I213" s="130">
        <v>500.01185570000001</v>
      </c>
    </row>
    <row r="214" spans="1:9" hidden="1" x14ac:dyDescent="0.25">
      <c r="A214" s="132" t="s">
        <v>1685</v>
      </c>
      <c r="B214" s="11" t="s">
        <v>893</v>
      </c>
      <c r="C214" s="87" t="s">
        <v>1215</v>
      </c>
      <c r="D214" s="11" t="s">
        <v>1714</v>
      </c>
      <c r="E214" s="129" t="s">
        <v>1213</v>
      </c>
      <c r="F214" s="132">
        <v>44440</v>
      </c>
      <c r="G214" s="87">
        <v>9.6180000000000003</v>
      </c>
      <c r="H214" s="87">
        <v>51.982999999999997</v>
      </c>
      <c r="I214" s="130">
        <v>499.97249399999998</v>
      </c>
    </row>
    <row r="215" spans="1:9" hidden="1" x14ac:dyDescent="0.25">
      <c r="A215" s="132" t="s">
        <v>1326</v>
      </c>
      <c r="B215" s="11" t="s">
        <v>894</v>
      </c>
      <c r="C215" s="87" t="s">
        <v>1215</v>
      </c>
      <c r="D215" s="11" t="s">
        <v>1715</v>
      </c>
      <c r="E215" s="129" t="s">
        <v>1213</v>
      </c>
      <c r="F215" s="132">
        <v>44440</v>
      </c>
      <c r="G215" s="87">
        <v>0.186</v>
      </c>
      <c r="H215" s="87">
        <v>2681.4828000000002</v>
      </c>
      <c r="I215" s="130">
        <v>498.75580080000003</v>
      </c>
    </row>
    <row r="216" spans="1:9" hidden="1" x14ac:dyDescent="0.25">
      <c r="A216" s="132" t="s">
        <v>1318</v>
      </c>
      <c r="B216" s="11" t="s">
        <v>897</v>
      </c>
      <c r="C216" s="87" t="s">
        <v>1215</v>
      </c>
      <c r="D216" s="11" t="s">
        <v>1716</v>
      </c>
      <c r="E216" s="129">
        <v>499203639934</v>
      </c>
      <c r="F216" s="132">
        <v>44440</v>
      </c>
      <c r="G216" s="87">
        <v>20.856999999999999</v>
      </c>
      <c r="H216" s="87">
        <v>71.918300000000002</v>
      </c>
      <c r="I216" s="130">
        <v>1499.9999831</v>
      </c>
    </row>
    <row r="217" spans="1:9" hidden="1" x14ac:dyDescent="0.25">
      <c r="A217" s="132" t="s">
        <v>1322</v>
      </c>
      <c r="B217" s="11" t="s">
        <v>898</v>
      </c>
      <c r="C217" s="87" t="s">
        <v>1215</v>
      </c>
      <c r="D217" s="11" t="s">
        <v>1717</v>
      </c>
      <c r="E217" s="129">
        <v>1019420000</v>
      </c>
      <c r="F217" s="132">
        <v>44441</v>
      </c>
      <c r="G217" s="87">
        <v>0.50700000000000001</v>
      </c>
      <c r="H217" s="87">
        <v>985.25</v>
      </c>
      <c r="I217" s="130">
        <v>499.52175</v>
      </c>
    </row>
    <row r="218" spans="1:9" hidden="1" x14ac:dyDescent="0.25">
      <c r="A218" s="132" t="s">
        <v>1174</v>
      </c>
      <c r="B218" s="11" t="s">
        <v>1176</v>
      </c>
      <c r="C218" s="87" t="s">
        <v>1215</v>
      </c>
      <c r="D218" s="11" t="s">
        <v>1718</v>
      </c>
      <c r="E218" s="129">
        <v>1019420000</v>
      </c>
      <c r="F218" s="132">
        <v>44441</v>
      </c>
      <c r="G218" s="87">
        <v>13.302</v>
      </c>
      <c r="H218" s="87">
        <v>37.587200000000003</v>
      </c>
      <c r="I218" s="130">
        <v>499.98493440000004</v>
      </c>
    </row>
    <row r="219" spans="1:9" hidden="1" x14ac:dyDescent="0.25">
      <c r="A219" s="132" t="s">
        <v>1685</v>
      </c>
      <c r="B219" s="11" t="s">
        <v>893</v>
      </c>
      <c r="C219" s="87" t="s">
        <v>1215</v>
      </c>
      <c r="D219" s="11" t="s">
        <v>1719</v>
      </c>
      <c r="E219" s="129" t="s">
        <v>1213</v>
      </c>
      <c r="F219" s="132">
        <v>44441</v>
      </c>
      <c r="G219" s="87">
        <v>9.49</v>
      </c>
      <c r="H219" s="87">
        <v>52.683999999999997</v>
      </c>
      <c r="I219" s="130">
        <v>499.97116</v>
      </c>
    </row>
    <row r="220" spans="1:9" hidden="1" x14ac:dyDescent="0.25">
      <c r="A220" s="132" t="s">
        <v>1326</v>
      </c>
      <c r="B220" s="11" t="s">
        <v>894</v>
      </c>
      <c r="C220" s="87" t="s">
        <v>1215</v>
      </c>
      <c r="D220" s="11" t="s">
        <v>1720</v>
      </c>
      <c r="E220" s="129" t="s">
        <v>1213</v>
      </c>
      <c r="F220" s="132">
        <v>44441</v>
      </c>
      <c r="G220" s="87">
        <v>0.186</v>
      </c>
      <c r="H220" s="87">
        <v>2682.1408000000001</v>
      </c>
      <c r="I220" s="130">
        <v>498.87818880000003</v>
      </c>
    </row>
    <row r="221" spans="1:9" hidden="1" x14ac:dyDescent="0.25">
      <c r="A221" s="132" t="s">
        <v>1721</v>
      </c>
      <c r="B221" s="11" t="s">
        <v>1426</v>
      </c>
      <c r="C221" s="87" t="s">
        <v>1215</v>
      </c>
      <c r="D221" s="11" t="s">
        <v>1722</v>
      </c>
      <c r="E221" s="129">
        <v>499203639934</v>
      </c>
      <c r="F221" s="132">
        <v>44441</v>
      </c>
      <c r="G221" s="87">
        <v>19.141999999999999</v>
      </c>
      <c r="H221" s="87">
        <v>78.359700000000004</v>
      </c>
      <c r="I221" s="130">
        <v>1499.9613773999999</v>
      </c>
    </row>
    <row r="222" spans="1:9" hidden="1" x14ac:dyDescent="0.25">
      <c r="A222" s="132" t="s">
        <v>1322</v>
      </c>
      <c r="B222" s="11" t="s">
        <v>898</v>
      </c>
      <c r="C222" s="87" t="s">
        <v>1215</v>
      </c>
      <c r="D222" s="11" t="s">
        <v>1723</v>
      </c>
      <c r="E222" s="129">
        <v>1019420000</v>
      </c>
      <c r="F222" s="132">
        <v>44442</v>
      </c>
      <c r="G222" s="87">
        <v>0.50700000000000001</v>
      </c>
      <c r="H222" s="87">
        <v>986.89</v>
      </c>
      <c r="I222" s="130">
        <v>500.35323</v>
      </c>
    </row>
    <row r="223" spans="1:9" hidden="1" x14ac:dyDescent="0.25">
      <c r="A223" s="132" t="s">
        <v>1174</v>
      </c>
      <c r="B223" s="11" t="s">
        <v>1176</v>
      </c>
      <c r="C223" s="87" t="s">
        <v>1215</v>
      </c>
      <c r="D223" s="11" t="s">
        <v>1724</v>
      </c>
      <c r="E223" s="129">
        <v>1019420000</v>
      </c>
      <c r="F223" s="132">
        <v>44442</v>
      </c>
      <c r="G223" s="87">
        <v>13.3</v>
      </c>
      <c r="H223" s="87">
        <v>37.593600000000002</v>
      </c>
      <c r="I223" s="130">
        <v>499.99488000000008</v>
      </c>
    </row>
    <row r="224" spans="1:9" hidden="1" x14ac:dyDescent="0.25">
      <c r="A224" s="132" t="s">
        <v>1685</v>
      </c>
      <c r="B224" s="11" t="s">
        <v>893</v>
      </c>
      <c r="C224" s="87" t="s">
        <v>1215</v>
      </c>
      <c r="D224" s="11" t="s">
        <v>1725</v>
      </c>
      <c r="E224" s="129" t="s">
        <v>1213</v>
      </c>
      <c r="F224" s="132">
        <v>44442</v>
      </c>
      <c r="G224" s="87">
        <v>9.4339999999999993</v>
      </c>
      <c r="H224" s="87">
        <v>52.997999999999998</v>
      </c>
      <c r="I224" s="130">
        <v>499.98313199999996</v>
      </c>
    </row>
    <row r="225" spans="1:9" hidden="1" x14ac:dyDescent="0.25">
      <c r="A225" s="132" t="s">
        <v>1326</v>
      </c>
      <c r="B225" s="11" t="s">
        <v>894</v>
      </c>
      <c r="C225" s="87" t="s">
        <v>1215</v>
      </c>
      <c r="D225" s="11" t="s">
        <v>1726</v>
      </c>
      <c r="E225" s="129" t="s">
        <v>1213</v>
      </c>
      <c r="F225" s="132">
        <v>44442</v>
      </c>
      <c r="G225" s="87">
        <v>0.186</v>
      </c>
      <c r="H225" s="87">
        <v>2682.6898999999999</v>
      </c>
      <c r="I225" s="130">
        <v>498.98032139999998</v>
      </c>
    </row>
    <row r="226" spans="1:9" hidden="1" x14ac:dyDescent="0.25">
      <c r="A226" s="132" t="s">
        <v>1322</v>
      </c>
      <c r="B226" s="11" t="s">
        <v>898</v>
      </c>
      <c r="C226" s="87" t="s">
        <v>1215</v>
      </c>
      <c r="D226" s="11" t="s">
        <v>1727</v>
      </c>
      <c r="E226" s="129">
        <v>1019420000</v>
      </c>
      <c r="F226" s="132">
        <v>44445</v>
      </c>
      <c r="G226" s="87">
        <v>0.50700000000000001</v>
      </c>
      <c r="H226" s="87">
        <v>985.36</v>
      </c>
      <c r="I226" s="130">
        <v>499.57751999999999</v>
      </c>
    </row>
    <row r="227" spans="1:9" hidden="1" x14ac:dyDescent="0.25">
      <c r="A227" s="132" t="s">
        <v>1174</v>
      </c>
      <c r="B227" s="11" t="s">
        <v>1176</v>
      </c>
      <c r="C227" s="87" t="s">
        <v>1215</v>
      </c>
      <c r="D227" s="11" t="s">
        <v>1728</v>
      </c>
      <c r="E227" s="129">
        <v>1019420000</v>
      </c>
      <c r="F227" s="132">
        <v>44445</v>
      </c>
      <c r="G227" s="87">
        <v>13.295999999999999</v>
      </c>
      <c r="H227" s="87">
        <v>37.605400000000003</v>
      </c>
      <c r="I227" s="130">
        <v>500.00139840000003</v>
      </c>
    </row>
    <row r="228" spans="1:9" hidden="1" x14ac:dyDescent="0.25">
      <c r="A228" s="132" t="s">
        <v>1685</v>
      </c>
      <c r="B228" s="11" t="s">
        <v>893</v>
      </c>
      <c r="C228" s="87" t="s">
        <v>1215</v>
      </c>
      <c r="D228" s="11" t="s">
        <v>1729</v>
      </c>
      <c r="E228" s="129" t="s">
        <v>1213</v>
      </c>
      <c r="F228" s="132">
        <v>44445</v>
      </c>
      <c r="G228" s="87">
        <v>9.4260000000000002</v>
      </c>
      <c r="H228" s="87">
        <v>53.040999999999997</v>
      </c>
      <c r="I228" s="130">
        <v>499.96446599999996</v>
      </c>
    </row>
    <row r="229" spans="1:9" hidden="1" x14ac:dyDescent="0.25">
      <c r="A229" s="132" t="s">
        <v>1326</v>
      </c>
      <c r="B229" s="11" t="s">
        <v>894</v>
      </c>
      <c r="C229" s="87" t="s">
        <v>1215</v>
      </c>
      <c r="D229" s="11" t="s">
        <v>1730</v>
      </c>
      <c r="E229" s="129" t="s">
        <v>1213</v>
      </c>
      <c r="F229" s="132">
        <v>44445</v>
      </c>
      <c r="G229" s="87">
        <v>0.186</v>
      </c>
      <c r="H229" s="87">
        <v>2683.5255999999999</v>
      </c>
      <c r="I229" s="130">
        <v>499.13576159999997</v>
      </c>
    </row>
    <row r="230" spans="1:9" hidden="1" x14ac:dyDescent="0.25">
      <c r="A230" s="132" t="s">
        <v>1322</v>
      </c>
      <c r="B230" s="11" t="s">
        <v>898</v>
      </c>
      <c r="C230" s="87" t="s">
        <v>1215</v>
      </c>
      <c r="D230" s="11" t="s">
        <v>1731</v>
      </c>
      <c r="E230" s="129">
        <v>1019420000</v>
      </c>
      <c r="F230" s="132">
        <v>44446</v>
      </c>
      <c r="G230" s="87">
        <v>0.50700000000000001</v>
      </c>
      <c r="H230" s="87">
        <v>985.6</v>
      </c>
      <c r="I230" s="130">
        <v>499.69920000000002</v>
      </c>
    </row>
    <row r="231" spans="1:9" hidden="1" x14ac:dyDescent="0.25">
      <c r="A231" s="132" t="s">
        <v>1174</v>
      </c>
      <c r="B231" s="11" t="s">
        <v>1176</v>
      </c>
      <c r="C231" s="87" t="s">
        <v>1215</v>
      </c>
      <c r="D231" s="11" t="s">
        <v>1732</v>
      </c>
      <c r="E231" s="129">
        <v>1019420000</v>
      </c>
      <c r="F231" s="132">
        <v>44446</v>
      </c>
      <c r="G231" s="87">
        <v>13.295999999999999</v>
      </c>
      <c r="H231" s="87">
        <v>37.604900000000001</v>
      </c>
      <c r="I231" s="130">
        <v>499.99475039999999</v>
      </c>
    </row>
    <row r="232" spans="1:9" hidden="1" x14ac:dyDescent="0.25">
      <c r="A232" s="132" t="s">
        <v>1685</v>
      </c>
      <c r="B232" s="11" t="s">
        <v>893</v>
      </c>
      <c r="C232" s="87" t="s">
        <v>1215</v>
      </c>
      <c r="D232" s="11" t="s">
        <v>1733</v>
      </c>
      <c r="E232" s="129" t="s">
        <v>1213</v>
      </c>
      <c r="F232" s="132">
        <v>44446</v>
      </c>
      <c r="G232" s="87">
        <v>9.452</v>
      </c>
      <c r="H232" s="87">
        <v>52.898000000000003</v>
      </c>
      <c r="I232" s="130">
        <v>499.99189600000005</v>
      </c>
    </row>
    <row r="233" spans="1:9" hidden="1" x14ac:dyDescent="0.25">
      <c r="A233" s="132" t="s">
        <v>1326</v>
      </c>
      <c r="B233" s="11" t="s">
        <v>894</v>
      </c>
      <c r="C233" s="87" t="s">
        <v>1215</v>
      </c>
      <c r="D233" s="11" t="s">
        <v>1734</v>
      </c>
      <c r="E233" s="129" t="s">
        <v>1213</v>
      </c>
      <c r="F233" s="132">
        <v>44446</v>
      </c>
      <c r="G233" s="87">
        <v>0.186</v>
      </c>
      <c r="H233" s="87">
        <v>2683.5587999999998</v>
      </c>
      <c r="I233" s="130">
        <v>499.14193679999994</v>
      </c>
    </row>
    <row r="234" spans="1:9" hidden="1" x14ac:dyDescent="0.25">
      <c r="A234" s="132" t="s">
        <v>1322</v>
      </c>
      <c r="B234" s="11" t="s">
        <v>898</v>
      </c>
      <c r="C234" s="87" t="s">
        <v>1215</v>
      </c>
      <c r="D234" s="11" t="s">
        <v>1735</v>
      </c>
      <c r="E234" s="129">
        <v>1019420000</v>
      </c>
      <c r="F234" s="132">
        <v>44447</v>
      </c>
      <c r="G234" s="87">
        <v>0.504</v>
      </c>
      <c r="H234" s="87">
        <v>991.96</v>
      </c>
      <c r="I234" s="130">
        <v>499.94784000000004</v>
      </c>
    </row>
    <row r="235" spans="1:9" hidden="1" x14ac:dyDescent="0.25">
      <c r="A235" s="132" t="s">
        <v>1174</v>
      </c>
      <c r="B235" s="11" t="s">
        <v>1176</v>
      </c>
      <c r="C235" s="87" t="s">
        <v>1215</v>
      </c>
      <c r="D235" s="11" t="s">
        <v>1736</v>
      </c>
      <c r="E235" s="129">
        <v>1019420000</v>
      </c>
      <c r="F235" s="132">
        <v>44447</v>
      </c>
      <c r="G235" s="87">
        <v>13.295</v>
      </c>
      <c r="H235" s="87">
        <v>37.608600000000003</v>
      </c>
      <c r="I235" s="130">
        <v>500.00633700000003</v>
      </c>
    </row>
    <row r="236" spans="1:9" hidden="1" x14ac:dyDescent="0.25">
      <c r="A236" s="132" t="s">
        <v>1685</v>
      </c>
      <c r="B236" s="11" t="s">
        <v>893</v>
      </c>
      <c r="C236" s="87" t="s">
        <v>1215</v>
      </c>
      <c r="D236" s="11" t="s">
        <v>1737</v>
      </c>
      <c r="E236" s="129" t="s">
        <v>1213</v>
      </c>
      <c r="F236" s="132">
        <v>44447</v>
      </c>
      <c r="G236" s="87">
        <v>9.4450000000000003</v>
      </c>
      <c r="H236" s="87">
        <v>52.936</v>
      </c>
      <c r="I236" s="130">
        <v>499.98052000000001</v>
      </c>
    </row>
    <row r="237" spans="1:9" hidden="1" x14ac:dyDescent="0.25">
      <c r="A237" s="132" t="s">
        <v>1326</v>
      </c>
      <c r="B237" s="11" t="s">
        <v>894</v>
      </c>
      <c r="C237" s="87" t="s">
        <v>1215</v>
      </c>
      <c r="D237" s="11" t="s">
        <v>1738</v>
      </c>
      <c r="E237" s="129" t="s">
        <v>1213</v>
      </c>
      <c r="F237" s="132">
        <v>44447</v>
      </c>
      <c r="G237" s="87">
        <v>0.186</v>
      </c>
      <c r="H237" s="87">
        <v>2684.0009</v>
      </c>
      <c r="I237" s="130">
        <v>499.2241674</v>
      </c>
    </row>
    <row r="238" spans="1:9" hidden="1" x14ac:dyDescent="0.25">
      <c r="A238" s="132" t="s">
        <v>1318</v>
      </c>
      <c r="B238" s="11" t="s">
        <v>897</v>
      </c>
      <c r="C238" s="87" t="s">
        <v>1215</v>
      </c>
      <c r="D238" s="11" t="s">
        <v>1716</v>
      </c>
      <c r="E238" s="129">
        <v>499203639934</v>
      </c>
      <c r="F238" s="132">
        <v>44447</v>
      </c>
      <c r="G238" s="87">
        <v>20.759</v>
      </c>
      <c r="H238" s="87">
        <v>72.2577</v>
      </c>
      <c r="I238" s="130">
        <v>1499.9975942999999</v>
      </c>
    </row>
    <row r="239" spans="1:9" hidden="1" x14ac:dyDescent="0.25">
      <c r="A239" s="132" t="s">
        <v>1322</v>
      </c>
      <c r="B239" s="11" t="s">
        <v>898</v>
      </c>
      <c r="C239" s="87" t="s">
        <v>1215</v>
      </c>
      <c r="D239" s="11" t="s">
        <v>1739</v>
      </c>
      <c r="E239" s="129">
        <v>1019420000</v>
      </c>
      <c r="F239" s="132">
        <v>44448</v>
      </c>
      <c r="G239" s="87">
        <v>0.501</v>
      </c>
      <c r="H239" s="87">
        <v>997.59</v>
      </c>
      <c r="I239" s="130">
        <v>499.79259000000002</v>
      </c>
    </row>
    <row r="240" spans="1:9" hidden="1" x14ac:dyDescent="0.25">
      <c r="A240" s="132" t="s">
        <v>1174</v>
      </c>
      <c r="B240" s="11" t="s">
        <v>1176</v>
      </c>
      <c r="C240" s="87" t="s">
        <v>1215</v>
      </c>
      <c r="D240" s="11" t="s">
        <v>1740</v>
      </c>
      <c r="E240" s="129">
        <v>1019420000</v>
      </c>
      <c r="F240" s="132">
        <v>44448</v>
      </c>
      <c r="G240" s="87">
        <v>13.295</v>
      </c>
      <c r="H240" s="87">
        <v>37.608800000000002</v>
      </c>
      <c r="I240" s="130">
        <v>500.00899600000002</v>
      </c>
    </row>
    <row r="241" spans="1:9" hidden="1" x14ac:dyDescent="0.25">
      <c r="A241" s="132" t="s">
        <v>1685</v>
      </c>
      <c r="B241" s="11" t="s">
        <v>893</v>
      </c>
      <c r="C241" s="87" t="s">
        <v>1215</v>
      </c>
      <c r="D241" s="11" t="s">
        <v>1741</v>
      </c>
      <c r="E241" s="129" t="s">
        <v>1213</v>
      </c>
      <c r="F241" s="132">
        <v>44448</v>
      </c>
      <c r="G241" s="87">
        <v>9.4359999999999999</v>
      </c>
      <c r="H241" s="87">
        <v>52.984000000000002</v>
      </c>
      <c r="I241" s="130">
        <v>499.95702399999999</v>
      </c>
    </row>
    <row r="242" spans="1:9" hidden="1" x14ac:dyDescent="0.25">
      <c r="A242" s="132" t="s">
        <v>1326</v>
      </c>
      <c r="B242" s="11" t="s">
        <v>894</v>
      </c>
      <c r="C242" s="87" t="s">
        <v>1215</v>
      </c>
      <c r="D242" s="11" t="s">
        <v>1742</v>
      </c>
      <c r="E242" s="129" t="s">
        <v>1213</v>
      </c>
      <c r="F242" s="132">
        <v>44448</v>
      </c>
      <c r="G242" s="87">
        <v>0.186</v>
      </c>
      <c r="H242" s="87">
        <v>2684.2680999999998</v>
      </c>
      <c r="I242" s="130">
        <v>499.27386659999996</v>
      </c>
    </row>
    <row r="243" spans="1:9" hidden="1" x14ac:dyDescent="0.25">
      <c r="A243" s="132" t="s">
        <v>1721</v>
      </c>
      <c r="B243" s="11" t="s">
        <v>1426</v>
      </c>
      <c r="C243" s="87" t="s">
        <v>1215</v>
      </c>
      <c r="D243" s="11" t="s">
        <v>1722</v>
      </c>
      <c r="E243" s="129">
        <v>499203639934</v>
      </c>
      <c r="F243" s="132">
        <v>44448</v>
      </c>
      <c r="G243" s="87">
        <v>18.733000000000001</v>
      </c>
      <c r="H243" s="87">
        <v>80.067400000000006</v>
      </c>
      <c r="I243" s="130">
        <v>1499.9026042000003</v>
      </c>
    </row>
    <row r="244" spans="1:9" hidden="1" x14ac:dyDescent="0.25">
      <c r="A244" s="132" t="s">
        <v>1322</v>
      </c>
      <c r="B244" s="11" t="s">
        <v>898</v>
      </c>
      <c r="C244" s="87" t="s">
        <v>1215</v>
      </c>
      <c r="D244" s="11" t="s">
        <v>1743</v>
      </c>
      <c r="E244" s="129">
        <v>1019420000</v>
      </c>
      <c r="F244" s="132">
        <v>44452</v>
      </c>
      <c r="G244" s="87">
        <v>0.501</v>
      </c>
      <c r="H244" s="87">
        <v>998.58</v>
      </c>
      <c r="I244" s="130">
        <v>500.28858000000002</v>
      </c>
    </row>
    <row r="245" spans="1:9" hidden="1" x14ac:dyDescent="0.25">
      <c r="A245" s="132" t="s">
        <v>1174</v>
      </c>
      <c r="B245" s="11" t="s">
        <v>1176</v>
      </c>
      <c r="C245" s="87" t="s">
        <v>1215</v>
      </c>
      <c r="D245" s="11" t="s">
        <v>1744</v>
      </c>
      <c r="E245" s="129">
        <v>1019420000</v>
      </c>
      <c r="F245" s="132">
        <v>44452</v>
      </c>
      <c r="G245" s="87">
        <v>13.291</v>
      </c>
      <c r="H245" s="87">
        <v>37.6188</v>
      </c>
      <c r="I245" s="130">
        <v>499.9914708</v>
      </c>
    </row>
    <row r="246" spans="1:9" hidden="1" x14ac:dyDescent="0.25">
      <c r="A246" s="132" t="s">
        <v>1685</v>
      </c>
      <c r="B246" s="11" t="s">
        <v>893</v>
      </c>
      <c r="C246" s="87" t="s">
        <v>1215</v>
      </c>
      <c r="D246" s="11" t="s">
        <v>1745</v>
      </c>
      <c r="E246" s="129" t="s">
        <v>1213</v>
      </c>
      <c r="F246" s="132">
        <v>44452</v>
      </c>
      <c r="G246" s="87">
        <v>9.4350000000000005</v>
      </c>
      <c r="H246" s="87">
        <v>52.991999999999997</v>
      </c>
      <c r="I246" s="130">
        <v>499.97951999999998</v>
      </c>
    </row>
    <row r="247" spans="1:9" hidden="1" x14ac:dyDescent="0.25">
      <c r="A247" s="132" t="s">
        <v>1326</v>
      </c>
      <c r="B247" s="11" t="s">
        <v>894</v>
      </c>
      <c r="C247" s="87" t="s">
        <v>1215</v>
      </c>
      <c r="D247" s="11" t="s">
        <v>1746</v>
      </c>
      <c r="E247" s="129" t="s">
        <v>1213</v>
      </c>
      <c r="F247" s="132">
        <v>44452</v>
      </c>
      <c r="G247" s="87">
        <v>0.186</v>
      </c>
      <c r="H247" s="87">
        <v>2684.6147000000001</v>
      </c>
      <c r="I247" s="130">
        <v>499.33833420000002</v>
      </c>
    </row>
    <row r="248" spans="1:9" hidden="1" x14ac:dyDescent="0.25">
      <c r="A248" s="132" t="s">
        <v>1322</v>
      </c>
      <c r="B248" s="11" t="s">
        <v>898</v>
      </c>
      <c r="C248" s="87" t="s">
        <v>1215</v>
      </c>
      <c r="D248" s="11" t="s">
        <v>1747</v>
      </c>
      <c r="E248" s="129">
        <v>1019420000</v>
      </c>
      <c r="F248" s="132">
        <v>44453</v>
      </c>
      <c r="G248" s="87">
        <v>0.5</v>
      </c>
      <c r="H248" s="87">
        <v>1000.54</v>
      </c>
      <c r="I248" s="130">
        <v>500.27</v>
      </c>
    </row>
    <row r="249" spans="1:9" hidden="1" x14ac:dyDescent="0.25">
      <c r="A249" s="132" t="s">
        <v>1174</v>
      </c>
      <c r="B249" s="11" t="s">
        <v>1176</v>
      </c>
      <c r="C249" s="87" t="s">
        <v>1215</v>
      </c>
      <c r="D249" s="11" t="s">
        <v>1748</v>
      </c>
      <c r="E249" s="129">
        <v>1019420000</v>
      </c>
      <c r="F249" s="132">
        <v>44453</v>
      </c>
      <c r="G249" s="87">
        <v>13.289</v>
      </c>
      <c r="H249" s="87">
        <v>37.623699999999999</v>
      </c>
      <c r="I249" s="130">
        <v>499.98134929999998</v>
      </c>
    </row>
    <row r="250" spans="1:9" hidden="1" x14ac:dyDescent="0.25">
      <c r="A250" s="132" t="s">
        <v>1685</v>
      </c>
      <c r="B250" s="11" t="s">
        <v>893</v>
      </c>
      <c r="C250" s="87" t="s">
        <v>1215</v>
      </c>
      <c r="D250" s="11" t="s">
        <v>1749</v>
      </c>
      <c r="E250" s="129" t="s">
        <v>1213</v>
      </c>
      <c r="F250" s="132">
        <v>44453</v>
      </c>
      <c r="G250" s="87">
        <v>9.4190000000000005</v>
      </c>
      <c r="H250" s="87">
        <v>53.08</v>
      </c>
      <c r="I250" s="130">
        <v>499.96052000000003</v>
      </c>
    </row>
    <row r="251" spans="1:9" hidden="1" x14ac:dyDescent="0.25">
      <c r="A251" s="132" t="s">
        <v>1326</v>
      </c>
      <c r="B251" s="11" t="s">
        <v>894</v>
      </c>
      <c r="C251" s="87" t="s">
        <v>1215</v>
      </c>
      <c r="D251" s="11" t="s">
        <v>1750</v>
      </c>
      <c r="E251" s="129" t="s">
        <v>1213</v>
      </c>
      <c r="F251" s="132">
        <v>44453</v>
      </c>
      <c r="G251" s="87">
        <v>0.186</v>
      </c>
      <c r="H251" s="87">
        <v>2684.9703</v>
      </c>
      <c r="I251" s="130">
        <v>499.4044758</v>
      </c>
    </row>
    <row r="252" spans="1:9" hidden="1" x14ac:dyDescent="0.25">
      <c r="A252" s="132" t="s">
        <v>1322</v>
      </c>
      <c r="B252" s="11" t="s">
        <v>898</v>
      </c>
      <c r="C252" s="87" t="s">
        <v>1215</v>
      </c>
      <c r="D252" s="11" t="s">
        <v>1751</v>
      </c>
      <c r="E252" s="129">
        <v>1019420000</v>
      </c>
      <c r="F252" s="132">
        <v>44454</v>
      </c>
      <c r="G252" s="87">
        <v>0.496</v>
      </c>
      <c r="H252" s="87">
        <v>1008.06</v>
      </c>
      <c r="I252" s="130">
        <v>499.99775999999997</v>
      </c>
    </row>
    <row r="253" spans="1:9" hidden="1" x14ac:dyDescent="0.25">
      <c r="A253" s="132" t="s">
        <v>1174</v>
      </c>
      <c r="B253" s="11" t="s">
        <v>1176</v>
      </c>
      <c r="C253" s="87" t="s">
        <v>1215</v>
      </c>
      <c r="D253" s="11" t="s">
        <v>1752</v>
      </c>
      <c r="E253" s="129">
        <v>1019420000</v>
      </c>
      <c r="F253" s="132">
        <v>44454</v>
      </c>
      <c r="G253" s="87">
        <v>13.286</v>
      </c>
      <c r="H253" s="87">
        <v>37.634399999999999</v>
      </c>
      <c r="I253" s="130">
        <v>500.0106384</v>
      </c>
    </row>
    <row r="254" spans="1:9" hidden="1" x14ac:dyDescent="0.25">
      <c r="A254" s="132" t="s">
        <v>1685</v>
      </c>
      <c r="B254" s="11" t="s">
        <v>893</v>
      </c>
      <c r="C254" s="87" t="s">
        <v>1215</v>
      </c>
      <c r="D254" s="11" t="s">
        <v>1753</v>
      </c>
      <c r="E254" s="129" t="s">
        <v>1213</v>
      </c>
      <c r="F254" s="132">
        <v>44454</v>
      </c>
      <c r="G254" s="87">
        <v>9.327</v>
      </c>
      <c r="H254" s="87">
        <v>53.606000000000002</v>
      </c>
      <c r="I254" s="130">
        <v>499.98316199999999</v>
      </c>
    </row>
    <row r="255" spans="1:9" hidden="1" x14ac:dyDescent="0.25">
      <c r="A255" s="132" t="s">
        <v>1326</v>
      </c>
      <c r="B255" s="11" t="s">
        <v>894</v>
      </c>
      <c r="C255" s="87" t="s">
        <v>1215</v>
      </c>
      <c r="D255" s="11" t="s">
        <v>1754</v>
      </c>
      <c r="E255" s="129" t="s">
        <v>1213</v>
      </c>
      <c r="F255" s="132">
        <v>44454</v>
      </c>
      <c r="G255" s="87">
        <v>0.186</v>
      </c>
      <c r="H255" s="87">
        <v>2685.3008</v>
      </c>
      <c r="I255" s="130">
        <v>499.46594879999998</v>
      </c>
    </row>
    <row r="256" spans="1:9" hidden="1" x14ac:dyDescent="0.25">
      <c r="A256" s="132" t="s">
        <v>1318</v>
      </c>
      <c r="B256" s="11" t="s">
        <v>897</v>
      </c>
      <c r="C256" s="87" t="s">
        <v>1215</v>
      </c>
      <c r="D256" s="11" t="s">
        <v>1716</v>
      </c>
      <c r="E256" s="129">
        <v>499203639934</v>
      </c>
      <c r="F256" s="132">
        <v>44454</v>
      </c>
      <c r="G256" s="87">
        <v>20.715</v>
      </c>
      <c r="H256" s="87">
        <v>72.4101</v>
      </c>
      <c r="I256" s="130">
        <v>1499.9752215000001</v>
      </c>
    </row>
    <row r="257" spans="1:9" hidden="1" x14ac:dyDescent="0.25">
      <c r="A257" s="132" t="s">
        <v>1322</v>
      </c>
      <c r="B257" s="11" t="s">
        <v>898</v>
      </c>
      <c r="C257" s="87" t="s">
        <v>1215</v>
      </c>
      <c r="D257" s="11" t="s">
        <v>1755</v>
      </c>
      <c r="E257" s="129">
        <v>1019420000</v>
      </c>
      <c r="F257" s="132">
        <v>44455</v>
      </c>
      <c r="G257" s="87">
        <v>0.49399999999999999</v>
      </c>
      <c r="H257" s="87">
        <v>1012.82</v>
      </c>
      <c r="I257" s="130">
        <v>500.33308</v>
      </c>
    </row>
    <row r="258" spans="1:9" hidden="1" x14ac:dyDescent="0.25">
      <c r="A258" s="132" t="s">
        <v>1174</v>
      </c>
      <c r="B258" s="11" t="s">
        <v>1176</v>
      </c>
      <c r="C258" s="87" t="s">
        <v>1215</v>
      </c>
      <c r="D258" s="11" t="s">
        <v>1756</v>
      </c>
      <c r="E258" s="129">
        <v>1019420000</v>
      </c>
      <c r="F258" s="132">
        <v>44455</v>
      </c>
      <c r="G258" s="87">
        <v>13.284000000000001</v>
      </c>
      <c r="H258" s="87">
        <v>37.639000000000003</v>
      </c>
      <c r="I258" s="130">
        <v>499.99647600000009</v>
      </c>
    </row>
    <row r="259" spans="1:9" hidden="1" x14ac:dyDescent="0.25">
      <c r="A259" s="132" t="s">
        <v>1685</v>
      </c>
      <c r="B259" s="11" t="s">
        <v>893</v>
      </c>
      <c r="C259" s="87" t="s">
        <v>1215</v>
      </c>
      <c r="D259" s="11" t="s">
        <v>1757</v>
      </c>
      <c r="E259" s="129" t="s">
        <v>1213</v>
      </c>
      <c r="F259" s="132">
        <v>44455</v>
      </c>
      <c r="G259" s="87">
        <v>9.3010000000000002</v>
      </c>
      <c r="H259" s="87">
        <v>53.753</v>
      </c>
      <c r="I259" s="130">
        <v>499.95665300000002</v>
      </c>
    </row>
    <row r="260" spans="1:9" hidden="1" x14ac:dyDescent="0.25">
      <c r="A260" s="132" t="s">
        <v>1326</v>
      </c>
      <c r="B260" s="11" t="s">
        <v>894</v>
      </c>
      <c r="C260" s="87" t="s">
        <v>1215</v>
      </c>
      <c r="D260" s="11" t="s">
        <v>1758</v>
      </c>
      <c r="E260" s="129" t="s">
        <v>1213</v>
      </c>
      <c r="F260" s="132">
        <v>44455</v>
      </c>
      <c r="G260" s="87">
        <v>0.186</v>
      </c>
      <c r="H260" s="87">
        <v>2685.7800999999999</v>
      </c>
      <c r="I260" s="130">
        <v>499.55509860000001</v>
      </c>
    </row>
    <row r="261" spans="1:9" hidden="1" x14ac:dyDescent="0.25">
      <c r="A261" s="132" t="s">
        <v>1320</v>
      </c>
      <c r="B261" s="11" t="s">
        <v>896</v>
      </c>
      <c r="C261" s="87" t="s">
        <v>1215</v>
      </c>
      <c r="D261" s="11" t="s">
        <v>1219</v>
      </c>
      <c r="E261" s="129">
        <v>499203639934</v>
      </c>
      <c r="F261" s="132">
        <v>44455</v>
      </c>
      <c r="G261" s="87">
        <v>15.766999999999999</v>
      </c>
      <c r="H261" s="87">
        <v>317.09480000000002</v>
      </c>
      <c r="I261" s="130">
        <v>4999.6337116000004</v>
      </c>
    </row>
    <row r="262" spans="1:9" hidden="1" x14ac:dyDescent="0.25">
      <c r="A262" s="132" t="s">
        <v>1721</v>
      </c>
      <c r="B262" s="11" t="s">
        <v>1426</v>
      </c>
      <c r="C262" s="87" t="s">
        <v>1215</v>
      </c>
      <c r="D262" s="11" t="s">
        <v>1219</v>
      </c>
      <c r="E262" s="129">
        <v>499203639934</v>
      </c>
      <c r="F262" s="132">
        <v>44455</v>
      </c>
      <c r="G262" s="87">
        <v>30.571000000000002</v>
      </c>
      <c r="H262" s="87">
        <v>81.773300000000006</v>
      </c>
      <c r="I262" s="130">
        <v>2499.8915543000003</v>
      </c>
    </row>
    <row r="263" spans="1:9" hidden="1" x14ac:dyDescent="0.25">
      <c r="A263" s="132" t="s">
        <v>1721</v>
      </c>
      <c r="B263" s="11" t="s">
        <v>1426</v>
      </c>
      <c r="C263" s="87" t="s">
        <v>1215</v>
      </c>
      <c r="D263" s="11" t="s">
        <v>1722</v>
      </c>
      <c r="E263" s="129">
        <v>499203639934</v>
      </c>
      <c r="F263" s="132">
        <v>44455</v>
      </c>
      <c r="G263" s="87">
        <v>18.343</v>
      </c>
      <c r="H263" s="87">
        <v>81.773300000000006</v>
      </c>
      <c r="I263" s="130">
        <v>1499.9676419000002</v>
      </c>
    </row>
    <row r="264" spans="1:9" hidden="1" x14ac:dyDescent="0.25">
      <c r="A264" s="132" t="s">
        <v>1759</v>
      </c>
      <c r="B264" s="11" t="s">
        <v>1431</v>
      </c>
      <c r="C264" s="87" t="s">
        <v>1215</v>
      </c>
      <c r="D264" s="11" t="s">
        <v>1219</v>
      </c>
      <c r="E264" s="129">
        <v>499203639934</v>
      </c>
      <c r="F264" s="132">
        <v>44455</v>
      </c>
      <c r="G264" s="87">
        <v>20.489000000000001</v>
      </c>
      <c r="H264" s="87">
        <v>122.00830000000001</v>
      </c>
      <c r="I264" s="130">
        <v>2499.8280587000004</v>
      </c>
    </row>
    <row r="265" spans="1:9" hidden="1" x14ac:dyDescent="0.25">
      <c r="A265" s="132" t="s">
        <v>1322</v>
      </c>
      <c r="B265" s="11" t="s">
        <v>898</v>
      </c>
      <c r="C265" s="87" t="s">
        <v>1215</v>
      </c>
      <c r="D265" s="11" t="s">
        <v>1760</v>
      </c>
      <c r="E265" s="129">
        <v>1019420000</v>
      </c>
      <c r="F265" s="132">
        <v>44456</v>
      </c>
      <c r="G265" s="87">
        <v>4.9720000000000004</v>
      </c>
      <c r="H265" s="87">
        <v>1005.51</v>
      </c>
      <c r="I265" s="130">
        <v>4999.3957200000004</v>
      </c>
    </row>
    <row r="266" spans="1:9" hidden="1" x14ac:dyDescent="0.25">
      <c r="A266" s="132" t="s">
        <v>1322</v>
      </c>
      <c r="B266" s="11" t="s">
        <v>898</v>
      </c>
      <c r="C266" s="87" t="s">
        <v>1215</v>
      </c>
      <c r="D266" s="11" t="s">
        <v>1761</v>
      </c>
      <c r="E266" s="129">
        <v>1019420000</v>
      </c>
      <c r="F266" s="132">
        <v>44456</v>
      </c>
      <c r="G266" s="87">
        <v>0.497</v>
      </c>
      <c r="H266" s="87">
        <v>1005.51</v>
      </c>
      <c r="I266" s="130">
        <v>499.73847000000001</v>
      </c>
    </row>
    <row r="267" spans="1:9" hidden="1" x14ac:dyDescent="0.25">
      <c r="A267" s="132" t="s">
        <v>1174</v>
      </c>
      <c r="B267" s="11" t="s">
        <v>1176</v>
      </c>
      <c r="C267" s="87" t="s">
        <v>1215</v>
      </c>
      <c r="D267" s="11" t="s">
        <v>1762</v>
      </c>
      <c r="E267" s="129">
        <v>1019420000</v>
      </c>
      <c r="F267" s="132">
        <v>44456</v>
      </c>
      <c r="G267" s="87">
        <v>13.284000000000001</v>
      </c>
      <c r="H267" s="87">
        <v>37.639800000000001</v>
      </c>
      <c r="I267" s="130">
        <v>500.00710320000002</v>
      </c>
    </row>
    <row r="268" spans="1:9" hidden="1" x14ac:dyDescent="0.25">
      <c r="A268" s="132" t="s">
        <v>1685</v>
      </c>
      <c r="B268" s="11" t="s">
        <v>893</v>
      </c>
      <c r="C268" s="87" t="s">
        <v>1215</v>
      </c>
      <c r="D268" s="11" t="s">
        <v>1763</v>
      </c>
      <c r="E268" s="129" t="s">
        <v>1213</v>
      </c>
      <c r="F268" s="132">
        <v>44456</v>
      </c>
      <c r="G268" s="87">
        <v>9.36</v>
      </c>
      <c r="H268" s="87">
        <v>53.414000000000001</v>
      </c>
      <c r="I268" s="130">
        <v>499.95504</v>
      </c>
    </row>
    <row r="269" spans="1:9" hidden="1" x14ac:dyDescent="0.25">
      <c r="A269" s="132" t="s">
        <v>1324</v>
      </c>
      <c r="B269" s="11" t="s">
        <v>899</v>
      </c>
      <c r="C269" s="87" t="s">
        <v>1215</v>
      </c>
      <c r="D269" s="11" t="s">
        <v>1760</v>
      </c>
      <c r="E269" s="129" t="s">
        <v>1213</v>
      </c>
      <c r="F269" s="132">
        <v>44456</v>
      </c>
      <c r="G269" s="87">
        <v>305.608</v>
      </c>
      <c r="H269" s="87">
        <v>16.36</v>
      </c>
      <c r="I269" s="130">
        <v>4999.7468799999997</v>
      </c>
    </row>
    <row r="270" spans="1:9" hidden="1" x14ac:dyDescent="0.25">
      <c r="A270" s="132" t="s">
        <v>1326</v>
      </c>
      <c r="B270" s="11" t="s">
        <v>894</v>
      </c>
      <c r="C270" s="87" t="s">
        <v>1215</v>
      </c>
      <c r="D270" s="11" t="s">
        <v>1764</v>
      </c>
      <c r="E270" s="129" t="s">
        <v>1213</v>
      </c>
      <c r="F270" s="132">
        <v>44456</v>
      </c>
      <c r="G270" s="87">
        <v>0.186</v>
      </c>
      <c r="H270" s="87">
        <v>2685.7284</v>
      </c>
      <c r="I270" s="130">
        <v>499.54548239999997</v>
      </c>
    </row>
    <row r="271" spans="1:9" hidden="1" x14ac:dyDescent="0.25">
      <c r="A271" s="132" t="s">
        <v>1322</v>
      </c>
      <c r="B271" s="11" t="s">
        <v>898</v>
      </c>
      <c r="C271" s="87" t="s">
        <v>1215</v>
      </c>
      <c r="D271" s="11" t="s">
        <v>1765</v>
      </c>
      <c r="E271" s="129">
        <v>1019420000</v>
      </c>
      <c r="F271" s="132">
        <v>44459</v>
      </c>
      <c r="G271" s="87">
        <v>0.502</v>
      </c>
      <c r="H271" s="87">
        <v>996.73</v>
      </c>
      <c r="I271" s="130">
        <v>500.35846000000004</v>
      </c>
    </row>
    <row r="272" spans="1:9" hidden="1" x14ac:dyDescent="0.25">
      <c r="A272" s="132" t="s">
        <v>1174</v>
      </c>
      <c r="B272" s="11" t="s">
        <v>1176</v>
      </c>
      <c r="C272" s="87" t="s">
        <v>1215</v>
      </c>
      <c r="D272" s="11" t="s">
        <v>1766</v>
      </c>
      <c r="E272" s="129">
        <v>1019420000</v>
      </c>
      <c r="F272" s="132">
        <v>44459</v>
      </c>
      <c r="G272" s="87">
        <v>13.279</v>
      </c>
      <c r="H272" s="87">
        <v>37.654600000000002</v>
      </c>
      <c r="I272" s="130">
        <v>500.01543340000001</v>
      </c>
    </row>
    <row r="273" spans="1:9" hidden="1" x14ac:dyDescent="0.25">
      <c r="A273" s="132" t="s">
        <v>1685</v>
      </c>
      <c r="B273" s="11" t="s">
        <v>893</v>
      </c>
      <c r="C273" s="87" t="s">
        <v>1215</v>
      </c>
      <c r="D273" s="11" t="s">
        <v>1767</v>
      </c>
      <c r="E273" s="129" t="s">
        <v>1213</v>
      </c>
      <c r="F273" s="132">
        <v>44459</v>
      </c>
      <c r="G273" s="87">
        <v>9.4990000000000006</v>
      </c>
      <c r="H273" s="87">
        <v>52.636000000000003</v>
      </c>
      <c r="I273" s="130">
        <v>499.98936400000008</v>
      </c>
    </row>
    <row r="274" spans="1:9" hidden="1" x14ac:dyDescent="0.25">
      <c r="A274" s="132" t="s">
        <v>1326</v>
      </c>
      <c r="B274" s="11" t="s">
        <v>894</v>
      </c>
      <c r="C274" s="87" t="s">
        <v>1215</v>
      </c>
      <c r="D274" s="11" t="s">
        <v>1768</v>
      </c>
      <c r="E274" s="129" t="s">
        <v>1213</v>
      </c>
      <c r="F274" s="132">
        <v>44459</v>
      </c>
      <c r="G274" s="87">
        <v>0.186</v>
      </c>
      <c r="H274" s="87">
        <v>2686.5511999999999</v>
      </c>
      <c r="I274" s="130">
        <v>499.69852319999995</v>
      </c>
    </row>
    <row r="275" spans="1:9" hidden="1" x14ac:dyDescent="0.25">
      <c r="A275" s="132" t="s">
        <v>1322</v>
      </c>
      <c r="B275" s="11" t="s">
        <v>898</v>
      </c>
      <c r="C275" s="87" t="s">
        <v>1215</v>
      </c>
      <c r="D275" s="11" t="s">
        <v>1769</v>
      </c>
      <c r="E275" s="129">
        <v>1019420000</v>
      </c>
      <c r="F275" s="132">
        <v>44460</v>
      </c>
      <c r="G275" s="87">
        <v>0.499</v>
      </c>
      <c r="H275" s="87">
        <v>1001.26</v>
      </c>
      <c r="I275" s="130">
        <v>499.62873999999999</v>
      </c>
    </row>
    <row r="276" spans="1:9" hidden="1" x14ac:dyDescent="0.25">
      <c r="A276" s="132" t="s">
        <v>1174</v>
      </c>
      <c r="B276" s="11" t="s">
        <v>1176</v>
      </c>
      <c r="C276" s="87" t="s">
        <v>1215</v>
      </c>
      <c r="D276" s="11" t="s">
        <v>1770</v>
      </c>
      <c r="E276" s="129">
        <v>1019420000</v>
      </c>
      <c r="F276" s="132">
        <v>44460</v>
      </c>
      <c r="G276" s="87">
        <v>13.279</v>
      </c>
      <c r="H276" s="87">
        <v>37.654499999999999</v>
      </c>
      <c r="I276" s="130">
        <v>500.01410549999997</v>
      </c>
    </row>
    <row r="277" spans="1:9" hidden="1" x14ac:dyDescent="0.25">
      <c r="A277" s="132" t="s">
        <v>1685</v>
      </c>
      <c r="B277" s="11" t="s">
        <v>893</v>
      </c>
      <c r="C277" s="87" t="s">
        <v>1215</v>
      </c>
      <c r="D277" s="11" t="s">
        <v>1771</v>
      </c>
      <c r="E277" s="129" t="s">
        <v>1213</v>
      </c>
      <c r="F277" s="132">
        <v>44460</v>
      </c>
      <c r="G277" s="87">
        <v>9.4410000000000007</v>
      </c>
      <c r="H277" s="87">
        <v>52.959000000000003</v>
      </c>
      <c r="I277" s="130">
        <v>499.98591900000008</v>
      </c>
    </row>
    <row r="278" spans="1:9" hidden="1" x14ac:dyDescent="0.25">
      <c r="A278" s="132" t="s">
        <v>1326</v>
      </c>
      <c r="B278" s="11" t="s">
        <v>894</v>
      </c>
      <c r="C278" s="87" t="s">
        <v>1215</v>
      </c>
      <c r="D278" s="11" t="s">
        <v>1772</v>
      </c>
      <c r="E278" s="129" t="s">
        <v>1213</v>
      </c>
      <c r="F278" s="132">
        <v>44460</v>
      </c>
      <c r="G278" s="87">
        <v>0.186</v>
      </c>
      <c r="H278" s="87">
        <v>2686.6569</v>
      </c>
      <c r="I278" s="130">
        <v>499.71818339999999</v>
      </c>
    </row>
    <row r="279" spans="1:9" hidden="1" x14ac:dyDescent="0.25">
      <c r="A279" s="132" t="s">
        <v>1322</v>
      </c>
      <c r="B279" s="11" t="s">
        <v>898</v>
      </c>
      <c r="C279" s="87" t="s">
        <v>1215</v>
      </c>
      <c r="D279" s="11" t="s">
        <v>1773</v>
      </c>
      <c r="E279" s="129">
        <v>1019420000</v>
      </c>
      <c r="F279" s="132">
        <v>44461</v>
      </c>
      <c r="G279" s="87">
        <v>0.498</v>
      </c>
      <c r="H279" s="87">
        <v>1003.47</v>
      </c>
      <c r="I279" s="130">
        <v>499.72806000000003</v>
      </c>
    </row>
    <row r="280" spans="1:9" hidden="1" x14ac:dyDescent="0.25">
      <c r="A280" s="132" t="s">
        <v>1174</v>
      </c>
      <c r="B280" s="11" t="s">
        <v>1176</v>
      </c>
      <c r="C280" s="87" t="s">
        <v>1215</v>
      </c>
      <c r="D280" s="11" t="s">
        <v>1774</v>
      </c>
      <c r="E280" s="129">
        <v>1019420000</v>
      </c>
      <c r="F280" s="132">
        <v>44461</v>
      </c>
      <c r="G280" s="87">
        <v>13.279</v>
      </c>
      <c r="H280" s="87">
        <v>37.652999999999999</v>
      </c>
      <c r="I280" s="130">
        <v>499.99418699999995</v>
      </c>
    </row>
    <row r="281" spans="1:9" hidden="1" x14ac:dyDescent="0.25">
      <c r="A281" s="132" t="s">
        <v>1685</v>
      </c>
      <c r="B281" s="11" t="s">
        <v>893</v>
      </c>
      <c r="C281" s="87" t="s">
        <v>1215</v>
      </c>
      <c r="D281" s="11" t="s">
        <v>1775</v>
      </c>
      <c r="E281" s="129" t="s">
        <v>1213</v>
      </c>
      <c r="F281" s="132">
        <v>44461</v>
      </c>
      <c r="G281" s="87">
        <v>9.4450000000000003</v>
      </c>
      <c r="H281" s="87">
        <v>52.936</v>
      </c>
      <c r="I281" s="130">
        <v>499.98052000000001</v>
      </c>
    </row>
    <row r="282" spans="1:9" hidden="1" x14ac:dyDescent="0.25">
      <c r="A282" s="132" t="s">
        <v>1326</v>
      </c>
      <c r="B282" s="11" t="s">
        <v>894</v>
      </c>
      <c r="C282" s="87" t="s">
        <v>1215</v>
      </c>
      <c r="D282" s="11" t="s">
        <v>1776</v>
      </c>
      <c r="E282" s="129" t="s">
        <v>1213</v>
      </c>
      <c r="F282" s="132">
        <v>44461</v>
      </c>
      <c r="G282" s="87">
        <v>0.186</v>
      </c>
      <c r="H282" s="87">
        <v>2686.9913000000001</v>
      </c>
      <c r="I282" s="130">
        <v>499.78038180000004</v>
      </c>
    </row>
    <row r="283" spans="1:9" hidden="1" x14ac:dyDescent="0.25">
      <c r="A283" s="132" t="s">
        <v>1318</v>
      </c>
      <c r="B283" s="11" t="s">
        <v>897</v>
      </c>
      <c r="C283" s="87" t="s">
        <v>1215</v>
      </c>
      <c r="D283" s="11" t="s">
        <v>1716</v>
      </c>
      <c r="E283" s="129">
        <v>499203639934</v>
      </c>
      <c r="F283" s="132">
        <v>44461</v>
      </c>
      <c r="G283" s="87">
        <v>20.65</v>
      </c>
      <c r="H283" s="87">
        <v>72.638099999999994</v>
      </c>
      <c r="I283" s="130">
        <v>1499.9767649999999</v>
      </c>
    </row>
    <row r="284" spans="1:9" hidden="1" x14ac:dyDescent="0.25">
      <c r="A284" s="132" t="s">
        <v>1322</v>
      </c>
      <c r="B284" s="11" t="s">
        <v>898</v>
      </c>
      <c r="C284" s="87" t="s">
        <v>1215</v>
      </c>
      <c r="D284" s="11" t="s">
        <v>1777</v>
      </c>
      <c r="E284" s="129">
        <v>1019420000</v>
      </c>
      <c r="F284" s="132">
        <v>44462</v>
      </c>
      <c r="G284" s="87">
        <v>0.496</v>
      </c>
      <c r="H284" s="87">
        <v>1008.97</v>
      </c>
      <c r="I284" s="130">
        <v>500.44911999999999</v>
      </c>
    </row>
    <row r="285" spans="1:9" hidden="1" x14ac:dyDescent="0.25">
      <c r="A285" s="132" t="s">
        <v>1174</v>
      </c>
      <c r="B285" s="11" t="s">
        <v>1176</v>
      </c>
      <c r="C285" s="87" t="s">
        <v>1215</v>
      </c>
      <c r="D285" s="11" t="s">
        <v>1778</v>
      </c>
      <c r="E285" s="129">
        <v>1019420000</v>
      </c>
      <c r="F285" s="132">
        <v>44462</v>
      </c>
      <c r="G285" s="87">
        <v>13.278</v>
      </c>
      <c r="H285" s="87">
        <v>37.657400000000003</v>
      </c>
      <c r="I285" s="130">
        <v>500.01495720000003</v>
      </c>
    </row>
    <row r="286" spans="1:9" hidden="1" x14ac:dyDescent="0.25">
      <c r="A286" s="132" t="s">
        <v>1685</v>
      </c>
      <c r="B286" s="11" t="s">
        <v>893</v>
      </c>
      <c r="C286" s="87" t="s">
        <v>1215</v>
      </c>
      <c r="D286" s="11" t="s">
        <v>1779</v>
      </c>
      <c r="E286" s="129" t="s">
        <v>1213</v>
      </c>
      <c r="F286" s="132">
        <v>44462</v>
      </c>
      <c r="G286" s="87">
        <v>9.3320000000000007</v>
      </c>
      <c r="H286" s="87">
        <v>53.573999999999998</v>
      </c>
      <c r="I286" s="130">
        <v>499.95256800000004</v>
      </c>
    </row>
    <row r="287" spans="1:9" hidden="1" x14ac:dyDescent="0.25">
      <c r="A287" s="132" t="s">
        <v>1326</v>
      </c>
      <c r="B287" s="11" t="s">
        <v>894</v>
      </c>
      <c r="C287" s="87" t="s">
        <v>1215</v>
      </c>
      <c r="D287" s="11" t="s">
        <v>1780</v>
      </c>
      <c r="E287" s="129" t="s">
        <v>1213</v>
      </c>
      <c r="F287" s="132">
        <v>44462</v>
      </c>
      <c r="G287" s="87">
        <v>0.186</v>
      </c>
      <c r="H287" s="87">
        <v>2687.3462</v>
      </c>
      <c r="I287" s="130">
        <v>499.84639319999997</v>
      </c>
    </row>
    <row r="288" spans="1:9" hidden="1" x14ac:dyDescent="0.25">
      <c r="A288" s="132" t="s">
        <v>1721</v>
      </c>
      <c r="B288" s="11" t="s">
        <v>1426</v>
      </c>
      <c r="C288" s="87" t="s">
        <v>1215</v>
      </c>
      <c r="D288" s="11" t="s">
        <v>1722</v>
      </c>
      <c r="E288" s="129">
        <v>499203639934</v>
      </c>
      <c r="F288" s="132">
        <v>44462</v>
      </c>
      <c r="G288" s="87">
        <v>18.471</v>
      </c>
      <c r="H288" s="87">
        <v>81.206000000000003</v>
      </c>
      <c r="I288" s="130">
        <v>1499.9560260000001</v>
      </c>
    </row>
    <row r="289" spans="1:9" hidden="1" x14ac:dyDescent="0.25">
      <c r="A289" s="132" t="s">
        <v>1322</v>
      </c>
      <c r="B289" s="11" t="s">
        <v>898</v>
      </c>
      <c r="C289" s="87" t="s">
        <v>1215</v>
      </c>
      <c r="D289" s="11" t="s">
        <v>1781</v>
      </c>
      <c r="E289" s="129">
        <v>1019420000</v>
      </c>
      <c r="F289" s="132">
        <v>44463</v>
      </c>
      <c r="G289" s="87">
        <v>0.5</v>
      </c>
      <c r="H289" s="87">
        <v>1000.07</v>
      </c>
      <c r="I289" s="130">
        <v>500.03500000000003</v>
      </c>
    </row>
    <row r="290" spans="1:9" hidden="1" x14ac:dyDescent="0.25">
      <c r="A290" s="132" t="s">
        <v>1174</v>
      </c>
      <c r="B290" s="11" t="s">
        <v>1176</v>
      </c>
      <c r="C290" s="87" t="s">
        <v>1215</v>
      </c>
      <c r="D290" s="11" t="s">
        <v>1782</v>
      </c>
      <c r="E290" s="129">
        <v>1019420000</v>
      </c>
      <c r="F290" s="132">
        <v>44463</v>
      </c>
      <c r="G290" s="87">
        <v>13.282999999999999</v>
      </c>
      <c r="H290" s="87">
        <v>37.642800000000001</v>
      </c>
      <c r="I290" s="130">
        <v>500.0093124</v>
      </c>
    </row>
    <row r="291" spans="1:9" hidden="1" x14ac:dyDescent="0.25">
      <c r="A291" s="132" t="s">
        <v>1685</v>
      </c>
      <c r="B291" s="11" t="s">
        <v>893</v>
      </c>
      <c r="C291" s="87" t="s">
        <v>1215</v>
      </c>
      <c r="D291" s="11" t="s">
        <v>1783</v>
      </c>
      <c r="E291" s="129" t="s">
        <v>1213</v>
      </c>
      <c r="F291" s="132">
        <v>44463</v>
      </c>
      <c r="G291" s="87">
        <v>9.3699999999999992</v>
      </c>
      <c r="H291" s="87">
        <v>53.357999999999997</v>
      </c>
      <c r="I291" s="130">
        <v>499.96445999999992</v>
      </c>
    </row>
    <row r="292" spans="1:9" hidden="1" x14ac:dyDescent="0.25">
      <c r="A292" s="132" t="s">
        <v>1326</v>
      </c>
      <c r="B292" s="11" t="s">
        <v>894</v>
      </c>
      <c r="C292" s="87" t="s">
        <v>1215</v>
      </c>
      <c r="D292" s="11" t="s">
        <v>1784</v>
      </c>
      <c r="E292" s="129" t="s">
        <v>1213</v>
      </c>
      <c r="F292" s="132">
        <v>44463</v>
      </c>
      <c r="G292" s="87">
        <v>0.186</v>
      </c>
      <c r="H292" s="87">
        <v>2686.5439999999999</v>
      </c>
      <c r="I292" s="130">
        <v>499.69718399999999</v>
      </c>
    </row>
    <row r="293" spans="1:9" hidden="1" x14ac:dyDescent="0.25">
      <c r="A293" s="132" t="s">
        <v>1322</v>
      </c>
      <c r="B293" s="11" t="s">
        <v>898</v>
      </c>
      <c r="C293" s="87" t="s">
        <v>1215</v>
      </c>
      <c r="D293" s="11" t="s">
        <v>1785</v>
      </c>
      <c r="E293" s="129">
        <v>1019420000</v>
      </c>
      <c r="F293" s="132">
        <v>44466</v>
      </c>
      <c r="G293" s="87">
        <v>0.5</v>
      </c>
      <c r="H293" s="87">
        <v>999.98</v>
      </c>
      <c r="I293" s="130">
        <v>499.99</v>
      </c>
    </row>
    <row r="294" spans="1:9" hidden="1" x14ac:dyDescent="0.25">
      <c r="A294" s="132" t="s">
        <v>1174</v>
      </c>
      <c r="B294" s="11" t="s">
        <v>1176</v>
      </c>
      <c r="C294" s="87" t="s">
        <v>1215</v>
      </c>
      <c r="D294" s="11" t="s">
        <v>1786</v>
      </c>
      <c r="E294" s="129">
        <v>1019420000</v>
      </c>
      <c r="F294" s="132">
        <v>44466</v>
      </c>
      <c r="G294" s="87">
        <v>13.282999999999999</v>
      </c>
      <c r="H294" s="87">
        <v>37.643000000000001</v>
      </c>
      <c r="I294" s="130">
        <v>500.01196899999997</v>
      </c>
    </row>
    <row r="295" spans="1:9" hidden="1" x14ac:dyDescent="0.25">
      <c r="A295" s="132" t="s">
        <v>1685</v>
      </c>
      <c r="B295" s="11" t="s">
        <v>893</v>
      </c>
      <c r="C295" s="87" t="s">
        <v>1215</v>
      </c>
      <c r="D295" s="11" t="s">
        <v>1787</v>
      </c>
      <c r="E295" s="129" t="s">
        <v>1213</v>
      </c>
      <c r="F295" s="132">
        <v>44466</v>
      </c>
      <c r="G295" s="87">
        <v>9.3539999999999992</v>
      </c>
      <c r="H295" s="87">
        <v>53.451000000000001</v>
      </c>
      <c r="I295" s="130">
        <v>499.98065399999996</v>
      </c>
    </row>
    <row r="296" spans="1:9" hidden="1" x14ac:dyDescent="0.25">
      <c r="A296" s="132" t="s">
        <v>1326</v>
      </c>
      <c r="B296" s="11" t="s">
        <v>894</v>
      </c>
      <c r="C296" s="87" t="s">
        <v>1215</v>
      </c>
      <c r="D296" s="11" t="s">
        <v>1788</v>
      </c>
      <c r="E296" s="129" t="s">
        <v>1213</v>
      </c>
      <c r="F296" s="132">
        <v>44466</v>
      </c>
      <c r="G296" s="87">
        <v>0.186</v>
      </c>
      <c r="H296" s="87">
        <v>2686.2338</v>
      </c>
      <c r="I296" s="130">
        <v>499.63948679999999</v>
      </c>
    </row>
    <row r="297" spans="1:9" hidden="1" x14ac:dyDescent="0.25">
      <c r="A297" s="132" t="s">
        <v>1322</v>
      </c>
      <c r="B297" s="11" t="s">
        <v>898</v>
      </c>
      <c r="C297" s="87" t="s">
        <v>1215</v>
      </c>
      <c r="D297" s="11" t="s">
        <v>1789</v>
      </c>
      <c r="E297" s="129">
        <v>1019420000</v>
      </c>
      <c r="F297" s="132">
        <v>44467</v>
      </c>
      <c r="G297" s="87">
        <v>0.501</v>
      </c>
      <c r="H297" s="87">
        <v>998.14</v>
      </c>
      <c r="I297" s="130">
        <v>500.06813999999997</v>
      </c>
    </row>
    <row r="298" spans="1:9" hidden="1" x14ac:dyDescent="0.25">
      <c r="A298" s="132" t="s">
        <v>1174</v>
      </c>
      <c r="B298" s="11" t="s">
        <v>1176</v>
      </c>
      <c r="C298" s="87" t="s">
        <v>1215</v>
      </c>
      <c r="D298" s="11" t="s">
        <v>1790</v>
      </c>
      <c r="E298" s="129">
        <v>1019420000</v>
      </c>
      <c r="F298" s="132">
        <v>44467</v>
      </c>
      <c r="G298" s="87">
        <v>13.276999999999999</v>
      </c>
      <c r="H298" s="87">
        <v>37.658000000000001</v>
      </c>
      <c r="I298" s="130">
        <v>499.98526599999997</v>
      </c>
    </row>
    <row r="299" spans="1:9" hidden="1" x14ac:dyDescent="0.25">
      <c r="A299" s="132" t="s">
        <v>1685</v>
      </c>
      <c r="B299" s="11" t="s">
        <v>893</v>
      </c>
      <c r="C299" s="87" t="s">
        <v>1215</v>
      </c>
      <c r="D299" s="11" t="s">
        <v>1791</v>
      </c>
      <c r="E299" s="129" t="s">
        <v>1213</v>
      </c>
      <c r="F299" s="132">
        <v>44467</v>
      </c>
      <c r="G299" s="87">
        <v>9.4209999999999994</v>
      </c>
      <c r="H299" s="87">
        <v>53.067999999999998</v>
      </c>
      <c r="I299" s="130">
        <v>499.95362799999992</v>
      </c>
    </row>
    <row r="300" spans="1:9" hidden="1" x14ac:dyDescent="0.25">
      <c r="A300" s="132" t="s">
        <v>1326</v>
      </c>
      <c r="B300" s="11" t="s">
        <v>894</v>
      </c>
      <c r="C300" s="87" t="s">
        <v>1215</v>
      </c>
      <c r="D300" s="11" t="s">
        <v>1792</v>
      </c>
      <c r="E300" s="129" t="s">
        <v>1213</v>
      </c>
      <c r="F300" s="132">
        <v>44467</v>
      </c>
      <c r="G300" s="87">
        <v>0.186</v>
      </c>
      <c r="H300" s="87">
        <v>2687.3006</v>
      </c>
      <c r="I300" s="130">
        <v>499.83791159999998</v>
      </c>
    </row>
    <row r="301" spans="1:9" hidden="1" x14ac:dyDescent="0.25">
      <c r="A301" s="132" t="s">
        <v>1322</v>
      </c>
      <c r="B301" s="11" t="s">
        <v>898</v>
      </c>
      <c r="C301" s="87" t="s">
        <v>1215</v>
      </c>
      <c r="D301" s="11" t="s">
        <v>1793</v>
      </c>
      <c r="E301" s="129">
        <v>1019420000</v>
      </c>
      <c r="F301" s="132">
        <v>44468</v>
      </c>
      <c r="G301" s="87">
        <v>0.502</v>
      </c>
      <c r="H301" s="87">
        <v>995.75</v>
      </c>
      <c r="I301" s="130">
        <v>499.86649999999997</v>
      </c>
    </row>
    <row r="302" spans="1:9" hidden="1" x14ac:dyDescent="0.25">
      <c r="A302" s="132" t="s">
        <v>1174</v>
      </c>
      <c r="B302" s="11" t="s">
        <v>1176</v>
      </c>
      <c r="C302" s="87" t="s">
        <v>1215</v>
      </c>
      <c r="D302" s="11" t="s">
        <v>1794</v>
      </c>
      <c r="E302" s="129">
        <v>1019420000</v>
      </c>
      <c r="F302" s="132">
        <v>44468</v>
      </c>
      <c r="G302" s="87">
        <v>13.281000000000001</v>
      </c>
      <c r="H302" s="87">
        <v>37.647300000000001</v>
      </c>
      <c r="I302" s="130">
        <v>499.99379130000005</v>
      </c>
    </row>
    <row r="303" spans="1:9" hidden="1" x14ac:dyDescent="0.25">
      <c r="A303" s="132" t="s">
        <v>1685</v>
      </c>
      <c r="B303" s="11" t="s">
        <v>893</v>
      </c>
      <c r="C303" s="87" t="s">
        <v>1215</v>
      </c>
      <c r="D303" s="11" t="s">
        <v>1795</v>
      </c>
      <c r="E303" s="129" t="s">
        <v>1213</v>
      </c>
      <c r="F303" s="132">
        <v>44468</v>
      </c>
      <c r="G303" s="87">
        <v>9.4220000000000006</v>
      </c>
      <c r="H303" s="87">
        <v>53.064</v>
      </c>
      <c r="I303" s="130">
        <v>499.96900800000003</v>
      </c>
    </row>
    <row r="304" spans="1:9" hidden="1" x14ac:dyDescent="0.25">
      <c r="A304" s="132" t="s">
        <v>1326</v>
      </c>
      <c r="B304" s="11" t="s">
        <v>894</v>
      </c>
      <c r="C304" s="87" t="s">
        <v>1215</v>
      </c>
      <c r="D304" s="11" t="s">
        <v>1796</v>
      </c>
      <c r="E304" s="129" t="s">
        <v>1213</v>
      </c>
      <c r="F304" s="132">
        <v>44468</v>
      </c>
      <c r="G304" s="87">
        <v>0.186</v>
      </c>
      <c r="H304" s="87">
        <v>2686.8321000000001</v>
      </c>
      <c r="I304" s="130">
        <v>499.75077060000001</v>
      </c>
    </row>
    <row r="305" spans="1:9" hidden="1" x14ac:dyDescent="0.25">
      <c r="A305" s="132" t="s">
        <v>1322</v>
      </c>
      <c r="B305" s="11" t="s">
        <v>898</v>
      </c>
      <c r="C305" s="87" t="s">
        <v>1215</v>
      </c>
      <c r="D305" s="11" t="s">
        <v>1797</v>
      </c>
      <c r="E305" s="129">
        <v>1019420000</v>
      </c>
      <c r="F305" s="132">
        <v>44469</v>
      </c>
      <c r="G305" s="87">
        <v>0.501</v>
      </c>
      <c r="H305" s="87">
        <v>997.68</v>
      </c>
      <c r="I305" s="130">
        <v>499.83767999999998</v>
      </c>
    </row>
    <row r="306" spans="1:9" hidden="1" x14ac:dyDescent="0.25">
      <c r="A306" s="132" t="s">
        <v>1174</v>
      </c>
      <c r="B306" s="11" t="s">
        <v>1176</v>
      </c>
      <c r="C306" s="87" t="s">
        <v>1215</v>
      </c>
      <c r="D306" s="11" t="s">
        <v>1798</v>
      </c>
      <c r="E306" s="129">
        <v>1019420000</v>
      </c>
      <c r="F306" s="132">
        <v>44469</v>
      </c>
      <c r="G306" s="87">
        <v>13.28</v>
      </c>
      <c r="H306" s="87">
        <v>37.649700000000003</v>
      </c>
      <c r="I306" s="130">
        <v>499.98801600000002</v>
      </c>
    </row>
    <row r="307" spans="1:9" hidden="1" x14ac:dyDescent="0.25">
      <c r="A307" s="132" t="s">
        <v>1685</v>
      </c>
      <c r="B307" s="11" t="s">
        <v>893</v>
      </c>
      <c r="C307" s="87" t="s">
        <v>1215</v>
      </c>
      <c r="D307" s="11" t="s">
        <v>1799</v>
      </c>
      <c r="E307" s="129" t="s">
        <v>1213</v>
      </c>
      <c r="F307" s="132">
        <v>44469</v>
      </c>
      <c r="G307" s="87">
        <v>9.4550000000000001</v>
      </c>
      <c r="H307" s="87">
        <v>52.881999999999998</v>
      </c>
      <c r="I307" s="130">
        <v>499.99930999999998</v>
      </c>
    </row>
    <row r="308" spans="1:9" hidden="1" x14ac:dyDescent="0.25">
      <c r="A308" s="132" t="s">
        <v>1326</v>
      </c>
      <c r="B308" s="11" t="s">
        <v>894</v>
      </c>
      <c r="C308" s="87" t="s">
        <v>1215</v>
      </c>
      <c r="D308" s="11" t="s">
        <v>1800</v>
      </c>
      <c r="E308" s="129" t="s">
        <v>1213</v>
      </c>
      <c r="F308" s="132">
        <v>44469</v>
      </c>
      <c r="G308" s="87">
        <v>0.186</v>
      </c>
      <c r="H308" s="87">
        <v>2687.4753999999998</v>
      </c>
      <c r="I308" s="130">
        <v>499.87042439999993</v>
      </c>
    </row>
    <row r="309" spans="1:9" hidden="1" x14ac:dyDescent="0.25">
      <c r="A309" s="132" t="s">
        <v>1322</v>
      </c>
      <c r="B309" s="11" t="s">
        <v>898</v>
      </c>
      <c r="C309" s="87" t="s">
        <v>1215</v>
      </c>
      <c r="D309" s="11" t="s">
        <v>1801</v>
      </c>
      <c r="E309" s="129">
        <v>1019420000</v>
      </c>
      <c r="F309" s="132">
        <v>44470</v>
      </c>
      <c r="G309" s="87">
        <v>0.503</v>
      </c>
      <c r="H309" s="87">
        <v>993.63</v>
      </c>
      <c r="I309" s="130">
        <v>499.79588999999999</v>
      </c>
    </row>
    <row r="310" spans="1:9" hidden="1" x14ac:dyDescent="0.25">
      <c r="A310" s="132" t="s">
        <v>1174</v>
      </c>
      <c r="B310" s="11" t="s">
        <v>1176</v>
      </c>
      <c r="C310" s="87" t="s">
        <v>1215</v>
      </c>
      <c r="D310" s="11" t="s">
        <v>1802</v>
      </c>
      <c r="E310" s="129">
        <v>1019420000</v>
      </c>
      <c r="F310" s="132">
        <v>44470</v>
      </c>
      <c r="G310" s="87">
        <v>13.279</v>
      </c>
      <c r="H310" s="87">
        <v>37.653500000000001</v>
      </c>
      <c r="I310" s="130">
        <v>500.00082650000002</v>
      </c>
    </row>
    <row r="311" spans="1:9" hidden="1" x14ac:dyDescent="0.25">
      <c r="A311" s="132" t="s">
        <v>1685</v>
      </c>
      <c r="B311" s="11" t="s">
        <v>893</v>
      </c>
      <c r="C311" s="87" t="s">
        <v>1215</v>
      </c>
      <c r="D311" s="11" t="s">
        <v>1803</v>
      </c>
      <c r="E311" s="129" t="s">
        <v>1213</v>
      </c>
      <c r="F311" s="132">
        <v>44470</v>
      </c>
      <c r="G311" s="87">
        <v>9.4719999999999995</v>
      </c>
      <c r="H311" s="87">
        <v>52.786999999999999</v>
      </c>
      <c r="I311" s="130">
        <v>499.99846399999996</v>
      </c>
    </row>
    <row r="312" spans="1:9" hidden="1" x14ac:dyDescent="0.25">
      <c r="A312" s="132" t="s">
        <v>1326</v>
      </c>
      <c r="B312" s="11" t="s">
        <v>894</v>
      </c>
      <c r="C312" s="87" t="s">
        <v>1215</v>
      </c>
      <c r="D312" s="11" t="s">
        <v>1804</v>
      </c>
      <c r="E312" s="129" t="s">
        <v>1213</v>
      </c>
      <c r="F312" s="132">
        <v>44470</v>
      </c>
      <c r="G312" s="87">
        <v>0.186</v>
      </c>
      <c r="H312" s="87">
        <v>2687.9295999999999</v>
      </c>
      <c r="I312" s="130">
        <v>499.95490559999996</v>
      </c>
    </row>
    <row r="313" spans="1:9" hidden="1" x14ac:dyDescent="0.25">
      <c r="A313" s="132" t="s">
        <v>1318</v>
      </c>
      <c r="B313" s="11" t="s">
        <v>897</v>
      </c>
      <c r="C313" s="87" t="s">
        <v>1215</v>
      </c>
      <c r="D313" s="11" t="s">
        <v>1716</v>
      </c>
      <c r="E313" s="129">
        <v>499203639934</v>
      </c>
      <c r="F313" s="132">
        <v>44470</v>
      </c>
      <c r="G313" s="87">
        <v>20.727</v>
      </c>
      <c r="H313" s="87">
        <v>72.370500000000007</v>
      </c>
      <c r="I313" s="130">
        <v>1500.0233535000002</v>
      </c>
    </row>
    <row r="314" spans="1:9" hidden="1" x14ac:dyDescent="0.25">
      <c r="A314" s="132" t="s">
        <v>1322</v>
      </c>
      <c r="B314" s="11" t="s">
        <v>898</v>
      </c>
      <c r="C314" s="87" t="s">
        <v>1215</v>
      </c>
      <c r="D314" s="11" t="s">
        <v>1805</v>
      </c>
      <c r="E314" s="129">
        <v>1019420000</v>
      </c>
      <c r="F314" s="132">
        <v>44473</v>
      </c>
      <c r="G314" s="87">
        <v>0.497</v>
      </c>
      <c r="H314" s="87">
        <v>1005</v>
      </c>
      <c r="I314" s="130">
        <v>499.48500000000001</v>
      </c>
    </row>
    <row r="315" spans="1:9" hidden="1" x14ac:dyDescent="0.25">
      <c r="A315" s="132" t="s">
        <v>1174</v>
      </c>
      <c r="B315" s="11" t="s">
        <v>1176</v>
      </c>
      <c r="C315" s="87" t="s">
        <v>1215</v>
      </c>
      <c r="D315" s="11" t="s">
        <v>1806</v>
      </c>
      <c r="E315" s="129">
        <v>1019420000</v>
      </c>
      <c r="F315" s="132">
        <v>44473</v>
      </c>
      <c r="G315" s="87">
        <v>13.276</v>
      </c>
      <c r="H315" s="87">
        <v>37.661299999999997</v>
      </c>
      <c r="I315" s="130">
        <v>499.99141879999996</v>
      </c>
    </row>
    <row r="316" spans="1:9" hidden="1" x14ac:dyDescent="0.25">
      <c r="A316" s="132" t="s">
        <v>1685</v>
      </c>
      <c r="B316" s="11" t="s">
        <v>893</v>
      </c>
      <c r="C316" s="87" t="s">
        <v>1215</v>
      </c>
      <c r="D316" s="11" t="s">
        <v>1807</v>
      </c>
      <c r="E316" s="129" t="s">
        <v>1213</v>
      </c>
      <c r="F316" s="132">
        <v>44473</v>
      </c>
      <c r="G316" s="87">
        <v>9.3640000000000008</v>
      </c>
      <c r="H316" s="87">
        <v>53.393000000000001</v>
      </c>
      <c r="I316" s="130">
        <v>499.97205200000002</v>
      </c>
    </row>
    <row r="317" spans="1:9" hidden="1" x14ac:dyDescent="0.25">
      <c r="A317" s="132" t="s">
        <v>1326</v>
      </c>
      <c r="B317" s="11" t="s">
        <v>894</v>
      </c>
      <c r="C317" s="87" t="s">
        <v>1215</v>
      </c>
      <c r="D317" s="11" t="s">
        <v>1808</v>
      </c>
      <c r="E317" s="129" t="s">
        <v>1213</v>
      </c>
      <c r="F317" s="132">
        <v>44473</v>
      </c>
      <c r="G317" s="87">
        <v>0.186</v>
      </c>
      <c r="H317" s="87">
        <v>2688.8418000000001</v>
      </c>
      <c r="I317" s="130">
        <v>500.1245748</v>
      </c>
    </row>
    <row r="318" spans="1:9" hidden="1" x14ac:dyDescent="0.25">
      <c r="A318" s="132" t="s">
        <v>1721</v>
      </c>
      <c r="B318" s="11" t="s">
        <v>1426</v>
      </c>
      <c r="C318" s="87" t="s">
        <v>1215</v>
      </c>
      <c r="D318" s="11" t="s">
        <v>1722</v>
      </c>
      <c r="E318" s="129">
        <v>499203639934</v>
      </c>
      <c r="F318" s="132">
        <v>44473</v>
      </c>
      <c r="G318" s="87">
        <v>18.158999999999999</v>
      </c>
      <c r="H318" s="87">
        <v>82.598200000000006</v>
      </c>
      <c r="I318" s="130">
        <v>1499.9007137999999</v>
      </c>
    </row>
    <row r="319" spans="1:9" hidden="1" x14ac:dyDescent="0.25">
      <c r="A319" s="132" t="s">
        <v>1322</v>
      </c>
      <c r="B319" s="11" t="s">
        <v>898</v>
      </c>
      <c r="C319" s="87" t="s">
        <v>1215</v>
      </c>
      <c r="D319" s="11" t="s">
        <v>1809</v>
      </c>
      <c r="E319" s="129">
        <v>1019420000</v>
      </c>
      <c r="F319" s="132">
        <v>44474</v>
      </c>
      <c r="G319" s="87">
        <v>0.497</v>
      </c>
      <c r="H319" s="87">
        <v>1006.31</v>
      </c>
      <c r="I319" s="130">
        <v>500.13606999999996</v>
      </c>
    </row>
    <row r="320" spans="1:9" hidden="1" x14ac:dyDescent="0.25">
      <c r="A320" s="132" t="s">
        <v>1174</v>
      </c>
      <c r="B320" s="11" t="s">
        <v>1176</v>
      </c>
      <c r="C320" s="87" t="s">
        <v>1215</v>
      </c>
      <c r="D320" s="11" t="s">
        <v>1810</v>
      </c>
      <c r="E320" s="129">
        <v>1019420000</v>
      </c>
      <c r="F320" s="132">
        <v>44474</v>
      </c>
      <c r="G320" s="87">
        <v>13.282</v>
      </c>
      <c r="H320" s="87">
        <v>37.645299999999999</v>
      </c>
      <c r="I320" s="130">
        <v>500.00487459999999</v>
      </c>
    </row>
    <row r="321" spans="1:9" hidden="1" x14ac:dyDescent="0.25">
      <c r="A321" s="132" t="s">
        <v>1685</v>
      </c>
      <c r="B321" s="11" t="s">
        <v>893</v>
      </c>
      <c r="C321" s="87" t="s">
        <v>1215</v>
      </c>
      <c r="D321" s="11" t="s">
        <v>1811</v>
      </c>
      <c r="E321" s="129" t="s">
        <v>1213</v>
      </c>
      <c r="F321" s="132">
        <v>44474</v>
      </c>
      <c r="G321" s="87">
        <v>9.3369999999999997</v>
      </c>
      <c r="H321" s="87">
        <v>53.55</v>
      </c>
      <c r="I321" s="130">
        <v>499.99634999999995</v>
      </c>
    </row>
    <row r="322" spans="1:9" hidden="1" x14ac:dyDescent="0.25">
      <c r="A322" s="132" t="s">
        <v>1326</v>
      </c>
      <c r="B322" s="11" t="s">
        <v>894</v>
      </c>
      <c r="C322" s="87" t="s">
        <v>1215</v>
      </c>
      <c r="D322" s="11" t="s">
        <v>1812</v>
      </c>
      <c r="E322" s="129" t="s">
        <v>1213</v>
      </c>
      <c r="F322" s="132">
        <v>44474</v>
      </c>
      <c r="G322" s="87">
        <v>0.186</v>
      </c>
      <c r="H322" s="87">
        <v>2688.4477999999999</v>
      </c>
      <c r="I322" s="130">
        <v>500.0512908</v>
      </c>
    </row>
    <row r="323" spans="1:9" hidden="1" x14ac:dyDescent="0.25">
      <c r="A323" s="132" t="s">
        <v>1322</v>
      </c>
      <c r="B323" s="11" t="s">
        <v>898</v>
      </c>
      <c r="C323" s="87" t="s">
        <v>1215</v>
      </c>
      <c r="D323" s="11" t="s">
        <v>1813</v>
      </c>
      <c r="E323" s="129">
        <v>1019420000</v>
      </c>
      <c r="F323" s="132">
        <v>44475</v>
      </c>
      <c r="G323" s="87">
        <v>0.5</v>
      </c>
      <c r="H323" s="87">
        <v>1000.72</v>
      </c>
      <c r="I323" s="130">
        <v>500.36</v>
      </c>
    </row>
    <row r="324" spans="1:9" hidden="1" x14ac:dyDescent="0.25">
      <c r="A324" s="132" t="s">
        <v>1174</v>
      </c>
      <c r="B324" s="11" t="s">
        <v>1176</v>
      </c>
      <c r="C324" s="87" t="s">
        <v>1215</v>
      </c>
      <c r="D324" s="11" t="s">
        <v>1814</v>
      </c>
      <c r="E324" s="129">
        <v>1019420000</v>
      </c>
      <c r="F324" s="132">
        <v>44475</v>
      </c>
      <c r="G324" s="87">
        <v>13.285</v>
      </c>
      <c r="H324" s="87">
        <v>37.635899999999999</v>
      </c>
      <c r="I324" s="130">
        <v>499.9929315</v>
      </c>
    </row>
    <row r="325" spans="1:9" hidden="1" x14ac:dyDescent="0.25">
      <c r="A325" s="132" t="s">
        <v>1685</v>
      </c>
      <c r="B325" s="11" t="s">
        <v>893</v>
      </c>
      <c r="C325" s="87" t="s">
        <v>1215</v>
      </c>
      <c r="D325" s="11" t="s">
        <v>1815</v>
      </c>
      <c r="E325" s="129" t="s">
        <v>1213</v>
      </c>
      <c r="F325" s="132">
        <v>44475</v>
      </c>
      <c r="G325" s="87">
        <v>9.4440000000000008</v>
      </c>
      <c r="H325" s="87">
        <v>52.939</v>
      </c>
      <c r="I325" s="130">
        <v>499.95591600000006</v>
      </c>
    </row>
    <row r="326" spans="1:9" hidden="1" x14ac:dyDescent="0.25">
      <c r="A326" s="132" t="s">
        <v>1326</v>
      </c>
      <c r="B326" s="11" t="s">
        <v>894</v>
      </c>
      <c r="C326" s="87" t="s">
        <v>1215</v>
      </c>
      <c r="D326" s="11" t="s">
        <v>1816</v>
      </c>
      <c r="E326" s="129" t="s">
        <v>1213</v>
      </c>
      <c r="F326" s="132">
        <v>44475</v>
      </c>
      <c r="G326" s="87">
        <v>0.186</v>
      </c>
      <c r="H326" s="87">
        <v>2688.2278999999999</v>
      </c>
      <c r="I326" s="130">
        <v>500.01038939999995</v>
      </c>
    </row>
    <row r="327" spans="1:9" hidden="1" x14ac:dyDescent="0.25">
      <c r="A327" s="132" t="s">
        <v>1322</v>
      </c>
      <c r="B327" s="11" t="s">
        <v>898</v>
      </c>
      <c r="C327" s="87" t="s">
        <v>1215</v>
      </c>
      <c r="D327" s="11" t="s">
        <v>1817</v>
      </c>
      <c r="E327" s="129">
        <v>1019420000</v>
      </c>
      <c r="F327" s="132">
        <v>44476</v>
      </c>
      <c r="G327" s="87">
        <v>0.497</v>
      </c>
      <c r="H327" s="87">
        <v>1006.9</v>
      </c>
      <c r="I327" s="130">
        <v>500.42930000000001</v>
      </c>
    </row>
    <row r="328" spans="1:9" hidden="1" x14ac:dyDescent="0.25">
      <c r="A328" s="132" t="s">
        <v>1174</v>
      </c>
      <c r="B328" s="11" t="s">
        <v>1176</v>
      </c>
      <c r="C328" s="87" t="s">
        <v>1215</v>
      </c>
      <c r="D328" s="11" t="s">
        <v>1818</v>
      </c>
      <c r="E328" s="129">
        <v>1019420000</v>
      </c>
      <c r="F328" s="132">
        <v>44476</v>
      </c>
      <c r="G328" s="87">
        <v>13.286</v>
      </c>
      <c r="H328" s="87">
        <v>37.6342</v>
      </c>
      <c r="I328" s="130">
        <v>500.00798119999996</v>
      </c>
    </row>
    <row r="329" spans="1:9" hidden="1" x14ac:dyDescent="0.25">
      <c r="A329" s="132" t="s">
        <v>1685</v>
      </c>
      <c r="B329" s="11" t="s">
        <v>893</v>
      </c>
      <c r="C329" s="87" t="s">
        <v>1215</v>
      </c>
      <c r="D329" s="11" t="s">
        <v>1819</v>
      </c>
      <c r="E329" s="129" t="s">
        <v>1213</v>
      </c>
      <c r="F329" s="132">
        <v>44476</v>
      </c>
      <c r="G329" s="87">
        <v>9.3620000000000001</v>
      </c>
      <c r="H329" s="87">
        <v>53.404000000000003</v>
      </c>
      <c r="I329" s="130">
        <v>499.96824800000002</v>
      </c>
    </row>
    <row r="330" spans="1:9" hidden="1" x14ac:dyDescent="0.25">
      <c r="A330" s="132" t="s">
        <v>1326</v>
      </c>
      <c r="B330" s="11" t="s">
        <v>894</v>
      </c>
      <c r="C330" s="87" t="s">
        <v>1215</v>
      </c>
      <c r="D330" s="11" t="s">
        <v>1820</v>
      </c>
      <c r="E330" s="129" t="s">
        <v>1213</v>
      </c>
      <c r="F330" s="132">
        <v>44476</v>
      </c>
      <c r="G330" s="87">
        <v>0.186</v>
      </c>
      <c r="H330" s="87">
        <v>2688.8337000000001</v>
      </c>
      <c r="I330" s="130">
        <v>500.12306820000003</v>
      </c>
    </row>
    <row r="331" spans="1:9" hidden="1" x14ac:dyDescent="0.25">
      <c r="A331" s="132" t="s">
        <v>1322</v>
      </c>
      <c r="B331" s="11" t="s">
        <v>898</v>
      </c>
      <c r="C331" s="87" t="s">
        <v>1215</v>
      </c>
      <c r="D331" s="11" t="s">
        <v>1821</v>
      </c>
      <c r="E331" s="129">
        <v>1019420000</v>
      </c>
      <c r="F331" s="132">
        <v>44477</v>
      </c>
      <c r="G331" s="87">
        <v>0.496</v>
      </c>
      <c r="H331" s="87">
        <v>1007.07</v>
      </c>
      <c r="I331" s="130">
        <v>499.50672000000003</v>
      </c>
    </row>
    <row r="332" spans="1:9" hidden="1" x14ac:dyDescent="0.25">
      <c r="A332" s="132" t="s">
        <v>1174</v>
      </c>
      <c r="B332" s="11" t="s">
        <v>1176</v>
      </c>
      <c r="C332" s="87" t="s">
        <v>1215</v>
      </c>
      <c r="D332" s="11" t="s">
        <v>1822</v>
      </c>
      <c r="E332" s="129">
        <v>1019420000</v>
      </c>
      <c r="F332" s="132">
        <v>44477</v>
      </c>
      <c r="G332" s="87">
        <v>13.282999999999999</v>
      </c>
      <c r="H332" s="87">
        <v>37.640900000000002</v>
      </c>
      <c r="I332" s="130">
        <v>499.98407470000001</v>
      </c>
    </row>
    <row r="333" spans="1:9" hidden="1" x14ac:dyDescent="0.25">
      <c r="A333" s="132" t="s">
        <v>1685</v>
      </c>
      <c r="B333" s="11" t="s">
        <v>893</v>
      </c>
      <c r="C333" s="87" t="s">
        <v>1215</v>
      </c>
      <c r="D333" s="11" t="s">
        <v>1823</v>
      </c>
      <c r="E333" s="129" t="s">
        <v>1213</v>
      </c>
      <c r="F333" s="132">
        <v>44477</v>
      </c>
      <c r="G333" s="87">
        <v>9.3030000000000008</v>
      </c>
      <c r="H333" s="87">
        <v>53.741</v>
      </c>
      <c r="I333" s="130">
        <v>499.95252300000004</v>
      </c>
    </row>
    <row r="334" spans="1:9" hidden="1" x14ac:dyDescent="0.25">
      <c r="A334" s="132" t="s">
        <v>1326</v>
      </c>
      <c r="B334" s="11" t="s">
        <v>894</v>
      </c>
      <c r="C334" s="87" t="s">
        <v>1215</v>
      </c>
      <c r="D334" s="11" t="s">
        <v>1824</v>
      </c>
      <c r="E334" s="129" t="s">
        <v>1213</v>
      </c>
      <c r="F334" s="132">
        <v>44477</v>
      </c>
      <c r="G334" s="87">
        <v>0.186</v>
      </c>
      <c r="H334" s="87">
        <v>2689.0351000000001</v>
      </c>
      <c r="I334" s="130">
        <v>500.16052860000002</v>
      </c>
    </row>
    <row r="335" spans="1:9" hidden="1" x14ac:dyDescent="0.25">
      <c r="A335" s="132" t="s">
        <v>1318</v>
      </c>
      <c r="B335" s="11" t="s">
        <v>897</v>
      </c>
      <c r="C335" s="87" t="s">
        <v>1215</v>
      </c>
      <c r="D335" s="11" t="s">
        <v>1716</v>
      </c>
      <c r="E335" s="129">
        <v>499203639934</v>
      </c>
      <c r="F335" s="132">
        <v>44477</v>
      </c>
      <c r="G335" s="87">
        <v>20.765999999999998</v>
      </c>
      <c r="H335" s="87">
        <v>72.234499999999997</v>
      </c>
      <c r="I335" s="130">
        <v>1500.0216269999999</v>
      </c>
    </row>
    <row r="336" spans="1:9" hidden="1" x14ac:dyDescent="0.25">
      <c r="A336" s="132" t="s">
        <v>1322</v>
      </c>
      <c r="B336" s="11" t="s">
        <v>898</v>
      </c>
      <c r="C336" s="87" t="s">
        <v>1215</v>
      </c>
      <c r="D336" s="11" t="s">
        <v>1825</v>
      </c>
      <c r="E336" s="129">
        <v>1019420000</v>
      </c>
      <c r="F336" s="132">
        <v>44480</v>
      </c>
      <c r="G336" s="87">
        <v>0.498</v>
      </c>
      <c r="H336" s="87">
        <v>1004.16</v>
      </c>
      <c r="I336" s="130">
        <v>500.07167999999996</v>
      </c>
    </row>
    <row r="337" spans="1:9" hidden="1" x14ac:dyDescent="0.25">
      <c r="A337" s="132" t="s">
        <v>1174</v>
      </c>
      <c r="B337" s="11" t="s">
        <v>1176</v>
      </c>
      <c r="C337" s="87" t="s">
        <v>1215</v>
      </c>
      <c r="D337" s="11" t="s">
        <v>1826</v>
      </c>
      <c r="E337" s="129">
        <v>1019420000</v>
      </c>
      <c r="F337" s="132">
        <v>44480</v>
      </c>
      <c r="G337" s="87">
        <v>13.281000000000001</v>
      </c>
      <c r="H337" s="87">
        <v>37.6477</v>
      </c>
      <c r="I337" s="130">
        <v>499.99910370000003</v>
      </c>
    </row>
    <row r="338" spans="1:9" hidden="1" x14ac:dyDescent="0.25">
      <c r="A338" s="132" t="s">
        <v>1685</v>
      </c>
      <c r="B338" s="11" t="s">
        <v>893</v>
      </c>
      <c r="C338" s="87" t="s">
        <v>1215</v>
      </c>
      <c r="D338" s="11" t="s">
        <v>1827</v>
      </c>
      <c r="E338" s="129" t="s">
        <v>1213</v>
      </c>
      <c r="F338" s="132">
        <v>44480</v>
      </c>
      <c r="G338" s="87">
        <v>9.2799999999999994</v>
      </c>
      <c r="H338" s="87">
        <v>53.875</v>
      </c>
      <c r="I338" s="130">
        <v>499.96</v>
      </c>
    </row>
    <row r="339" spans="1:9" hidden="1" x14ac:dyDescent="0.25">
      <c r="A339" s="132" t="s">
        <v>1326</v>
      </c>
      <c r="B339" s="11" t="s">
        <v>894</v>
      </c>
      <c r="C339" s="87" t="s">
        <v>1215</v>
      </c>
      <c r="D339" s="11" t="s">
        <v>1828</v>
      </c>
      <c r="E339" s="129" t="s">
        <v>1213</v>
      </c>
      <c r="F339" s="132">
        <v>44480</v>
      </c>
      <c r="G339" s="87">
        <v>0.186</v>
      </c>
      <c r="H339" s="87">
        <v>2690.3782000000001</v>
      </c>
      <c r="I339" s="130">
        <v>500.41034519999999</v>
      </c>
    </row>
    <row r="340" spans="1:9" hidden="1" x14ac:dyDescent="0.25">
      <c r="A340" s="132" t="s">
        <v>1721</v>
      </c>
      <c r="B340" s="11" t="s">
        <v>1426</v>
      </c>
      <c r="C340" s="87" t="s">
        <v>1215</v>
      </c>
      <c r="D340" s="11" t="s">
        <v>1722</v>
      </c>
      <c r="E340" s="129">
        <v>499203639934</v>
      </c>
      <c r="F340" s="132">
        <v>44480</v>
      </c>
      <c r="G340" s="87">
        <v>17.681999999999999</v>
      </c>
      <c r="H340" s="87">
        <v>84.830100000000002</v>
      </c>
      <c r="I340" s="130">
        <v>1499.9658281999998</v>
      </c>
    </row>
    <row r="341" spans="1:9" hidden="1" x14ac:dyDescent="0.25">
      <c r="A341" s="132" t="s">
        <v>1322</v>
      </c>
      <c r="B341" s="11" t="s">
        <v>898</v>
      </c>
      <c r="C341" s="87" t="s">
        <v>1215</v>
      </c>
      <c r="D341" s="11" t="s">
        <v>1829</v>
      </c>
      <c r="E341" s="129">
        <v>1019420000</v>
      </c>
      <c r="F341" s="132">
        <v>44481</v>
      </c>
      <c r="G341" s="87">
        <v>0.495</v>
      </c>
      <c r="H341" s="87">
        <v>1009.2</v>
      </c>
      <c r="I341" s="130">
        <v>499.55400000000003</v>
      </c>
    </row>
    <row r="342" spans="1:9" hidden="1" x14ac:dyDescent="0.25">
      <c r="A342" s="132" t="s">
        <v>1174</v>
      </c>
      <c r="B342" s="11" t="s">
        <v>1176</v>
      </c>
      <c r="C342" s="87" t="s">
        <v>1215</v>
      </c>
      <c r="D342" s="11" t="s">
        <v>1830</v>
      </c>
      <c r="E342" s="129">
        <v>1019420000</v>
      </c>
      <c r="F342" s="132">
        <v>44481</v>
      </c>
      <c r="G342" s="87">
        <v>13.276</v>
      </c>
      <c r="H342" s="87">
        <v>37.660899999999998</v>
      </c>
      <c r="I342" s="130">
        <v>499.98610839999998</v>
      </c>
    </row>
    <row r="343" spans="1:9" hidden="1" x14ac:dyDescent="0.25">
      <c r="A343" s="132" t="s">
        <v>1685</v>
      </c>
      <c r="B343" s="11" t="s">
        <v>893</v>
      </c>
      <c r="C343" s="87" t="s">
        <v>1215</v>
      </c>
      <c r="D343" s="11" t="s">
        <v>1831</v>
      </c>
      <c r="E343" s="129" t="s">
        <v>1213</v>
      </c>
      <c r="F343" s="132">
        <v>44481</v>
      </c>
      <c r="G343" s="87">
        <v>9.2490000000000006</v>
      </c>
      <c r="H343" s="87">
        <v>54.058</v>
      </c>
      <c r="I343" s="130">
        <v>499.98244200000005</v>
      </c>
    </row>
    <row r="344" spans="1:9" hidden="1" x14ac:dyDescent="0.25">
      <c r="A344" s="132" t="s">
        <v>1326</v>
      </c>
      <c r="B344" s="11" t="s">
        <v>894</v>
      </c>
      <c r="C344" s="87" t="s">
        <v>1215</v>
      </c>
      <c r="D344" s="11" t="s">
        <v>1832</v>
      </c>
      <c r="E344" s="129" t="s">
        <v>1213</v>
      </c>
      <c r="F344" s="132">
        <v>44481</v>
      </c>
      <c r="G344" s="87">
        <v>0.186</v>
      </c>
      <c r="H344" s="87">
        <v>2691.4998000000001</v>
      </c>
      <c r="I344" s="130">
        <v>500.61896280000002</v>
      </c>
    </row>
    <row r="345" spans="1:9" hidden="1" x14ac:dyDescent="0.25">
      <c r="A345" s="132" t="s">
        <v>1322</v>
      </c>
      <c r="B345" s="11" t="s">
        <v>898</v>
      </c>
      <c r="C345" s="87" t="s">
        <v>1215</v>
      </c>
      <c r="D345" s="11" t="s">
        <v>1833</v>
      </c>
      <c r="E345" s="129">
        <v>1019420000</v>
      </c>
      <c r="F345" s="132">
        <v>44482</v>
      </c>
      <c r="G345" s="87">
        <v>0.496</v>
      </c>
      <c r="H345" s="87">
        <v>1008.07</v>
      </c>
      <c r="I345" s="130">
        <v>500.00272000000001</v>
      </c>
    </row>
    <row r="346" spans="1:9" hidden="1" x14ac:dyDescent="0.25">
      <c r="A346" s="132" t="s">
        <v>1174</v>
      </c>
      <c r="B346" s="11" t="s">
        <v>1176</v>
      </c>
      <c r="C346" s="87" t="s">
        <v>1215</v>
      </c>
      <c r="D346" s="11" t="s">
        <v>1834</v>
      </c>
      <c r="E346" s="129">
        <v>1019420000</v>
      </c>
      <c r="F346" s="132">
        <v>44482</v>
      </c>
      <c r="G346" s="87">
        <v>13.272</v>
      </c>
      <c r="H346" s="87">
        <v>37.673699999999997</v>
      </c>
      <c r="I346" s="130">
        <v>500.00534639999995</v>
      </c>
    </row>
    <row r="347" spans="1:9" hidden="1" x14ac:dyDescent="0.25">
      <c r="A347" s="132" t="s">
        <v>1685</v>
      </c>
      <c r="B347" s="11" t="s">
        <v>893</v>
      </c>
      <c r="C347" s="87" t="s">
        <v>1215</v>
      </c>
      <c r="D347" s="11" t="s">
        <v>1835</v>
      </c>
      <c r="E347" s="129" t="s">
        <v>1213</v>
      </c>
      <c r="F347" s="132">
        <v>44482</v>
      </c>
      <c r="G347" s="87">
        <v>9.218</v>
      </c>
      <c r="H347" s="87">
        <v>54.24</v>
      </c>
      <c r="I347" s="130">
        <v>499.98432000000003</v>
      </c>
    </row>
    <row r="348" spans="1:9" hidden="1" x14ac:dyDescent="0.25">
      <c r="A348" s="132" t="s">
        <v>1326</v>
      </c>
      <c r="B348" s="11" t="s">
        <v>894</v>
      </c>
      <c r="C348" s="87" t="s">
        <v>1215</v>
      </c>
      <c r="D348" s="11" t="s">
        <v>1836</v>
      </c>
      <c r="E348" s="129" t="s">
        <v>1213</v>
      </c>
      <c r="F348" s="132">
        <v>44482</v>
      </c>
      <c r="G348" s="87">
        <v>0.186</v>
      </c>
      <c r="H348" s="87">
        <v>2691.9047</v>
      </c>
      <c r="I348" s="130">
        <v>500.6942742</v>
      </c>
    </row>
    <row r="349" spans="1:9" hidden="1" x14ac:dyDescent="0.25">
      <c r="A349" s="132" t="s">
        <v>1322</v>
      </c>
      <c r="B349" s="11" t="s">
        <v>898</v>
      </c>
      <c r="C349" s="87" t="s">
        <v>1215</v>
      </c>
      <c r="D349" s="11" t="s">
        <v>1837</v>
      </c>
      <c r="E349" s="129">
        <v>1019420000</v>
      </c>
      <c r="F349" s="132">
        <v>44483</v>
      </c>
      <c r="G349" s="87">
        <v>0.49299999999999999</v>
      </c>
      <c r="H349" s="87">
        <v>1013.79</v>
      </c>
      <c r="I349" s="130">
        <v>499.79846999999995</v>
      </c>
    </row>
    <row r="350" spans="1:9" hidden="1" x14ac:dyDescent="0.25">
      <c r="A350" s="132" t="s">
        <v>1174</v>
      </c>
      <c r="B350" s="11" t="s">
        <v>1176</v>
      </c>
      <c r="C350" s="87" t="s">
        <v>1215</v>
      </c>
      <c r="D350" s="11" t="s">
        <v>1838</v>
      </c>
      <c r="E350" s="129">
        <v>1019420000</v>
      </c>
      <c r="F350" s="132">
        <v>44483</v>
      </c>
      <c r="G350" s="87">
        <v>13.273</v>
      </c>
      <c r="H350" s="87">
        <v>37.67</v>
      </c>
      <c r="I350" s="130">
        <v>499.99391000000003</v>
      </c>
    </row>
    <row r="351" spans="1:9" hidden="1" x14ac:dyDescent="0.25">
      <c r="A351" s="132" t="s">
        <v>1685</v>
      </c>
      <c r="B351" s="11" t="s">
        <v>893</v>
      </c>
      <c r="C351" s="87" t="s">
        <v>1215</v>
      </c>
      <c r="D351" s="11" t="s">
        <v>1839</v>
      </c>
      <c r="E351" s="129" t="s">
        <v>1213</v>
      </c>
      <c r="F351" s="132">
        <v>44483</v>
      </c>
      <c r="G351" s="87">
        <v>9.1560000000000006</v>
      </c>
      <c r="H351" s="87">
        <v>54.609000000000002</v>
      </c>
      <c r="I351" s="130">
        <v>500.00000400000005</v>
      </c>
    </row>
    <row r="352" spans="1:9" hidden="1" x14ac:dyDescent="0.25">
      <c r="A352" s="132" t="s">
        <v>1326</v>
      </c>
      <c r="B352" s="11" t="s">
        <v>894</v>
      </c>
      <c r="C352" s="87" t="s">
        <v>1215</v>
      </c>
      <c r="D352" s="11" t="s">
        <v>1840</v>
      </c>
      <c r="E352" s="129" t="s">
        <v>1213</v>
      </c>
      <c r="F352" s="132">
        <v>44483</v>
      </c>
      <c r="G352" s="87">
        <v>0.186</v>
      </c>
      <c r="H352" s="87">
        <v>2691.5066000000002</v>
      </c>
      <c r="I352" s="130">
        <v>500.62022760000002</v>
      </c>
    </row>
    <row r="353" spans="1:9" hidden="1" x14ac:dyDescent="0.25">
      <c r="A353" s="132" t="s">
        <v>1322</v>
      </c>
      <c r="B353" s="11" t="s">
        <v>898</v>
      </c>
      <c r="C353" s="87" t="s">
        <v>1215</v>
      </c>
      <c r="D353" s="11" t="s">
        <v>1841</v>
      </c>
      <c r="E353" s="129">
        <v>1019420000</v>
      </c>
      <c r="F353" s="132">
        <v>44487</v>
      </c>
      <c r="G353" s="87">
        <v>4.9349999999999996</v>
      </c>
      <c r="H353" s="87">
        <v>1013.06</v>
      </c>
      <c r="I353" s="130">
        <v>4999.4510999999993</v>
      </c>
    </row>
    <row r="354" spans="1:9" hidden="1" x14ac:dyDescent="0.25">
      <c r="A354" s="132" t="s">
        <v>1322</v>
      </c>
      <c r="B354" s="11" t="s">
        <v>898</v>
      </c>
      <c r="C354" s="87" t="s">
        <v>1215</v>
      </c>
      <c r="D354" s="11" t="s">
        <v>1842</v>
      </c>
      <c r="E354" s="129">
        <v>1019420000</v>
      </c>
      <c r="F354" s="132">
        <v>44487</v>
      </c>
      <c r="G354" s="87">
        <v>0.49399999999999999</v>
      </c>
      <c r="H354" s="87">
        <v>1013.06</v>
      </c>
      <c r="I354" s="130">
        <v>500.45163999999994</v>
      </c>
    </row>
    <row r="355" spans="1:9" hidden="1" x14ac:dyDescent="0.25">
      <c r="A355" s="132" t="s">
        <v>1174</v>
      </c>
      <c r="B355" s="11" t="s">
        <v>1176</v>
      </c>
      <c r="C355" s="87" t="s">
        <v>1215</v>
      </c>
      <c r="D355" s="11" t="s">
        <v>1843</v>
      </c>
      <c r="E355" s="129">
        <v>1019420000</v>
      </c>
      <c r="F355" s="132">
        <v>44487</v>
      </c>
      <c r="G355" s="87">
        <v>13.27</v>
      </c>
      <c r="H355" s="87">
        <v>37.677599999999998</v>
      </c>
      <c r="I355" s="130">
        <v>499.98175199999997</v>
      </c>
    </row>
    <row r="356" spans="1:9" hidden="1" x14ac:dyDescent="0.25">
      <c r="A356" s="132" t="s">
        <v>1685</v>
      </c>
      <c r="B356" s="11" t="s">
        <v>893</v>
      </c>
      <c r="C356" s="87" t="s">
        <v>1215</v>
      </c>
      <c r="D356" s="11" t="s">
        <v>1844</v>
      </c>
      <c r="E356" s="129" t="s">
        <v>1213</v>
      </c>
      <c r="F356" s="132">
        <v>44487</v>
      </c>
      <c r="G356" s="87">
        <v>9.0890000000000004</v>
      </c>
      <c r="H356" s="87">
        <v>55.006999999999998</v>
      </c>
      <c r="I356" s="130">
        <v>499.95862299999999</v>
      </c>
    </row>
    <row r="357" spans="1:9" hidden="1" x14ac:dyDescent="0.25">
      <c r="A357" s="132" t="s">
        <v>1324</v>
      </c>
      <c r="B357" s="11" t="s">
        <v>899</v>
      </c>
      <c r="C357" s="87" t="s">
        <v>1215</v>
      </c>
      <c r="D357" s="11" t="s">
        <v>1841</v>
      </c>
      <c r="E357" s="129" t="s">
        <v>1213</v>
      </c>
      <c r="F357" s="132">
        <v>44487</v>
      </c>
      <c r="G357" s="87">
        <v>290.51400000000001</v>
      </c>
      <c r="H357" s="87">
        <v>17.21</v>
      </c>
      <c r="I357" s="130">
        <v>4999.7459400000007</v>
      </c>
    </row>
    <row r="358" spans="1:9" hidden="1" x14ac:dyDescent="0.25">
      <c r="A358" s="132" t="s">
        <v>1326</v>
      </c>
      <c r="B358" s="11" t="s">
        <v>894</v>
      </c>
      <c r="C358" s="87" t="s">
        <v>1215</v>
      </c>
      <c r="D358" s="11" t="s">
        <v>1845</v>
      </c>
      <c r="E358" s="129" t="s">
        <v>1213</v>
      </c>
      <c r="F358" s="132">
        <v>44487</v>
      </c>
      <c r="G358" s="87">
        <v>0.186</v>
      </c>
      <c r="H358" s="87">
        <v>2692.1120999999998</v>
      </c>
      <c r="I358" s="130">
        <v>500.73285059999995</v>
      </c>
    </row>
    <row r="359" spans="1:9" hidden="1" x14ac:dyDescent="0.25">
      <c r="A359" s="132" t="s">
        <v>1318</v>
      </c>
      <c r="B359" s="11" t="s">
        <v>897</v>
      </c>
      <c r="C359" s="87" t="s">
        <v>1215</v>
      </c>
      <c r="D359" s="11" t="s">
        <v>1716</v>
      </c>
      <c r="E359" s="129">
        <v>499203639934</v>
      </c>
      <c r="F359" s="132">
        <v>44487</v>
      </c>
      <c r="G359" s="87">
        <v>20.774999999999999</v>
      </c>
      <c r="H359" s="87">
        <v>72.203500000000005</v>
      </c>
      <c r="I359" s="130">
        <v>1500.0277125</v>
      </c>
    </row>
    <row r="360" spans="1:9" hidden="1" x14ac:dyDescent="0.25">
      <c r="A360" s="132" t="s">
        <v>1320</v>
      </c>
      <c r="B360" s="11" t="s">
        <v>896</v>
      </c>
      <c r="C360" s="87" t="s">
        <v>1215</v>
      </c>
      <c r="D360" s="11" t="s">
        <v>1219</v>
      </c>
      <c r="E360" s="129">
        <v>499203639934</v>
      </c>
      <c r="F360" s="132">
        <v>44487</v>
      </c>
      <c r="G360" s="87">
        <v>16.12</v>
      </c>
      <c r="H360" s="87">
        <v>310.15179999999998</v>
      </c>
      <c r="I360" s="130">
        <v>4999.6470159999999</v>
      </c>
    </row>
    <row r="361" spans="1:9" hidden="1" x14ac:dyDescent="0.25">
      <c r="A361" s="132" t="s">
        <v>1721</v>
      </c>
      <c r="B361" s="11" t="s">
        <v>1426</v>
      </c>
      <c r="C361" s="87" t="s">
        <v>1215</v>
      </c>
      <c r="D361" s="11" t="s">
        <v>1219</v>
      </c>
      <c r="E361" s="129">
        <v>499203639934</v>
      </c>
      <c r="F361" s="132">
        <v>44487</v>
      </c>
      <c r="G361" s="87">
        <v>28.902000000000001</v>
      </c>
      <c r="H361" s="87">
        <v>86.494</v>
      </c>
      <c r="I361" s="130">
        <v>2499.849588</v>
      </c>
    </row>
    <row r="362" spans="1:9" hidden="1" x14ac:dyDescent="0.25">
      <c r="A362" s="132" t="s">
        <v>1759</v>
      </c>
      <c r="B362" s="11" t="s">
        <v>1431</v>
      </c>
      <c r="C362" s="87" t="s">
        <v>1215</v>
      </c>
      <c r="D362" s="11" t="s">
        <v>1219</v>
      </c>
      <c r="E362" s="129">
        <v>499203639934</v>
      </c>
      <c r="F362" s="132">
        <v>44487</v>
      </c>
      <c r="G362" s="87">
        <v>19.125</v>
      </c>
      <c r="H362" s="87">
        <v>130.714</v>
      </c>
      <c r="I362" s="130">
        <v>2499.9052499999998</v>
      </c>
    </row>
    <row r="363" spans="1:9" hidden="1" x14ac:dyDescent="0.25">
      <c r="A363" s="132" t="s">
        <v>1322</v>
      </c>
      <c r="B363" s="11" t="s">
        <v>898</v>
      </c>
      <c r="C363" s="87" t="s">
        <v>1215</v>
      </c>
      <c r="D363" s="11" t="s">
        <v>1846</v>
      </c>
      <c r="E363" s="129">
        <v>1019420000</v>
      </c>
      <c r="F363" s="132">
        <v>44489</v>
      </c>
      <c r="G363" s="87">
        <v>0.50700000000000001</v>
      </c>
      <c r="H363" s="87">
        <v>986.28</v>
      </c>
      <c r="I363" s="130">
        <v>500.04395999999997</v>
      </c>
    </row>
    <row r="364" spans="1:9" hidden="1" x14ac:dyDescent="0.25">
      <c r="A364" s="132" t="s">
        <v>1174</v>
      </c>
      <c r="B364" s="11" t="s">
        <v>1176</v>
      </c>
      <c r="C364" s="87" t="s">
        <v>1215</v>
      </c>
      <c r="D364" s="11" t="s">
        <v>1847</v>
      </c>
      <c r="E364" s="129">
        <v>1019420000</v>
      </c>
      <c r="F364" s="132">
        <v>44489</v>
      </c>
      <c r="G364" s="87">
        <v>13.273</v>
      </c>
      <c r="H364" s="87">
        <v>37.670200000000001</v>
      </c>
      <c r="I364" s="130">
        <v>499.9965646</v>
      </c>
    </row>
    <row r="365" spans="1:9" hidden="1" x14ac:dyDescent="0.25">
      <c r="A365" s="132" t="s">
        <v>1685</v>
      </c>
      <c r="B365" s="11" t="s">
        <v>893</v>
      </c>
      <c r="C365" s="87" t="s">
        <v>1215</v>
      </c>
      <c r="D365" s="11" t="s">
        <v>1848</v>
      </c>
      <c r="E365" s="129" t="s">
        <v>1213</v>
      </c>
      <c r="F365" s="132">
        <v>44489</v>
      </c>
      <c r="G365" s="87">
        <v>9.2479999999999993</v>
      </c>
      <c r="H365" s="87">
        <v>54.064999999999998</v>
      </c>
      <c r="I365" s="130">
        <v>499.99311999999992</v>
      </c>
    </row>
    <row r="366" spans="1:9" hidden="1" x14ac:dyDescent="0.25">
      <c r="A366" s="132" t="s">
        <v>1326</v>
      </c>
      <c r="B366" s="11" t="s">
        <v>894</v>
      </c>
      <c r="C366" s="87" t="s">
        <v>1215</v>
      </c>
      <c r="D366" s="11" t="s">
        <v>1849</v>
      </c>
      <c r="E366" s="129" t="s">
        <v>1213</v>
      </c>
      <c r="F366" s="132">
        <v>44489</v>
      </c>
      <c r="G366" s="87">
        <v>0.186</v>
      </c>
      <c r="H366" s="87">
        <v>2692.5762</v>
      </c>
      <c r="I366" s="130">
        <v>500.81917319999997</v>
      </c>
    </row>
    <row r="367" spans="1:9" hidden="1" x14ac:dyDescent="0.25">
      <c r="A367" s="132" t="s">
        <v>1721</v>
      </c>
      <c r="B367" s="11" t="s">
        <v>1426</v>
      </c>
      <c r="C367" s="87" t="s">
        <v>1215</v>
      </c>
      <c r="D367" s="11" t="s">
        <v>1722</v>
      </c>
      <c r="E367" s="129">
        <v>499203639934</v>
      </c>
      <c r="F367" s="132">
        <v>44489</v>
      </c>
      <c r="G367" s="87">
        <v>18.058</v>
      </c>
      <c r="H367" s="87">
        <v>83.063900000000004</v>
      </c>
      <c r="I367" s="130">
        <v>1499.9679062</v>
      </c>
    </row>
    <row r="368" spans="1:9" hidden="1" x14ac:dyDescent="0.25">
      <c r="A368" s="132" t="s">
        <v>1322</v>
      </c>
      <c r="B368" s="11" t="s">
        <v>898</v>
      </c>
      <c r="C368" s="87" t="s">
        <v>1215</v>
      </c>
      <c r="D368" s="11" t="s">
        <v>1850</v>
      </c>
      <c r="E368" s="129">
        <v>1019420000</v>
      </c>
      <c r="F368" s="132">
        <v>44490</v>
      </c>
      <c r="G368" s="87">
        <v>0.50600000000000001</v>
      </c>
      <c r="H368" s="87">
        <v>987.24</v>
      </c>
      <c r="I368" s="130">
        <v>499.54344000000003</v>
      </c>
    </row>
    <row r="369" spans="1:9" hidden="1" x14ac:dyDescent="0.25">
      <c r="A369" s="132" t="s">
        <v>1174</v>
      </c>
      <c r="B369" s="11" t="s">
        <v>1176</v>
      </c>
      <c r="C369" s="87" t="s">
        <v>1215</v>
      </c>
      <c r="D369" s="11" t="s">
        <v>1851</v>
      </c>
      <c r="E369" s="129">
        <v>1019420000</v>
      </c>
      <c r="F369" s="132">
        <v>44490</v>
      </c>
      <c r="G369" s="87">
        <v>13.266999999999999</v>
      </c>
      <c r="H369" s="87">
        <v>37.687800000000003</v>
      </c>
      <c r="I369" s="130">
        <v>500.00404259999999</v>
      </c>
    </row>
    <row r="370" spans="1:9" hidden="1" x14ac:dyDescent="0.25">
      <c r="A370" s="132" t="s">
        <v>1685</v>
      </c>
      <c r="B370" s="11" t="s">
        <v>893</v>
      </c>
      <c r="C370" s="87" t="s">
        <v>1215</v>
      </c>
      <c r="D370" s="11" t="s">
        <v>1852</v>
      </c>
      <c r="E370" s="129" t="s">
        <v>1213</v>
      </c>
      <c r="F370" s="132">
        <v>44490</v>
      </c>
      <c r="G370" s="87">
        <v>9.2799999999999994</v>
      </c>
      <c r="H370" s="87">
        <v>53.878</v>
      </c>
      <c r="I370" s="130">
        <v>499.98783999999995</v>
      </c>
    </row>
    <row r="371" spans="1:9" hidden="1" x14ac:dyDescent="0.25">
      <c r="A371" s="132" t="s">
        <v>1326</v>
      </c>
      <c r="B371" s="11" t="s">
        <v>894</v>
      </c>
      <c r="C371" s="87" t="s">
        <v>1215</v>
      </c>
      <c r="D371" s="11" t="s">
        <v>1853</v>
      </c>
      <c r="E371" s="129" t="s">
        <v>1213</v>
      </c>
      <c r="F371" s="132">
        <v>44490</v>
      </c>
      <c r="G371" s="87">
        <v>0.186</v>
      </c>
      <c r="H371" s="87">
        <v>2692.9683</v>
      </c>
      <c r="I371" s="130">
        <v>500.89210379999997</v>
      </c>
    </row>
    <row r="372" spans="1:9" hidden="1" x14ac:dyDescent="0.25">
      <c r="A372" s="132" t="s">
        <v>1322</v>
      </c>
      <c r="B372" s="11" t="s">
        <v>898</v>
      </c>
      <c r="C372" s="87" t="s">
        <v>1215</v>
      </c>
      <c r="D372" s="11" t="s">
        <v>1854</v>
      </c>
      <c r="E372" s="129">
        <v>1019420000</v>
      </c>
      <c r="F372" s="132">
        <v>44491</v>
      </c>
      <c r="G372" s="87">
        <v>0.50800000000000001</v>
      </c>
      <c r="H372" s="87">
        <v>983.28</v>
      </c>
      <c r="I372" s="130">
        <v>499.50623999999999</v>
      </c>
    </row>
    <row r="373" spans="1:9" hidden="1" x14ac:dyDescent="0.25">
      <c r="A373" s="132" t="s">
        <v>1174</v>
      </c>
      <c r="B373" s="11" t="s">
        <v>1176</v>
      </c>
      <c r="C373" s="87" t="s">
        <v>1215</v>
      </c>
      <c r="D373" s="11" t="s">
        <v>1855</v>
      </c>
      <c r="E373" s="129">
        <v>1019420000</v>
      </c>
      <c r="F373" s="132">
        <v>44491</v>
      </c>
      <c r="G373" s="87">
        <v>13.265000000000001</v>
      </c>
      <c r="H373" s="87">
        <v>37.693399999999997</v>
      </c>
      <c r="I373" s="130">
        <v>500.002951</v>
      </c>
    </row>
    <row r="374" spans="1:9" hidden="1" x14ac:dyDescent="0.25">
      <c r="A374" s="132" t="s">
        <v>1685</v>
      </c>
      <c r="B374" s="11" t="s">
        <v>893</v>
      </c>
      <c r="C374" s="87" t="s">
        <v>1215</v>
      </c>
      <c r="D374" s="11" t="s">
        <v>1856</v>
      </c>
      <c r="E374" s="129" t="s">
        <v>1213</v>
      </c>
      <c r="F374" s="132">
        <v>44491</v>
      </c>
      <c r="G374" s="87">
        <v>9.3209999999999997</v>
      </c>
      <c r="H374" s="87">
        <v>53.642000000000003</v>
      </c>
      <c r="I374" s="130">
        <v>499.99708200000003</v>
      </c>
    </row>
    <row r="375" spans="1:9" hidden="1" x14ac:dyDescent="0.25">
      <c r="A375" s="132" t="s">
        <v>1326</v>
      </c>
      <c r="B375" s="11" t="s">
        <v>894</v>
      </c>
      <c r="C375" s="87" t="s">
        <v>1215</v>
      </c>
      <c r="D375" s="11" t="s">
        <v>1857</v>
      </c>
      <c r="E375" s="129" t="s">
        <v>1213</v>
      </c>
      <c r="F375" s="132">
        <v>44491</v>
      </c>
      <c r="G375" s="87">
        <v>0.186</v>
      </c>
      <c r="H375" s="87">
        <v>2693.2968999999998</v>
      </c>
      <c r="I375" s="130">
        <v>500.95322339999996</v>
      </c>
    </row>
    <row r="376" spans="1:9" hidden="1" x14ac:dyDescent="0.25">
      <c r="A376" s="132" t="s">
        <v>1318</v>
      </c>
      <c r="B376" s="11" t="s">
        <v>897</v>
      </c>
      <c r="C376" s="87" t="s">
        <v>1215</v>
      </c>
      <c r="D376" s="11" t="s">
        <v>1716</v>
      </c>
      <c r="E376" s="129">
        <v>499203639934</v>
      </c>
      <c r="F376" s="132">
        <v>44491</v>
      </c>
      <c r="G376" s="87">
        <v>20.756</v>
      </c>
      <c r="H376" s="87">
        <v>72.269099999999995</v>
      </c>
      <c r="I376" s="130">
        <v>1500.0174396</v>
      </c>
    </row>
    <row r="377" spans="1:9" hidden="1" x14ac:dyDescent="0.25">
      <c r="A377" s="132" t="s">
        <v>1322</v>
      </c>
      <c r="B377" s="11" t="s">
        <v>898</v>
      </c>
      <c r="C377" s="87" t="s">
        <v>1215</v>
      </c>
      <c r="D377" s="11" t="s">
        <v>1858</v>
      </c>
      <c r="E377" s="129">
        <v>1019420000</v>
      </c>
      <c r="F377" s="132">
        <v>44494</v>
      </c>
      <c r="G377" s="87">
        <v>0.51600000000000001</v>
      </c>
      <c r="H377" s="87">
        <v>969.07</v>
      </c>
      <c r="I377" s="130">
        <v>500.04012000000006</v>
      </c>
    </row>
    <row r="378" spans="1:9" hidden="1" x14ac:dyDescent="0.25">
      <c r="A378" s="132" t="s">
        <v>1174</v>
      </c>
      <c r="B378" s="11" t="s">
        <v>1176</v>
      </c>
      <c r="C378" s="87" t="s">
        <v>1215</v>
      </c>
      <c r="D378" s="11" t="s">
        <v>1859</v>
      </c>
      <c r="E378" s="129">
        <v>1019420000</v>
      </c>
      <c r="F378" s="132">
        <v>44494</v>
      </c>
      <c r="G378" s="87">
        <v>7.1020000000000003</v>
      </c>
      <c r="H378" s="87">
        <v>37.703499999999998</v>
      </c>
      <c r="I378" s="130">
        <v>267.77025700000002</v>
      </c>
    </row>
    <row r="379" spans="1:9" hidden="1" x14ac:dyDescent="0.25">
      <c r="A379" s="132" t="s">
        <v>1685</v>
      </c>
      <c r="B379" s="11" t="s">
        <v>893</v>
      </c>
      <c r="C379" s="87" t="s">
        <v>1215</v>
      </c>
      <c r="D379" s="11" t="s">
        <v>1860</v>
      </c>
      <c r="E379" s="129" t="s">
        <v>1213</v>
      </c>
      <c r="F379" s="132">
        <v>44494</v>
      </c>
      <c r="G379" s="87">
        <v>9.2899999999999991</v>
      </c>
      <c r="H379" s="87">
        <v>53.82</v>
      </c>
      <c r="I379" s="130">
        <v>499.98779999999994</v>
      </c>
    </row>
    <row r="380" spans="1:9" hidden="1" x14ac:dyDescent="0.25">
      <c r="A380" s="132" t="s">
        <v>1326</v>
      </c>
      <c r="B380" s="11" t="s">
        <v>894</v>
      </c>
      <c r="C380" s="87" t="s">
        <v>1215</v>
      </c>
      <c r="D380" s="11" t="s">
        <v>1861</v>
      </c>
      <c r="E380" s="129" t="s">
        <v>1213</v>
      </c>
      <c r="F380" s="132">
        <v>44494</v>
      </c>
      <c r="G380" s="87">
        <v>0.186</v>
      </c>
      <c r="H380" s="87">
        <v>2693.9881</v>
      </c>
      <c r="I380" s="130">
        <v>501.08178659999999</v>
      </c>
    </row>
    <row r="381" spans="1:9" hidden="1" x14ac:dyDescent="0.25">
      <c r="A381" s="132" t="s">
        <v>1721</v>
      </c>
      <c r="B381" s="11" t="s">
        <v>1426</v>
      </c>
      <c r="C381" s="87" t="s">
        <v>1215</v>
      </c>
      <c r="D381" s="11" t="s">
        <v>1722</v>
      </c>
      <c r="E381" s="129">
        <v>499203639934</v>
      </c>
      <c r="F381" s="132">
        <v>44494</v>
      </c>
      <c r="G381" s="87">
        <v>18.812999999999999</v>
      </c>
      <c r="H381" s="87">
        <v>79.727999999999994</v>
      </c>
      <c r="I381" s="130">
        <v>1499.9228639999999</v>
      </c>
    </row>
    <row r="382" spans="1:9" hidden="1" x14ac:dyDescent="0.25">
      <c r="A382" s="132" t="s">
        <v>1322</v>
      </c>
      <c r="B382" s="11" t="s">
        <v>898</v>
      </c>
      <c r="C382" s="87" t="s">
        <v>1215</v>
      </c>
      <c r="D382" s="11" t="s">
        <v>1862</v>
      </c>
      <c r="E382" s="129">
        <v>1019420000</v>
      </c>
      <c r="F382" s="132">
        <v>44495</v>
      </c>
      <c r="G382" s="87">
        <v>0.27200000000000002</v>
      </c>
      <c r="H382" s="87">
        <v>984.22</v>
      </c>
      <c r="I382" s="130">
        <v>267.70784000000003</v>
      </c>
    </row>
    <row r="383" spans="1:9" hidden="1" x14ac:dyDescent="0.25">
      <c r="A383" s="132" t="s">
        <v>1685</v>
      </c>
      <c r="B383" s="11" t="s">
        <v>893</v>
      </c>
      <c r="C383" s="87" t="s">
        <v>1215</v>
      </c>
      <c r="D383" s="11" t="s">
        <v>1863</v>
      </c>
      <c r="E383" s="129" t="s">
        <v>1213</v>
      </c>
      <c r="F383" s="132">
        <v>44495</v>
      </c>
      <c r="G383" s="87">
        <v>9.1910000000000007</v>
      </c>
      <c r="H383" s="87">
        <v>54.399000000000001</v>
      </c>
      <c r="I383" s="130">
        <v>499.98120900000004</v>
      </c>
    </row>
    <row r="384" spans="1:9" hidden="1" x14ac:dyDescent="0.25">
      <c r="A384" s="132" t="s">
        <v>1326</v>
      </c>
      <c r="B384" s="11" t="s">
        <v>894</v>
      </c>
      <c r="C384" s="87" t="s">
        <v>1215</v>
      </c>
      <c r="D384" s="11" t="s">
        <v>1864</v>
      </c>
      <c r="E384" s="129" t="s">
        <v>1213</v>
      </c>
      <c r="F384" s="132">
        <v>44495</v>
      </c>
      <c r="G384" s="87">
        <v>0.186</v>
      </c>
      <c r="H384" s="87">
        <v>2693.4798000000001</v>
      </c>
      <c r="I384" s="130">
        <v>500.98724279999999</v>
      </c>
    </row>
    <row r="385" spans="1:9" hidden="1" x14ac:dyDescent="0.25">
      <c r="A385" s="132" t="s">
        <v>1685</v>
      </c>
      <c r="B385" s="11" t="s">
        <v>893</v>
      </c>
      <c r="C385" s="87" t="s">
        <v>1215</v>
      </c>
      <c r="D385" s="11" t="s">
        <v>1865</v>
      </c>
      <c r="E385" s="129" t="s">
        <v>1213</v>
      </c>
      <c r="F385" s="132">
        <v>44496</v>
      </c>
      <c r="G385" s="87">
        <v>9.1980000000000004</v>
      </c>
      <c r="H385" s="87">
        <v>54.356000000000002</v>
      </c>
      <c r="I385" s="130">
        <v>499.96648800000003</v>
      </c>
    </row>
    <row r="386" spans="1:9" hidden="1" x14ac:dyDescent="0.25">
      <c r="A386" s="132" t="s">
        <v>1326</v>
      </c>
      <c r="B386" s="11" t="s">
        <v>894</v>
      </c>
      <c r="C386" s="87" t="s">
        <v>1215</v>
      </c>
      <c r="D386" s="11" t="s">
        <v>1866</v>
      </c>
      <c r="E386" s="129" t="s">
        <v>1213</v>
      </c>
      <c r="F386" s="132">
        <v>44496</v>
      </c>
      <c r="G386" s="87">
        <v>0.186</v>
      </c>
      <c r="H386" s="87">
        <v>2693.1457</v>
      </c>
      <c r="I386" s="130">
        <v>500.92510019999997</v>
      </c>
    </row>
    <row r="387" spans="1:9" hidden="1" x14ac:dyDescent="0.25">
      <c r="A387" s="132" t="s">
        <v>1685</v>
      </c>
      <c r="B387" s="11" t="s">
        <v>893</v>
      </c>
      <c r="C387" s="87" t="s">
        <v>1215</v>
      </c>
      <c r="D387" s="11" t="s">
        <v>1867</v>
      </c>
      <c r="E387" s="129" t="s">
        <v>1213</v>
      </c>
      <c r="F387" s="132">
        <v>44497</v>
      </c>
      <c r="G387" s="87">
        <v>9.3689999999999998</v>
      </c>
      <c r="H387" s="87">
        <v>53.365000000000002</v>
      </c>
      <c r="I387" s="130">
        <v>499.97668500000003</v>
      </c>
    </row>
    <row r="388" spans="1:9" hidden="1" x14ac:dyDescent="0.25">
      <c r="A388" s="132" t="s">
        <v>1326</v>
      </c>
      <c r="B388" s="11" t="s">
        <v>894</v>
      </c>
      <c r="C388" s="87" t="s">
        <v>1215</v>
      </c>
      <c r="D388" s="11" t="s">
        <v>1868</v>
      </c>
      <c r="E388" s="129" t="s">
        <v>1213</v>
      </c>
      <c r="F388" s="132">
        <v>44497</v>
      </c>
      <c r="G388" s="87">
        <v>0.186</v>
      </c>
      <c r="H388" s="87">
        <v>2693.2737000000002</v>
      </c>
      <c r="I388" s="130">
        <v>500.94890820000001</v>
      </c>
    </row>
    <row r="389" spans="1:9" hidden="1" x14ac:dyDescent="0.25">
      <c r="A389" s="132" t="s">
        <v>1685</v>
      </c>
      <c r="B389" s="11" t="s">
        <v>893</v>
      </c>
      <c r="C389" s="87" t="s">
        <v>1215</v>
      </c>
      <c r="D389" s="11" t="s">
        <v>1869</v>
      </c>
      <c r="E389" s="129" t="s">
        <v>1213</v>
      </c>
      <c r="F389" s="132">
        <v>44498</v>
      </c>
      <c r="G389" s="87">
        <v>9.3870000000000005</v>
      </c>
      <c r="H389" s="87">
        <v>53.264000000000003</v>
      </c>
      <c r="I389" s="130">
        <v>499.98916800000006</v>
      </c>
    </row>
    <row r="390" spans="1:9" hidden="1" x14ac:dyDescent="0.25">
      <c r="A390" s="132" t="s">
        <v>1326</v>
      </c>
      <c r="B390" s="11" t="s">
        <v>894</v>
      </c>
      <c r="C390" s="87" t="s">
        <v>1215</v>
      </c>
      <c r="D390" s="11" t="s">
        <v>1870</v>
      </c>
      <c r="E390" s="129" t="s">
        <v>1213</v>
      </c>
      <c r="F390" s="132">
        <v>44498</v>
      </c>
      <c r="G390" s="87">
        <v>0.186</v>
      </c>
      <c r="H390" s="87">
        <v>2692.7392</v>
      </c>
      <c r="I390" s="130">
        <v>500.84949119999999</v>
      </c>
    </row>
    <row r="391" spans="1:9" hidden="1" x14ac:dyDescent="0.25">
      <c r="A391" s="132" t="s">
        <v>1685</v>
      </c>
      <c r="B391" s="11" t="s">
        <v>893</v>
      </c>
      <c r="C391" s="87" t="s">
        <v>1215</v>
      </c>
      <c r="D391" s="11" t="s">
        <v>1871</v>
      </c>
      <c r="E391" s="129" t="s">
        <v>1213</v>
      </c>
      <c r="F391" s="132">
        <v>44501</v>
      </c>
      <c r="G391" s="87">
        <v>9.2970000000000006</v>
      </c>
      <c r="H391" s="87">
        <v>53.777000000000001</v>
      </c>
      <c r="I391" s="130">
        <v>499.96476900000005</v>
      </c>
    </row>
    <row r="392" spans="1:9" hidden="1" x14ac:dyDescent="0.25">
      <c r="A392" s="132" t="s">
        <v>1326</v>
      </c>
      <c r="B392" s="11" t="s">
        <v>894</v>
      </c>
      <c r="C392" s="87" t="s">
        <v>1215</v>
      </c>
      <c r="D392" s="11" t="s">
        <v>1872</v>
      </c>
      <c r="E392" s="129" t="s">
        <v>1213</v>
      </c>
      <c r="F392" s="132">
        <v>44501</v>
      </c>
      <c r="G392" s="87">
        <v>0.186</v>
      </c>
      <c r="H392" s="87">
        <v>2692.8386999999998</v>
      </c>
      <c r="I392" s="130">
        <v>500.86799819999993</v>
      </c>
    </row>
    <row r="393" spans="1:9" hidden="1" x14ac:dyDescent="0.25">
      <c r="A393" s="132" t="s">
        <v>1318</v>
      </c>
      <c r="B393" s="11" t="s">
        <v>897</v>
      </c>
      <c r="C393" s="87" t="s">
        <v>1215</v>
      </c>
      <c r="D393" s="11" t="s">
        <v>1716</v>
      </c>
      <c r="E393" s="129">
        <v>499203639934</v>
      </c>
      <c r="F393" s="132">
        <v>44501</v>
      </c>
      <c r="G393" s="87">
        <v>20.733000000000001</v>
      </c>
      <c r="H393" s="87">
        <v>72.346999999999994</v>
      </c>
      <c r="I393" s="130">
        <v>1499.9703509999999</v>
      </c>
    </row>
    <row r="394" spans="1:9" hidden="1" x14ac:dyDescent="0.25">
      <c r="A394" s="132" t="s">
        <v>1685</v>
      </c>
      <c r="B394" s="11" t="s">
        <v>893</v>
      </c>
      <c r="C394" s="87" t="s">
        <v>1215</v>
      </c>
      <c r="D394" s="11" t="s">
        <v>1873</v>
      </c>
      <c r="E394" s="129" t="s">
        <v>1213</v>
      </c>
      <c r="F394" s="132">
        <v>44502</v>
      </c>
      <c r="G394" s="87">
        <v>9.3079999999999998</v>
      </c>
      <c r="H394" s="87">
        <v>53.713000000000001</v>
      </c>
      <c r="I394" s="130">
        <v>499.96060399999999</v>
      </c>
    </row>
    <row r="395" spans="1:9" hidden="1" x14ac:dyDescent="0.25">
      <c r="A395" s="132" t="s">
        <v>1326</v>
      </c>
      <c r="B395" s="11" t="s">
        <v>894</v>
      </c>
      <c r="C395" s="87" t="s">
        <v>1215</v>
      </c>
      <c r="D395" s="11" t="s">
        <v>1874</v>
      </c>
      <c r="E395" s="129" t="s">
        <v>1213</v>
      </c>
      <c r="F395" s="132">
        <v>44502</v>
      </c>
      <c r="G395" s="87">
        <v>0.186</v>
      </c>
      <c r="H395" s="87">
        <v>2692.6464999999998</v>
      </c>
      <c r="I395" s="130">
        <v>500.83224899999999</v>
      </c>
    </row>
    <row r="396" spans="1:9" hidden="1" x14ac:dyDescent="0.25">
      <c r="A396" s="132" t="s">
        <v>1721</v>
      </c>
      <c r="B396" s="11" t="s">
        <v>1426</v>
      </c>
      <c r="C396" s="87" t="s">
        <v>1215</v>
      </c>
      <c r="D396" s="11" t="s">
        <v>1722</v>
      </c>
      <c r="E396" s="129">
        <v>499203639934</v>
      </c>
      <c r="F396" s="132">
        <v>44502</v>
      </c>
      <c r="G396" s="87">
        <v>18.149999999999999</v>
      </c>
      <c r="H396" s="87">
        <v>82.641800000000003</v>
      </c>
      <c r="I396" s="130">
        <v>1499.94867</v>
      </c>
    </row>
    <row r="397" spans="1:9" hidden="1" x14ac:dyDescent="0.25">
      <c r="A397" s="132" t="s">
        <v>1685</v>
      </c>
      <c r="B397" s="11" t="s">
        <v>893</v>
      </c>
      <c r="C397" s="87" t="s">
        <v>1215</v>
      </c>
      <c r="D397" s="11" t="s">
        <v>1875</v>
      </c>
      <c r="E397" s="129" t="s">
        <v>1213</v>
      </c>
      <c r="F397" s="132">
        <v>44503</v>
      </c>
      <c r="G397" s="87">
        <v>9.3260000000000005</v>
      </c>
      <c r="H397" s="87">
        <v>53.609000000000002</v>
      </c>
      <c r="I397" s="130">
        <v>499.95753400000007</v>
      </c>
    </row>
    <row r="398" spans="1:9" hidden="1" x14ac:dyDescent="0.25">
      <c r="A398" s="132" t="s">
        <v>1326</v>
      </c>
      <c r="B398" s="11" t="s">
        <v>894</v>
      </c>
      <c r="C398" s="87" t="s">
        <v>1215</v>
      </c>
      <c r="D398" s="11" t="s">
        <v>1876</v>
      </c>
      <c r="E398" s="129" t="s">
        <v>1213</v>
      </c>
      <c r="F398" s="132">
        <v>44503</v>
      </c>
      <c r="G398" s="87">
        <v>0.186</v>
      </c>
      <c r="H398" s="87">
        <v>2692.7417999999998</v>
      </c>
      <c r="I398" s="130">
        <v>500.84997479999998</v>
      </c>
    </row>
    <row r="399" spans="1:9" hidden="1" x14ac:dyDescent="0.25">
      <c r="A399" s="132" t="s">
        <v>1685</v>
      </c>
      <c r="B399" s="11" t="s">
        <v>893</v>
      </c>
      <c r="C399" s="87" t="s">
        <v>1215</v>
      </c>
      <c r="D399" s="11" t="s">
        <v>1877</v>
      </c>
      <c r="E399" s="129" t="s">
        <v>1213</v>
      </c>
      <c r="F399" s="132">
        <v>44508</v>
      </c>
      <c r="G399" s="87">
        <v>9.1959999999999997</v>
      </c>
      <c r="H399" s="87">
        <v>54.366999999999997</v>
      </c>
      <c r="I399" s="130">
        <v>499.95893199999995</v>
      </c>
    </row>
    <row r="400" spans="1:9" hidden="1" x14ac:dyDescent="0.25">
      <c r="A400" s="132" t="s">
        <v>1326</v>
      </c>
      <c r="B400" s="11" t="s">
        <v>894</v>
      </c>
      <c r="C400" s="87" t="s">
        <v>1215</v>
      </c>
      <c r="D400" s="11" t="s">
        <v>1878</v>
      </c>
      <c r="E400" s="129" t="s">
        <v>1213</v>
      </c>
      <c r="F400" s="132">
        <v>44508</v>
      </c>
      <c r="G400" s="87">
        <v>0.186</v>
      </c>
      <c r="H400" s="87">
        <v>2694.51</v>
      </c>
      <c r="I400" s="130">
        <v>501.17886000000004</v>
      </c>
    </row>
    <row r="401" spans="1:9" hidden="1" x14ac:dyDescent="0.25">
      <c r="A401" s="132" t="s">
        <v>1318</v>
      </c>
      <c r="B401" s="11" t="s">
        <v>897</v>
      </c>
      <c r="C401" s="87" t="s">
        <v>1215</v>
      </c>
      <c r="D401" s="11" t="s">
        <v>1716</v>
      </c>
      <c r="E401" s="129">
        <v>499203639934</v>
      </c>
      <c r="F401" s="132">
        <v>44508</v>
      </c>
      <c r="G401" s="87">
        <v>20.658000000000001</v>
      </c>
      <c r="H401" s="87">
        <v>72.610900000000001</v>
      </c>
      <c r="I401" s="130">
        <v>1499.9959722000001</v>
      </c>
    </row>
    <row r="402" spans="1:9" hidden="1" x14ac:dyDescent="0.25">
      <c r="A402" s="132" t="s">
        <v>1685</v>
      </c>
      <c r="B402" s="11" t="s">
        <v>893</v>
      </c>
      <c r="C402" s="87" t="s">
        <v>1215</v>
      </c>
      <c r="D402" s="11" t="s">
        <v>1879</v>
      </c>
      <c r="E402" s="129" t="s">
        <v>1213</v>
      </c>
      <c r="F402" s="132">
        <v>44509</v>
      </c>
      <c r="G402" s="87">
        <v>9.1690000000000005</v>
      </c>
      <c r="H402" s="87">
        <v>54.529000000000003</v>
      </c>
      <c r="I402" s="130">
        <v>499.97640100000007</v>
      </c>
    </row>
    <row r="403" spans="1:9" hidden="1" x14ac:dyDescent="0.25">
      <c r="A403" s="132" t="s">
        <v>1326</v>
      </c>
      <c r="B403" s="11" t="s">
        <v>894</v>
      </c>
      <c r="C403" s="87" t="s">
        <v>1215</v>
      </c>
      <c r="D403" s="11" t="s">
        <v>1880</v>
      </c>
      <c r="E403" s="129" t="s">
        <v>1213</v>
      </c>
      <c r="F403" s="132">
        <v>44509</v>
      </c>
      <c r="G403" s="87">
        <v>0.186</v>
      </c>
      <c r="H403" s="87">
        <v>2695.0147000000002</v>
      </c>
      <c r="I403" s="130">
        <v>501.2727342</v>
      </c>
    </row>
    <row r="404" spans="1:9" hidden="1" x14ac:dyDescent="0.25">
      <c r="A404" s="132" t="s">
        <v>1721</v>
      </c>
      <c r="B404" s="11" t="s">
        <v>1426</v>
      </c>
      <c r="C404" s="87" t="s">
        <v>1215</v>
      </c>
      <c r="D404" s="11" t="s">
        <v>1722</v>
      </c>
      <c r="E404" s="129">
        <v>499203639934</v>
      </c>
      <c r="F404" s="132">
        <v>44509</v>
      </c>
      <c r="G404" s="87">
        <v>17.731999999999999</v>
      </c>
      <c r="H404" s="87">
        <v>84.587599999999995</v>
      </c>
      <c r="I404" s="130">
        <v>1499.9073231999998</v>
      </c>
    </row>
    <row r="405" spans="1:9" hidden="1" x14ac:dyDescent="0.25">
      <c r="A405" s="132" t="s">
        <v>1685</v>
      </c>
      <c r="B405" s="11" t="s">
        <v>893</v>
      </c>
      <c r="C405" s="87" t="s">
        <v>1215</v>
      </c>
      <c r="D405" s="11" t="s">
        <v>1881</v>
      </c>
      <c r="E405" s="129" t="s">
        <v>1213</v>
      </c>
      <c r="F405" s="132">
        <v>44510</v>
      </c>
      <c r="G405" s="87">
        <v>9.202</v>
      </c>
      <c r="H405" s="87">
        <v>54.332000000000001</v>
      </c>
      <c r="I405" s="130">
        <v>499.96306400000003</v>
      </c>
    </row>
    <row r="406" spans="1:9" hidden="1" x14ac:dyDescent="0.25">
      <c r="A406" s="132" t="s">
        <v>1326</v>
      </c>
      <c r="B406" s="11" t="s">
        <v>894</v>
      </c>
      <c r="C406" s="87" t="s">
        <v>1215</v>
      </c>
      <c r="D406" s="11" t="s">
        <v>1882</v>
      </c>
      <c r="E406" s="129" t="s">
        <v>1213</v>
      </c>
      <c r="F406" s="132">
        <v>44510</v>
      </c>
      <c r="G406" s="87">
        <v>0.186</v>
      </c>
      <c r="H406" s="87">
        <v>2695.2986000000001</v>
      </c>
      <c r="I406" s="130">
        <v>501.32553960000001</v>
      </c>
    </row>
    <row r="407" spans="1:9" hidden="1" x14ac:dyDescent="0.25">
      <c r="A407" s="132" t="s">
        <v>1685</v>
      </c>
      <c r="B407" s="11" t="s">
        <v>893</v>
      </c>
      <c r="C407" s="87" t="s">
        <v>1215</v>
      </c>
      <c r="D407" s="11" t="s">
        <v>1883</v>
      </c>
      <c r="E407" s="129" t="s">
        <v>1213</v>
      </c>
      <c r="F407" s="132">
        <v>44511</v>
      </c>
      <c r="G407" s="87">
        <v>9.2539999999999996</v>
      </c>
      <c r="H407" s="87">
        <v>54.03</v>
      </c>
      <c r="I407" s="130">
        <v>499.99361999999996</v>
      </c>
    </row>
    <row r="408" spans="1:9" hidden="1" x14ac:dyDescent="0.25">
      <c r="A408" s="132" t="s">
        <v>1326</v>
      </c>
      <c r="B408" s="11" t="s">
        <v>894</v>
      </c>
      <c r="C408" s="87" t="s">
        <v>1215</v>
      </c>
      <c r="D408" s="11" t="s">
        <v>1884</v>
      </c>
      <c r="E408" s="129" t="s">
        <v>1213</v>
      </c>
      <c r="F408" s="132">
        <v>44511</v>
      </c>
      <c r="G408" s="87">
        <v>0.185</v>
      </c>
      <c r="H408" s="87">
        <v>2695.7156</v>
      </c>
      <c r="I408" s="130">
        <v>498.70738599999999</v>
      </c>
    </row>
    <row r="409" spans="1:9" hidden="1" x14ac:dyDescent="0.25">
      <c r="A409" s="132" t="s">
        <v>1685</v>
      </c>
      <c r="B409" s="11" t="s">
        <v>893</v>
      </c>
      <c r="C409" s="87" t="s">
        <v>1215</v>
      </c>
      <c r="D409" s="11" t="s">
        <v>1885</v>
      </c>
      <c r="E409" s="129" t="s">
        <v>1213</v>
      </c>
      <c r="F409" s="132">
        <v>44512</v>
      </c>
      <c r="G409" s="87">
        <v>9.1649999999999991</v>
      </c>
      <c r="H409" s="87">
        <v>54.551000000000002</v>
      </c>
      <c r="I409" s="130">
        <v>499.95991499999997</v>
      </c>
    </row>
    <row r="410" spans="1:9" hidden="1" x14ac:dyDescent="0.25">
      <c r="A410" s="132" t="s">
        <v>1326</v>
      </c>
      <c r="B410" s="11" t="s">
        <v>894</v>
      </c>
      <c r="C410" s="87" t="s">
        <v>1215</v>
      </c>
      <c r="D410" s="11" t="s">
        <v>1886</v>
      </c>
      <c r="E410" s="129" t="s">
        <v>1213</v>
      </c>
      <c r="F410" s="132">
        <v>44512</v>
      </c>
      <c r="G410" s="87">
        <v>0.185</v>
      </c>
      <c r="H410" s="87">
        <v>2695.8386</v>
      </c>
      <c r="I410" s="130">
        <v>498.730141</v>
      </c>
    </row>
    <row r="411" spans="1:9" hidden="1" x14ac:dyDescent="0.25">
      <c r="A411" s="132" t="s">
        <v>1685</v>
      </c>
      <c r="B411" s="11" t="s">
        <v>893</v>
      </c>
      <c r="C411" s="87" t="s">
        <v>1215</v>
      </c>
      <c r="D411" s="11" t="s">
        <v>1887</v>
      </c>
      <c r="E411" s="129" t="s">
        <v>1213</v>
      </c>
      <c r="F411" s="132">
        <v>44515</v>
      </c>
      <c r="G411" s="87">
        <v>9.157</v>
      </c>
      <c r="H411" s="87">
        <v>54.598999999999997</v>
      </c>
      <c r="I411" s="130">
        <v>499.96304299999997</v>
      </c>
    </row>
    <row r="412" spans="1:9" hidden="1" x14ac:dyDescent="0.25">
      <c r="A412" s="132" t="s">
        <v>1326</v>
      </c>
      <c r="B412" s="11" t="s">
        <v>894</v>
      </c>
      <c r="C412" s="87" t="s">
        <v>1215</v>
      </c>
      <c r="D412" s="11" t="s">
        <v>1888</v>
      </c>
      <c r="E412" s="129" t="s">
        <v>1213</v>
      </c>
      <c r="F412" s="132">
        <v>44515</v>
      </c>
      <c r="G412" s="87">
        <v>0.185</v>
      </c>
      <c r="H412" s="87">
        <v>2696.7667000000001</v>
      </c>
      <c r="I412" s="130">
        <v>498.90183949999999</v>
      </c>
    </row>
    <row r="413" spans="1:9" hidden="1" x14ac:dyDescent="0.25">
      <c r="A413" s="132" t="s">
        <v>1318</v>
      </c>
      <c r="B413" s="11" t="s">
        <v>897</v>
      </c>
      <c r="C413" s="87" t="s">
        <v>1215</v>
      </c>
      <c r="D413" s="11" t="s">
        <v>1716</v>
      </c>
      <c r="E413" s="129">
        <v>499203639934</v>
      </c>
      <c r="F413" s="132">
        <v>44515</v>
      </c>
      <c r="G413" s="87">
        <v>20.651</v>
      </c>
      <c r="H413" s="87">
        <v>72.636600000000001</v>
      </c>
      <c r="I413" s="130">
        <v>1500.0184266000001</v>
      </c>
    </row>
    <row r="414" spans="1:9" hidden="1" x14ac:dyDescent="0.25">
      <c r="A414" s="132" t="s">
        <v>1320</v>
      </c>
      <c r="B414" s="11" t="s">
        <v>896</v>
      </c>
      <c r="C414" s="87" t="s">
        <v>1215</v>
      </c>
      <c r="D414" s="11" t="s">
        <v>1219</v>
      </c>
      <c r="E414" s="129">
        <v>499203639934</v>
      </c>
      <c r="F414" s="132">
        <v>44515</v>
      </c>
      <c r="G414" s="87">
        <v>16.288</v>
      </c>
      <c r="H414" s="87">
        <v>306.95659999999998</v>
      </c>
      <c r="I414" s="130">
        <v>4999.7091007999998</v>
      </c>
    </row>
    <row r="415" spans="1:9" hidden="1" x14ac:dyDescent="0.25">
      <c r="A415" s="132" t="s">
        <v>1721</v>
      </c>
      <c r="B415" s="11" t="s">
        <v>1426</v>
      </c>
      <c r="C415" s="87" t="s">
        <v>1215</v>
      </c>
      <c r="D415" s="11" t="s">
        <v>1219</v>
      </c>
      <c r="E415" s="129">
        <v>499203639934</v>
      </c>
      <c r="F415" s="132">
        <v>44515</v>
      </c>
      <c r="G415" s="87">
        <v>29.224</v>
      </c>
      <c r="H415" s="87">
        <v>85.542900000000003</v>
      </c>
      <c r="I415" s="130">
        <v>2499.9057096000001</v>
      </c>
    </row>
    <row r="416" spans="1:9" hidden="1" x14ac:dyDescent="0.25">
      <c r="A416" s="132" t="s">
        <v>1759</v>
      </c>
      <c r="B416" s="11" t="s">
        <v>1431</v>
      </c>
      <c r="C416" s="87" t="s">
        <v>1215</v>
      </c>
      <c r="D416" s="11" t="s">
        <v>1219</v>
      </c>
      <c r="E416" s="129">
        <v>499203639934</v>
      </c>
      <c r="F416" s="132">
        <v>44515</v>
      </c>
      <c r="G416" s="87">
        <v>19.594000000000001</v>
      </c>
      <c r="H416" s="87">
        <v>127.5869</v>
      </c>
      <c r="I416" s="130">
        <v>2499.9377186000002</v>
      </c>
    </row>
    <row r="417" spans="1:9" hidden="1" x14ac:dyDescent="0.25">
      <c r="A417" s="132" t="s">
        <v>1685</v>
      </c>
      <c r="B417" s="11" t="s">
        <v>893</v>
      </c>
      <c r="C417" s="87" t="s">
        <v>1215</v>
      </c>
      <c r="D417" s="11" t="s">
        <v>1889</v>
      </c>
      <c r="E417" s="129" t="s">
        <v>1213</v>
      </c>
      <c r="F417" s="132">
        <v>44516</v>
      </c>
      <c r="G417" s="87">
        <v>9.2119999999999997</v>
      </c>
      <c r="H417" s="87">
        <v>54.273000000000003</v>
      </c>
      <c r="I417" s="130">
        <v>499.96287599999999</v>
      </c>
    </row>
    <row r="418" spans="1:9" hidden="1" x14ac:dyDescent="0.25">
      <c r="A418" s="132" t="s">
        <v>1326</v>
      </c>
      <c r="B418" s="11" t="s">
        <v>894</v>
      </c>
      <c r="C418" s="87" t="s">
        <v>1215</v>
      </c>
      <c r="D418" s="11" t="s">
        <v>1890</v>
      </c>
      <c r="E418" s="129" t="s">
        <v>1213</v>
      </c>
      <c r="F418" s="132">
        <v>44516</v>
      </c>
      <c r="G418" s="87">
        <v>0.185</v>
      </c>
      <c r="H418" s="87">
        <v>2696.5045</v>
      </c>
      <c r="I418" s="130">
        <v>498.85333250000002</v>
      </c>
    </row>
    <row r="419" spans="1:9" hidden="1" x14ac:dyDescent="0.25">
      <c r="A419" s="132" t="s">
        <v>1721</v>
      </c>
      <c r="B419" s="11" t="s">
        <v>1426</v>
      </c>
      <c r="C419" s="87" t="s">
        <v>1215</v>
      </c>
      <c r="D419" s="11" t="s">
        <v>1722</v>
      </c>
      <c r="E419" s="129">
        <v>499203639934</v>
      </c>
      <c r="F419" s="132">
        <v>44516</v>
      </c>
      <c r="G419" s="87">
        <v>17.454999999999998</v>
      </c>
      <c r="H419" s="87">
        <v>85.929400000000001</v>
      </c>
      <c r="I419" s="130">
        <v>1499.8976769999999</v>
      </c>
    </row>
    <row r="420" spans="1:9" hidden="1" x14ac:dyDescent="0.25">
      <c r="A420" s="132" t="s">
        <v>1685</v>
      </c>
      <c r="B420" s="11" t="s">
        <v>893</v>
      </c>
      <c r="C420" s="87" t="s">
        <v>1215</v>
      </c>
      <c r="D420" s="11" t="s">
        <v>1891</v>
      </c>
      <c r="E420" s="129" t="s">
        <v>1213</v>
      </c>
      <c r="F420" s="132">
        <v>44517</v>
      </c>
      <c r="G420" s="87">
        <v>9.2859999999999996</v>
      </c>
      <c r="H420" s="87">
        <v>53.843000000000004</v>
      </c>
      <c r="I420" s="130">
        <v>499.98609800000003</v>
      </c>
    </row>
    <row r="421" spans="1:9" hidden="1" x14ac:dyDescent="0.25">
      <c r="A421" s="132" t="s">
        <v>1326</v>
      </c>
      <c r="B421" s="11" t="s">
        <v>894</v>
      </c>
      <c r="C421" s="87" t="s">
        <v>1215</v>
      </c>
      <c r="D421" s="11" t="s">
        <v>1892</v>
      </c>
      <c r="E421" s="129" t="s">
        <v>1213</v>
      </c>
      <c r="F421" s="132">
        <v>44517</v>
      </c>
      <c r="G421" s="87">
        <v>0.185</v>
      </c>
      <c r="H421" s="87">
        <v>2696.8969000000002</v>
      </c>
      <c r="I421" s="130">
        <v>498.9259265</v>
      </c>
    </row>
    <row r="422" spans="1:9" hidden="1" x14ac:dyDescent="0.25">
      <c r="A422" s="132" t="s">
        <v>1322</v>
      </c>
      <c r="B422" s="11" t="s">
        <v>898</v>
      </c>
      <c r="C422" s="87" t="s">
        <v>1215</v>
      </c>
      <c r="D422" s="11" t="s">
        <v>1893</v>
      </c>
      <c r="E422" s="129">
        <v>1019420000</v>
      </c>
      <c r="F422" s="132">
        <v>44518</v>
      </c>
      <c r="G422" s="87">
        <v>5.016</v>
      </c>
      <c r="H422" s="87">
        <v>996.69</v>
      </c>
      <c r="I422" s="130">
        <v>4999.3970399999998</v>
      </c>
    </row>
    <row r="423" spans="1:9" hidden="1" x14ac:dyDescent="0.25">
      <c r="A423" s="132" t="s">
        <v>1685</v>
      </c>
      <c r="B423" s="11" t="s">
        <v>893</v>
      </c>
      <c r="C423" s="87" t="s">
        <v>1215</v>
      </c>
      <c r="D423" s="11" t="s">
        <v>1894</v>
      </c>
      <c r="E423" s="129" t="s">
        <v>1213</v>
      </c>
      <c r="F423" s="132">
        <v>44518</v>
      </c>
      <c r="G423" s="87">
        <v>9.3719999999999999</v>
      </c>
      <c r="H423" s="87">
        <v>53.347000000000001</v>
      </c>
      <c r="I423" s="130">
        <v>499.96808400000003</v>
      </c>
    </row>
    <row r="424" spans="1:9" hidden="1" x14ac:dyDescent="0.25">
      <c r="A424" s="132" t="s">
        <v>1324</v>
      </c>
      <c r="B424" s="11" t="s">
        <v>899</v>
      </c>
      <c r="C424" s="87" t="s">
        <v>1215</v>
      </c>
      <c r="D424" s="11" t="s">
        <v>1893</v>
      </c>
      <c r="E424" s="129" t="s">
        <v>1213</v>
      </c>
      <c r="F424" s="132">
        <v>44518</v>
      </c>
      <c r="G424" s="87">
        <v>296.49200000000002</v>
      </c>
      <c r="H424" s="87">
        <v>16.863</v>
      </c>
      <c r="I424" s="130">
        <v>4999.7445960000005</v>
      </c>
    </row>
    <row r="425" spans="1:9" hidden="1" x14ac:dyDescent="0.25">
      <c r="A425" s="132" t="s">
        <v>1326</v>
      </c>
      <c r="B425" s="11" t="s">
        <v>894</v>
      </c>
      <c r="C425" s="87" t="s">
        <v>1215</v>
      </c>
      <c r="D425" s="11" t="s">
        <v>1895</v>
      </c>
      <c r="E425" s="129" t="s">
        <v>1213</v>
      </c>
      <c r="F425" s="132">
        <v>44518</v>
      </c>
      <c r="G425" s="87">
        <v>0.185</v>
      </c>
      <c r="H425" s="87">
        <v>2697.8609999999999</v>
      </c>
      <c r="I425" s="130">
        <v>499.10428499999995</v>
      </c>
    </row>
    <row r="426" spans="1:9" hidden="1" x14ac:dyDescent="0.25">
      <c r="A426" s="132" t="s">
        <v>1685</v>
      </c>
      <c r="B426" s="11" t="s">
        <v>893</v>
      </c>
      <c r="C426" s="87" t="s">
        <v>1215</v>
      </c>
      <c r="D426" s="11" t="s">
        <v>1896</v>
      </c>
      <c r="E426" s="129" t="s">
        <v>1213</v>
      </c>
      <c r="F426" s="132">
        <v>44522</v>
      </c>
      <c r="G426" s="87">
        <v>9.5660000000000007</v>
      </c>
      <c r="H426" s="87">
        <v>52.265000000000001</v>
      </c>
      <c r="I426" s="130">
        <v>499.96699000000007</v>
      </c>
    </row>
    <row r="427" spans="1:9" hidden="1" x14ac:dyDescent="0.25">
      <c r="A427" s="132" t="s">
        <v>1326</v>
      </c>
      <c r="B427" s="11" t="s">
        <v>894</v>
      </c>
      <c r="C427" s="87" t="s">
        <v>1215</v>
      </c>
      <c r="D427" s="11" t="s">
        <v>1897</v>
      </c>
      <c r="E427" s="129" t="s">
        <v>1213</v>
      </c>
      <c r="F427" s="132">
        <v>44522</v>
      </c>
      <c r="G427" s="87">
        <v>0.185</v>
      </c>
      <c r="H427" s="87">
        <v>2698.4389000000001</v>
      </c>
      <c r="I427" s="130">
        <v>499.21119650000003</v>
      </c>
    </row>
    <row r="428" spans="1:9" hidden="1" x14ac:dyDescent="0.25">
      <c r="A428" s="132" t="s">
        <v>1318</v>
      </c>
      <c r="B428" s="11" t="s">
        <v>897</v>
      </c>
      <c r="C428" s="87" t="s">
        <v>1215</v>
      </c>
      <c r="D428" s="11" t="s">
        <v>1716</v>
      </c>
      <c r="E428" s="129">
        <v>499203639934</v>
      </c>
      <c r="F428" s="132">
        <v>44522</v>
      </c>
      <c r="G428" s="87">
        <v>20.638999999999999</v>
      </c>
      <c r="H428" s="87">
        <v>72.678399999999996</v>
      </c>
      <c r="I428" s="130">
        <v>1500.0094975999998</v>
      </c>
    </row>
    <row r="429" spans="1:9" hidden="1" x14ac:dyDescent="0.25">
      <c r="A429" s="132" t="s">
        <v>1685</v>
      </c>
      <c r="B429" s="11" t="s">
        <v>893</v>
      </c>
      <c r="C429" s="87" t="s">
        <v>1215</v>
      </c>
      <c r="D429" s="11" t="s">
        <v>1896</v>
      </c>
      <c r="E429" s="129" t="s">
        <v>1213</v>
      </c>
      <c r="F429" s="132">
        <v>44523</v>
      </c>
      <c r="G429" s="87">
        <v>9.4909999999999997</v>
      </c>
      <c r="H429" s="87">
        <v>52.679000000000002</v>
      </c>
      <c r="I429" s="130">
        <v>499.97638899999998</v>
      </c>
    </row>
    <row r="430" spans="1:9" hidden="1" x14ac:dyDescent="0.25">
      <c r="A430" s="132" t="s">
        <v>1326</v>
      </c>
      <c r="B430" s="11" t="s">
        <v>894</v>
      </c>
      <c r="C430" s="87" t="s">
        <v>1215</v>
      </c>
      <c r="D430" s="11" t="s">
        <v>1897</v>
      </c>
      <c r="E430" s="129" t="s">
        <v>1213</v>
      </c>
      <c r="F430" s="132">
        <v>44523</v>
      </c>
      <c r="G430" s="87">
        <v>0.185</v>
      </c>
      <c r="H430" s="87">
        <v>2698.8164999999999</v>
      </c>
      <c r="I430" s="130">
        <v>499.28105249999999</v>
      </c>
    </row>
    <row r="431" spans="1:9" hidden="1" x14ac:dyDescent="0.25">
      <c r="A431" s="132" t="s">
        <v>1721</v>
      </c>
      <c r="B431" s="11" t="s">
        <v>1426</v>
      </c>
      <c r="C431" s="87" t="s">
        <v>1215</v>
      </c>
      <c r="D431" s="11" t="s">
        <v>1722</v>
      </c>
      <c r="E431" s="129">
        <v>499203639934</v>
      </c>
      <c r="F431" s="132">
        <v>44523</v>
      </c>
      <c r="G431" s="87">
        <v>17.995000000000001</v>
      </c>
      <c r="H431" s="87">
        <v>83.354200000000006</v>
      </c>
      <c r="I431" s="130">
        <v>1499.9588290000002</v>
      </c>
    </row>
    <row r="432" spans="1:9" hidden="1" x14ac:dyDescent="0.25">
      <c r="A432" s="132" t="s">
        <v>1685</v>
      </c>
      <c r="B432" s="11" t="s">
        <v>893</v>
      </c>
      <c r="C432" s="87" t="s">
        <v>1215</v>
      </c>
      <c r="D432" s="11" t="s">
        <v>1896</v>
      </c>
      <c r="E432" s="129" t="s">
        <v>1213</v>
      </c>
      <c r="F432" s="132">
        <v>44524</v>
      </c>
      <c r="G432" s="87">
        <v>9.5429999999999993</v>
      </c>
      <c r="H432" s="87">
        <v>52.392000000000003</v>
      </c>
      <c r="I432" s="130">
        <v>499.976856</v>
      </c>
    </row>
    <row r="433" spans="1:9" hidden="1" x14ac:dyDescent="0.25">
      <c r="A433" s="132" t="s">
        <v>1326</v>
      </c>
      <c r="B433" s="11" t="s">
        <v>894</v>
      </c>
      <c r="C433" s="87" t="s">
        <v>1215</v>
      </c>
      <c r="D433" s="11" t="s">
        <v>1897</v>
      </c>
      <c r="E433" s="129" t="s">
        <v>1213</v>
      </c>
      <c r="F433" s="132">
        <v>44524</v>
      </c>
      <c r="G433" s="87">
        <v>0.185</v>
      </c>
      <c r="H433" s="87">
        <v>2698.5605999999998</v>
      </c>
      <c r="I433" s="130">
        <v>499.23371099999997</v>
      </c>
    </row>
    <row r="434" spans="1:9" hidden="1" x14ac:dyDescent="0.25">
      <c r="A434" s="132" t="s">
        <v>1685</v>
      </c>
      <c r="B434" s="11" t="s">
        <v>893</v>
      </c>
      <c r="C434" s="87" t="s">
        <v>1215</v>
      </c>
      <c r="D434" s="11" t="s">
        <v>1896</v>
      </c>
      <c r="E434" s="129" t="s">
        <v>1213</v>
      </c>
      <c r="F434" s="132">
        <v>44525</v>
      </c>
      <c r="G434" s="87">
        <v>9.5120000000000005</v>
      </c>
      <c r="H434" s="87">
        <v>52.564</v>
      </c>
      <c r="I434" s="130">
        <v>499.98876800000005</v>
      </c>
    </row>
    <row r="435" spans="1:9" hidden="1" x14ac:dyDescent="0.25">
      <c r="A435" s="132" t="s">
        <v>1326</v>
      </c>
      <c r="B435" s="11" t="s">
        <v>894</v>
      </c>
      <c r="C435" s="87" t="s">
        <v>1215</v>
      </c>
      <c r="D435" s="11" t="s">
        <v>1897</v>
      </c>
      <c r="E435" s="129" t="s">
        <v>1213</v>
      </c>
      <c r="F435" s="132">
        <v>44525</v>
      </c>
      <c r="G435" s="87">
        <v>0.185</v>
      </c>
      <c r="H435" s="87">
        <v>2698.6597999999999</v>
      </c>
      <c r="I435" s="130">
        <v>499.25206299999996</v>
      </c>
    </row>
    <row r="436" spans="1:9" hidden="1" x14ac:dyDescent="0.25">
      <c r="A436" s="132" t="s">
        <v>1685</v>
      </c>
      <c r="B436" s="11" t="s">
        <v>893</v>
      </c>
      <c r="C436" s="87" t="s">
        <v>1215</v>
      </c>
      <c r="D436" s="11" t="s">
        <v>1896</v>
      </c>
      <c r="E436" s="129" t="s">
        <v>1213</v>
      </c>
      <c r="F436" s="132">
        <v>44526</v>
      </c>
      <c r="G436" s="87">
        <v>9.8070000000000004</v>
      </c>
      <c r="H436" s="87">
        <v>50.98</v>
      </c>
      <c r="I436" s="130">
        <v>499.96085999999997</v>
      </c>
    </row>
    <row r="437" spans="1:9" hidden="1" x14ac:dyDescent="0.25">
      <c r="A437" s="132" t="s">
        <v>1326</v>
      </c>
      <c r="B437" s="11" t="s">
        <v>894</v>
      </c>
      <c r="C437" s="87" t="s">
        <v>1215</v>
      </c>
      <c r="D437" s="11" t="s">
        <v>1897</v>
      </c>
      <c r="E437" s="129" t="s">
        <v>1213</v>
      </c>
      <c r="F437" s="132">
        <v>44526</v>
      </c>
      <c r="G437" s="87">
        <v>0.185</v>
      </c>
      <c r="H437" s="87">
        <v>2699.0178999999998</v>
      </c>
      <c r="I437" s="130">
        <v>499.31831149999994</v>
      </c>
    </row>
    <row r="438" spans="1:9" hidden="1" x14ac:dyDescent="0.25">
      <c r="A438" s="132" t="s">
        <v>1685</v>
      </c>
      <c r="B438" s="11" t="s">
        <v>893</v>
      </c>
      <c r="C438" s="87" t="s">
        <v>1215</v>
      </c>
      <c r="D438" s="11" t="s">
        <v>1896</v>
      </c>
      <c r="E438" s="129" t="s">
        <v>1213</v>
      </c>
      <c r="F438" s="132">
        <v>44529</v>
      </c>
      <c r="G438" s="87">
        <v>9.843</v>
      </c>
      <c r="H438" s="87">
        <v>50.795000000000002</v>
      </c>
      <c r="I438" s="130">
        <v>499.97518500000001</v>
      </c>
    </row>
    <row r="439" spans="1:9" hidden="1" x14ac:dyDescent="0.25">
      <c r="A439" s="132" t="s">
        <v>1326</v>
      </c>
      <c r="B439" s="11" t="s">
        <v>894</v>
      </c>
      <c r="C439" s="87" t="s">
        <v>1215</v>
      </c>
      <c r="D439" s="11" t="s">
        <v>1897</v>
      </c>
      <c r="E439" s="129" t="s">
        <v>1213</v>
      </c>
      <c r="F439" s="132">
        <v>44529</v>
      </c>
      <c r="G439" s="87">
        <v>0.185</v>
      </c>
      <c r="H439" s="87">
        <v>2699.3692000000001</v>
      </c>
      <c r="I439" s="130">
        <v>499.38330200000001</v>
      </c>
    </row>
    <row r="440" spans="1:9" hidden="1" x14ac:dyDescent="0.25">
      <c r="A440" s="132" t="s">
        <v>1685</v>
      </c>
      <c r="B440" s="11" t="s">
        <v>893</v>
      </c>
      <c r="C440" s="87" t="s">
        <v>1215</v>
      </c>
      <c r="D440" s="11" t="s">
        <v>1896</v>
      </c>
      <c r="E440" s="129" t="s">
        <v>1213</v>
      </c>
      <c r="F440" s="132">
        <v>44530</v>
      </c>
      <c r="G440" s="87">
        <v>9.8350000000000009</v>
      </c>
      <c r="H440" s="87">
        <v>50.834000000000003</v>
      </c>
      <c r="I440" s="130">
        <v>499.95239000000009</v>
      </c>
    </row>
    <row r="441" spans="1:9" hidden="1" x14ac:dyDescent="0.25">
      <c r="A441" s="132" t="s">
        <v>1326</v>
      </c>
      <c r="B441" s="11" t="s">
        <v>894</v>
      </c>
      <c r="C441" s="87" t="s">
        <v>1215</v>
      </c>
      <c r="D441" s="11" t="s">
        <v>1897</v>
      </c>
      <c r="E441" s="129" t="s">
        <v>1213</v>
      </c>
      <c r="F441" s="132">
        <v>44530</v>
      </c>
      <c r="G441" s="87">
        <v>0.185</v>
      </c>
      <c r="H441" s="87">
        <v>2699.3310999999999</v>
      </c>
      <c r="I441" s="130">
        <v>499.37625349999996</v>
      </c>
    </row>
    <row r="442" spans="1:9" hidden="1" x14ac:dyDescent="0.25">
      <c r="A442" s="132" t="s">
        <v>1685</v>
      </c>
      <c r="B442" s="11" t="s">
        <v>893</v>
      </c>
      <c r="C442" s="87" t="s">
        <v>1215</v>
      </c>
      <c r="D442" s="11" t="s">
        <v>1896</v>
      </c>
      <c r="E442" s="129" t="s">
        <v>1213</v>
      </c>
      <c r="F442" s="132">
        <v>44531</v>
      </c>
      <c r="G442" s="87">
        <v>9.7550000000000008</v>
      </c>
      <c r="H442" s="87">
        <v>51.253999999999998</v>
      </c>
      <c r="I442" s="130">
        <v>499.98277000000002</v>
      </c>
    </row>
    <row r="443" spans="1:9" hidden="1" x14ac:dyDescent="0.25">
      <c r="A443" s="132" t="s">
        <v>1326</v>
      </c>
      <c r="B443" s="11" t="s">
        <v>894</v>
      </c>
      <c r="C443" s="87" t="s">
        <v>1215</v>
      </c>
      <c r="D443" s="11" t="s">
        <v>1897</v>
      </c>
      <c r="E443" s="129" t="s">
        <v>1213</v>
      </c>
      <c r="F443" s="132">
        <v>44531</v>
      </c>
      <c r="G443" s="87">
        <v>0.185</v>
      </c>
      <c r="H443" s="87">
        <v>2699.2932000000001</v>
      </c>
      <c r="I443" s="130">
        <v>499.36924199999999</v>
      </c>
    </row>
    <row r="444" spans="1:9" hidden="1" x14ac:dyDescent="0.25">
      <c r="A444" s="132" t="s">
        <v>1318</v>
      </c>
      <c r="B444" s="11" t="s">
        <v>897</v>
      </c>
      <c r="C444" s="87" t="s">
        <v>1215</v>
      </c>
      <c r="D444" s="11" t="s">
        <v>1716</v>
      </c>
      <c r="E444" s="129">
        <v>499203639934</v>
      </c>
      <c r="F444" s="132">
        <v>44531</v>
      </c>
      <c r="G444" s="87">
        <v>20.655999999999999</v>
      </c>
      <c r="H444" s="87">
        <v>72.619500000000002</v>
      </c>
      <c r="I444" s="130">
        <v>1500.0283919999999</v>
      </c>
    </row>
    <row r="445" spans="1:9" hidden="1" x14ac:dyDescent="0.25">
      <c r="A445" s="132" t="s">
        <v>1685</v>
      </c>
      <c r="B445" s="11" t="s">
        <v>893</v>
      </c>
      <c r="C445" s="87" t="s">
        <v>1215</v>
      </c>
      <c r="D445" s="11" t="s">
        <v>1896</v>
      </c>
      <c r="E445" s="129" t="s">
        <v>1213</v>
      </c>
      <c r="F445" s="132">
        <v>44532</v>
      </c>
      <c r="G445" s="87">
        <v>9.6679999999999993</v>
      </c>
      <c r="H445" s="87">
        <v>51.715000000000003</v>
      </c>
      <c r="I445" s="130">
        <v>499.98061999999999</v>
      </c>
    </row>
    <row r="446" spans="1:9" hidden="1" x14ac:dyDescent="0.25">
      <c r="A446" s="132" t="s">
        <v>1326</v>
      </c>
      <c r="B446" s="11" t="s">
        <v>894</v>
      </c>
      <c r="C446" s="87" t="s">
        <v>1215</v>
      </c>
      <c r="D446" s="11" t="s">
        <v>1897</v>
      </c>
      <c r="E446" s="129" t="s">
        <v>1213</v>
      </c>
      <c r="F446" s="132">
        <v>44532</v>
      </c>
      <c r="G446" s="87">
        <v>0.185</v>
      </c>
      <c r="H446" s="87">
        <v>2699.7669999999998</v>
      </c>
      <c r="I446" s="130">
        <v>499.45689499999997</v>
      </c>
    </row>
    <row r="447" spans="1:9" hidden="1" x14ac:dyDescent="0.25">
      <c r="A447" s="132" t="s">
        <v>1721</v>
      </c>
      <c r="B447" s="11" t="s">
        <v>1426</v>
      </c>
      <c r="C447" s="87" t="s">
        <v>1215</v>
      </c>
      <c r="D447" s="11" t="s">
        <v>1722</v>
      </c>
      <c r="E447" s="129">
        <v>499203639934</v>
      </c>
      <c r="F447" s="132">
        <v>44532</v>
      </c>
      <c r="G447" s="87">
        <v>18.068000000000001</v>
      </c>
      <c r="H447" s="87">
        <v>83.014499999999998</v>
      </c>
      <c r="I447" s="130">
        <v>1499.905986</v>
      </c>
    </row>
    <row r="448" spans="1:9" hidden="1" x14ac:dyDescent="0.25">
      <c r="A448" s="132" t="s">
        <v>1685</v>
      </c>
      <c r="B448" s="11" t="s">
        <v>893</v>
      </c>
      <c r="C448" s="87" t="s">
        <v>1215</v>
      </c>
      <c r="D448" s="11" t="s">
        <v>1896</v>
      </c>
      <c r="E448" s="129" t="s">
        <v>1213</v>
      </c>
      <c r="F448" s="132">
        <v>44533</v>
      </c>
      <c r="G448" s="87">
        <v>9.7240000000000002</v>
      </c>
      <c r="H448" s="87">
        <v>51.414999999999999</v>
      </c>
      <c r="I448" s="130">
        <v>499.95945999999998</v>
      </c>
    </row>
    <row r="449" spans="1:9" hidden="1" x14ac:dyDescent="0.25">
      <c r="A449" s="132" t="s">
        <v>1326</v>
      </c>
      <c r="B449" s="11" t="s">
        <v>894</v>
      </c>
      <c r="C449" s="87" t="s">
        <v>1215</v>
      </c>
      <c r="D449" s="11" t="s">
        <v>1897</v>
      </c>
      <c r="E449" s="129" t="s">
        <v>1213</v>
      </c>
      <c r="F449" s="132">
        <v>44533</v>
      </c>
      <c r="G449" s="87">
        <v>0.185</v>
      </c>
      <c r="H449" s="87">
        <v>2699.7426</v>
      </c>
      <c r="I449" s="130">
        <v>499.452381</v>
      </c>
    </row>
    <row r="450" spans="1:9" hidden="1" x14ac:dyDescent="0.25">
      <c r="A450" s="132" t="s">
        <v>1685</v>
      </c>
      <c r="B450" s="11" t="s">
        <v>893</v>
      </c>
      <c r="C450" s="87" t="s">
        <v>1215</v>
      </c>
      <c r="D450" s="11" t="s">
        <v>1896</v>
      </c>
      <c r="E450" s="129" t="s">
        <v>1213</v>
      </c>
      <c r="F450" s="132">
        <v>44536</v>
      </c>
      <c r="G450" s="87">
        <v>9.8710000000000004</v>
      </c>
      <c r="H450" s="87">
        <v>50.649000000000001</v>
      </c>
      <c r="I450" s="130">
        <v>499.95627900000005</v>
      </c>
    </row>
    <row r="451" spans="1:9" hidden="1" x14ac:dyDescent="0.25">
      <c r="A451" s="132" t="s">
        <v>1326</v>
      </c>
      <c r="B451" s="11" t="s">
        <v>894</v>
      </c>
      <c r="C451" s="87" t="s">
        <v>1215</v>
      </c>
      <c r="D451" s="11" t="s">
        <v>1897</v>
      </c>
      <c r="E451" s="129" t="s">
        <v>1213</v>
      </c>
      <c r="F451" s="132">
        <v>44536</v>
      </c>
      <c r="G451" s="87">
        <v>0.185</v>
      </c>
      <c r="H451" s="87">
        <v>2700.5774000000001</v>
      </c>
      <c r="I451" s="130">
        <v>499.60681900000003</v>
      </c>
    </row>
    <row r="452" spans="1:9" hidden="1" x14ac:dyDescent="0.25">
      <c r="A452" s="132" t="s">
        <v>1685</v>
      </c>
      <c r="B452" s="11" t="s">
        <v>893</v>
      </c>
      <c r="C452" s="87" t="s">
        <v>1215</v>
      </c>
      <c r="D452" s="11" t="s">
        <v>1896</v>
      </c>
      <c r="E452" s="129" t="s">
        <v>1213</v>
      </c>
      <c r="F452" s="132">
        <v>44537</v>
      </c>
      <c r="G452" s="87">
        <v>9.7129999999999992</v>
      </c>
      <c r="H452" s="87">
        <v>51.473999999999997</v>
      </c>
      <c r="I452" s="130">
        <v>499.96696199999991</v>
      </c>
    </row>
    <row r="453" spans="1:9" hidden="1" x14ac:dyDescent="0.25">
      <c r="A453" s="132" t="s">
        <v>1326</v>
      </c>
      <c r="B453" s="11" t="s">
        <v>894</v>
      </c>
      <c r="C453" s="87" t="s">
        <v>1215</v>
      </c>
      <c r="D453" s="11" t="s">
        <v>1897</v>
      </c>
      <c r="E453" s="129" t="s">
        <v>1213</v>
      </c>
      <c r="F453" s="132">
        <v>44537</v>
      </c>
      <c r="G453" s="87">
        <v>0.185</v>
      </c>
      <c r="H453" s="87">
        <v>2700.6707999999999</v>
      </c>
      <c r="I453" s="130">
        <v>499.62409799999995</v>
      </c>
    </row>
    <row r="454" spans="1:9" hidden="1" x14ac:dyDescent="0.25">
      <c r="A454" s="132" t="s">
        <v>1685</v>
      </c>
      <c r="B454" s="11" t="s">
        <v>893</v>
      </c>
      <c r="C454" s="87" t="s">
        <v>1215</v>
      </c>
      <c r="D454" s="11" t="s">
        <v>1896</v>
      </c>
      <c r="E454" s="129" t="s">
        <v>1213</v>
      </c>
      <c r="F454" s="132">
        <v>44538</v>
      </c>
      <c r="G454" s="87">
        <v>9.5519999999999996</v>
      </c>
      <c r="H454" s="87">
        <v>52.34</v>
      </c>
      <c r="I454" s="130">
        <v>499.95168000000001</v>
      </c>
    </row>
    <row r="455" spans="1:9" hidden="1" x14ac:dyDescent="0.25">
      <c r="A455" s="132" t="s">
        <v>1326</v>
      </c>
      <c r="B455" s="11" t="s">
        <v>894</v>
      </c>
      <c r="C455" s="87" t="s">
        <v>1215</v>
      </c>
      <c r="D455" s="11" t="s">
        <v>1897</v>
      </c>
      <c r="E455" s="129" t="s">
        <v>1213</v>
      </c>
      <c r="F455" s="132">
        <v>44538</v>
      </c>
      <c r="G455" s="87">
        <v>0.185</v>
      </c>
      <c r="H455" s="87">
        <v>2701.5187999999998</v>
      </c>
      <c r="I455" s="130">
        <v>499.78097799999995</v>
      </c>
    </row>
    <row r="456" spans="1:9" hidden="1" x14ac:dyDescent="0.25">
      <c r="A456" s="132" t="s">
        <v>1318</v>
      </c>
      <c r="B456" s="11" t="s">
        <v>897</v>
      </c>
      <c r="C456" s="87" t="s">
        <v>1215</v>
      </c>
      <c r="D456" s="11" t="s">
        <v>1716</v>
      </c>
      <c r="E456" s="129">
        <v>499203639934</v>
      </c>
      <c r="F456" s="132">
        <v>44538</v>
      </c>
      <c r="G456" s="87">
        <v>20.658999999999999</v>
      </c>
      <c r="H456" s="87">
        <v>72.605900000000005</v>
      </c>
      <c r="I456" s="130">
        <v>1499.9652881</v>
      </c>
    </row>
    <row r="457" spans="1:9" hidden="1" x14ac:dyDescent="0.25">
      <c r="A457" s="132" t="s">
        <v>1685</v>
      </c>
      <c r="B457" s="11" t="s">
        <v>893</v>
      </c>
      <c r="C457" s="87" t="s">
        <v>1215</v>
      </c>
      <c r="D457" s="11" t="s">
        <v>1896</v>
      </c>
      <c r="E457" s="129" t="s">
        <v>1213</v>
      </c>
      <c r="F457" s="132">
        <v>44539</v>
      </c>
      <c r="G457" s="87">
        <v>9.5220000000000002</v>
      </c>
      <c r="H457" s="87">
        <v>52.506999999999998</v>
      </c>
      <c r="I457" s="130">
        <v>499.971654</v>
      </c>
    </row>
    <row r="458" spans="1:9" hidden="1" x14ac:dyDescent="0.25">
      <c r="A458" s="132" t="s">
        <v>1326</v>
      </c>
      <c r="B458" s="11" t="s">
        <v>894</v>
      </c>
      <c r="C458" s="87" t="s">
        <v>1215</v>
      </c>
      <c r="D458" s="11" t="s">
        <v>1897</v>
      </c>
      <c r="E458" s="129" t="s">
        <v>1213</v>
      </c>
      <c r="F458" s="132">
        <v>44539</v>
      </c>
      <c r="G458" s="87">
        <v>0.185</v>
      </c>
      <c r="H458" s="87">
        <v>2701.4555</v>
      </c>
      <c r="I458" s="130">
        <v>499.76926750000001</v>
      </c>
    </row>
    <row r="459" spans="1:9" hidden="1" x14ac:dyDescent="0.25">
      <c r="A459" s="132" t="s">
        <v>1721</v>
      </c>
      <c r="B459" s="11" t="s">
        <v>1426</v>
      </c>
      <c r="C459" s="87" t="s">
        <v>1215</v>
      </c>
      <c r="D459" s="11" t="s">
        <v>1722</v>
      </c>
      <c r="E459" s="129">
        <v>499203639934</v>
      </c>
      <c r="F459" s="132">
        <v>44539</v>
      </c>
      <c r="G459" s="87">
        <v>17.760000000000002</v>
      </c>
      <c r="H459" s="87">
        <v>84.455399999999997</v>
      </c>
      <c r="I459" s="130">
        <v>1499.9279040000001</v>
      </c>
    </row>
    <row r="460" spans="1:9" hidden="1" x14ac:dyDescent="0.25">
      <c r="A460" s="132" t="s">
        <v>1685</v>
      </c>
      <c r="B460" s="11" t="s">
        <v>893</v>
      </c>
      <c r="C460" s="87" t="s">
        <v>1215</v>
      </c>
      <c r="D460" s="11" t="s">
        <v>1896</v>
      </c>
      <c r="E460" s="129" t="s">
        <v>1213</v>
      </c>
      <c r="F460" s="132">
        <v>44540</v>
      </c>
      <c r="G460" s="87">
        <v>9.5060000000000002</v>
      </c>
      <c r="H460" s="87">
        <v>52.594000000000001</v>
      </c>
      <c r="I460" s="130">
        <v>499.95856400000002</v>
      </c>
    </row>
    <row r="461" spans="1:9" hidden="1" x14ac:dyDescent="0.25">
      <c r="A461" s="132" t="s">
        <v>1326</v>
      </c>
      <c r="B461" s="11" t="s">
        <v>894</v>
      </c>
      <c r="C461" s="87" t="s">
        <v>1215</v>
      </c>
      <c r="D461" s="11" t="s">
        <v>1897</v>
      </c>
      <c r="E461" s="129" t="s">
        <v>1213</v>
      </c>
      <c r="F461" s="132">
        <v>44540</v>
      </c>
      <c r="G461" s="87">
        <v>0.185</v>
      </c>
      <c r="H461" s="87">
        <v>2701.6284000000001</v>
      </c>
      <c r="I461" s="130">
        <v>499.80125400000003</v>
      </c>
    </row>
    <row r="462" spans="1:9" hidden="1" x14ac:dyDescent="0.25">
      <c r="A462" s="132" t="s">
        <v>1685</v>
      </c>
      <c r="B462" s="11" t="s">
        <v>893</v>
      </c>
      <c r="C462" s="87" t="s">
        <v>1215</v>
      </c>
      <c r="D462" s="11" t="s">
        <v>1896</v>
      </c>
      <c r="E462" s="129" t="s">
        <v>1213</v>
      </c>
      <c r="F462" s="132">
        <v>44543</v>
      </c>
      <c r="G462" s="87">
        <v>9.5649999999999995</v>
      </c>
      <c r="H462" s="87">
        <v>52.271000000000001</v>
      </c>
      <c r="I462" s="130">
        <v>499.97211499999997</v>
      </c>
    </row>
    <row r="463" spans="1:9" hidden="1" x14ac:dyDescent="0.25">
      <c r="A463" s="132" t="s">
        <v>1326</v>
      </c>
      <c r="B463" s="11" t="s">
        <v>894</v>
      </c>
      <c r="C463" s="87" t="s">
        <v>1215</v>
      </c>
      <c r="D463" s="11" t="s">
        <v>1897</v>
      </c>
      <c r="E463" s="129" t="s">
        <v>1213</v>
      </c>
      <c r="F463" s="132">
        <v>44543</v>
      </c>
      <c r="G463" s="87">
        <v>0.185</v>
      </c>
      <c r="H463" s="87">
        <v>2702.6563999999998</v>
      </c>
      <c r="I463" s="130">
        <v>499.99143399999997</v>
      </c>
    </row>
    <row r="464" spans="1:9" hidden="1" x14ac:dyDescent="0.25">
      <c r="A464" s="132" t="s">
        <v>1685</v>
      </c>
      <c r="B464" s="11" t="s">
        <v>893</v>
      </c>
      <c r="C464" s="87" t="s">
        <v>1215</v>
      </c>
      <c r="D464" s="11" t="s">
        <v>1896</v>
      </c>
      <c r="E464" s="129" t="s">
        <v>1213</v>
      </c>
      <c r="F464" s="132">
        <v>44544</v>
      </c>
      <c r="G464" s="87">
        <v>9.5670000000000002</v>
      </c>
      <c r="H464" s="87">
        <v>52.262</v>
      </c>
      <c r="I464" s="130">
        <v>499.99055400000003</v>
      </c>
    </row>
    <row r="465" spans="1:9" hidden="1" x14ac:dyDescent="0.25">
      <c r="A465" s="132" t="s">
        <v>1326</v>
      </c>
      <c r="B465" s="11" t="s">
        <v>894</v>
      </c>
      <c r="C465" s="87" t="s">
        <v>1215</v>
      </c>
      <c r="D465" s="11" t="s">
        <v>1897</v>
      </c>
      <c r="E465" s="129" t="s">
        <v>1213</v>
      </c>
      <c r="F465" s="132">
        <v>44544</v>
      </c>
      <c r="G465" s="87">
        <v>0.185</v>
      </c>
      <c r="H465" s="87">
        <v>2702.4792000000002</v>
      </c>
      <c r="I465" s="130">
        <v>499.95865200000003</v>
      </c>
    </row>
    <row r="466" spans="1:9" hidden="1" x14ac:dyDescent="0.25">
      <c r="A466" s="132" t="s">
        <v>1685</v>
      </c>
      <c r="B466" s="11" t="s">
        <v>893</v>
      </c>
      <c r="C466" s="87" t="s">
        <v>1215</v>
      </c>
      <c r="D466" s="11" t="s">
        <v>1896</v>
      </c>
      <c r="E466" s="129" t="s">
        <v>1213</v>
      </c>
      <c r="F466" s="132">
        <v>44545</v>
      </c>
      <c r="G466" s="87">
        <v>9.6199999999999992</v>
      </c>
      <c r="H466" s="87">
        <v>51.97</v>
      </c>
      <c r="I466" s="130">
        <v>499.95139999999992</v>
      </c>
    </row>
    <row r="467" spans="1:9" hidden="1" x14ac:dyDescent="0.25">
      <c r="A467" s="132" t="s">
        <v>1326</v>
      </c>
      <c r="B467" s="11" t="s">
        <v>894</v>
      </c>
      <c r="C467" s="87" t="s">
        <v>1215</v>
      </c>
      <c r="D467" s="11" t="s">
        <v>1897</v>
      </c>
      <c r="E467" s="129" t="s">
        <v>1213</v>
      </c>
      <c r="F467" s="132">
        <v>44545</v>
      </c>
      <c r="G467" s="87">
        <v>0.185</v>
      </c>
      <c r="H467" s="87">
        <v>2702.3227000000002</v>
      </c>
      <c r="I467" s="130">
        <v>499.92969950000003</v>
      </c>
    </row>
    <row r="468" spans="1:9" hidden="1" x14ac:dyDescent="0.25">
      <c r="A468" s="132" t="s">
        <v>1318</v>
      </c>
      <c r="B468" s="11" t="s">
        <v>897</v>
      </c>
      <c r="C468" s="87" t="s">
        <v>1215</v>
      </c>
      <c r="D468" s="11" t="s">
        <v>1716</v>
      </c>
      <c r="E468" s="129">
        <v>499203639934</v>
      </c>
      <c r="F468" s="132">
        <v>44545</v>
      </c>
      <c r="G468" s="87">
        <v>20.686</v>
      </c>
      <c r="H468" s="87">
        <v>72.510999999999996</v>
      </c>
      <c r="I468" s="130">
        <v>1499.962546</v>
      </c>
    </row>
    <row r="469" spans="1:9" hidden="1" x14ac:dyDescent="0.25">
      <c r="A469" s="132" t="s">
        <v>1320</v>
      </c>
      <c r="B469" s="11" t="s">
        <v>896</v>
      </c>
      <c r="C469" s="87" t="s">
        <v>1215</v>
      </c>
      <c r="D469" s="11" t="s">
        <v>1219</v>
      </c>
      <c r="E469" s="129">
        <v>499203639934</v>
      </c>
      <c r="F469" s="132">
        <v>44545</v>
      </c>
      <c r="G469" s="87">
        <v>16.658000000000001</v>
      </c>
      <c r="H469" s="87">
        <v>300.14890000000003</v>
      </c>
      <c r="I469" s="130">
        <v>4999.8803762000007</v>
      </c>
    </row>
    <row r="470" spans="1:9" hidden="1" x14ac:dyDescent="0.25">
      <c r="A470" s="132" t="s">
        <v>1721</v>
      </c>
      <c r="B470" s="11" t="s">
        <v>1426</v>
      </c>
      <c r="C470" s="87" t="s">
        <v>1215</v>
      </c>
      <c r="D470" s="11" t="s">
        <v>1219</v>
      </c>
      <c r="E470" s="129">
        <v>499203639934</v>
      </c>
      <c r="F470" s="132">
        <v>44545</v>
      </c>
      <c r="G470" s="87">
        <v>29.192</v>
      </c>
      <c r="H470" s="87">
        <v>85.636799999999994</v>
      </c>
      <c r="I470" s="130">
        <v>2499.9094655999997</v>
      </c>
    </row>
    <row r="471" spans="1:9" hidden="1" x14ac:dyDescent="0.25">
      <c r="A471" s="132" t="s">
        <v>1759</v>
      </c>
      <c r="B471" s="11" t="s">
        <v>1431</v>
      </c>
      <c r="C471" s="87" t="s">
        <v>1215</v>
      </c>
      <c r="D471" s="11" t="s">
        <v>1219</v>
      </c>
      <c r="E471" s="129">
        <v>499203639934</v>
      </c>
      <c r="F471" s="132">
        <v>44545</v>
      </c>
      <c r="G471" s="87">
        <v>20.516999999999999</v>
      </c>
      <c r="H471" s="87">
        <v>121.8426</v>
      </c>
      <c r="I471" s="130">
        <v>2499.8446242</v>
      </c>
    </row>
    <row r="472" spans="1:9" hidden="1" x14ac:dyDescent="0.25">
      <c r="A472" s="132" t="s">
        <v>1685</v>
      </c>
      <c r="B472" s="11" t="s">
        <v>893</v>
      </c>
      <c r="C472" s="87" t="s">
        <v>1215</v>
      </c>
      <c r="D472" s="11" t="s">
        <v>1896</v>
      </c>
      <c r="E472" s="129" t="s">
        <v>1213</v>
      </c>
      <c r="F472" s="132">
        <v>44546</v>
      </c>
      <c r="G472" s="87">
        <v>9.6039999999999992</v>
      </c>
      <c r="H472" s="87">
        <v>52.058999999999997</v>
      </c>
      <c r="I472" s="130">
        <v>499.97463599999992</v>
      </c>
    </row>
    <row r="473" spans="1:9" hidden="1" x14ac:dyDescent="0.25">
      <c r="A473" s="132" t="s">
        <v>1326</v>
      </c>
      <c r="B473" s="11" t="s">
        <v>894</v>
      </c>
      <c r="C473" s="87" t="s">
        <v>1215</v>
      </c>
      <c r="D473" s="11" t="s">
        <v>1897</v>
      </c>
      <c r="E473" s="129" t="s">
        <v>1213</v>
      </c>
      <c r="F473" s="132">
        <v>44546</v>
      </c>
      <c r="G473" s="87">
        <v>0.185</v>
      </c>
      <c r="H473" s="87">
        <v>2703.1080999999999</v>
      </c>
      <c r="I473" s="130">
        <v>500.07499849999999</v>
      </c>
    </row>
    <row r="474" spans="1:9" hidden="1" x14ac:dyDescent="0.25">
      <c r="A474" s="132" t="s">
        <v>1721</v>
      </c>
      <c r="B474" s="11" t="s">
        <v>1426</v>
      </c>
      <c r="C474" s="87" t="s">
        <v>1215</v>
      </c>
      <c r="D474" s="11" t="s">
        <v>1722</v>
      </c>
      <c r="E474" s="129">
        <v>499203639934</v>
      </c>
      <c r="F474" s="132">
        <v>44546</v>
      </c>
      <c r="G474" s="87">
        <v>17.593</v>
      </c>
      <c r="H474" s="87">
        <v>85.258300000000006</v>
      </c>
      <c r="I474" s="130">
        <v>1499.9492719</v>
      </c>
    </row>
    <row r="475" spans="1:9" hidden="1" x14ac:dyDescent="0.25">
      <c r="A475" s="132" t="s">
        <v>1322</v>
      </c>
      <c r="B475" s="11" t="s">
        <v>898</v>
      </c>
      <c r="C475" s="87" t="s">
        <v>1215</v>
      </c>
      <c r="D475" s="11" t="s">
        <v>1898</v>
      </c>
      <c r="E475" s="129">
        <v>1019420000</v>
      </c>
      <c r="F475" s="132">
        <v>44547</v>
      </c>
      <c r="G475" s="87">
        <v>5.1890000000000001</v>
      </c>
      <c r="H475" s="87">
        <v>963.54</v>
      </c>
      <c r="I475" s="130">
        <v>4999.8090599999996</v>
      </c>
    </row>
    <row r="476" spans="1:9" hidden="1" x14ac:dyDescent="0.25">
      <c r="A476" s="132" t="s">
        <v>1685</v>
      </c>
      <c r="B476" s="11" t="s">
        <v>893</v>
      </c>
      <c r="C476" s="87" t="s">
        <v>1215</v>
      </c>
      <c r="D476" s="11" t="s">
        <v>1896</v>
      </c>
      <c r="E476" s="129" t="s">
        <v>1213</v>
      </c>
      <c r="F476" s="132">
        <v>44547</v>
      </c>
      <c r="G476" s="87">
        <v>9.7560000000000002</v>
      </c>
      <c r="H476" s="87">
        <v>51.249000000000002</v>
      </c>
      <c r="I476" s="130">
        <v>499.98524400000002</v>
      </c>
    </row>
    <row r="477" spans="1:9" hidden="1" x14ac:dyDescent="0.25">
      <c r="A477" s="132" t="s">
        <v>1324</v>
      </c>
      <c r="B477" s="11" t="s">
        <v>899</v>
      </c>
      <c r="C477" s="87" t="s">
        <v>1215</v>
      </c>
      <c r="D477" s="11" t="s">
        <v>1898</v>
      </c>
      <c r="E477" s="129" t="s">
        <v>1213</v>
      </c>
      <c r="F477" s="132">
        <v>44547</v>
      </c>
      <c r="G477" s="87">
        <v>308.81700000000001</v>
      </c>
      <c r="H477" s="87">
        <v>16.190000000000001</v>
      </c>
      <c r="I477" s="130">
        <v>4999.7472300000009</v>
      </c>
    </row>
    <row r="478" spans="1:9" hidden="1" x14ac:dyDescent="0.25">
      <c r="A478" s="132" t="s">
        <v>1326</v>
      </c>
      <c r="B478" s="11" t="s">
        <v>894</v>
      </c>
      <c r="C478" s="87" t="s">
        <v>1215</v>
      </c>
      <c r="D478" s="11" t="s">
        <v>1897</v>
      </c>
      <c r="E478" s="129" t="s">
        <v>1213</v>
      </c>
      <c r="F478" s="132">
        <v>44547</v>
      </c>
      <c r="G478" s="87">
        <v>0.185</v>
      </c>
      <c r="H478" s="87">
        <v>2702.5205000000001</v>
      </c>
      <c r="I478" s="130">
        <v>499.96629250000001</v>
      </c>
    </row>
    <row r="479" spans="1:9" hidden="1" x14ac:dyDescent="0.25">
      <c r="A479" s="132" t="s">
        <v>1685</v>
      </c>
      <c r="B479" s="11" t="s">
        <v>893</v>
      </c>
      <c r="C479" s="87" t="s">
        <v>1215</v>
      </c>
      <c r="D479" s="11" t="s">
        <v>1899</v>
      </c>
      <c r="E479" s="129" t="s">
        <v>1213</v>
      </c>
      <c r="F479" s="132">
        <v>44550</v>
      </c>
      <c r="G479" s="87">
        <v>10.025</v>
      </c>
      <c r="H479" s="87">
        <v>49.874000000000002</v>
      </c>
      <c r="I479" s="130">
        <v>499.98685000000006</v>
      </c>
    </row>
    <row r="480" spans="1:9" hidden="1" x14ac:dyDescent="0.25">
      <c r="A480" s="132" t="s">
        <v>1326</v>
      </c>
      <c r="B480" s="11" t="s">
        <v>894</v>
      </c>
      <c r="C480" s="87" t="s">
        <v>1215</v>
      </c>
      <c r="D480" s="11" t="s">
        <v>1900</v>
      </c>
      <c r="E480" s="129" t="s">
        <v>1213</v>
      </c>
      <c r="F480" s="132">
        <v>44550</v>
      </c>
      <c r="G480" s="87">
        <v>0.185</v>
      </c>
      <c r="H480" s="87">
        <v>2702.5940000000001</v>
      </c>
      <c r="I480" s="130">
        <v>499.97989000000001</v>
      </c>
    </row>
    <row r="481" spans="1:9" hidden="1" x14ac:dyDescent="0.25">
      <c r="A481" s="132" t="s">
        <v>1685</v>
      </c>
      <c r="B481" s="11" t="s">
        <v>893</v>
      </c>
      <c r="C481" s="87" t="s">
        <v>1215</v>
      </c>
      <c r="D481" s="11" t="s">
        <v>1899</v>
      </c>
      <c r="E481" s="129" t="s">
        <v>1213</v>
      </c>
      <c r="F481" s="132">
        <v>44551</v>
      </c>
      <c r="G481" s="87">
        <v>9.8960000000000008</v>
      </c>
      <c r="H481" s="87">
        <v>50.521000000000001</v>
      </c>
      <c r="I481" s="130">
        <v>499.95581600000003</v>
      </c>
    </row>
    <row r="482" spans="1:9" hidden="1" x14ac:dyDescent="0.25">
      <c r="A482" s="132" t="s">
        <v>1326</v>
      </c>
      <c r="B482" s="11" t="s">
        <v>894</v>
      </c>
      <c r="C482" s="87" t="s">
        <v>1215</v>
      </c>
      <c r="D482" s="11" t="s">
        <v>1900</v>
      </c>
      <c r="E482" s="129" t="s">
        <v>1213</v>
      </c>
      <c r="F482" s="132">
        <v>44551</v>
      </c>
      <c r="G482" s="87">
        <v>0.185</v>
      </c>
      <c r="H482" s="87">
        <v>2701.7505999999998</v>
      </c>
      <c r="I482" s="130">
        <v>499.82386099999997</v>
      </c>
    </row>
    <row r="483" spans="1:9" hidden="1" x14ac:dyDescent="0.25">
      <c r="A483" s="132" t="s">
        <v>1685</v>
      </c>
      <c r="B483" s="11" t="s">
        <v>893</v>
      </c>
      <c r="C483" s="87" t="s">
        <v>1215</v>
      </c>
      <c r="D483" s="11" t="s">
        <v>1899</v>
      </c>
      <c r="E483" s="129" t="s">
        <v>1213</v>
      </c>
      <c r="F483" s="132">
        <v>44552</v>
      </c>
      <c r="G483" s="87">
        <v>9.7520000000000007</v>
      </c>
      <c r="H483" s="87">
        <v>51.267000000000003</v>
      </c>
      <c r="I483" s="130">
        <v>499.95578400000005</v>
      </c>
    </row>
    <row r="484" spans="1:9" hidden="1" x14ac:dyDescent="0.25">
      <c r="A484" s="132" t="s">
        <v>1326</v>
      </c>
      <c r="B484" s="11" t="s">
        <v>894</v>
      </c>
      <c r="C484" s="87" t="s">
        <v>1215</v>
      </c>
      <c r="D484" s="11" t="s">
        <v>1900</v>
      </c>
      <c r="E484" s="129" t="s">
        <v>1213</v>
      </c>
      <c r="F484" s="132">
        <v>44552</v>
      </c>
      <c r="G484" s="87">
        <v>0.185</v>
      </c>
      <c r="H484" s="87">
        <v>2701.8625999999999</v>
      </c>
      <c r="I484" s="130">
        <v>499.84458100000001</v>
      </c>
    </row>
    <row r="485" spans="1:9" hidden="1" x14ac:dyDescent="0.25">
      <c r="A485" s="132" t="s">
        <v>1318</v>
      </c>
      <c r="B485" s="11" t="s">
        <v>897</v>
      </c>
      <c r="C485" s="87" t="s">
        <v>1215</v>
      </c>
      <c r="D485" s="11" t="s">
        <v>1716</v>
      </c>
      <c r="E485" s="129">
        <v>499203639934</v>
      </c>
      <c r="F485" s="132">
        <v>44552</v>
      </c>
      <c r="G485" s="87">
        <v>20.779</v>
      </c>
      <c r="H485" s="87">
        <v>72.187600000000003</v>
      </c>
      <c r="I485" s="130">
        <v>1499.9861404000001</v>
      </c>
    </row>
    <row r="486" spans="1:9" hidden="1" x14ac:dyDescent="0.25">
      <c r="A486" s="132" t="s">
        <v>1685</v>
      </c>
      <c r="B486" s="11" t="s">
        <v>893</v>
      </c>
      <c r="C486" s="87" t="s">
        <v>1215</v>
      </c>
      <c r="D486" s="11" t="s">
        <v>1899</v>
      </c>
      <c r="E486" s="129" t="s">
        <v>1213</v>
      </c>
      <c r="F486" s="132">
        <v>44553</v>
      </c>
      <c r="G486" s="87">
        <v>9.6750000000000007</v>
      </c>
      <c r="H486" s="87">
        <v>51.679000000000002</v>
      </c>
      <c r="I486" s="130">
        <v>499.99432500000006</v>
      </c>
    </row>
    <row r="487" spans="1:9" hidden="1" x14ac:dyDescent="0.25">
      <c r="A487" s="132" t="s">
        <v>1326</v>
      </c>
      <c r="B487" s="11" t="s">
        <v>894</v>
      </c>
      <c r="C487" s="87" t="s">
        <v>1215</v>
      </c>
      <c r="D487" s="11" t="s">
        <v>1900</v>
      </c>
      <c r="E487" s="129" t="s">
        <v>1213</v>
      </c>
      <c r="F487" s="132">
        <v>44553</v>
      </c>
      <c r="G487" s="87">
        <v>0.185</v>
      </c>
      <c r="H487" s="87">
        <v>2702.5095000000001</v>
      </c>
      <c r="I487" s="130">
        <v>499.96425750000003</v>
      </c>
    </row>
    <row r="488" spans="1:9" hidden="1" x14ac:dyDescent="0.25">
      <c r="A488" s="132" t="s">
        <v>1721</v>
      </c>
      <c r="B488" s="11" t="s">
        <v>1426</v>
      </c>
      <c r="C488" s="87" t="s">
        <v>1215</v>
      </c>
      <c r="D488" s="11" t="s">
        <v>1722</v>
      </c>
      <c r="E488" s="129">
        <v>499203639934</v>
      </c>
      <c r="F488" s="132">
        <v>44553</v>
      </c>
      <c r="G488" s="87">
        <v>17.786000000000001</v>
      </c>
      <c r="H488" s="87">
        <v>84.334100000000007</v>
      </c>
      <c r="I488" s="130">
        <v>1499.9663026000003</v>
      </c>
    </row>
    <row r="489" spans="1:9" hidden="1" x14ac:dyDescent="0.25">
      <c r="A489" s="132" t="s">
        <v>1685</v>
      </c>
      <c r="B489" s="11" t="s">
        <v>893</v>
      </c>
      <c r="C489" s="87" t="s">
        <v>1215</v>
      </c>
      <c r="D489" s="11" t="s">
        <v>1899</v>
      </c>
      <c r="E489" s="129" t="s">
        <v>1213</v>
      </c>
      <c r="F489" s="132">
        <v>44554</v>
      </c>
      <c r="G489" s="87">
        <v>9.74</v>
      </c>
      <c r="H489" s="87">
        <v>51.33</v>
      </c>
      <c r="I489" s="130">
        <v>499.95420000000001</v>
      </c>
    </row>
    <row r="490" spans="1:9" hidden="1" x14ac:dyDescent="0.25">
      <c r="A490" s="132" t="s">
        <v>1326</v>
      </c>
      <c r="B490" s="11" t="s">
        <v>894</v>
      </c>
      <c r="C490" s="87" t="s">
        <v>1215</v>
      </c>
      <c r="D490" s="11" t="s">
        <v>1900</v>
      </c>
      <c r="E490" s="129" t="s">
        <v>1213</v>
      </c>
      <c r="F490" s="132">
        <v>44554</v>
      </c>
      <c r="G490" s="87">
        <v>0.185</v>
      </c>
      <c r="H490" s="87">
        <v>2702.8510999999999</v>
      </c>
      <c r="I490" s="130">
        <v>500.02745349999998</v>
      </c>
    </row>
    <row r="491" spans="1:9" hidden="1" x14ac:dyDescent="0.25">
      <c r="A491" s="132" t="s">
        <v>1685</v>
      </c>
      <c r="B491" s="11" t="s">
        <v>893</v>
      </c>
      <c r="C491" s="87" t="s">
        <v>1215</v>
      </c>
      <c r="D491" s="11" t="s">
        <v>1899</v>
      </c>
      <c r="E491" s="129" t="s">
        <v>1213</v>
      </c>
      <c r="F491" s="132">
        <v>44557</v>
      </c>
      <c r="G491" s="87">
        <v>9.7080000000000002</v>
      </c>
      <c r="H491" s="87">
        <v>51.500999999999998</v>
      </c>
      <c r="I491" s="130">
        <v>499.97170799999998</v>
      </c>
    </row>
    <row r="492" spans="1:9" hidden="1" x14ac:dyDescent="0.25">
      <c r="A492" s="132" t="s">
        <v>1326</v>
      </c>
      <c r="B492" s="11" t="s">
        <v>894</v>
      </c>
      <c r="C492" s="87" t="s">
        <v>1215</v>
      </c>
      <c r="D492" s="11" t="s">
        <v>1900</v>
      </c>
      <c r="E492" s="129" t="s">
        <v>1213</v>
      </c>
      <c r="F492" s="132">
        <v>44557</v>
      </c>
      <c r="G492" s="87">
        <v>0.185</v>
      </c>
      <c r="H492" s="87">
        <v>2703.8678</v>
      </c>
      <c r="I492" s="130">
        <v>500.21554299999997</v>
      </c>
    </row>
    <row r="493" spans="1:9" hidden="1" x14ac:dyDescent="0.25">
      <c r="A493" s="132" t="s">
        <v>1685</v>
      </c>
      <c r="B493" s="11" t="s">
        <v>893</v>
      </c>
      <c r="C493" s="87" t="s">
        <v>1215</v>
      </c>
      <c r="D493" s="11" t="s">
        <v>1899</v>
      </c>
      <c r="E493" s="129" t="s">
        <v>1213</v>
      </c>
      <c r="F493" s="132">
        <v>44558</v>
      </c>
      <c r="G493" s="87">
        <v>9.6319999999999997</v>
      </c>
      <c r="H493" s="87">
        <v>51.908000000000001</v>
      </c>
      <c r="I493" s="130">
        <v>499.97785599999997</v>
      </c>
    </row>
    <row r="494" spans="1:9" hidden="1" x14ac:dyDescent="0.25">
      <c r="A494" s="132" t="s">
        <v>1326</v>
      </c>
      <c r="B494" s="11" t="s">
        <v>894</v>
      </c>
      <c r="C494" s="87" t="s">
        <v>1215</v>
      </c>
      <c r="D494" s="11" t="s">
        <v>1900</v>
      </c>
      <c r="E494" s="129" t="s">
        <v>1213</v>
      </c>
      <c r="F494" s="132">
        <v>44558</v>
      </c>
      <c r="G494" s="87">
        <v>0.185</v>
      </c>
      <c r="H494" s="87">
        <v>2703.1858000000002</v>
      </c>
      <c r="I494" s="130">
        <v>500.08937300000002</v>
      </c>
    </row>
    <row r="495" spans="1:9" hidden="1" x14ac:dyDescent="0.25">
      <c r="A495" s="132" t="s">
        <v>1685</v>
      </c>
      <c r="B495" s="11" t="s">
        <v>893</v>
      </c>
      <c r="C495" s="87" t="s">
        <v>1215</v>
      </c>
      <c r="D495" s="11" t="s">
        <v>1899</v>
      </c>
      <c r="E495" s="129" t="s">
        <v>1213</v>
      </c>
      <c r="F495" s="132">
        <v>44559</v>
      </c>
      <c r="G495" s="87">
        <v>9.6329999999999991</v>
      </c>
      <c r="H495" s="87">
        <v>51.9</v>
      </c>
      <c r="I495" s="130">
        <v>499.95269999999994</v>
      </c>
    </row>
    <row r="496" spans="1:9" hidden="1" x14ac:dyDescent="0.25">
      <c r="A496" s="132" t="s">
        <v>1326</v>
      </c>
      <c r="B496" s="11" t="s">
        <v>894</v>
      </c>
      <c r="C496" s="87" t="s">
        <v>1215</v>
      </c>
      <c r="D496" s="11" t="s">
        <v>1900</v>
      </c>
      <c r="E496" s="129" t="s">
        <v>1213</v>
      </c>
      <c r="F496" s="132">
        <v>44559</v>
      </c>
      <c r="G496" s="87">
        <v>0.185</v>
      </c>
      <c r="H496" s="87">
        <v>2703.8847999999998</v>
      </c>
      <c r="I496" s="130">
        <v>500.21868799999999</v>
      </c>
    </row>
    <row r="497" spans="1:9" hidden="1" x14ac:dyDescent="0.25">
      <c r="A497" s="132" t="s">
        <v>1685</v>
      </c>
      <c r="B497" s="11" t="s">
        <v>893</v>
      </c>
      <c r="C497" s="87" t="s">
        <v>1215</v>
      </c>
      <c r="D497" s="11" t="s">
        <v>1899</v>
      </c>
      <c r="E497" s="129" t="s">
        <v>1213</v>
      </c>
      <c r="F497" s="132">
        <v>44560</v>
      </c>
      <c r="G497" s="87">
        <v>9.641</v>
      </c>
      <c r="H497" s="87">
        <v>51.859000000000002</v>
      </c>
      <c r="I497" s="130">
        <v>499.97261900000001</v>
      </c>
    </row>
    <row r="498" spans="1:9" hidden="1" x14ac:dyDescent="0.25">
      <c r="A498" s="132" t="s">
        <v>1326</v>
      </c>
      <c r="B498" s="11" t="s">
        <v>894</v>
      </c>
      <c r="C498" s="87" t="s">
        <v>1215</v>
      </c>
      <c r="D498" s="11" t="s">
        <v>1900</v>
      </c>
      <c r="E498" s="129" t="s">
        <v>1213</v>
      </c>
      <c r="F498" s="132">
        <v>44560</v>
      </c>
      <c r="G498" s="87">
        <v>0.185</v>
      </c>
      <c r="H498" s="87">
        <v>2703.8312999999998</v>
      </c>
      <c r="I498" s="130">
        <v>500.20879049999996</v>
      </c>
    </row>
    <row r="499" spans="1:9" hidden="1" x14ac:dyDescent="0.25">
      <c r="A499" s="132" t="s">
        <v>1685</v>
      </c>
      <c r="B499" s="11" t="s">
        <v>893</v>
      </c>
      <c r="C499" s="87" t="s">
        <v>1215</v>
      </c>
      <c r="D499" s="11" t="s">
        <v>1899</v>
      </c>
      <c r="E499" s="129" t="s">
        <v>1213</v>
      </c>
      <c r="F499" s="132">
        <v>44561</v>
      </c>
      <c r="G499" s="87">
        <v>9.5449999999999999</v>
      </c>
      <c r="H499" s="87">
        <v>52.383000000000003</v>
      </c>
      <c r="I499" s="130">
        <v>499.99573500000002</v>
      </c>
    </row>
    <row r="500" spans="1:9" hidden="1" x14ac:dyDescent="0.25">
      <c r="A500" s="132" t="s">
        <v>1326</v>
      </c>
      <c r="B500" s="11" t="s">
        <v>894</v>
      </c>
      <c r="C500" s="87" t="s">
        <v>1215</v>
      </c>
      <c r="D500" s="11" t="s">
        <v>1900</v>
      </c>
      <c r="E500" s="129" t="s">
        <v>1213</v>
      </c>
      <c r="F500" s="132">
        <v>44561</v>
      </c>
      <c r="G500" s="87">
        <v>1.2E-2</v>
      </c>
      <c r="H500" s="87">
        <v>2704.4070000000002</v>
      </c>
      <c r="I500" s="130">
        <v>32.452884000000005</v>
      </c>
    </row>
    <row r="501" spans="1:9" hidden="1" x14ac:dyDescent="0.25">
      <c r="A501" s="132" t="s">
        <v>1685</v>
      </c>
      <c r="B501" s="11" t="s">
        <v>893</v>
      </c>
      <c r="C501" s="87" t="s">
        <v>1215</v>
      </c>
      <c r="D501" s="11" t="s">
        <v>1899</v>
      </c>
      <c r="E501" s="129" t="s">
        <v>1213</v>
      </c>
      <c r="F501" s="132">
        <v>44564</v>
      </c>
      <c r="G501" s="87">
        <v>0.61099999999999999</v>
      </c>
      <c r="H501" s="87">
        <v>53.067999999999998</v>
      </c>
      <c r="I501" s="130">
        <v>32.424548000000001</v>
      </c>
    </row>
    <row r="502" spans="1:9" hidden="1" x14ac:dyDescent="0.25">
      <c r="A502" s="132" t="s">
        <v>1318</v>
      </c>
      <c r="B502" s="11" t="s">
        <v>897</v>
      </c>
      <c r="C502" s="87" t="s">
        <v>1215</v>
      </c>
      <c r="D502" s="11" t="s">
        <v>1716</v>
      </c>
      <c r="E502" s="129">
        <v>499203639934</v>
      </c>
      <c r="F502" s="132">
        <v>44564</v>
      </c>
      <c r="G502" s="87">
        <v>20.779</v>
      </c>
      <c r="H502" s="87">
        <v>72.186899999999994</v>
      </c>
      <c r="I502" s="130">
        <v>1499.9715950999998</v>
      </c>
    </row>
    <row r="503" spans="1:9" hidden="1" x14ac:dyDescent="0.25">
      <c r="A503" s="132" t="s">
        <v>1721</v>
      </c>
      <c r="B503" s="11" t="s">
        <v>1426</v>
      </c>
      <c r="C503" s="87" t="s">
        <v>1215</v>
      </c>
      <c r="D503" s="11" t="s">
        <v>1722</v>
      </c>
      <c r="E503" s="129">
        <v>499203639934</v>
      </c>
      <c r="F503" s="132">
        <v>44565</v>
      </c>
      <c r="G503" s="87">
        <v>16.806000000000001</v>
      </c>
      <c r="H503" s="87">
        <v>89.248500000000007</v>
      </c>
      <c r="I503" s="130">
        <v>1499.9102910000001</v>
      </c>
    </row>
  </sheetData>
  <autoFilter ref="A1:I503" xr:uid="{00000000-0009-0000-0000-000008000000}">
    <filterColumn colId="0">
      <filters>
        <filter val="ADITYA BIRLA SL TAX RELIEF '96(G)"/>
      </filters>
    </filterColumn>
    <sortState xmlns:xlrd2="http://schemas.microsoft.com/office/spreadsheetml/2017/richdata2" ref="A2:I183">
      <sortCondition ref="F1:F183"/>
    </sortState>
  </autoFilter>
  <conditionalFormatting sqref="B1">
    <cfRule type="duplicateValues" dxfId="4" priority="3"/>
    <cfRule type="duplicateValues" dxfId="3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8"/>
  <sheetViews>
    <sheetView workbookViewId="0">
      <selection activeCell="H14" sqref="H14"/>
    </sheetView>
  </sheetViews>
  <sheetFormatPr defaultColWidth="8.85546875" defaultRowHeight="15" x14ac:dyDescent="0.25"/>
  <cols>
    <col min="1" max="1" width="17.28515625" style="8" bestFit="1" customWidth="1"/>
    <col min="2" max="2" width="11" style="8" bestFit="1" customWidth="1"/>
    <col min="3" max="3" width="6" style="8" bestFit="1" customWidth="1"/>
    <col min="4" max="4" width="10" style="8" bestFit="1" customWidth="1"/>
    <col min="5" max="5" width="8.28515625" style="8" bestFit="1" customWidth="1"/>
    <col min="6" max="6" width="12.28515625" style="8" bestFit="1" customWidth="1"/>
    <col min="7" max="16384" width="8.85546875" style="8"/>
  </cols>
  <sheetData>
    <row r="1" spans="1:6" x14ac:dyDescent="0.25">
      <c r="A1" s="10" t="s">
        <v>320</v>
      </c>
      <c r="B1" s="10" t="s">
        <v>321</v>
      </c>
      <c r="C1" s="10" t="s">
        <v>323</v>
      </c>
      <c r="D1" s="10" t="s">
        <v>324</v>
      </c>
      <c r="E1" s="10" t="s">
        <v>325</v>
      </c>
      <c r="F1" s="10" t="s">
        <v>319</v>
      </c>
    </row>
    <row r="2" spans="1:6" x14ac:dyDescent="0.25">
      <c r="A2" s="11" t="s">
        <v>322</v>
      </c>
      <c r="B2" s="12">
        <v>174.66</v>
      </c>
      <c r="C2" s="15">
        <f>B2*100.1%</f>
        <v>174.83465999999999</v>
      </c>
      <c r="D2" s="14">
        <f>B2*99.9%</f>
        <v>174.48534000000001</v>
      </c>
      <c r="E2" s="15">
        <f>C2-D2</f>
        <v>0.34931999999997743</v>
      </c>
      <c r="F2" s="13">
        <v>43775</v>
      </c>
    </row>
    <row r="3" spans="1:6" x14ac:dyDescent="0.25">
      <c r="A3" s="11" t="s">
        <v>322</v>
      </c>
      <c r="B3" s="12">
        <v>172.39</v>
      </c>
      <c r="C3" s="15">
        <f t="shared" ref="C3:C52" si="0">B3*100.1%</f>
        <v>172.56238999999997</v>
      </c>
      <c r="D3" s="14">
        <f t="shared" ref="D3:D52" si="1">B3*99.9%</f>
        <v>172.21761000000001</v>
      </c>
      <c r="E3" s="15">
        <f t="shared" ref="E3:E52" si="2">C3-D3</f>
        <v>0.34477999999995745</v>
      </c>
      <c r="F3" s="13">
        <v>43776</v>
      </c>
    </row>
    <row r="4" spans="1:6" x14ac:dyDescent="0.25">
      <c r="A4" s="11" t="s">
        <v>322</v>
      </c>
      <c r="B4" s="12">
        <v>170.94</v>
      </c>
      <c r="C4" s="15">
        <f t="shared" si="0"/>
        <v>171.11093999999997</v>
      </c>
      <c r="D4" s="14">
        <f t="shared" si="1"/>
        <v>170.76906000000002</v>
      </c>
      <c r="E4" s="15">
        <f t="shared" si="2"/>
        <v>0.34187999999994645</v>
      </c>
      <c r="F4" s="13">
        <v>43777</v>
      </c>
    </row>
    <row r="5" spans="1:6" x14ac:dyDescent="0.25">
      <c r="A5" s="11" t="s">
        <v>322</v>
      </c>
      <c r="B5" s="12">
        <v>170.93</v>
      </c>
      <c r="C5" s="15">
        <f t="shared" si="0"/>
        <v>171.10092999999998</v>
      </c>
      <c r="D5" s="14">
        <f t="shared" si="1"/>
        <v>170.75907000000004</v>
      </c>
      <c r="E5" s="15">
        <f t="shared" si="2"/>
        <v>0.3418599999999401</v>
      </c>
      <c r="F5" s="13">
        <v>43779</v>
      </c>
    </row>
    <row r="6" spans="1:6" x14ac:dyDescent="0.25">
      <c r="A6" s="11" t="s">
        <v>322</v>
      </c>
      <c r="B6" s="12">
        <v>170.35</v>
      </c>
      <c r="C6" s="15">
        <f t="shared" si="0"/>
        <v>170.52034999999998</v>
      </c>
      <c r="D6" s="14">
        <f t="shared" si="1"/>
        <v>170.17965000000001</v>
      </c>
      <c r="E6" s="15">
        <f t="shared" si="2"/>
        <v>0.3406999999999698</v>
      </c>
      <c r="F6" s="13">
        <v>43780</v>
      </c>
    </row>
    <row r="7" spans="1:6" x14ac:dyDescent="0.25">
      <c r="A7" s="11" t="s">
        <v>322</v>
      </c>
      <c r="B7" s="12">
        <v>170.57</v>
      </c>
      <c r="C7" s="15">
        <f t="shared" si="0"/>
        <v>170.74056999999996</v>
      </c>
      <c r="D7" s="14">
        <f t="shared" si="1"/>
        <v>170.39943000000002</v>
      </c>
      <c r="E7" s="15">
        <f t="shared" si="2"/>
        <v>0.34113999999993894</v>
      </c>
      <c r="F7" s="13">
        <v>43781</v>
      </c>
    </row>
    <row r="8" spans="1:6" x14ac:dyDescent="0.25">
      <c r="A8" s="11" t="s">
        <v>322</v>
      </c>
      <c r="B8" s="12">
        <v>171.33</v>
      </c>
      <c r="C8" s="15">
        <f t="shared" si="0"/>
        <v>171.50133</v>
      </c>
      <c r="D8" s="14">
        <f t="shared" si="1"/>
        <v>171.15867000000003</v>
      </c>
      <c r="E8" s="15">
        <f t="shared" si="2"/>
        <v>0.34265999999996666</v>
      </c>
      <c r="F8" s="13">
        <v>43782</v>
      </c>
    </row>
    <row r="9" spans="1:6" x14ac:dyDescent="0.25">
      <c r="A9" s="11" t="s">
        <v>322</v>
      </c>
      <c r="B9" s="12">
        <v>171.69</v>
      </c>
      <c r="C9" s="15">
        <f t="shared" si="0"/>
        <v>171.86168999999998</v>
      </c>
      <c r="D9" s="14">
        <f t="shared" si="1"/>
        <v>171.51831000000001</v>
      </c>
      <c r="E9" s="15">
        <f t="shared" si="2"/>
        <v>0.34337999999996782</v>
      </c>
      <c r="F9" s="13">
        <v>43783</v>
      </c>
    </row>
    <row r="10" spans="1:6" x14ac:dyDescent="0.25">
      <c r="A10" s="11" t="s">
        <v>322</v>
      </c>
      <c r="B10" s="12">
        <v>171.52</v>
      </c>
      <c r="C10" s="15">
        <f t="shared" si="0"/>
        <v>171.69152</v>
      </c>
      <c r="D10" s="14">
        <f t="shared" si="1"/>
        <v>171.34848000000002</v>
      </c>
      <c r="E10" s="15">
        <f t="shared" si="2"/>
        <v>0.34303999999997359</v>
      </c>
      <c r="F10" s="13">
        <v>43784</v>
      </c>
    </row>
    <row r="11" spans="1:6" x14ac:dyDescent="0.25">
      <c r="A11" s="11" t="s">
        <v>322</v>
      </c>
      <c r="B11" s="12">
        <v>171.53</v>
      </c>
      <c r="C11" s="15">
        <f t="shared" si="0"/>
        <v>171.70152999999999</v>
      </c>
      <c r="D11" s="14">
        <f t="shared" si="1"/>
        <v>171.35847000000001</v>
      </c>
      <c r="E11" s="15">
        <f t="shared" si="2"/>
        <v>0.34305999999997994</v>
      </c>
      <c r="F11" s="13">
        <v>43786</v>
      </c>
    </row>
    <row r="12" spans="1:6" x14ac:dyDescent="0.25">
      <c r="A12" s="11" t="s">
        <v>322</v>
      </c>
      <c r="B12" s="12">
        <v>172.04</v>
      </c>
      <c r="C12" s="15">
        <f t="shared" si="0"/>
        <v>172.21203999999997</v>
      </c>
      <c r="D12" s="14">
        <f t="shared" si="1"/>
        <v>171.86796000000001</v>
      </c>
      <c r="E12" s="15">
        <f t="shared" si="2"/>
        <v>0.34407999999996264</v>
      </c>
      <c r="F12" s="13">
        <v>43787</v>
      </c>
    </row>
    <row r="13" spans="1:6" x14ac:dyDescent="0.25">
      <c r="A13" s="11" t="s">
        <v>322</v>
      </c>
      <c r="B13" s="12">
        <v>172.37</v>
      </c>
      <c r="C13" s="15">
        <f t="shared" si="0"/>
        <v>172.54236999999998</v>
      </c>
      <c r="D13" s="14">
        <f t="shared" si="1"/>
        <v>172.19763000000003</v>
      </c>
      <c r="E13" s="15">
        <f t="shared" si="2"/>
        <v>0.34473999999994476</v>
      </c>
      <c r="F13" s="13">
        <v>43788</v>
      </c>
    </row>
    <row r="14" spans="1:6" x14ac:dyDescent="0.25">
      <c r="A14" s="11" t="s">
        <v>322</v>
      </c>
      <c r="B14" s="12">
        <v>171.95</v>
      </c>
      <c r="C14" s="15">
        <f t="shared" si="0"/>
        <v>172.12194999999997</v>
      </c>
      <c r="D14" s="14">
        <f t="shared" si="1"/>
        <v>171.77805000000001</v>
      </c>
      <c r="E14" s="15">
        <f t="shared" si="2"/>
        <v>0.34389999999996235</v>
      </c>
      <c r="F14" s="13">
        <v>43789</v>
      </c>
    </row>
    <row r="15" spans="1:6" x14ac:dyDescent="0.25">
      <c r="A15" s="11" t="s">
        <v>322</v>
      </c>
      <c r="B15" s="12">
        <v>171.79</v>
      </c>
      <c r="C15" s="15">
        <f t="shared" si="0"/>
        <v>171.96178999999998</v>
      </c>
      <c r="D15" s="14">
        <f t="shared" si="1"/>
        <v>171.61821</v>
      </c>
      <c r="E15" s="15">
        <f t="shared" si="2"/>
        <v>0.34357999999997446</v>
      </c>
      <c r="F15" s="13">
        <v>43790</v>
      </c>
    </row>
    <row r="16" spans="1:6" x14ac:dyDescent="0.25">
      <c r="A16" s="11" t="s">
        <v>322</v>
      </c>
      <c r="B16" s="12">
        <v>171.87</v>
      </c>
      <c r="C16" s="15">
        <f t="shared" si="0"/>
        <v>172.04186999999999</v>
      </c>
      <c r="D16" s="14">
        <f t="shared" si="1"/>
        <v>171.69813000000002</v>
      </c>
      <c r="E16" s="15">
        <f t="shared" si="2"/>
        <v>0.3437399999999684</v>
      </c>
      <c r="F16" s="13">
        <v>43791</v>
      </c>
    </row>
    <row r="17" spans="1:6" x14ac:dyDescent="0.25">
      <c r="A17" s="11" t="s">
        <v>322</v>
      </c>
      <c r="B17" s="12">
        <v>171.83</v>
      </c>
      <c r="C17" s="15">
        <f t="shared" si="0"/>
        <v>172.00182999999998</v>
      </c>
      <c r="D17" s="14">
        <f t="shared" si="1"/>
        <v>171.65817000000004</v>
      </c>
      <c r="E17" s="15">
        <f t="shared" si="2"/>
        <v>0.34365999999994301</v>
      </c>
      <c r="F17" s="13">
        <v>43793</v>
      </c>
    </row>
    <row r="18" spans="1:6" x14ac:dyDescent="0.25">
      <c r="A18" s="11" t="s">
        <v>322</v>
      </c>
      <c r="B18" s="12">
        <v>170.35</v>
      </c>
      <c r="C18" s="15">
        <f t="shared" si="0"/>
        <v>170.52034999999998</v>
      </c>
      <c r="D18" s="14">
        <f t="shared" si="1"/>
        <v>170.17965000000001</v>
      </c>
      <c r="E18" s="15">
        <f t="shared" si="2"/>
        <v>0.3406999999999698</v>
      </c>
      <c r="F18" s="13">
        <v>43794</v>
      </c>
    </row>
    <row r="19" spans="1:6" x14ac:dyDescent="0.25">
      <c r="A19" s="11" t="s">
        <v>322</v>
      </c>
      <c r="B19" s="12">
        <v>170.98</v>
      </c>
      <c r="C19" s="15">
        <f t="shared" si="0"/>
        <v>171.15097999999998</v>
      </c>
      <c r="D19" s="14">
        <f t="shared" si="1"/>
        <v>170.80902</v>
      </c>
      <c r="E19" s="15">
        <f t="shared" si="2"/>
        <v>0.34195999999997184</v>
      </c>
      <c r="F19" s="13">
        <v>43795</v>
      </c>
    </row>
    <row r="20" spans="1:6" x14ac:dyDescent="0.25">
      <c r="A20" s="11" t="s">
        <v>322</v>
      </c>
      <c r="B20" s="12">
        <v>171.45</v>
      </c>
      <c r="C20" s="15">
        <f t="shared" si="0"/>
        <v>171.62144999999998</v>
      </c>
      <c r="D20" s="14">
        <f t="shared" si="1"/>
        <v>171.27855</v>
      </c>
      <c r="E20" s="15">
        <f t="shared" si="2"/>
        <v>0.34289999999998599</v>
      </c>
      <c r="F20" s="13">
        <v>43796</v>
      </c>
    </row>
    <row r="21" spans="1:6" x14ac:dyDescent="0.25">
      <c r="A21" s="11" t="s">
        <v>322</v>
      </c>
      <c r="B21" s="12">
        <v>170.34</v>
      </c>
      <c r="C21" s="15">
        <f t="shared" si="0"/>
        <v>170.51033999999999</v>
      </c>
      <c r="D21" s="14">
        <f t="shared" si="1"/>
        <v>170.16966000000002</v>
      </c>
      <c r="E21" s="15">
        <f t="shared" si="2"/>
        <v>0.34067999999996346</v>
      </c>
      <c r="F21" s="13">
        <v>43797</v>
      </c>
    </row>
    <row r="22" spans="1:6" x14ac:dyDescent="0.25">
      <c r="A22" s="11" t="s">
        <v>322</v>
      </c>
      <c r="B22" s="12">
        <v>171.03</v>
      </c>
      <c r="C22" s="15">
        <f t="shared" si="0"/>
        <v>171.20102999999997</v>
      </c>
      <c r="D22" s="14">
        <f t="shared" si="1"/>
        <v>170.85897000000003</v>
      </c>
      <c r="E22" s="15">
        <f t="shared" si="2"/>
        <v>0.34205999999994674</v>
      </c>
      <c r="F22" s="13">
        <v>43798</v>
      </c>
    </row>
    <row r="23" spans="1:6" x14ac:dyDescent="0.25">
      <c r="A23" s="11" t="s">
        <v>322</v>
      </c>
      <c r="B23" s="12">
        <v>170.98</v>
      </c>
      <c r="C23" s="15">
        <f t="shared" si="0"/>
        <v>171.15097999999998</v>
      </c>
      <c r="D23" s="14">
        <f t="shared" si="1"/>
        <v>170.80902</v>
      </c>
      <c r="E23" s="15">
        <f t="shared" si="2"/>
        <v>0.34195999999997184</v>
      </c>
      <c r="F23" s="13">
        <v>43800</v>
      </c>
    </row>
    <row r="24" spans="1:6" x14ac:dyDescent="0.25">
      <c r="A24" s="11" t="s">
        <v>322</v>
      </c>
      <c r="B24" s="12">
        <v>170.18</v>
      </c>
      <c r="C24" s="15">
        <f t="shared" si="0"/>
        <v>170.35017999999999</v>
      </c>
      <c r="D24" s="14">
        <f t="shared" si="1"/>
        <v>170.00982000000002</v>
      </c>
      <c r="E24" s="15">
        <f t="shared" si="2"/>
        <v>0.34035999999997557</v>
      </c>
      <c r="F24" s="13">
        <v>43801</v>
      </c>
    </row>
    <row r="25" spans="1:6" x14ac:dyDescent="0.25">
      <c r="A25" s="11" t="s">
        <v>322</v>
      </c>
      <c r="B25" s="12">
        <v>172.88</v>
      </c>
      <c r="C25" s="15">
        <f t="shared" si="0"/>
        <v>173.05287999999999</v>
      </c>
      <c r="D25" s="14">
        <f t="shared" si="1"/>
        <v>172.70712</v>
      </c>
      <c r="E25" s="15">
        <f t="shared" si="2"/>
        <v>0.3457599999999843</v>
      </c>
      <c r="F25" s="13">
        <v>43802</v>
      </c>
    </row>
    <row r="26" spans="1:6" x14ac:dyDescent="0.25">
      <c r="A26" s="11" t="s">
        <v>322</v>
      </c>
      <c r="B26" s="12">
        <v>172.48</v>
      </c>
      <c r="C26" s="15">
        <f t="shared" si="0"/>
        <v>172.65247999999997</v>
      </c>
      <c r="D26" s="14">
        <f t="shared" si="1"/>
        <v>172.30752000000001</v>
      </c>
      <c r="E26" s="15">
        <f t="shared" si="2"/>
        <v>0.34495999999995774</v>
      </c>
      <c r="F26" s="13">
        <v>43803</v>
      </c>
    </row>
    <row r="27" spans="1:6" x14ac:dyDescent="0.25">
      <c r="A27" s="11" t="s">
        <v>322</v>
      </c>
      <c r="B27" s="12">
        <v>172.55</v>
      </c>
      <c r="C27" s="15">
        <f t="shared" si="0"/>
        <v>172.72254999999998</v>
      </c>
      <c r="D27" s="14">
        <f t="shared" si="1"/>
        <v>172.37745000000004</v>
      </c>
      <c r="E27" s="15">
        <f t="shared" si="2"/>
        <v>0.34509999999994534</v>
      </c>
      <c r="F27" s="13">
        <v>43804</v>
      </c>
    </row>
    <row r="28" spans="1:6" x14ac:dyDescent="0.25">
      <c r="A28" s="11" t="s">
        <v>322</v>
      </c>
      <c r="B28" s="12">
        <v>171.39</v>
      </c>
      <c r="C28" s="15">
        <f t="shared" si="0"/>
        <v>171.56138999999996</v>
      </c>
      <c r="D28" s="14">
        <f t="shared" si="1"/>
        <v>171.21861000000001</v>
      </c>
      <c r="E28" s="15">
        <f t="shared" si="2"/>
        <v>0.3427799999999479</v>
      </c>
      <c r="F28" s="13">
        <v>43805</v>
      </c>
    </row>
    <row r="29" spans="1:6" x14ac:dyDescent="0.25">
      <c r="A29" s="11" t="s">
        <v>322</v>
      </c>
      <c r="B29" s="12">
        <v>171.44</v>
      </c>
      <c r="C29" s="15">
        <f t="shared" si="0"/>
        <v>171.61143999999999</v>
      </c>
      <c r="D29" s="14">
        <f t="shared" si="1"/>
        <v>171.26856000000001</v>
      </c>
      <c r="E29" s="15">
        <f t="shared" si="2"/>
        <v>0.34287999999997965</v>
      </c>
      <c r="F29" s="13">
        <v>43807</v>
      </c>
    </row>
    <row r="30" spans="1:6" x14ac:dyDescent="0.25">
      <c r="A30" s="11" t="s">
        <v>322</v>
      </c>
      <c r="B30" s="12">
        <v>171.24</v>
      </c>
      <c r="C30" s="15">
        <f t="shared" si="0"/>
        <v>171.41123999999999</v>
      </c>
      <c r="D30" s="14">
        <f t="shared" si="1"/>
        <v>171.06876000000003</v>
      </c>
      <c r="E30" s="15">
        <f t="shared" si="2"/>
        <v>0.34247999999996637</v>
      </c>
      <c r="F30" s="13">
        <v>43808</v>
      </c>
    </row>
    <row r="31" spans="1:6" x14ac:dyDescent="0.25">
      <c r="A31" s="11" t="s">
        <v>322</v>
      </c>
      <c r="B31" s="12">
        <v>171.3</v>
      </c>
      <c r="C31" s="15">
        <f t="shared" si="0"/>
        <v>171.47129999999999</v>
      </c>
      <c r="D31" s="14">
        <f t="shared" si="1"/>
        <v>171.12870000000004</v>
      </c>
      <c r="E31" s="15">
        <f t="shared" si="2"/>
        <v>0.34259999999994761</v>
      </c>
      <c r="F31" s="13">
        <v>43809</v>
      </c>
    </row>
    <row r="32" spans="1:6" x14ac:dyDescent="0.25">
      <c r="A32" s="11" t="s">
        <v>322</v>
      </c>
      <c r="B32" s="12">
        <v>171.85</v>
      </c>
      <c r="C32" s="15">
        <f t="shared" si="0"/>
        <v>172.02184999999997</v>
      </c>
      <c r="D32" s="14">
        <f t="shared" si="1"/>
        <v>171.67815000000002</v>
      </c>
      <c r="E32" s="15">
        <f t="shared" si="2"/>
        <v>0.34369999999995571</v>
      </c>
      <c r="F32" s="13">
        <v>43810</v>
      </c>
    </row>
    <row r="33" spans="1:6" x14ac:dyDescent="0.25">
      <c r="A33" s="11" t="s">
        <v>322</v>
      </c>
      <c r="B33" s="12">
        <v>171.25</v>
      </c>
      <c r="C33" s="15">
        <f t="shared" si="0"/>
        <v>171.42124999999999</v>
      </c>
      <c r="D33" s="14">
        <f t="shared" si="1"/>
        <v>171.07875000000001</v>
      </c>
      <c r="E33" s="15">
        <f t="shared" si="2"/>
        <v>0.34249999999997272</v>
      </c>
      <c r="F33" s="13">
        <v>43811</v>
      </c>
    </row>
    <row r="34" spans="1:6" x14ac:dyDescent="0.25">
      <c r="A34" s="11" t="s">
        <v>322</v>
      </c>
      <c r="B34" s="12">
        <v>173.66</v>
      </c>
      <c r="C34" s="15">
        <f t="shared" si="0"/>
        <v>173.83365999999998</v>
      </c>
      <c r="D34" s="14">
        <f t="shared" si="1"/>
        <v>173.48634000000001</v>
      </c>
      <c r="E34" s="15">
        <f t="shared" si="2"/>
        <v>0.34731999999996788</v>
      </c>
      <c r="F34" s="13">
        <v>43812</v>
      </c>
    </row>
    <row r="35" spans="1:6" x14ac:dyDescent="0.25">
      <c r="A35" s="11" t="s">
        <v>322</v>
      </c>
      <c r="B35" s="12">
        <v>173.52</v>
      </c>
      <c r="C35" s="15">
        <f t="shared" si="0"/>
        <v>173.69351999999998</v>
      </c>
      <c r="D35" s="14">
        <f t="shared" si="1"/>
        <v>173.34648000000004</v>
      </c>
      <c r="E35" s="15">
        <f t="shared" si="2"/>
        <v>0.34703999999993584</v>
      </c>
      <c r="F35" s="13">
        <v>43814</v>
      </c>
    </row>
    <row r="36" spans="1:6" x14ac:dyDescent="0.25">
      <c r="A36" s="11" t="s">
        <v>322</v>
      </c>
      <c r="B36" s="12">
        <v>172.83</v>
      </c>
      <c r="C36" s="15">
        <f t="shared" si="0"/>
        <v>173.00282999999999</v>
      </c>
      <c r="D36" s="14">
        <f t="shared" si="1"/>
        <v>172.65717000000004</v>
      </c>
      <c r="E36" s="15">
        <f t="shared" si="2"/>
        <v>0.34565999999995256</v>
      </c>
      <c r="F36" s="13">
        <v>43815</v>
      </c>
    </row>
    <row r="37" spans="1:6" x14ac:dyDescent="0.25">
      <c r="A37" s="11" t="s">
        <v>322</v>
      </c>
      <c r="B37" s="12">
        <v>172.92</v>
      </c>
      <c r="C37" s="15">
        <f t="shared" si="0"/>
        <v>173.09291999999996</v>
      </c>
      <c r="D37" s="14">
        <f t="shared" si="1"/>
        <v>172.74708000000001</v>
      </c>
      <c r="E37" s="15">
        <f t="shared" si="2"/>
        <v>0.34583999999995285</v>
      </c>
      <c r="F37" s="13">
        <v>43816</v>
      </c>
    </row>
    <row r="38" spans="1:6" x14ac:dyDescent="0.25">
      <c r="A38" s="11" t="s">
        <v>322</v>
      </c>
      <c r="B38" s="12">
        <v>172.92</v>
      </c>
      <c r="C38" s="15">
        <f t="shared" si="0"/>
        <v>173.09291999999996</v>
      </c>
      <c r="D38" s="14">
        <f t="shared" si="1"/>
        <v>172.74708000000001</v>
      </c>
      <c r="E38" s="15">
        <f t="shared" si="2"/>
        <v>0.34583999999995285</v>
      </c>
      <c r="F38" s="13">
        <v>43817</v>
      </c>
    </row>
    <row r="39" spans="1:6" x14ac:dyDescent="0.25">
      <c r="A39" s="11" t="s">
        <v>322</v>
      </c>
      <c r="B39" s="12">
        <v>173.16</v>
      </c>
      <c r="C39" s="15">
        <f t="shared" si="0"/>
        <v>173.33315999999996</v>
      </c>
      <c r="D39" s="14">
        <f t="shared" si="1"/>
        <v>172.98684000000003</v>
      </c>
      <c r="E39" s="15">
        <f t="shared" si="2"/>
        <v>0.34631999999993468</v>
      </c>
      <c r="F39" s="13">
        <v>43818</v>
      </c>
    </row>
    <row r="40" spans="1:6" x14ac:dyDescent="0.25">
      <c r="A40" s="11" t="s">
        <v>322</v>
      </c>
      <c r="B40" s="12">
        <v>173.37</v>
      </c>
      <c r="C40" s="15">
        <f t="shared" si="0"/>
        <v>173.54336999999998</v>
      </c>
      <c r="D40" s="14">
        <f t="shared" si="1"/>
        <v>173.19663000000003</v>
      </c>
      <c r="E40" s="15">
        <f t="shared" si="2"/>
        <v>0.34673999999995431</v>
      </c>
      <c r="F40" s="13">
        <v>43819</v>
      </c>
    </row>
    <row r="41" spans="1:6" x14ac:dyDescent="0.25">
      <c r="A41" s="11" t="s">
        <v>322</v>
      </c>
      <c r="B41" s="12">
        <v>173.32</v>
      </c>
      <c r="C41" s="15">
        <f t="shared" si="0"/>
        <v>173.49331999999998</v>
      </c>
      <c r="D41" s="14">
        <f t="shared" si="1"/>
        <v>173.14668</v>
      </c>
      <c r="E41" s="15">
        <f t="shared" si="2"/>
        <v>0.34663999999997941</v>
      </c>
      <c r="F41" s="13">
        <v>43821</v>
      </c>
    </row>
    <row r="42" spans="1:6" x14ac:dyDescent="0.25">
      <c r="A42" s="11" t="s">
        <v>322</v>
      </c>
      <c r="B42" s="12">
        <v>173.76</v>
      </c>
      <c r="C42" s="15">
        <f t="shared" si="0"/>
        <v>173.93375999999998</v>
      </c>
      <c r="D42" s="14">
        <f t="shared" si="1"/>
        <v>173.58624</v>
      </c>
      <c r="E42" s="15">
        <f t="shared" si="2"/>
        <v>0.34751999999997452</v>
      </c>
      <c r="F42" s="13">
        <v>43822</v>
      </c>
    </row>
    <row r="43" spans="1:6" x14ac:dyDescent="0.25">
      <c r="A43" s="11" t="s">
        <v>322</v>
      </c>
      <c r="B43" s="12">
        <v>175.33</v>
      </c>
      <c r="C43" s="15">
        <f t="shared" si="0"/>
        <v>175.50532999999999</v>
      </c>
      <c r="D43" s="14">
        <f t="shared" si="1"/>
        <v>175.15467000000004</v>
      </c>
      <c r="E43" s="15">
        <f t="shared" si="2"/>
        <v>0.35065999999994801</v>
      </c>
      <c r="F43" s="13">
        <v>43823</v>
      </c>
    </row>
    <row r="44" spans="1:6" x14ac:dyDescent="0.25">
      <c r="A44" s="11" t="s">
        <v>322</v>
      </c>
      <c r="B44" s="12">
        <v>175.78</v>
      </c>
      <c r="C44" s="15">
        <f t="shared" si="0"/>
        <v>175.95577999999998</v>
      </c>
      <c r="D44" s="14">
        <f t="shared" si="1"/>
        <v>175.60422000000003</v>
      </c>
      <c r="E44" s="15">
        <f t="shared" si="2"/>
        <v>0.35155999999994947</v>
      </c>
      <c r="F44" s="13">
        <v>43824</v>
      </c>
    </row>
    <row r="45" spans="1:6" x14ac:dyDescent="0.25">
      <c r="A45" s="11" t="s">
        <v>322</v>
      </c>
      <c r="B45" s="12">
        <v>176.91</v>
      </c>
      <c r="C45" s="15">
        <f t="shared" si="0"/>
        <v>177.08690999999999</v>
      </c>
      <c r="D45" s="14">
        <f t="shared" si="1"/>
        <v>176.73309</v>
      </c>
      <c r="E45" s="15">
        <f t="shared" si="2"/>
        <v>0.3538199999999847</v>
      </c>
      <c r="F45" s="13">
        <v>43825</v>
      </c>
    </row>
    <row r="46" spans="1:6" x14ac:dyDescent="0.25">
      <c r="A46" s="11" t="s">
        <v>322</v>
      </c>
      <c r="B46" s="12">
        <v>176.41</v>
      </c>
      <c r="C46" s="15">
        <f t="shared" si="0"/>
        <v>176.58640999999997</v>
      </c>
      <c r="D46" s="14">
        <f t="shared" si="1"/>
        <v>176.23359000000002</v>
      </c>
      <c r="E46" s="15">
        <f t="shared" si="2"/>
        <v>0.35281999999995151</v>
      </c>
      <c r="F46" s="13">
        <v>43826</v>
      </c>
    </row>
    <row r="47" spans="1:6" x14ac:dyDescent="0.25">
      <c r="A47" s="11" t="s">
        <v>322</v>
      </c>
      <c r="B47" s="12">
        <v>176.39</v>
      </c>
      <c r="C47" s="15">
        <f t="shared" si="0"/>
        <v>176.56638999999996</v>
      </c>
      <c r="D47" s="14">
        <f t="shared" si="1"/>
        <v>176.21361000000002</v>
      </c>
      <c r="E47" s="15">
        <f t="shared" si="2"/>
        <v>0.35277999999993881</v>
      </c>
      <c r="F47" s="13">
        <v>43828</v>
      </c>
    </row>
    <row r="48" spans="1:6" x14ac:dyDescent="0.25">
      <c r="A48" s="11" t="s">
        <v>322</v>
      </c>
      <c r="B48" s="12">
        <v>177.25</v>
      </c>
      <c r="C48" s="15">
        <f t="shared" si="0"/>
        <v>177.42724999999999</v>
      </c>
      <c r="D48" s="14">
        <f t="shared" si="1"/>
        <v>177.07275000000001</v>
      </c>
      <c r="E48" s="15">
        <f t="shared" si="2"/>
        <v>0.35449999999997317</v>
      </c>
      <c r="F48" s="13">
        <v>43829</v>
      </c>
    </row>
    <row r="49" spans="1:6" x14ac:dyDescent="0.25">
      <c r="A49" s="11" t="s">
        <v>322</v>
      </c>
      <c r="B49" s="12">
        <v>177.72</v>
      </c>
      <c r="C49" s="15">
        <f t="shared" si="0"/>
        <v>177.89771999999999</v>
      </c>
      <c r="D49" s="14">
        <f t="shared" si="1"/>
        <v>177.54228000000001</v>
      </c>
      <c r="E49" s="15">
        <f t="shared" si="2"/>
        <v>0.35543999999998732</v>
      </c>
      <c r="F49" s="13">
        <v>43830</v>
      </c>
    </row>
    <row r="50" spans="1:6" x14ac:dyDescent="0.25">
      <c r="A50" s="11" t="s">
        <v>322</v>
      </c>
      <c r="B50" s="12">
        <v>177.79</v>
      </c>
      <c r="C50" s="15">
        <f t="shared" si="0"/>
        <v>177.96778999999998</v>
      </c>
      <c r="D50" s="14">
        <f t="shared" si="1"/>
        <v>177.61221</v>
      </c>
      <c r="E50" s="15">
        <f t="shared" si="2"/>
        <v>0.35557999999997492</v>
      </c>
      <c r="F50" s="13">
        <v>43831</v>
      </c>
    </row>
    <row r="51" spans="1:6" x14ac:dyDescent="0.25">
      <c r="A51" s="11" t="s">
        <v>322</v>
      </c>
      <c r="B51" s="12">
        <v>179.17</v>
      </c>
      <c r="C51" s="15">
        <f t="shared" si="0"/>
        <v>179.34916999999996</v>
      </c>
      <c r="D51" s="14">
        <f t="shared" si="1"/>
        <v>178.99083000000002</v>
      </c>
      <c r="E51" s="15">
        <f t="shared" si="2"/>
        <v>0.35833999999994148</v>
      </c>
      <c r="F51" s="13">
        <v>43832</v>
      </c>
    </row>
    <row r="52" spans="1:6" x14ac:dyDescent="0.25">
      <c r="A52" s="11" t="s">
        <v>322</v>
      </c>
      <c r="B52" s="12">
        <v>181.22</v>
      </c>
      <c r="C52" s="15">
        <f t="shared" si="0"/>
        <v>181.40121999999997</v>
      </c>
      <c r="D52" s="14">
        <f t="shared" si="1"/>
        <v>181.03878000000003</v>
      </c>
      <c r="E52" s="15">
        <f t="shared" si="2"/>
        <v>0.36243999999993548</v>
      </c>
      <c r="F52" s="13">
        <v>43833</v>
      </c>
    </row>
    <row r="53" spans="1:6" x14ac:dyDescent="0.25">
      <c r="A53" s="11" t="s">
        <v>326</v>
      </c>
      <c r="B53" s="11">
        <v>158.38999999999999</v>
      </c>
      <c r="C53" s="15">
        <f t="shared" ref="C53:C78" si="3">B53*100.1%</f>
        <v>158.54838999999996</v>
      </c>
      <c r="D53" s="14">
        <f t="shared" ref="D53:D78" si="4">B53*99.9%</f>
        <v>158.23161000000002</v>
      </c>
      <c r="E53" s="15">
        <f t="shared" ref="E53:E78" si="5">C53-D53</f>
        <v>0.31677999999993744</v>
      </c>
      <c r="F53" s="13">
        <v>43804</v>
      </c>
    </row>
    <row r="54" spans="1:6" x14ac:dyDescent="0.25">
      <c r="A54" s="11" t="s">
        <v>326</v>
      </c>
      <c r="B54" s="11">
        <v>158.38999999999999</v>
      </c>
      <c r="C54" s="15">
        <f t="shared" si="3"/>
        <v>158.54838999999996</v>
      </c>
      <c r="D54" s="14">
        <f t="shared" si="4"/>
        <v>158.23161000000002</v>
      </c>
      <c r="E54" s="15">
        <f t="shared" si="5"/>
        <v>0.31677999999993744</v>
      </c>
      <c r="F54" s="13">
        <v>43805</v>
      </c>
    </row>
    <row r="55" spans="1:6" x14ac:dyDescent="0.25">
      <c r="A55" s="11" t="s">
        <v>326</v>
      </c>
      <c r="B55" s="11">
        <v>156.68</v>
      </c>
      <c r="C55" s="15">
        <f t="shared" si="3"/>
        <v>156.83668</v>
      </c>
      <c r="D55" s="14">
        <f t="shared" si="4"/>
        <v>156.52332000000001</v>
      </c>
      <c r="E55" s="15">
        <f t="shared" si="5"/>
        <v>0.31335999999998876</v>
      </c>
      <c r="F55" s="13">
        <v>43807</v>
      </c>
    </row>
    <row r="56" spans="1:6" x14ac:dyDescent="0.25">
      <c r="A56" s="11" t="s">
        <v>326</v>
      </c>
      <c r="B56" s="11">
        <v>157.18</v>
      </c>
      <c r="C56" s="15">
        <f t="shared" si="3"/>
        <v>157.33717999999999</v>
      </c>
      <c r="D56" s="14">
        <f t="shared" si="4"/>
        <v>157.02282000000002</v>
      </c>
      <c r="E56" s="15">
        <f t="shared" si="5"/>
        <v>0.31435999999996511</v>
      </c>
      <c r="F56" s="13">
        <v>43808</v>
      </c>
    </row>
    <row r="57" spans="1:6" x14ac:dyDescent="0.25">
      <c r="A57" s="11" t="s">
        <v>326</v>
      </c>
      <c r="B57" s="11">
        <v>156.71</v>
      </c>
      <c r="C57" s="15">
        <f t="shared" si="3"/>
        <v>156.86670999999998</v>
      </c>
      <c r="D57" s="14">
        <f t="shared" si="4"/>
        <v>156.55329000000003</v>
      </c>
      <c r="E57" s="15">
        <f t="shared" si="5"/>
        <v>0.31341999999995096</v>
      </c>
      <c r="F57" s="13">
        <v>43809</v>
      </c>
    </row>
    <row r="58" spans="1:6" x14ac:dyDescent="0.25">
      <c r="A58" s="11" t="s">
        <v>326</v>
      </c>
      <c r="B58" s="11">
        <v>157.08000000000001</v>
      </c>
      <c r="C58" s="15">
        <f t="shared" si="3"/>
        <v>157.23707999999999</v>
      </c>
      <c r="D58" s="14">
        <f t="shared" si="4"/>
        <v>156.92292000000003</v>
      </c>
      <c r="E58" s="15">
        <f t="shared" si="5"/>
        <v>0.31415999999995847</v>
      </c>
      <c r="F58" s="13">
        <v>43810</v>
      </c>
    </row>
    <row r="59" spans="1:6" x14ac:dyDescent="0.25">
      <c r="A59" s="11" t="s">
        <v>326</v>
      </c>
      <c r="B59" s="11">
        <v>158.35</v>
      </c>
      <c r="C59" s="15">
        <f t="shared" si="3"/>
        <v>158.50834999999998</v>
      </c>
      <c r="D59" s="14">
        <f t="shared" si="4"/>
        <v>158.19165000000001</v>
      </c>
      <c r="E59" s="15">
        <f t="shared" si="5"/>
        <v>0.3166999999999689</v>
      </c>
      <c r="F59" s="13">
        <v>43811</v>
      </c>
    </row>
    <row r="60" spans="1:6" x14ac:dyDescent="0.25">
      <c r="A60" s="11" t="s">
        <v>326</v>
      </c>
      <c r="B60" s="11">
        <v>157.54</v>
      </c>
      <c r="C60" s="15">
        <f t="shared" si="3"/>
        <v>157.69753999999998</v>
      </c>
      <c r="D60" s="14">
        <f t="shared" si="4"/>
        <v>157.38246000000001</v>
      </c>
      <c r="E60" s="15">
        <f t="shared" si="5"/>
        <v>0.31507999999996628</v>
      </c>
      <c r="F60" s="13">
        <v>43812</v>
      </c>
    </row>
    <row r="61" spans="1:6" x14ac:dyDescent="0.25">
      <c r="A61" s="11" t="s">
        <v>326</v>
      </c>
      <c r="B61" s="11">
        <v>158.36000000000001</v>
      </c>
      <c r="C61" s="15">
        <f t="shared" si="3"/>
        <v>158.51836</v>
      </c>
      <c r="D61" s="14">
        <f t="shared" si="4"/>
        <v>158.20164000000003</v>
      </c>
      <c r="E61" s="15">
        <f t="shared" si="5"/>
        <v>0.31671999999997524</v>
      </c>
      <c r="F61" s="13">
        <v>43814</v>
      </c>
    </row>
    <row r="62" spans="1:6" x14ac:dyDescent="0.25">
      <c r="A62" s="11" t="s">
        <v>326</v>
      </c>
      <c r="B62" s="11">
        <v>158.99</v>
      </c>
      <c r="C62" s="15">
        <f t="shared" si="3"/>
        <v>159.14899</v>
      </c>
      <c r="D62" s="14">
        <f t="shared" si="4"/>
        <v>158.83101000000002</v>
      </c>
      <c r="E62" s="15">
        <f t="shared" si="5"/>
        <v>0.31797999999997728</v>
      </c>
      <c r="F62" s="13">
        <v>43815</v>
      </c>
    </row>
    <row r="63" spans="1:6" x14ac:dyDescent="0.25">
      <c r="A63" s="11" t="s">
        <v>326</v>
      </c>
      <c r="B63" s="11">
        <v>158.44</v>
      </c>
      <c r="C63" s="15">
        <f t="shared" si="3"/>
        <v>158.59843999999998</v>
      </c>
      <c r="D63" s="14">
        <f t="shared" si="4"/>
        <v>158.28156000000001</v>
      </c>
      <c r="E63" s="15">
        <f t="shared" si="5"/>
        <v>0.31687999999996919</v>
      </c>
      <c r="F63" s="13">
        <v>43816</v>
      </c>
    </row>
    <row r="64" spans="1:6" x14ac:dyDescent="0.25">
      <c r="A64" s="11" t="s">
        <v>326</v>
      </c>
      <c r="B64" s="11">
        <v>158.66999999999999</v>
      </c>
      <c r="C64" s="15">
        <f t="shared" si="3"/>
        <v>158.82866999999996</v>
      </c>
      <c r="D64" s="14">
        <f t="shared" si="4"/>
        <v>158.51133000000002</v>
      </c>
      <c r="E64" s="15">
        <f t="shared" si="5"/>
        <v>0.31733999999994467</v>
      </c>
      <c r="F64" s="13">
        <v>43817</v>
      </c>
    </row>
    <row r="65" spans="1:6" x14ac:dyDescent="0.25">
      <c r="A65" s="11" t="s">
        <v>326</v>
      </c>
      <c r="B65" s="11">
        <v>158.77000000000001</v>
      </c>
      <c r="C65" s="15">
        <f t="shared" si="3"/>
        <v>158.92876999999999</v>
      </c>
      <c r="D65" s="14">
        <f t="shared" si="4"/>
        <v>158.61123000000003</v>
      </c>
      <c r="E65" s="15">
        <f t="shared" si="5"/>
        <v>0.31753999999995131</v>
      </c>
      <c r="F65" s="13">
        <v>43818</v>
      </c>
    </row>
    <row r="66" spans="1:6" x14ac:dyDescent="0.25">
      <c r="A66" s="11" t="s">
        <v>326</v>
      </c>
      <c r="B66" s="11">
        <v>158.79</v>
      </c>
      <c r="C66" s="15">
        <f t="shared" si="3"/>
        <v>158.94878999999997</v>
      </c>
      <c r="D66" s="14">
        <f t="shared" si="4"/>
        <v>158.63121000000001</v>
      </c>
      <c r="E66" s="15">
        <f t="shared" si="5"/>
        <v>0.317579999999964</v>
      </c>
      <c r="F66" s="13">
        <v>43819</v>
      </c>
    </row>
    <row r="67" spans="1:6" x14ac:dyDescent="0.25">
      <c r="A67" s="11" t="s">
        <v>326</v>
      </c>
      <c r="B67" s="11">
        <v>158.63</v>
      </c>
      <c r="C67" s="15">
        <f t="shared" si="3"/>
        <v>158.78862999999998</v>
      </c>
      <c r="D67" s="14">
        <f t="shared" si="4"/>
        <v>158.47137000000001</v>
      </c>
      <c r="E67" s="15">
        <f t="shared" si="5"/>
        <v>0.31725999999997612</v>
      </c>
      <c r="F67" s="13">
        <v>43821</v>
      </c>
    </row>
    <row r="68" spans="1:6" x14ac:dyDescent="0.25">
      <c r="A68" s="11" t="s">
        <v>326</v>
      </c>
      <c r="B68" s="11">
        <v>158.91999999999999</v>
      </c>
      <c r="C68" s="15">
        <f t="shared" si="3"/>
        <v>159.07891999999998</v>
      </c>
      <c r="D68" s="14">
        <f t="shared" si="4"/>
        <v>158.76107999999999</v>
      </c>
      <c r="E68" s="15">
        <f t="shared" si="5"/>
        <v>0.31783999999998969</v>
      </c>
      <c r="F68" s="13">
        <v>43822</v>
      </c>
    </row>
    <row r="69" spans="1:6" x14ac:dyDescent="0.25">
      <c r="A69" s="11" t="s">
        <v>326</v>
      </c>
      <c r="B69" s="11">
        <v>159.79</v>
      </c>
      <c r="C69" s="15">
        <f t="shared" si="3"/>
        <v>159.94978999999998</v>
      </c>
      <c r="D69" s="14">
        <f t="shared" si="4"/>
        <v>159.63021000000001</v>
      </c>
      <c r="E69" s="15">
        <f t="shared" si="5"/>
        <v>0.31957999999997355</v>
      </c>
      <c r="F69" s="13">
        <v>43823</v>
      </c>
    </row>
    <row r="70" spans="1:6" x14ac:dyDescent="0.25">
      <c r="A70" s="11" t="s">
        <v>326</v>
      </c>
      <c r="B70" s="11">
        <v>160.63</v>
      </c>
      <c r="C70" s="15">
        <f t="shared" si="3"/>
        <v>160.79062999999996</v>
      </c>
      <c r="D70" s="14">
        <f t="shared" si="4"/>
        <v>160.46937000000003</v>
      </c>
      <c r="E70" s="15">
        <f t="shared" si="5"/>
        <v>0.32125999999993837</v>
      </c>
      <c r="F70" s="13">
        <v>43824</v>
      </c>
    </row>
    <row r="71" spans="1:6" x14ac:dyDescent="0.25">
      <c r="A71" s="11" t="s">
        <v>326</v>
      </c>
      <c r="B71" s="11">
        <v>161.11000000000001</v>
      </c>
      <c r="C71" s="15">
        <f t="shared" si="3"/>
        <v>161.27110999999999</v>
      </c>
      <c r="D71" s="14">
        <f t="shared" si="4"/>
        <v>160.94889000000003</v>
      </c>
      <c r="E71" s="15">
        <f t="shared" si="5"/>
        <v>0.32221999999995887</v>
      </c>
      <c r="F71" s="13">
        <v>43825</v>
      </c>
    </row>
    <row r="72" spans="1:6" x14ac:dyDescent="0.25">
      <c r="A72" s="11" t="s">
        <v>326</v>
      </c>
      <c r="B72" s="11">
        <v>162.37</v>
      </c>
      <c r="C72" s="15">
        <f t="shared" si="3"/>
        <v>162.53236999999999</v>
      </c>
      <c r="D72" s="14">
        <f t="shared" si="4"/>
        <v>162.20763000000002</v>
      </c>
      <c r="E72" s="15">
        <f t="shared" si="5"/>
        <v>0.32473999999996295</v>
      </c>
      <c r="F72" s="13">
        <v>43826</v>
      </c>
    </row>
    <row r="73" spans="1:6" x14ac:dyDescent="0.25">
      <c r="A73" s="11" t="s">
        <v>326</v>
      </c>
      <c r="B73" s="11">
        <v>162.16999999999999</v>
      </c>
      <c r="C73" s="15">
        <f t="shared" si="3"/>
        <v>162.33216999999996</v>
      </c>
      <c r="D73" s="14">
        <f t="shared" si="4"/>
        <v>162.00783000000001</v>
      </c>
      <c r="E73" s="15">
        <f t="shared" si="5"/>
        <v>0.32433999999994967</v>
      </c>
      <c r="F73" s="13">
        <v>43828</v>
      </c>
    </row>
    <row r="74" spans="1:6" x14ac:dyDescent="0.25">
      <c r="A74" s="11" t="s">
        <v>326</v>
      </c>
      <c r="B74" s="11">
        <v>161.99</v>
      </c>
      <c r="C74" s="15">
        <f t="shared" si="3"/>
        <v>162.15198999999998</v>
      </c>
      <c r="D74" s="14">
        <f t="shared" si="4"/>
        <v>161.82801000000003</v>
      </c>
      <c r="E74" s="15">
        <f t="shared" si="5"/>
        <v>0.32397999999994909</v>
      </c>
      <c r="F74" s="13">
        <v>43829</v>
      </c>
    </row>
    <row r="75" spans="1:6" x14ac:dyDescent="0.25">
      <c r="A75" s="11" t="s">
        <v>326</v>
      </c>
      <c r="B75" s="11">
        <v>163.34</v>
      </c>
      <c r="C75" s="15">
        <f t="shared" si="3"/>
        <v>163.50333999999998</v>
      </c>
      <c r="D75" s="14">
        <f t="shared" si="4"/>
        <v>163.17666000000003</v>
      </c>
      <c r="E75" s="15">
        <f t="shared" si="5"/>
        <v>0.32667999999995345</v>
      </c>
      <c r="F75" s="13">
        <v>43830</v>
      </c>
    </row>
    <row r="76" spans="1:6" x14ac:dyDescent="0.25">
      <c r="A76" s="11" t="s">
        <v>326</v>
      </c>
      <c r="B76" s="11">
        <v>162.83000000000001</v>
      </c>
      <c r="C76" s="15">
        <f t="shared" si="3"/>
        <v>162.99283</v>
      </c>
      <c r="D76" s="14">
        <f t="shared" si="4"/>
        <v>162.66717000000003</v>
      </c>
      <c r="E76" s="15">
        <f t="shared" si="5"/>
        <v>0.32565999999997075</v>
      </c>
      <c r="F76" s="13">
        <v>43831</v>
      </c>
    </row>
    <row r="77" spans="1:6" x14ac:dyDescent="0.25">
      <c r="A77" s="11" t="s">
        <v>326</v>
      </c>
      <c r="B77" s="11">
        <v>163.30000000000001</v>
      </c>
      <c r="C77" s="15">
        <f t="shared" si="3"/>
        <v>163.4633</v>
      </c>
      <c r="D77" s="14">
        <f t="shared" si="4"/>
        <v>163.13670000000002</v>
      </c>
      <c r="E77" s="15">
        <f t="shared" si="5"/>
        <v>0.3265999999999849</v>
      </c>
      <c r="F77" s="13">
        <v>43832</v>
      </c>
    </row>
    <row r="78" spans="1:6" x14ac:dyDescent="0.25">
      <c r="A78" s="11" t="s">
        <v>326</v>
      </c>
      <c r="B78" s="11">
        <v>165.13</v>
      </c>
      <c r="C78" s="15">
        <f t="shared" si="3"/>
        <v>165.29512999999997</v>
      </c>
      <c r="D78" s="14">
        <f t="shared" si="4"/>
        <v>164.96487000000002</v>
      </c>
      <c r="E78" s="15">
        <f t="shared" si="5"/>
        <v>0.33025999999995292</v>
      </c>
      <c r="F78" s="13">
        <v>43833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84"/>
  <sheetViews>
    <sheetView workbookViewId="0">
      <pane ySplit="1" topLeftCell="A3" activePane="bottomLeft" state="frozen"/>
      <selection activeCell="H14" sqref="H14"/>
      <selection pane="bottomLeft" activeCell="I22" sqref="I22"/>
    </sheetView>
  </sheetViews>
  <sheetFormatPr defaultColWidth="8.85546875" defaultRowHeight="15.75" x14ac:dyDescent="0.25"/>
  <cols>
    <col min="1" max="1" width="11.5703125" style="16" bestFit="1" customWidth="1"/>
    <col min="2" max="2" width="15.85546875" style="16" bestFit="1" customWidth="1"/>
    <col min="3" max="3" width="15.140625" style="16" customWidth="1"/>
    <col min="4" max="4" width="11.85546875" style="16" bestFit="1" customWidth="1"/>
    <col min="5" max="16384" width="8.85546875" style="16"/>
  </cols>
  <sheetData>
    <row r="1" spans="1:4" s="23" customFormat="1" x14ac:dyDescent="0.25">
      <c r="A1" s="22" t="s">
        <v>328</v>
      </c>
      <c r="B1" s="22" t="s">
        <v>329</v>
      </c>
      <c r="C1" s="22" t="s">
        <v>330</v>
      </c>
      <c r="D1" s="22" t="s">
        <v>327</v>
      </c>
    </row>
    <row r="2" spans="1:4" x14ac:dyDescent="0.25">
      <c r="A2" s="17" t="s">
        <v>331</v>
      </c>
      <c r="B2" s="18">
        <v>71.783789999999996</v>
      </c>
      <c r="C2" s="17">
        <v>1.393072168521612E-2</v>
      </c>
      <c r="D2" s="19">
        <v>43833</v>
      </c>
    </row>
    <row r="3" spans="1:4" x14ac:dyDescent="0.25">
      <c r="A3" s="17" t="s">
        <v>331</v>
      </c>
      <c r="B3" s="20">
        <v>71.345200000000006</v>
      </c>
      <c r="C3" s="17">
        <v>1.4016359895269758E-2</v>
      </c>
      <c r="D3" s="19">
        <v>43832</v>
      </c>
    </row>
    <row r="4" spans="1:4" x14ac:dyDescent="0.25">
      <c r="A4" s="17" t="s">
        <v>331</v>
      </c>
      <c r="B4" s="18">
        <v>71.335589999999996</v>
      </c>
      <c r="C4" s="17">
        <v>1.4018248114300309E-2</v>
      </c>
      <c r="D4" s="19">
        <v>43831</v>
      </c>
    </row>
    <row r="5" spans="1:4" x14ac:dyDescent="0.25">
      <c r="A5" s="17" t="s">
        <v>331</v>
      </c>
      <c r="B5" s="20">
        <v>71.306479999999993</v>
      </c>
      <c r="C5" s="17">
        <v>1.4023970892967934E-2</v>
      </c>
      <c r="D5" s="19">
        <v>43830</v>
      </c>
    </row>
    <row r="6" spans="1:4" x14ac:dyDescent="0.25">
      <c r="A6" s="17" t="s">
        <v>331</v>
      </c>
      <c r="B6" s="18">
        <v>71.319029999999998</v>
      </c>
      <c r="C6" s="17">
        <v>1.4021503096719066E-2</v>
      </c>
      <c r="D6" s="19">
        <v>43829</v>
      </c>
    </row>
    <row r="7" spans="1:4" x14ac:dyDescent="0.25">
      <c r="A7" s="17" t="s">
        <v>331</v>
      </c>
      <c r="B7" s="20">
        <v>71.451449999999994</v>
      </c>
      <c r="C7" s="17">
        <v>1.3995517235829365E-2</v>
      </c>
      <c r="D7" s="19">
        <v>43826</v>
      </c>
    </row>
    <row r="8" spans="1:4" x14ac:dyDescent="0.25">
      <c r="A8" s="17" t="s">
        <v>331</v>
      </c>
      <c r="B8" s="18">
        <v>71.215289999999996</v>
      </c>
      <c r="C8" s="17">
        <v>1.4041928355553984E-2</v>
      </c>
      <c r="D8" s="19">
        <v>43825</v>
      </c>
    </row>
    <row r="9" spans="1:4" x14ac:dyDescent="0.25">
      <c r="A9" s="17" t="s">
        <v>331</v>
      </c>
      <c r="B9" s="20">
        <v>71.264089999999996</v>
      </c>
      <c r="C9" s="17">
        <v>1.4032312767903163E-2</v>
      </c>
      <c r="D9" s="19">
        <v>43824</v>
      </c>
    </row>
    <row r="10" spans="1:4" x14ac:dyDescent="0.25">
      <c r="A10" s="17" t="s">
        <v>331</v>
      </c>
      <c r="B10" s="18">
        <v>71.288510000000002</v>
      </c>
      <c r="C10" s="17">
        <v>1.4027505975366858E-2</v>
      </c>
      <c r="D10" s="19">
        <v>43823</v>
      </c>
    </row>
    <row r="11" spans="1:4" x14ac:dyDescent="0.25">
      <c r="A11" s="17" t="s">
        <v>331</v>
      </c>
      <c r="B11" s="20">
        <v>71.219380000000001</v>
      </c>
      <c r="C11" s="17">
        <v>1.4041121953041432E-2</v>
      </c>
      <c r="D11" s="19">
        <v>43822</v>
      </c>
    </row>
    <row r="12" spans="1:4" x14ac:dyDescent="0.25">
      <c r="A12" s="17" t="s">
        <v>331</v>
      </c>
      <c r="B12" s="18">
        <v>71.06456</v>
      </c>
      <c r="C12" s="17">
        <v>1.4071711694267861E-2</v>
      </c>
      <c r="D12" s="19">
        <v>43819</v>
      </c>
    </row>
    <row r="13" spans="1:4" x14ac:dyDescent="0.25">
      <c r="A13" s="17" t="s">
        <v>331</v>
      </c>
      <c r="B13" s="20">
        <v>71.183409999999995</v>
      </c>
      <c r="C13" s="17">
        <v>1.404821713373945E-2</v>
      </c>
      <c r="D13" s="19">
        <v>43818</v>
      </c>
    </row>
    <row r="14" spans="1:4" x14ac:dyDescent="0.25">
      <c r="A14" s="17" t="s">
        <v>331</v>
      </c>
      <c r="B14" s="18">
        <v>71.004739999999998</v>
      </c>
      <c r="C14" s="17">
        <v>1.4083566815398522E-2</v>
      </c>
      <c r="D14" s="19">
        <v>43817</v>
      </c>
    </row>
    <row r="15" spans="1:4" x14ac:dyDescent="0.25">
      <c r="A15" s="17" t="s">
        <v>331</v>
      </c>
      <c r="B15" s="20">
        <v>71.033280000000005</v>
      </c>
      <c r="C15" s="17">
        <v>1.4077908270602173E-2</v>
      </c>
      <c r="D15" s="19">
        <v>43816</v>
      </c>
    </row>
    <row r="16" spans="1:4" x14ac:dyDescent="0.25">
      <c r="A16" s="17" t="s">
        <v>331</v>
      </c>
      <c r="B16" s="18">
        <v>70.918620000000004</v>
      </c>
      <c r="C16" s="17">
        <v>1.4100669189558396E-2</v>
      </c>
      <c r="D16" s="19">
        <v>43815</v>
      </c>
    </row>
    <row r="17" spans="1:4" x14ac:dyDescent="0.25">
      <c r="A17" s="17" t="s">
        <v>331</v>
      </c>
      <c r="B17" s="20">
        <v>70.808599999999998</v>
      </c>
      <c r="C17" s="17">
        <v>1.4122578330880712E-2</v>
      </c>
      <c r="D17" s="19">
        <v>43812</v>
      </c>
    </row>
    <row r="18" spans="1:4" x14ac:dyDescent="0.25">
      <c r="A18" s="17" t="s">
        <v>331</v>
      </c>
      <c r="B18" s="18">
        <v>70.603440000000006</v>
      </c>
      <c r="C18" s="17">
        <v>1.4163615823818214E-2</v>
      </c>
      <c r="D18" s="19">
        <v>43811</v>
      </c>
    </row>
    <row r="19" spans="1:4" x14ac:dyDescent="0.25">
      <c r="A19" s="17" t="s">
        <v>331</v>
      </c>
      <c r="B19" s="20">
        <v>70.716589999999997</v>
      </c>
      <c r="C19" s="17">
        <v>1.4140953346308129E-2</v>
      </c>
      <c r="D19" s="19">
        <v>43810</v>
      </c>
    </row>
    <row r="20" spans="1:4" x14ac:dyDescent="0.25">
      <c r="A20" s="17" t="s">
        <v>331</v>
      </c>
      <c r="B20" s="18">
        <v>70.809139999999999</v>
      </c>
      <c r="C20" s="17">
        <v>1.4122470630203955E-2</v>
      </c>
      <c r="D20" s="19">
        <v>43809</v>
      </c>
    </row>
    <row r="21" spans="1:4" x14ac:dyDescent="0.25">
      <c r="A21" s="17" t="s">
        <v>331</v>
      </c>
      <c r="B21" s="20">
        <v>70.968059999999994</v>
      </c>
      <c r="C21" s="17">
        <v>1.4090845938299569E-2</v>
      </c>
      <c r="D21" s="19">
        <v>43808</v>
      </c>
    </row>
    <row r="22" spans="1:4" x14ac:dyDescent="0.25">
      <c r="A22" s="17" t="s">
        <v>331</v>
      </c>
      <c r="B22" s="18">
        <v>71.280680000000004</v>
      </c>
      <c r="C22" s="17">
        <v>1.4029046860944649E-2</v>
      </c>
      <c r="D22" s="19">
        <v>43805</v>
      </c>
    </row>
    <row r="23" spans="1:4" x14ac:dyDescent="0.25">
      <c r="A23" s="17" t="s">
        <v>331</v>
      </c>
      <c r="B23" s="20">
        <v>71.242549999999994</v>
      </c>
      <c r="C23" s="17">
        <v>1.4036555401231427E-2</v>
      </c>
      <c r="D23" s="19">
        <v>43804</v>
      </c>
    </row>
    <row r="24" spans="1:4" x14ac:dyDescent="0.25">
      <c r="A24" s="17" t="s">
        <v>331</v>
      </c>
      <c r="B24" s="18">
        <v>71.494079999999997</v>
      </c>
      <c r="C24" s="17">
        <v>1.3987172084737647E-2</v>
      </c>
      <c r="D24" s="19">
        <v>43803</v>
      </c>
    </row>
    <row r="25" spans="1:4" x14ac:dyDescent="0.25">
      <c r="A25" s="17" t="s">
        <v>331</v>
      </c>
      <c r="B25" s="20">
        <v>71.746719999999996</v>
      </c>
      <c r="C25" s="17">
        <v>1.3937919391994506E-2</v>
      </c>
      <c r="D25" s="19">
        <v>43802</v>
      </c>
    </row>
    <row r="26" spans="1:4" x14ac:dyDescent="0.25">
      <c r="A26" s="17" t="s">
        <v>331</v>
      </c>
      <c r="B26" s="18">
        <v>71.639449999999997</v>
      </c>
      <c r="C26" s="17">
        <v>1.3958789465859942E-2</v>
      </c>
      <c r="D26" s="19">
        <v>43801</v>
      </c>
    </row>
    <row r="27" spans="1:4" x14ac:dyDescent="0.25">
      <c r="A27" s="17" t="s">
        <v>331</v>
      </c>
      <c r="B27" s="20">
        <v>71.754660000000001</v>
      </c>
      <c r="C27" s="17">
        <v>1.3936377093836135E-2</v>
      </c>
      <c r="D27" s="19">
        <v>43798</v>
      </c>
    </row>
    <row r="28" spans="1:4" x14ac:dyDescent="0.25">
      <c r="A28" s="17" t="s">
        <v>331</v>
      </c>
      <c r="B28" s="18">
        <v>71.509659999999997</v>
      </c>
      <c r="C28" s="17">
        <v>1.398412466231835E-2</v>
      </c>
      <c r="D28" s="19">
        <v>43797</v>
      </c>
    </row>
    <row r="29" spans="1:4" x14ac:dyDescent="0.25">
      <c r="A29" s="17" t="s">
        <v>331</v>
      </c>
      <c r="B29" s="20">
        <v>71.267989999999998</v>
      </c>
      <c r="C29" s="17">
        <v>1.4031544877300454E-2</v>
      </c>
      <c r="D29" s="19">
        <v>43796</v>
      </c>
    </row>
    <row r="30" spans="1:4" x14ac:dyDescent="0.25">
      <c r="A30" s="17" t="s">
        <v>331</v>
      </c>
      <c r="B30" s="18">
        <v>71.481970000000004</v>
      </c>
      <c r="C30" s="17">
        <v>1.3989541698417096E-2</v>
      </c>
      <c r="D30" s="19">
        <v>43795</v>
      </c>
    </row>
    <row r="31" spans="1:4" x14ac:dyDescent="0.25">
      <c r="A31" s="17" t="s">
        <v>331</v>
      </c>
      <c r="B31" s="20">
        <v>71.695369999999997</v>
      </c>
      <c r="C31" s="17">
        <v>1.3947902075127028E-2</v>
      </c>
      <c r="D31" s="19">
        <v>43794</v>
      </c>
    </row>
    <row r="32" spans="1:4" x14ac:dyDescent="0.25">
      <c r="A32" s="17" t="s">
        <v>331</v>
      </c>
      <c r="B32" s="18">
        <v>71.800190000000001</v>
      </c>
      <c r="C32" s="17">
        <v>1.3927539746064739E-2</v>
      </c>
      <c r="D32" s="19">
        <v>43791</v>
      </c>
    </row>
    <row r="33" spans="1:4" x14ac:dyDescent="0.25">
      <c r="A33" s="17" t="s">
        <v>331</v>
      </c>
      <c r="B33" s="20">
        <v>71.755170000000007</v>
      </c>
      <c r="C33" s="17">
        <v>1.3936278041010842E-2</v>
      </c>
      <c r="D33" s="19">
        <v>43790</v>
      </c>
    </row>
    <row r="34" spans="1:4" x14ac:dyDescent="0.25">
      <c r="A34" s="17" t="s">
        <v>331</v>
      </c>
      <c r="B34" s="18">
        <v>71.74973</v>
      </c>
      <c r="C34" s="17">
        <v>1.3937334677078228E-2</v>
      </c>
      <c r="D34" s="19">
        <v>43789</v>
      </c>
    </row>
    <row r="35" spans="1:4" x14ac:dyDescent="0.25">
      <c r="A35" s="17" t="s">
        <v>331</v>
      </c>
      <c r="B35" s="20">
        <v>71.832710000000006</v>
      </c>
      <c r="C35" s="17">
        <v>1.3921234490526669E-2</v>
      </c>
      <c r="D35" s="19">
        <v>43788</v>
      </c>
    </row>
    <row r="36" spans="1:4" x14ac:dyDescent="0.25">
      <c r="A36" s="17" t="s">
        <v>331</v>
      </c>
      <c r="B36" s="18">
        <v>71.946100000000001</v>
      </c>
      <c r="C36" s="17">
        <v>1.3899294054854953E-2</v>
      </c>
      <c r="D36" s="19">
        <v>43787</v>
      </c>
    </row>
    <row r="37" spans="1:4" x14ac:dyDescent="0.25">
      <c r="A37" s="17" t="s">
        <v>331</v>
      </c>
      <c r="B37" s="20">
        <v>71.656970000000001</v>
      </c>
      <c r="C37" s="17">
        <v>1.3955376566996901E-2</v>
      </c>
      <c r="D37" s="19">
        <v>43784</v>
      </c>
    </row>
    <row r="38" spans="1:4" x14ac:dyDescent="0.25">
      <c r="A38" s="17" t="s">
        <v>331</v>
      </c>
      <c r="B38" s="18">
        <v>71.960769999999997</v>
      </c>
      <c r="C38" s="17">
        <v>1.3896460529813675E-2</v>
      </c>
      <c r="D38" s="19">
        <v>43783</v>
      </c>
    </row>
    <row r="39" spans="1:4" x14ac:dyDescent="0.25">
      <c r="A39" s="17" t="s">
        <v>331</v>
      </c>
      <c r="B39" s="20">
        <v>72.148290000000003</v>
      </c>
      <c r="C39" s="17">
        <v>1.3860342358772466E-2</v>
      </c>
      <c r="D39" s="19">
        <v>43782</v>
      </c>
    </row>
    <row r="40" spans="1:4" x14ac:dyDescent="0.25">
      <c r="A40" s="17" t="s">
        <v>331</v>
      </c>
      <c r="B40" s="18">
        <v>71.793520000000001</v>
      </c>
      <c r="C40" s="17">
        <v>1.3928833688611451E-2</v>
      </c>
      <c r="D40" s="19">
        <v>43781</v>
      </c>
    </row>
    <row r="41" spans="1:4" x14ac:dyDescent="0.25">
      <c r="A41" s="17" t="s">
        <v>331</v>
      </c>
      <c r="B41" s="20">
        <v>71.568809999999999</v>
      </c>
      <c r="C41" s="17">
        <v>1.3972567100109671E-2</v>
      </c>
      <c r="D41" s="19">
        <v>43780</v>
      </c>
    </row>
    <row r="42" spans="1:4" x14ac:dyDescent="0.25">
      <c r="A42" s="17" t="s">
        <v>331</v>
      </c>
      <c r="B42" s="18">
        <v>71.356489999999994</v>
      </c>
      <c r="C42" s="17">
        <v>1.4014142231491488E-2</v>
      </c>
      <c r="D42" s="19">
        <v>43777</v>
      </c>
    </row>
    <row r="43" spans="1:4" x14ac:dyDescent="0.25">
      <c r="A43" s="17" t="s">
        <v>331</v>
      </c>
      <c r="B43" s="20">
        <v>71.047939999999997</v>
      </c>
      <c r="C43" s="17">
        <v>1.4075003441338342E-2</v>
      </c>
      <c r="D43" s="19">
        <v>43776</v>
      </c>
    </row>
    <row r="44" spans="1:4" x14ac:dyDescent="0.25">
      <c r="A44" s="17" t="s">
        <v>331</v>
      </c>
      <c r="B44" s="18">
        <v>71.009619999999998</v>
      </c>
      <c r="C44" s="17">
        <v>1.4082598949269127E-2</v>
      </c>
      <c r="D44" s="19">
        <v>43775</v>
      </c>
    </row>
    <row r="45" spans="1:4" x14ac:dyDescent="0.25">
      <c r="A45" s="17" t="s">
        <v>331</v>
      </c>
      <c r="B45" s="20">
        <v>70.775360000000006</v>
      </c>
      <c r="C45" s="17">
        <v>1.4129211070067321E-2</v>
      </c>
      <c r="D45" s="19">
        <v>43774</v>
      </c>
    </row>
    <row r="46" spans="1:4" x14ac:dyDescent="0.25">
      <c r="A46" s="17" t="s">
        <v>331</v>
      </c>
      <c r="B46" s="18">
        <v>70.7697</v>
      </c>
      <c r="C46" s="17">
        <v>1.4130341092303628E-2</v>
      </c>
      <c r="D46" s="19">
        <v>43773</v>
      </c>
    </row>
    <row r="47" spans="1:4" x14ac:dyDescent="0.25">
      <c r="A47" s="17" t="s">
        <v>331</v>
      </c>
      <c r="B47" s="20">
        <v>70.759640000000005</v>
      </c>
      <c r="C47" s="17">
        <v>1.4132350023261847E-2</v>
      </c>
      <c r="D47" s="19">
        <v>43770</v>
      </c>
    </row>
    <row r="48" spans="1:4" x14ac:dyDescent="0.25">
      <c r="A48" s="17" t="s">
        <v>331</v>
      </c>
      <c r="B48" s="18">
        <v>70.981369999999998</v>
      </c>
      <c r="C48" s="17">
        <v>1.4088203707536218E-2</v>
      </c>
      <c r="D48" s="19">
        <v>43769</v>
      </c>
    </row>
    <row r="49" spans="1:4" x14ac:dyDescent="0.25">
      <c r="A49" s="17" t="s">
        <v>331</v>
      </c>
      <c r="B49" s="20">
        <v>70.954750000000004</v>
      </c>
      <c r="C49" s="17">
        <v>1.4093489160345149E-2</v>
      </c>
      <c r="D49" s="19">
        <v>43768</v>
      </c>
    </row>
    <row r="50" spans="1:4" x14ac:dyDescent="0.25">
      <c r="A50" s="17" t="s">
        <v>331</v>
      </c>
      <c r="B50" s="18">
        <v>70.889390000000006</v>
      </c>
      <c r="C50" s="17">
        <v>1.4106483353855915E-2</v>
      </c>
      <c r="D50" s="19">
        <v>43767</v>
      </c>
    </row>
    <row r="51" spans="1:4" x14ac:dyDescent="0.25">
      <c r="A51" s="17" t="s">
        <v>331</v>
      </c>
      <c r="B51" s="20">
        <v>70.745750000000001</v>
      </c>
      <c r="C51" s="17">
        <v>1.413512472480679E-2</v>
      </c>
      <c r="D51" s="19">
        <v>43766</v>
      </c>
    </row>
    <row r="52" spans="1:4" x14ac:dyDescent="0.25">
      <c r="A52" s="17" t="s">
        <v>331</v>
      </c>
      <c r="B52" s="18">
        <v>70.819119999999998</v>
      </c>
      <c r="C52" s="17">
        <v>1.4120480457819867E-2</v>
      </c>
      <c r="D52" s="19">
        <v>43763</v>
      </c>
    </row>
    <row r="53" spans="1:4" x14ac:dyDescent="0.25">
      <c r="A53" s="17" t="s">
        <v>331</v>
      </c>
      <c r="B53" s="20">
        <v>70.971000000000004</v>
      </c>
      <c r="C53" s="17">
        <v>1.4090262219779909E-2</v>
      </c>
      <c r="D53" s="19">
        <v>43762</v>
      </c>
    </row>
    <row r="54" spans="1:4" x14ac:dyDescent="0.25">
      <c r="A54" s="17" t="s">
        <v>331</v>
      </c>
      <c r="B54" s="18">
        <v>70.727900000000005</v>
      </c>
      <c r="C54" s="17">
        <v>1.4138692086149877E-2</v>
      </c>
      <c r="D54" s="19">
        <v>43761</v>
      </c>
    </row>
    <row r="55" spans="1:4" x14ac:dyDescent="0.25">
      <c r="A55" s="17" t="s">
        <v>331</v>
      </c>
      <c r="B55" s="20">
        <v>70.810519999999997</v>
      </c>
      <c r="C55" s="17">
        <v>1.412219540260402E-2</v>
      </c>
      <c r="D55" s="19">
        <v>43760</v>
      </c>
    </row>
    <row r="56" spans="1:4" x14ac:dyDescent="0.25">
      <c r="A56" s="17" t="s">
        <v>331</v>
      </c>
      <c r="B56" s="18">
        <v>70.922389999999993</v>
      </c>
      <c r="C56" s="17">
        <v>1.4099919644557948E-2</v>
      </c>
      <c r="D56" s="19">
        <v>43759</v>
      </c>
    </row>
    <row r="57" spans="1:4" x14ac:dyDescent="0.25">
      <c r="A57" s="17" t="s">
        <v>331</v>
      </c>
      <c r="B57" s="20">
        <v>71.096689999999995</v>
      </c>
      <c r="C57" s="17">
        <v>1.4065352409514424E-2</v>
      </c>
      <c r="D57" s="19">
        <v>43756</v>
      </c>
    </row>
    <row r="58" spans="1:4" x14ac:dyDescent="0.25">
      <c r="A58" s="17" t="s">
        <v>331</v>
      </c>
      <c r="B58" s="18">
        <v>71.129440000000002</v>
      </c>
      <c r="C58" s="17">
        <v>1.4058876324627326E-2</v>
      </c>
      <c r="D58" s="19">
        <v>43755</v>
      </c>
    </row>
    <row r="59" spans="1:4" x14ac:dyDescent="0.25">
      <c r="A59" s="17" t="s">
        <v>331</v>
      </c>
      <c r="B59" s="20">
        <v>71.35942</v>
      </c>
      <c r="C59" s="17">
        <v>1.4013566814304265E-2</v>
      </c>
      <c r="D59" s="19">
        <v>43754</v>
      </c>
    </row>
    <row r="60" spans="1:4" x14ac:dyDescent="0.25">
      <c r="A60" s="17" t="s">
        <v>331</v>
      </c>
      <c r="B60" s="18">
        <v>71.495779999999996</v>
      </c>
      <c r="C60" s="17">
        <v>1.3986839502974862E-2</v>
      </c>
      <c r="D60" s="19">
        <v>43753</v>
      </c>
    </row>
    <row r="61" spans="1:4" x14ac:dyDescent="0.25">
      <c r="A61" s="17" t="s">
        <v>331</v>
      </c>
      <c r="B61" s="20">
        <v>71.233699999999999</v>
      </c>
      <c r="C61" s="17">
        <v>1.4038299288117843E-2</v>
      </c>
      <c r="D61" s="19">
        <v>43752</v>
      </c>
    </row>
    <row r="62" spans="1:4" x14ac:dyDescent="0.25">
      <c r="A62" s="17" t="s">
        <v>331</v>
      </c>
      <c r="B62" s="18">
        <v>70.962860000000006</v>
      </c>
      <c r="C62" s="17">
        <v>1.4091878484040806E-2</v>
      </c>
      <c r="D62" s="19">
        <v>43749</v>
      </c>
    </row>
    <row r="63" spans="1:4" x14ac:dyDescent="0.25">
      <c r="A63" s="17" t="s">
        <v>331</v>
      </c>
      <c r="B63" s="20">
        <v>70.987759999999994</v>
      </c>
      <c r="C63" s="17">
        <v>1.4086935550579424E-2</v>
      </c>
      <c r="D63" s="19">
        <v>43748</v>
      </c>
    </row>
    <row r="64" spans="1:4" x14ac:dyDescent="0.25">
      <c r="A64" s="17" t="s">
        <v>331</v>
      </c>
      <c r="B64" s="18">
        <v>71.125100000000003</v>
      </c>
      <c r="C64" s="17">
        <v>1.4059734186665467E-2</v>
      </c>
      <c r="D64" s="19">
        <v>43747</v>
      </c>
    </row>
    <row r="65" spans="1:4" x14ac:dyDescent="0.25">
      <c r="A65" s="17" t="s">
        <v>331</v>
      </c>
      <c r="B65" s="20">
        <v>71.218059999999994</v>
      </c>
      <c r="C65" s="17">
        <v>1.4041382199964448E-2</v>
      </c>
      <c r="D65" s="19">
        <v>43746</v>
      </c>
    </row>
    <row r="66" spans="1:4" x14ac:dyDescent="0.25">
      <c r="A66" s="17" t="s">
        <v>331</v>
      </c>
      <c r="B66" s="18">
        <v>70.972059999999999</v>
      </c>
      <c r="C66" s="17">
        <v>1.4090051775304254E-2</v>
      </c>
      <c r="D66" s="19">
        <v>43745</v>
      </c>
    </row>
    <row r="67" spans="1:4" x14ac:dyDescent="0.25">
      <c r="A67" s="17" t="s">
        <v>331</v>
      </c>
      <c r="B67" s="20">
        <v>70.837069999999997</v>
      </c>
      <c r="C67" s="17">
        <v>1.411690235070423E-2</v>
      </c>
      <c r="D67" s="19">
        <v>43742</v>
      </c>
    </row>
    <row r="68" spans="1:4" x14ac:dyDescent="0.25">
      <c r="A68" s="17" t="s">
        <v>331</v>
      </c>
      <c r="B68" s="18">
        <v>71.047560000000004</v>
      </c>
      <c r="C68" s="17">
        <v>1.4075078721915291E-2</v>
      </c>
      <c r="D68" s="19">
        <v>43741</v>
      </c>
    </row>
    <row r="69" spans="1:4" x14ac:dyDescent="0.25">
      <c r="A69" s="17" t="s">
        <v>331</v>
      </c>
      <c r="B69" s="20">
        <v>71.148740000000004</v>
      </c>
      <c r="C69" s="17">
        <v>1.4055062675740989E-2</v>
      </c>
      <c r="D69" s="19">
        <v>43740</v>
      </c>
    </row>
    <row r="70" spans="1:4" x14ac:dyDescent="0.25">
      <c r="A70" s="17" t="s">
        <v>331</v>
      </c>
      <c r="B70" s="18">
        <v>71.125470000000007</v>
      </c>
      <c r="C70" s="17">
        <v>1.4059661046879548E-2</v>
      </c>
      <c r="D70" s="19">
        <v>43739</v>
      </c>
    </row>
    <row r="71" spans="1:4" x14ac:dyDescent="0.25">
      <c r="A71" s="17" t="s">
        <v>331</v>
      </c>
      <c r="B71" s="20">
        <v>70.640860000000004</v>
      </c>
      <c r="C71" s="17">
        <v>1.4156113048453826E-2</v>
      </c>
      <c r="D71" s="19">
        <v>43738</v>
      </c>
    </row>
    <row r="72" spans="1:4" x14ac:dyDescent="0.25">
      <c r="A72" s="17" t="s">
        <v>331</v>
      </c>
      <c r="B72" s="18">
        <v>70.505229999999997</v>
      </c>
      <c r="C72" s="17">
        <v>1.4183344980223453E-2</v>
      </c>
      <c r="D72" s="19">
        <v>43735</v>
      </c>
    </row>
    <row r="73" spans="1:4" x14ac:dyDescent="0.25">
      <c r="A73" s="17" t="s">
        <v>331</v>
      </c>
      <c r="B73" s="20">
        <v>70.947559999999996</v>
      </c>
      <c r="C73" s="17">
        <v>1.4094917429154717E-2</v>
      </c>
      <c r="D73" s="19">
        <v>43734</v>
      </c>
    </row>
    <row r="74" spans="1:4" x14ac:dyDescent="0.25">
      <c r="A74" s="17" t="s">
        <v>331</v>
      </c>
      <c r="B74" s="18">
        <v>70.985810000000001</v>
      </c>
      <c r="C74" s="17">
        <v>1.4087322522628114E-2</v>
      </c>
      <c r="D74" s="19">
        <v>43733</v>
      </c>
    </row>
    <row r="75" spans="1:4" x14ac:dyDescent="0.25">
      <c r="A75" s="17" t="s">
        <v>331</v>
      </c>
      <c r="B75" s="20">
        <v>70.975999999999999</v>
      </c>
      <c r="C75" s="17">
        <v>1.4089269612263301E-2</v>
      </c>
      <c r="D75" s="19">
        <v>43732</v>
      </c>
    </row>
    <row r="76" spans="1:4" x14ac:dyDescent="0.25">
      <c r="A76" s="17" t="s">
        <v>331</v>
      </c>
      <c r="B76" s="18">
        <v>70.799449999999993</v>
      </c>
      <c r="C76" s="17">
        <v>1.4124403508784321E-2</v>
      </c>
      <c r="D76" s="19">
        <v>43731</v>
      </c>
    </row>
    <row r="77" spans="1:4" x14ac:dyDescent="0.25">
      <c r="A77" s="17" t="s">
        <v>331</v>
      </c>
      <c r="B77" s="20">
        <v>71.070260000000005</v>
      </c>
      <c r="C77" s="17">
        <v>1.4070583110291138E-2</v>
      </c>
      <c r="D77" s="19">
        <v>43728</v>
      </c>
    </row>
    <row r="78" spans="1:4" x14ac:dyDescent="0.25">
      <c r="A78" s="17" t="s">
        <v>331</v>
      </c>
      <c r="B78" s="18">
        <v>71.374629999999996</v>
      </c>
      <c r="C78" s="17">
        <v>1.4010580510189686E-2</v>
      </c>
      <c r="D78" s="19">
        <v>43727</v>
      </c>
    </row>
    <row r="79" spans="1:4" x14ac:dyDescent="0.25">
      <c r="A79" s="17" t="s">
        <v>331</v>
      </c>
      <c r="B79" s="20">
        <v>71.140879999999996</v>
      </c>
      <c r="C79" s="17">
        <v>1.4056615549315669E-2</v>
      </c>
      <c r="D79" s="19">
        <v>43726</v>
      </c>
    </row>
    <row r="80" spans="1:4" x14ac:dyDescent="0.25">
      <c r="A80" s="17" t="s">
        <v>331</v>
      </c>
      <c r="B80" s="18">
        <v>71.489220000000003</v>
      </c>
      <c r="C80" s="17">
        <v>1.3988122964553257E-2</v>
      </c>
      <c r="D80" s="19">
        <v>43725</v>
      </c>
    </row>
    <row r="81" spans="1:4" x14ac:dyDescent="0.25">
      <c r="A81" s="17" t="s">
        <v>331</v>
      </c>
      <c r="B81" s="20">
        <v>71.604230000000001</v>
      </c>
      <c r="C81" s="17">
        <v>1.3965655380974001E-2</v>
      </c>
      <c r="D81" s="19">
        <v>43724</v>
      </c>
    </row>
    <row r="82" spans="1:4" x14ac:dyDescent="0.25">
      <c r="A82" s="17" t="s">
        <v>331</v>
      </c>
      <c r="B82" s="18">
        <v>71.006259999999997</v>
      </c>
      <c r="C82" s="17">
        <v>1.4083265334633877E-2</v>
      </c>
      <c r="D82" s="19">
        <v>43721</v>
      </c>
    </row>
    <row r="83" spans="1:4" x14ac:dyDescent="0.25">
      <c r="A83" s="17" t="s">
        <v>331</v>
      </c>
      <c r="B83" s="20">
        <v>70.967740000000006</v>
      </c>
      <c r="C83" s="17">
        <v>1.4090909475206621E-2</v>
      </c>
      <c r="D83" s="19">
        <v>43720</v>
      </c>
    </row>
    <row r="84" spans="1:4" x14ac:dyDescent="0.25">
      <c r="A84" s="17" t="s">
        <v>331</v>
      </c>
      <c r="B84" s="18">
        <v>71.576890000000006</v>
      </c>
      <c r="C84" s="17">
        <v>1.3970989798522957E-2</v>
      </c>
      <c r="D84" s="19">
        <v>43719</v>
      </c>
    </row>
    <row r="85" spans="1:4" x14ac:dyDescent="0.25">
      <c r="A85" s="17" t="s">
        <v>331</v>
      </c>
      <c r="B85" s="20">
        <v>71.875280000000004</v>
      </c>
      <c r="C85" s="17">
        <v>1.3912989278093943E-2</v>
      </c>
      <c r="D85" s="19">
        <v>43718</v>
      </c>
    </row>
    <row r="86" spans="1:4" x14ac:dyDescent="0.25">
      <c r="A86" s="17" t="s">
        <v>331</v>
      </c>
      <c r="B86" s="18">
        <v>71.772869999999998</v>
      </c>
      <c r="C86" s="17">
        <v>1.3932841197516555E-2</v>
      </c>
      <c r="D86" s="19">
        <v>43717</v>
      </c>
    </row>
    <row r="87" spans="1:4" x14ac:dyDescent="0.25">
      <c r="A87" s="17" t="s">
        <v>331</v>
      </c>
      <c r="B87" s="20">
        <v>71.661649999999995</v>
      </c>
      <c r="C87" s="17">
        <v>1.3954465184655949E-2</v>
      </c>
      <c r="D87" s="19">
        <v>43714</v>
      </c>
    </row>
    <row r="88" spans="1:4" x14ac:dyDescent="0.25">
      <c r="A88" s="17" t="s">
        <v>331</v>
      </c>
      <c r="B88" s="18">
        <v>71.910399999999996</v>
      </c>
      <c r="C88" s="17">
        <v>1.3906194375222499E-2</v>
      </c>
      <c r="D88" s="19">
        <v>43713</v>
      </c>
    </row>
    <row r="89" spans="1:4" x14ac:dyDescent="0.25">
      <c r="A89" s="17" t="s">
        <v>331</v>
      </c>
      <c r="B89" s="20">
        <v>72.006960000000007</v>
      </c>
      <c r="C89" s="17">
        <v>1.3887546426067701E-2</v>
      </c>
      <c r="D89" s="19">
        <v>43712</v>
      </c>
    </row>
    <row r="90" spans="1:4" x14ac:dyDescent="0.25">
      <c r="A90" s="17" t="s">
        <v>331</v>
      </c>
      <c r="B90" s="18">
        <v>72.178290000000004</v>
      </c>
      <c r="C90" s="17">
        <v>1.3854581481495336E-2</v>
      </c>
      <c r="D90" s="19">
        <v>43711</v>
      </c>
    </row>
    <row r="91" spans="1:4" x14ac:dyDescent="0.25">
      <c r="A91" s="17" t="s">
        <v>331</v>
      </c>
      <c r="B91" s="20">
        <v>71.970609999999994</v>
      </c>
      <c r="C91" s="17">
        <v>1.3894560571322101E-2</v>
      </c>
      <c r="D91" s="19">
        <v>43710</v>
      </c>
    </row>
    <row r="92" spans="1:4" x14ac:dyDescent="0.25">
      <c r="A92" s="17" t="s">
        <v>331</v>
      </c>
      <c r="B92" s="18">
        <v>71.448779999999999</v>
      </c>
      <c r="C92" s="17">
        <v>1.3996040240295216E-2</v>
      </c>
      <c r="D92" s="19">
        <v>43707</v>
      </c>
    </row>
    <row r="93" spans="1:4" x14ac:dyDescent="0.25">
      <c r="A93" s="17" t="s">
        <v>331</v>
      </c>
      <c r="B93" s="20">
        <v>71.694190000000006</v>
      </c>
      <c r="C93" s="17">
        <v>1.3948131640792649E-2</v>
      </c>
      <c r="D93" s="19">
        <v>43706</v>
      </c>
    </row>
    <row r="94" spans="1:4" x14ac:dyDescent="0.25">
      <c r="A94" s="17" t="s">
        <v>331</v>
      </c>
      <c r="B94" s="18">
        <v>71.834280000000007</v>
      </c>
      <c r="C94" s="17">
        <v>1.3920930229968197E-2</v>
      </c>
      <c r="D94" s="19">
        <v>43705</v>
      </c>
    </row>
    <row r="95" spans="1:4" x14ac:dyDescent="0.25">
      <c r="A95" s="17" t="s">
        <v>331</v>
      </c>
      <c r="B95" s="20">
        <v>71.538830000000004</v>
      </c>
      <c r="C95" s="17">
        <v>1.3978422627264103E-2</v>
      </c>
      <c r="D95" s="19">
        <v>43704</v>
      </c>
    </row>
    <row r="96" spans="1:4" x14ac:dyDescent="0.25">
      <c r="A96" s="17" t="s">
        <v>331</v>
      </c>
      <c r="B96" s="18">
        <v>72.013840000000002</v>
      </c>
      <c r="C96" s="17">
        <v>1.3886219648889713E-2</v>
      </c>
      <c r="D96" s="19">
        <v>43703</v>
      </c>
    </row>
    <row r="97" spans="1:4" x14ac:dyDescent="0.25">
      <c r="A97" s="17" t="s">
        <v>331</v>
      </c>
      <c r="B97" s="20">
        <v>71.511009999999999</v>
      </c>
      <c r="C97" s="17">
        <v>1.3983860667049732E-2</v>
      </c>
      <c r="D97" s="19">
        <v>43700</v>
      </c>
    </row>
    <row r="98" spans="1:4" x14ac:dyDescent="0.25">
      <c r="A98" s="17" t="s">
        <v>331</v>
      </c>
      <c r="B98" s="18">
        <v>71.931629999999998</v>
      </c>
      <c r="C98" s="17">
        <v>1.3902090081929188E-2</v>
      </c>
      <c r="D98" s="19">
        <v>43699</v>
      </c>
    </row>
    <row r="99" spans="1:4" x14ac:dyDescent="0.25">
      <c r="A99" s="17" t="s">
        <v>331</v>
      </c>
      <c r="B99" s="20">
        <v>71.436819999999997</v>
      </c>
      <c r="C99" s="17">
        <v>1.3998383466677269E-2</v>
      </c>
      <c r="D99" s="19">
        <v>43698</v>
      </c>
    </row>
    <row r="100" spans="1:4" x14ac:dyDescent="0.25">
      <c r="A100" s="17" t="s">
        <v>331</v>
      </c>
      <c r="B100" s="18">
        <v>71.525859999999994</v>
      </c>
      <c r="C100" s="17">
        <v>1.3980957376814485E-2</v>
      </c>
      <c r="D100" s="19">
        <v>43697</v>
      </c>
    </row>
    <row r="101" spans="1:4" x14ac:dyDescent="0.25">
      <c r="A101" s="17" t="s">
        <v>331</v>
      </c>
      <c r="B101" s="20">
        <v>71.459779999999995</v>
      </c>
      <c r="C101" s="17">
        <v>1.3993885791420014E-2</v>
      </c>
      <c r="D101" s="19">
        <v>43696</v>
      </c>
    </row>
    <row r="102" spans="1:4" x14ac:dyDescent="0.25">
      <c r="A102" s="17" t="s">
        <v>331</v>
      </c>
      <c r="B102" s="18">
        <v>71.152529999999999</v>
      </c>
      <c r="C102" s="17">
        <v>1.4054314020878807E-2</v>
      </c>
      <c r="D102" s="19">
        <v>43693</v>
      </c>
    </row>
    <row r="103" spans="1:4" x14ac:dyDescent="0.25">
      <c r="A103" s="17" t="s">
        <v>331</v>
      </c>
      <c r="B103" s="20">
        <v>71.796260000000004</v>
      </c>
      <c r="C103" s="17">
        <v>1.3928302114901248E-2</v>
      </c>
      <c r="D103" s="19">
        <v>43692</v>
      </c>
    </row>
    <row r="104" spans="1:4" x14ac:dyDescent="0.25">
      <c r="A104" s="17" t="s">
        <v>331</v>
      </c>
      <c r="B104" s="18">
        <v>71.26473</v>
      </c>
      <c r="C104" s="17">
        <v>1.403218674932186E-2</v>
      </c>
      <c r="D104" s="19">
        <v>43691</v>
      </c>
    </row>
    <row r="105" spans="1:4" x14ac:dyDescent="0.25">
      <c r="A105" s="17" t="s">
        <v>331</v>
      </c>
      <c r="B105" s="20">
        <v>71.426140000000004</v>
      </c>
      <c r="C105" s="17">
        <v>1.4000476576222654E-2</v>
      </c>
      <c r="D105" s="19">
        <v>43690</v>
      </c>
    </row>
    <row r="106" spans="1:4" x14ac:dyDescent="0.25">
      <c r="A106" s="17" t="s">
        <v>331</v>
      </c>
      <c r="B106" s="18">
        <v>71.290369999999996</v>
      </c>
      <c r="C106" s="17">
        <v>1.4027139990997382E-2</v>
      </c>
      <c r="D106" s="19">
        <v>43689</v>
      </c>
    </row>
    <row r="107" spans="1:4" x14ac:dyDescent="0.25">
      <c r="A107" s="17" t="s">
        <v>331</v>
      </c>
      <c r="B107" s="20">
        <v>70.919039999999995</v>
      </c>
      <c r="C107" s="17">
        <v>1.4100585681926885E-2</v>
      </c>
      <c r="D107" s="19">
        <v>43686</v>
      </c>
    </row>
    <row r="108" spans="1:4" x14ac:dyDescent="0.25">
      <c r="A108" s="17" t="s">
        <v>331</v>
      </c>
      <c r="B108" s="18">
        <v>70.424109999999999</v>
      </c>
      <c r="C108" s="17">
        <v>1.419968246670068E-2</v>
      </c>
      <c r="D108" s="19">
        <v>43685</v>
      </c>
    </row>
    <row r="109" spans="1:4" x14ac:dyDescent="0.25">
      <c r="A109" s="17" t="s">
        <v>331</v>
      </c>
      <c r="B109" s="20">
        <v>71.181139999999999</v>
      </c>
      <c r="C109" s="17">
        <v>1.4048665137984584E-2</v>
      </c>
      <c r="D109" s="19">
        <v>43684</v>
      </c>
    </row>
    <row r="110" spans="1:4" x14ac:dyDescent="0.25">
      <c r="A110" s="17" t="s">
        <v>331</v>
      </c>
      <c r="B110" s="18">
        <v>71.024959999999993</v>
      </c>
      <c r="C110" s="17">
        <v>1.4079557383770439E-2</v>
      </c>
      <c r="D110" s="19">
        <v>43683</v>
      </c>
    </row>
    <row r="111" spans="1:4" x14ac:dyDescent="0.25">
      <c r="A111" s="17" t="s">
        <v>331</v>
      </c>
      <c r="B111" s="20">
        <v>70.809929999999994</v>
      </c>
      <c r="C111" s="17">
        <v>1.4122313071062209E-2</v>
      </c>
      <c r="D111" s="19">
        <v>43682</v>
      </c>
    </row>
    <row r="112" spans="1:4" x14ac:dyDescent="0.25">
      <c r="A112" s="17" t="s">
        <v>331</v>
      </c>
      <c r="B112" s="18">
        <v>69.712770000000006</v>
      </c>
      <c r="C112" s="17">
        <v>1.434457417199173E-2</v>
      </c>
      <c r="D112" s="19">
        <v>43679</v>
      </c>
    </row>
    <row r="113" spans="1:4" x14ac:dyDescent="0.25">
      <c r="A113" s="17" t="s">
        <v>331</v>
      </c>
      <c r="B113" s="20">
        <v>69.014920000000004</v>
      </c>
      <c r="C113" s="17">
        <v>1.4489620505247271E-2</v>
      </c>
      <c r="D113" s="19">
        <v>43678</v>
      </c>
    </row>
    <row r="114" spans="1:4" x14ac:dyDescent="0.25">
      <c r="A114" s="17" t="s">
        <v>331</v>
      </c>
      <c r="B114" s="18">
        <v>68.846729999999994</v>
      </c>
      <c r="C114" s="17">
        <v>1.452501810906633E-2</v>
      </c>
      <c r="D114" s="19">
        <v>43677</v>
      </c>
    </row>
    <row r="115" spans="1:4" x14ac:dyDescent="0.25">
      <c r="A115" s="17" t="s">
        <v>331</v>
      </c>
      <c r="B115" s="20">
        <v>68.849609999999998</v>
      </c>
      <c r="C115" s="17">
        <v>1.4524410523167814E-2</v>
      </c>
      <c r="D115" s="19">
        <v>43676</v>
      </c>
    </row>
    <row r="116" spans="1:4" x14ac:dyDescent="0.25">
      <c r="A116" s="17" t="s">
        <v>331</v>
      </c>
      <c r="B116" s="18">
        <v>68.745959999999997</v>
      </c>
      <c r="C116" s="17">
        <v>1.4546309339487005E-2</v>
      </c>
      <c r="D116" s="19">
        <v>43675</v>
      </c>
    </row>
    <row r="117" spans="1:4" x14ac:dyDescent="0.25">
      <c r="A117" s="17" t="s">
        <v>331</v>
      </c>
      <c r="B117" s="20">
        <v>68.865970000000004</v>
      </c>
      <c r="C117" s="17">
        <v>1.4520960061987073E-2</v>
      </c>
      <c r="D117" s="19">
        <v>43672</v>
      </c>
    </row>
    <row r="118" spans="1:4" x14ac:dyDescent="0.25">
      <c r="A118" s="17" t="s">
        <v>331</v>
      </c>
      <c r="B118" s="18">
        <v>69.041489999999996</v>
      </c>
      <c r="C118" s="17">
        <v>1.4484044304374081E-2</v>
      </c>
      <c r="D118" s="19">
        <v>43671</v>
      </c>
    </row>
    <row r="119" spans="1:4" x14ac:dyDescent="0.25">
      <c r="A119" s="17" t="s">
        <v>331</v>
      </c>
      <c r="B119" s="20">
        <v>68.988789999999995</v>
      </c>
      <c r="C119" s="17">
        <v>1.4495108553143201E-2</v>
      </c>
      <c r="D119" s="19">
        <v>43670</v>
      </c>
    </row>
    <row r="120" spans="1:4" x14ac:dyDescent="0.25">
      <c r="A120" s="17" t="s">
        <v>331</v>
      </c>
      <c r="B120" s="18">
        <v>69.02337</v>
      </c>
      <c r="C120" s="17">
        <v>1.4487846652517835E-2</v>
      </c>
      <c r="D120" s="19">
        <v>43669</v>
      </c>
    </row>
    <row r="121" spans="1:4" x14ac:dyDescent="0.25">
      <c r="A121" s="17" t="s">
        <v>331</v>
      </c>
      <c r="B121" s="20">
        <v>68.933000000000007</v>
      </c>
      <c r="C121" s="17">
        <v>1.4506839975048234E-2</v>
      </c>
      <c r="D121" s="19">
        <v>43668</v>
      </c>
    </row>
    <row r="122" spans="1:4" x14ac:dyDescent="0.25">
      <c r="A122" s="17" t="s">
        <v>331</v>
      </c>
      <c r="B122" s="18">
        <v>68.862729999999999</v>
      </c>
      <c r="C122" s="17">
        <v>1.4521643274961651E-2</v>
      </c>
      <c r="D122" s="19">
        <v>43665</v>
      </c>
    </row>
    <row r="123" spans="1:4" x14ac:dyDescent="0.25">
      <c r="A123" s="17" t="s">
        <v>331</v>
      </c>
      <c r="B123" s="20">
        <v>68.86018</v>
      </c>
      <c r="C123" s="17">
        <v>1.4522181034089659E-2</v>
      </c>
      <c r="D123" s="19">
        <v>43664</v>
      </c>
    </row>
    <row r="124" spans="1:4" x14ac:dyDescent="0.25">
      <c r="A124" s="17" t="s">
        <v>331</v>
      </c>
      <c r="B124" s="18">
        <v>68.844520000000003</v>
      </c>
      <c r="C124" s="17">
        <v>1.4525484381327664E-2</v>
      </c>
      <c r="D124" s="19">
        <v>43663</v>
      </c>
    </row>
    <row r="125" spans="1:4" x14ac:dyDescent="0.25">
      <c r="A125" s="17" t="s">
        <v>331</v>
      </c>
      <c r="B125" s="20">
        <v>68.652879999999996</v>
      </c>
      <c r="C125" s="17">
        <v>1.4566031315802048E-2</v>
      </c>
      <c r="D125" s="19">
        <v>43662</v>
      </c>
    </row>
    <row r="126" spans="1:4" x14ac:dyDescent="0.25">
      <c r="A126" s="17" t="s">
        <v>331</v>
      </c>
      <c r="B126" s="18">
        <v>68.546639999999996</v>
      </c>
      <c r="C126" s="17">
        <v>1.4588607114805337E-2</v>
      </c>
      <c r="D126" s="19">
        <v>43661</v>
      </c>
    </row>
    <row r="127" spans="1:4" x14ac:dyDescent="0.25">
      <c r="A127" s="17" t="s">
        <v>331</v>
      </c>
      <c r="B127" s="20">
        <v>68.557969999999997</v>
      </c>
      <c r="C127" s="17">
        <v>1.4586196178212395E-2</v>
      </c>
      <c r="D127" s="19">
        <v>43658</v>
      </c>
    </row>
    <row r="128" spans="1:4" x14ac:dyDescent="0.25">
      <c r="A128" s="17" t="s">
        <v>331</v>
      </c>
      <c r="B128" s="18">
        <v>68.410340000000005</v>
      </c>
      <c r="C128" s="17">
        <v>1.4617673293247774E-2</v>
      </c>
      <c r="D128" s="19">
        <v>43657</v>
      </c>
    </row>
    <row r="129" spans="1:4" x14ac:dyDescent="0.25">
      <c r="A129" s="17" t="s">
        <v>331</v>
      </c>
      <c r="B129" s="20">
        <v>68.416799999999995</v>
      </c>
      <c r="C129" s="17">
        <v>1.4616293074215692E-2</v>
      </c>
      <c r="D129" s="19">
        <v>43656</v>
      </c>
    </row>
    <row r="130" spans="1:4" x14ac:dyDescent="0.25">
      <c r="A130" s="17" t="s">
        <v>331</v>
      </c>
      <c r="B130" s="18">
        <v>68.561030000000002</v>
      </c>
      <c r="C130" s="17">
        <v>1.4585545170485333E-2</v>
      </c>
      <c r="D130" s="19">
        <v>43655</v>
      </c>
    </row>
    <row r="131" spans="1:4" x14ac:dyDescent="0.25">
      <c r="A131" s="17" t="s">
        <v>331</v>
      </c>
      <c r="B131" s="21">
        <v>68.574789999999993</v>
      </c>
      <c r="C131" s="17">
        <v>1.4582618481223204E-2</v>
      </c>
      <c r="D131" s="19">
        <v>43654</v>
      </c>
    </row>
    <row r="132" spans="1:4" x14ac:dyDescent="0.25">
      <c r="A132" s="17" t="s">
        <v>332</v>
      </c>
      <c r="B132" s="18">
        <v>3.6325699999999999</v>
      </c>
      <c r="C132" s="17">
        <f>1/B132</f>
        <v>0.27528719336447749</v>
      </c>
      <c r="D132" s="19">
        <v>43833</v>
      </c>
    </row>
    <row r="133" spans="1:4" x14ac:dyDescent="0.25">
      <c r="A133" s="17" t="s">
        <v>332</v>
      </c>
      <c r="B133" s="20">
        <v>3.6450900000000002</v>
      </c>
      <c r="C133" s="17">
        <f t="shared" ref="C133:C196" si="0">1/B133</f>
        <v>0.27434164862870325</v>
      </c>
      <c r="D133" s="19">
        <v>43832</v>
      </c>
    </row>
    <row r="134" spans="1:4" x14ac:dyDescent="0.25">
      <c r="A134" s="17" t="s">
        <v>332</v>
      </c>
      <c r="B134" s="17">
        <v>3.6448</v>
      </c>
      <c r="C134" s="17">
        <f t="shared" si="0"/>
        <v>0.27436347673397715</v>
      </c>
      <c r="D134" s="17">
        <v>43831</v>
      </c>
    </row>
    <row r="135" spans="1:4" x14ac:dyDescent="0.25">
      <c r="A135" s="17" t="s">
        <v>332</v>
      </c>
      <c r="B135" s="18">
        <v>3.64317</v>
      </c>
      <c r="C135" s="17">
        <f t="shared" si="0"/>
        <v>0.2744862303982521</v>
      </c>
      <c r="D135" s="19">
        <v>43830</v>
      </c>
    </row>
    <row r="136" spans="1:4" x14ac:dyDescent="0.25">
      <c r="A136" s="17" t="s">
        <v>332</v>
      </c>
      <c r="B136" s="20">
        <v>3.6375899999999999</v>
      </c>
      <c r="C136" s="17">
        <f t="shared" si="0"/>
        <v>0.27490728751728483</v>
      </c>
      <c r="D136" s="19">
        <v>43829</v>
      </c>
    </row>
    <row r="137" spans="1:4" x14ac:dyDescent="0.25">
      <c r="A137" s="17" t="s">
        <v>332</v>
      </c>
      <c r="B137" s="17">
        <v>3.6304699999999999</v>
      </c>
      <c r="C137" s="17">
        <f t="shared" si="0"/>
        <v>0.27544642980110012</v>
      </c>
      <c r="D137" s="17">
        <v>43828</v>
      </c>
    </row>
    <row r="138" spans="1:4" x14ac:dyDescent="0.25">
      <c r="A138" s="17" t="s">
        <v>332</v>
      </c>
      <c r="B138" s="18">
        <v>3.6316700000000002</v>
      </c>
      <c r="C138" s="17">
        <f t="shared" si="0"/>
        <v>0.27535541500191368</v>
      </c>
      <c r="D138" s="19">
        <v>43826</v>
      </c>
    </row>
    <row r="139" spans="1:4" x14ac:dyDescent="0.25">
      <c r="A139" s="17" t="s">
        <v>332</v>
      </c>
      <c r="B139" s="20">
        <v>3.6401500000000002</v>
      </c>
      <c r="C139" s="17">
        <f t="shared" si="0"/>
        <v>0.27471395409529825</v>
      </c>
      <c r="D139" s="19">
        <v>43825</v>
      </c>
    </row>
    <row r="140" spans="1:4" x14ac:dyDescent="0.25">
      <c r="A140" s="17" t="s">
        <v>332</v>
      </c>
      <c r="B140" s="17">
        <v>3.63531</v>
      </c>
      <c r="C140" s="17">
        <f t="shared" si="0"/>
        <v>0.27507970434433376</v>
      </c>
      <c r="D140" s="17">
        <v>43824</v>
      </c>
    </row>
    <row r="141" spans="1:4" x14ac:dyDescent="0.25">
      <c r="A141" s="17" t="s">
        <v>332</v>
      </c>
      <c r="B141" s="18">
        <v>3.6365400000000001</v>
      </c>
      <c r="C141" s="17">
        <f t="shared" si="0"/>
        <v>0.2749866631468374</v>
      </c>
      <c r="D141" s="19">
        <v>43823</v>
      </c>
    </row>
    <row r="142" spans="1:4" x14ac:dyDescent="0.25">
      <c r="A142" s="17" t="s">
        <v>332</v>
      </c>
      <c r="B142" s="20">
        <v>3.63802</v>
      </c>
      <c r="C142" s="17">
        <f t="shared" si="0"/>
        <v>0.27487479453109109</v>
      </c>
      <c r="D142" s="19">
        <v>43822</v>
      </c>
    </row>
    <row r="143" spans="1:4" x14ac:dyDescent="0.25">
      <c r="A143" s="17" t="s">
        <v>332</v>
      </c>
      <c r="B143" s="17">
        <v>3.6472099999999998</v>
      </c>
      <c r="C143" s="17">
        <f t="shared" si="0"/>
        <v>0.27418218309337822</v>
      </c>
      <c r="D143" s="17">
        <v>43821</v>
      </c>
    </row>
    <row r="144" spans="1:4" x14ac:dyDescent="0.25">
      <c r="A144" s="17" t="s">
        <v>332</v>
      </c>
      <c r="B144" s="18">
        <v>3.6483099999999999</v>
      </c>
      <c r="C144" s="17">
        <f t="shared" si="0"/>
        <v>0.27409951456975973</v>
      </c>
      <c r="D144" s="19">
        <v>43819</v>
      </c>
    </row>
    <row r="145" spans="1:4" x14ac:dyDescent="0.25">
      <c r="A145" s="17" t="s">
        <v>332</v>
      </c>
      <c r="B145" s="20">
        <v>3.64201</v>
      </c>
      <c r="C145" s="17">
        <f t="shared" si="0"/>
        <v>0.27457365575602483</v>
      </c>
      <c r="D145" s="19">
        <v>43818</v>
      </c>
    </row>
    <row r="146" spans="1:4" x14ac:dyDescent="0.25">
      <c r="A146" s="17" t="s">
        <v>332</v>
      </c>
      <c r="B146" s="17">
        <v>3.6448299999999998</v>
      </c>
      <c r="C146" s="17">
        <f t="shared" si="0"/>
        <v>0.27436121849304357</v>
      </c>
      <c r="D146" s="17">
        <v>43817</v>
      </c>
    </row>
    <row r="147" spans="1:4" x14ac:dyDescent="0.25">
      <c r="A147" s="17" t="s">
        <v>332</v>
      </c>
      <c r="B147" s="18">
        <v>3.64384</v>
      </c>
      <c r="C147" s="17">
        <f t="shared" si="0"/>
        <v>0.2744357600772811</v>
      </c>
      <c r="D147" s="19">
        <v>43816</v>
      </c>
    </row>
    <row r="148" spans="1:4" x14ac:dyDescent="0.25">
      <c r="A148" s="17" t="s">
        <v>332</v>
      </c>
      <c r="B148" s="20">
        <v>3.6430699999999998</v>
      </c>
      <c r="C148" s="17">
        <f t="shared" si="0"/>
        <v>0.27449376487413091</v>
      </c>
      <c r="D148" s="19">
        <v>43815</v>
      </c>
    </row>
    <row r="149" spans="1:4" x14ac:dyDescent="0.25">
      <c r="A149" s="17" t="s">
        <v>332</v>
      </c>
      <c r="B149" s="17">
        <v>3.6563500000000002</v>
      </c>
      <c r="C149" s="17">
        <f t="shared" si="0"/>
        <v>0.27349679325009912</v>
      </c>
      <c r="D149" s="17">
        <v>43814</v>
      </c>
    </row>
    <row r="150" spans="1:4" x14ac:dyDescent="0.25">
      <c r="A150" s="17" t="s">
        <v>332</v>
      </c>
      <c r="B150" s="18">
        <v>3.6600999999999999</v>
      </c>
      <c r="C150" s="17">
        <f t="shared" si="0"/>
        <v>0.27321657878200051</v>
      </c>
      <c r="D150" s="19">
        <v>43812</v>
      </c>
    </row>
    <row r="151" spans="1:4" x14ac:dyDescent="0.25">
      <c r="A151" s="17" t="s">
        <v>332</v>
      </c>
      <c r="B151" s="20">
        <v>3.62575</v>
      </c>
      <c r="C151" s="17">
        <f t="shared" si="0"/>
        <v>0.27580500586085638</v>
      </c>
      <c r="D151" s="19">
        <v>43811</v>
      </c>
    </row>
    <row r="152" spans="1:4" x14ac:dyDescent="0.25">
      <c r="A152" s="17" t="s">
        <v>332</v>
      </c>
      <c r="B152" s="17">
        <v>3.6246299999999998</v>
      </c>
      <c r="C152" s="17">
        <f t="shared" si="0"/>
        <v>0.27589022879576675</v>
      </c>
      <c r="D152" s="17">
        <v>43810</v>
      </c>
    </row>
    <row r="153" spans="1:4" x14ac:dyDescent="0.25">
      <c r="A153" s="17" t="s">
        <v>332</v>
      </c>
      <c r="B153" s="18">
        <v>3.6379899999999998</v>
      </c>
      <c r="C153" s="17">
        <f t="shared" si="0"/>
        <v>0.27487706123436295</v>
      </c>
      <c r="D153" s="19">
        <v>43809</v>
      </c>
    </row>
    <row r="154" spans="1:4" x14ac:dyDescent="0.25">
      <c r="A154" s="17" t="s">
        <v>332</v>
      </c>
      <c r="B154" s="20">
        <v>3.6436099999999998</v>
      </c>
      <c r="C154" s="17">
        <f t="shared" si="0"/>
        <v>0.274453083617621</v>
      </c>
      <c r="D154" s="19">
        <v>43808</v>
      </c>
    </row>
    <row r="155" spans="1:4" x14ac:dyDescent="0.25">
      <c r="A155" s="17" t="s">
        <v>332</v>
      </c>
      <c r="B155" s="17">
        <v>3.65266</v>
      </c>
      <c r="C155" s="17">
        <f t="shared" si="0"/>
        <v>0.27377308591546984</v>
      </c>
      <c r="D155" s="17">
        <v>43807</v>
      </c>
    </row>
    <row r="156" spans="1:4" x14ac:dyDescent="0.25">
      <c r="A156" s="17" t="s">
        <v>332</v>
      </c>
      <c r="B156" s="18">
        <v>3.6518199999999998</v>
      </c>
      <c r="C156" s="17">
        <f t="shared" si="0"/>
        <v>0.27383605982770237</v>
      </c>
      <c r="D156" s="19">
        <v>43805</v>
      </c>
    </row>
    <row r="157" spans="1:4" x14ac:dyDescent="0.25">
      <c r="A157" s="17" t="s">
        <v>332</v>
      </c>
      <c r="B157" s="20">
        <v>3.6364200000000002</v>
      </c>
      <c r="C157" s="17">
        <f t="shared" si="0"/>
        <v>0.27499573756606771</v>
      </c>
      <c r="D157" s="19">
        <v>43804</v>
      </c>
    </row>
    <row r="158" spans="1:4" x14ac:dyDescent="0.25">
      <c r="A158" s="17" t="s">
        <v>332</v>
      </c>
      <c r="B158" s="17">
        <v>3.6386099999999999</v>
      </c>
      <c r="C158" s="17">
        <f t="shared" si="0"/>
        <v>0.274830223629353</v>
      </c>
      <c r="D158" s="17">
        <v>43803</v>
      </c>
    </row>
    <row r="159" spans="1:4" x14ac:dyDescent="0.25">
      <c r="A159" s="17" t="s">
        <v>332</v>
      </c>
      <c r="B159" s="18">
        <v>3.6394500000000001</v>
      </c>
      <c r="C159" s="17">
        <f t="shared" si="0"/>
        <v>0.2747667916855569</v>
      </c>
      <c r="D159" s="19">
        <v>43802</v>
      </c>
    </row>
    <row r="160" spans="1:4" x14ac:dyDescent="0.25">
      <c r="A160" s="17" t="s">
        <v>332</v>
      </c>
      <c r="B160" s="20">
        <v>3.6193499999999998</v>
      </c>
      <c r="C160" s="17">
        <f t="shared" si="0"/>
        <v>0.27629270449113791</v>
      </c>
      <c r="D160" s="19">
        <v>43801</v>
      </c>
    </row>
    <row r="161" spans="1:4" x14ac:dyDescent="0.25">
      <c r="A161" s="17" t="s">
        <v>332</v>
      </c>
      <c r="B161" s="17">
        <v>3.63287</v>
      </c>
      <c r="C161" s="17">
        <f t="shared" si="0"/>
        <v>0.27526446033026231</v>
      </c>
      <c r="D161" s="17">
        <v>43800</v>
      </c>
    </row>
    <row r="162" spans="1:4" x14ac:dyDescent="0.25">
      <c r="A162" s="17" t="s">
        <v>332</v>
      </c>
      <c r="B162" s="18">
        <v>3.6338400000000002</v>
      </c>
      <c r="C162" s="17">
        <f t="shared" si="0"/>
        <v>0.27519098254188407</v>
      </c>
      <c r="D162" s="19">
        <v>43798</v>
      </c>
    </row>
    <row r="163" spans="1:4" x14ac:dyDescent="0.25">
      <c r="A163" s="17" t="s">
        <v>332</v>
      </c>
      <c r="B163" s="20">
        <v>3.6391</v>
      </c>
      <c r="C163" s="17">
        <f t="shared" si="0"/>
        <v>0.2747932181033772</v>
      </c>
      <c r="D163" s="19">
        <v>43797</v>
      </c>
    </row>
    <row r="164" spans="1:4" x14ac:dyDescent="0.25">
      <c r="A164" s="17" t="s">
        <v>332</v>
      </c>
      <c r="B164" s="17">
        <v>3.6668500000000002</v>
      </c>
      <c r="C164" s="17">
        <f t="shared" si="0"/>
        <v>0.27271363704542045</v>
      </c>
      <c r="D164" s="17">
        <v>43796</v>
      </c>
    </row>
    <row r="165" spans="1:4" x14ac:dyDescent="0.25">
      <c r="A165" s="17" t="s">
        <v>332</v>
      </c>
      <c r="B165" s="18">
        <v>3.6390500000000001</v>
      </c>
      <c r="C165" s="17">
        <f t="shared" si="0"/>
        <v>0.27479699372088867</v>
      </c>
      <c r="D165" s="19">
        <v>43795</v>
      </c>
    </row>
    <row r="166" spans="1:4" x14ac:dyDescent="0.25">
      <c r="A166" s="17" t="s">
        <v>332</v>
      </c>
      <c r="B166" s="20">
        <v>3.6414200000000001</v>
      </c>
      <c r="C166" s="17">
        <f t="shared" si="0"/>
        <v>0.27461814347150287</v>
      </c>
      <c r="D166" s="19">
        <v>43794</v>
      </c>
    </row>
    <row r="167" spans="1:4" x14ac:dyDescent="0.25">
      <c r="A167" s="17" t="s">
        <v>332</v>
      </c>
      <c r="B167" s="17">
        <v>3.6552799999999999</v>
      </c>
      <c r="C167" s="17">
        <f t="shared" si="0"/>
        <v>0.27357685320960368</v>
      </c>
      <c r="D167" s="17">
        <v>43793</v>
      </c>
    </row>
    <row r="168" spans="1:4" x14ac:dyDescent="0.25">
      <c r="A168" s="17" t="s">
        <v>332</v>
      </c>
      <c r="B168" s="18">
        <v>3.6560100000000002</v>
      </c>
      <c r="C168" s="17">
        <f t="shared" si="0"/>
        <v>0.27352222778384083</v>
      </c>
      <c r="D168" s="19">
        <v>43791</v>
      </c>
    </row>
    <row r="169" spans="1:4" x14ac:dyDescent="0.25">
      <c r="A169" s="17" t="s">
        <v>332</v>
      </c>
      <c r="B169" s="20">
        <v>3.6485500000000002</v>
      </c>
      <c r="C169" s="17">
        <f t="shared" si="0"/>
        <v>0.27408148442531965</v>
      </c>
      <c r="D169" s="19">
        <v>43790</v>
      </c>
    </row>
    <row r="170" spans="1:4" x14ac:dyDescent="0.25">
      <c r="A170" s="17" t="s">
        <v>332</v>
      </c>
      <c r="B170" s="17">
        <v>3.63462</v>
      </c>
      <c r="C170" s="17">
        <f t="shared" si="0"/>
        <v>0.27513192575840117</v>
      </c>
      <c r="D170" s="17">
        <v>43789</v>
      </c>
    </row>
    <row r="171" spans="1:4" x14ac:dyDescent="0.25">
      <c r="A171" s="17" t="s">
        <v>332</v>
      </c>
      <c r="B171" s="18">
        <v>3.6408800000000001</v>
      </c>
      <c r="C171" s="17">
        <f t="shared" si="0"/>
        <v>0.2746588736788908</v>
      </c>
      <c r="D171" s="19">
        <v>43788</v>
      </c>
    </row>
    <row r="172" spans="1:4" x14ac:dyDescent="0.25">
      <c r="A172" s="17" t="s">
        <v>332</v>
      </c>
      <c r="B172" s="20">
        <v>3.63741</v>
      </c>
      <c r="C172" s="17">
        <f t="shared" si="0"/>
        <v>0.27492089151346699</v>
      </c>
      <c r="D172" s="19">
        <v>43787</v>
      </c>
    </row>
    <row r="173" spans="1:4" x14ac:dyDescent="0.25">
      <c r="A173" s="17" t="s">
        <v>332</v>
      </c>
      <c r="B173" s="17">
        <v>3.6345999999999998</v>
      </c>
      <c r="C173" s="17">
        <f t="shared" si="0"/>
        <v>0.27513343971826337</v>
      </c>
      <c r="D173" s="17">
        <v>43786</v>
      </c>
    </row>
    <row r="174" spans="1:4" x14ac:dyDescent="0.25">
      <c r="A174" s="17" t="s">
        <v>332</v>
      </c>
      <c r="B174" s="18">
        <v>3.63442</v>
      </c>
      <c r="C174" s="17">
        <f t="shared" si="0"/>
        <v>0.27514706610683409</v>
      </c>
      <c r="D174" s="19">
        <v>43784</v>
      </c>
    </row>
    <row r="175" spans="1:4" x14ac:dyDescent="0.25">
      <c r="A175" s="17" t="s">
        <v>332</v>
      </c>
      <c r="B175" s="20">
        <v>3.6306600000000002</v>
      </c>
      <c r="C175" s="17">
        <f t="shared" si="0"/>
        <v>0.27543201511570897</v>
      </c>
      <c r="D175" s="19">
        <v>43783</v>
      </c>
    </row>
    <row r="176" spans="1:4" x14ac:dyDescent="0.25">
      <c r="A176" s="17" t="s">
        <v>332</v>
      </c>
      <c r="B176" s="17">
        <v>3.6412499999999999</v>
      </c>
      <c r="C176" s="17">
        <f t="shared" si="0"/>
        <v>0.2746309646412633</v>
      </c>
      <c r="D176" s="17">
        <v>43782</v>
      </c>
    </row>
    <row r="177" spans="1:4" x14ac:dyDescent="0.25">
      <c r="A177" s="17" t="s">
        <v>332</v>
      </c>
      <c r="B177" s="18">
        <v>3.64317</v>
      </c>
      <c r="C177" s="17">
        <f t="shared" si="0"/>
        <v>0.2744862303982521</v>
      </c>
      <c r="D177" s="19">
        <v>43781</v>
      </c>
    </row>
    <row r="178" spans="1:4" x14ac:dyDescent="0.25">
      <c r="A178" s="17" t="s">
        <v>332</v>
      </c>
      <c r="B178" s="20">
        <v>3.6389399999999998</v>
      </c>
      <c r="C178" s="17">
        <f t="shared" si="0"/>
        <v>0.27480530044463497</v>
      </c>
      <c r="D178" s="19">
        <v>43780</v>
      </c>
    </row>
    <row r="179" spans="1:4" x14ac:dyDescent="0.25">
      <c r="A179" s="17" t="s">
        <v>332</v>
      </c>
      <c r="B179" s="17">
        <v>3.6438799999999998</v>
      </c>
      <c r="C179" s="17">
        <f t="shared" si="0"/>
        <v>0.27443274751089497</v>
      </c>
      <c r="D179" s="17">
        <v>43779</v>
      </c>
    </row>
    <row r="180" spans="1:4" x14ac:dyDescent="0.25">
      <c r="A180" s="17" t="s">
        <v>332</v>
      </c>
      <c r="B180" s="18">
        <v>3.6441400000000002</v>
      </c>
      <c r="C180" s="17">
        <f t="shared" si="0"/>
        <v>0.27441316744142652</v>
      </c>
      <c r="D180" s="19">
        <v>43777</v>
      </c>
    </row>
    <row r="181" spans="1:4" x14ac:dyDescent="0.25">
      <c r="A181" s="17" t="s">
        <v>332</v>
      </c>
      <c r="B181" s="20">
        <v>3.6509999999999998</v>
      </c>
      <c r="C181" s="17">
        <f t="shared" si="0"/>
        <v>0.27389756231169543</v>
      </c>
      <c r="D181" s="19">
        <v>43776</v>
      </c>
    </row>
    <row r="182" spans="1:4" x14ac:dyDescent="0.25">
      <c r="A182" s="17" t="s">
        <v>332</v>
      </c>
      <c r="B182" s="17">
        <v>3.6454800000000001</v>
      </c>
      <c r="C182" s="17">
        <f t="shared" si="0"/>
        <v>0.27431229906624094</v>
      </c>
      <c r="D182" s="17">
        <v>43775</v>
      </c>
    </row>
    <row r="183" spans="1:4" x14ac:dyDescent="0.25">
      <c r="A183" s="17" t="s">
        <v>332</v>
      </c>
      <c r="B183" s="18">
        <v>3.6547499999999999</v>
      </c>
      <c r="C183" s="17">
        <f t="shared" si="0"/>
        <v>0.27361652643819689</v>
      </c>
      <c r="D183" s="19">
        <v>43774</v>
      </c>
    </row>
    <row r="184" spans="1:4" x14ac:dyDescent="0.25">
      <c r="A184" s="17" t="s">
        <v>332</v>
      </c>
      <c r="B184" s="20">
        <v>3.6539899999999998</v>
      </c>
      <c r="C184" s="17">
        <f t="shared" si="0"/>
        <v>0.27367343643523928</v>
      </c>
      <c r="D184" s="19">
        <v>43773</v>
      </c>
    </row>
    <row r="185" spans="1:4" x14ac:dyDescent="0.25">
      <c r="A185" s="17" t="s">
        <v>332</v>
      </c>
      <c r="B185" s="17">
        <v>3.6377899999999999</v>
      </c>
      <c r="C185" s="17">
        <f t="shared" si="0"/>
        <v>0.27489217354492701</v>
      </c>
      <c r="D185" s="17">
        <v>43772</v>
      </c>
    </row>
    <row r="186" spans="1:4" x14ac:dyDescent="0.25">
      <c r="A186" s="17" t="s">
        <v>332</v>
      </c>
      <c r="B186" s="18">
        <v>3.6372</v>
      </c>
      <c r="C186" s="17">
        <f t="shared" si="0"/>
        <v>0.27493676454415483</v>
      </c>
      <c r="D186" s="19">
        <v>43770</v>
      </c>
    </row>
    <row r="187" spans="1:4" x14ac:dyDescent="0.25">
      <c r="A187" s="17" t="s">
        <v>332</v>
      </c>
      <c r="B187" s="20">
        <v>3.6408499999999999</v>
      </c>
      <c r="C187" s="17">
        <f t="shared" si="0"/>
        <v>0.27466113682244531</v>
      </c>
      <c r="D187" s="19">
        <v>43769</v>
      </c>
    </row>
    <row r="188" spans="1:4" x14ac:dyDescent="0.25">
      <c r="A188" s="17" t="s">
        <v>332</v>
      </c>
      <c r="B188" s="17">
        <v>3.62839</v>
      </c>
      <c r="C188" s="17">
        <f t="shared" si="0"/>
        <v>0.27560433139767226</v>
      </c>
      <c r="D188" s="17">
        <v>43768</v>
      </c>
    </row>
    <row r="189" spans="1:4" x14ac:dyDescent="0.25">
      <c r="A189" s="17" t="s">
        <v>332</v>
      </c>
      <c r="B189" s="18">
        <v>3.6312700000000002</v>
      </c>
      <c r="C189" s="17">
        <f t="shared" si="0"/>
        <v>0.27538574658452825</v>
      </c>
      <c r="D189" s="19">
        <v>43767</v>
      </c>
    </row>
    <row r="190" spans="1:4" x14ac:dyDescent="0.25">
      <c r="A190" s="17" t="s">
        <v>332</v>
      </c>
      <c r="B190" s="20">
        <v>3.6573000000000002</v>
      </c>
      <c r="C190" s="17">
        <f t="shared" si="0"/>
        <v>0.27342575123725149</v>
      </c>
      <c r="D190" s="19">
        <v>43766</v>
      </c>
    </row>
    <row r="191" spans="1:4" x14ac:dyDescent="0.25">
      <c r="A191" s="17" t="s">
        <v>332</v>
      </c>
      <c r="B191" s="17">
        <v>3.6528800000000001</v>
      </c>
      <c r="C191" s="17">
        <f t="shared" si="0"/>
        <v>0.27375659753400056</v>
      </c>
      <c r="D191" s="17">
        <v>43765</v>
      </c>
    </row>
    <row r="192" spans="1:4" x14ac:dyDescent="0.25">
      <c r="A192" s="17" t="s">
        <v>332</v>
      </c>
      <c r="B192" s="18">
        <v>3.6529099999999999</v>
      </c>
      <c r="C192" s="17">
        <f t="shared" si="0"/>
        <v>0.27375434927222408</v>
      </c>
      <c r="D192" s="19">
        <v>43763</v>
      </c>
    </row>
    <row r="193" spans="1:4" x14ac:dyDescent="0.25">
      <c r="A193" s="17" t="s">
        <v>332</v>
      </c>
      <c r="B193" s="20">
        <v>3.6486800000000001</v>
      </c>
      <c r="C193" s="17">
        <f t="shared" si="0"/>
        <v>0.27407171908745082</v>
      </c>
      <c r="D193" s="19">
        <v>43762</v>
      </c>
    </row>
    <row r="194" spans="1:4" x14ac:dyDescent="0.25">
      <c r="A194" s="17" t="s">
        <v>332</v>
      </c>
      <c r="B194" s="17">
        <v>3.6336400000000002</v>
      </c>
      <c r="C194" s="17">
        <f t="shared" si="0"/>
        <v>0.27520612939091377</v>
      </c>
      <c r="D194" s="17">
        <v>43761</v>
      </c>
    </row>
    <row r="195" spans="1:4" x14ac:dyDescent="0.25">
      <c r="A195" s="17" t="s">
        <v>332</v>
      </c>
      <c r="B195" s="18">
        <v>3.6474899999999999</v>
      </c>
      <c r="C195" s="17">
        <f t="shared" si="0"/>
        <v>0.27416113546575865</v>
      </c>
      <c r="D195" s="19">
        <v>43760</v>
      </c>
    </row>
    <row r="196" spans="1:4" x14ac:dyDescent="0.25">
      <c r="A196" s="17" t="s">
        <v>332</v>
      </c>
      <c r="B196" s="20">
        <v>3.6446499999999999</v>
      </c>
      <c r="C196" s="17">
        <f t="shared" si="0"/>
        <v>0.27437476849628911</v>
      </c>
      <c r="D196" s="19">
        <v>43759</v>
      </c>
    </row>
    <row r="197" spans="1:4" x14ac:dyDescent="0.25">
      <c r="A197" s="17" t="s">
        <v>332</v>
      </c>
      <c r="B197" s="17">
        <v>3.6286499999999999</v>
      </c>
      <c r="C197" s="17">
        <f t="shared" ref="C197:C260" si="1">1/B197</f>
        <v>0.2755845837983823</v>
      </c>
      <c r="D197" s="17">
        <v>43756</v>
      </c>
    </row>
    <row r="198" spans="1:4" x14ac:dyDescent="0.25">
      <c r="A198" s="17" t="s">
        <v>332</v>
      </c>
      <c r="B198" s="18">
        <v>3.63618</v>
      </c>
      <c r="C198" s="17">
        <f t="shared" si="1"/>
        <v>0.2750138882013542</v>
      </c>
      <c r="D198" s="19">
        <v>43755</v>
      </c>
    </row>
    <row r="199" spans="1:4" x14ac:dyDescent="0.25">
      <c r="A199" s="17" t="s">
        <v>332</v>
      </c>
      <c r="B199" s="20">
        <v>3.6250399999999998</v>
      </c>
      <c r="C199" s="17">
        <f t="shared" si="1"/>
        <v>0.27585902500386206</v>
      </c>
      <c r="D199" s="19">
        <v>43754</v>
      </c>
    </row>
    <row r="200" spans="1:4" x14ac:dyDescent="0.25">
      <c r="A200" s="17" t="s">
        <v>332</v>
      </c>
      <c r="B200" s="17">
        <v>3.6358000000000001</v>
      </c>
      <c r="C200" s="17">
        <f t="shared" si="1"/>
        <v>0.27504263160789921</v>
      </c>
      <c r="D200" s="17">
        <v>43753</v>
      </c>
    </row>
    <row r="201" spans="1:4" x14ac:dyDescent="0.25">
      <c r="A201" s="17" t="s">
        <v>332</v>
      </c>
      <c r="B201" s="18">
        <v>3.6428600000000002</v>
      </c>
      <c r="C201" s="17">
        <f t="shared" si="1"/>
        <v>0.27450958861993047</v>
      </c>
      <c r="D201" s="19">
        <v>43752</v>
      </c>
    </row>
    <row r="202" spans="1:4" x14ac:dyDescent="0.25">
      <c r="A202" s="17" t="s">
        <v>332</v>
      </c>
      <c r="B202" s="20">
        <v>3.6404200000000002</v>
      </c>
      <c r="C202" s="17">
        <f t="shared" si="1"/>
        <v>0.27469357931227711</v>
      </c>
      <c r="D202" s="19">
        <v>43749</v>
      </c>
    </row>
    <row r="203" spans="1:4" x14ac:dyDescent="0.25">
      <c r="A203" s="17" t="s">
        <v>332</v>
      </c>
      <c r="B203" s="17">
        <v>3.6467200000000002</v>
      </c>
      <c r="C203" s="17">
        <f t="shared" si="1"/>
        <v>0.27421902421902422</v>
      </c>
      <c r="D203" s="17">
        <v>43748</v>
      </c>
    </row>
    <row r="204" spans="1:4" x14ac:dyDescent="0.25">
      <c r="A204" s="17" t="s">
        <v>332</v>
      </c>
      <c r="B204" s="18">
        <v>3.6436999999999999</v>
      </c>
      <c r="C204" s="17">
        <f t="shared" si="1"/>
        <v>0.27444630458050884</v>
      </c>
      <c r="D204" s="19">
        <v>43747</v>
      </c>
    </row>
    <row r="205" spans="1:4" x14ac:dyDescent="0.25">
      <c r="A205" s="17" t="s">
        <v>332</v>
      </c>
      <c r="B205" s="20">
        <v>3.6511200000000001</v>
      </c>
      <c r="C205" s="17">
        <f t="shared" si="1"/>
        <v>0.27388856022261659</v>
      </c>
      <c r="D205" s="19">
        <v>43746</v>
      </c>
    </row>
    <row r="206" spans="1:4" x14ac:dyDescent="0.25">
      <c r="A206" s="17" t="s">
        <v>332</v>
      </c>
      <c r="B206" s="17">
        <v>3.6432600000000002</v>
      </c>
      <c r="C206" s="17">
        <f t="shared" si="1"/>
        <v>0.27447944972359917</v>
      </c>
      <c r="D206" s="17">
        <v>43745</v>
      </c>
    </row>
    <row r="207" spans="1:4" x14ac:dyDescent="0.25">
      <c r="A207" s="17" t="s">
        <v>332</v>
      </c>
      <c r="B207" s="18">
        <v>3.6442700000000001</v>
      </c>
      <c r="C207" s="17">
        <f t="shared" si="1"/>
        <v>0.2744033784543955</v>
      </c>
      <c r="D207" s="19">
        <v>43744</v>
      </c>
    </row>
    <row r="208" spans="1:4" x14ac:dyDescent="0.25">
      <c r="A208" s="17" t="s">
        <v>332</v>
      </c>
      <c r="B208" s="20">
        <v>3.6448800000000001</v>
      </c>
      <c r="C208" s="17">
        <f t="shared" si="1"/>
        <v>0.2743574548407629</v>
      </c>
      <c r="D208" s="19">
        <v>43742</v>
      </c>
    </row>
    <row r="209" spans="1:4" x14ac:dyDescent="0.25">
      <c r="A209" s="17" t="s">
        <v>332</v>
      </c>
      <c r="B209" s="17">
        <v>3.6369400000000001</v>
      </c>
      <c r="C209" s="17">
        <f t="shared" si="1"/>
        <v>0.27495641940752391</v>
      </c>
      <c r="D209" s="17">
        <v>43741</v>
      </c>
    </row>
    <row r="210" spans="1:4" x14ac:dyDescent="0.25">
      <c r="A210" s="17" t="s">
        <v>332</v>
      </c>
      <c r="B210" s="18">
        <v>3.6276899999999999</v>
      </c>
      <c r="C210" s="17">
        <f t="shared" si="1"/>
        <v>0.2756575120806905</v>
      </c>
      <c r="D210" s="19">
        <v>43740</v>
      </c>
    </row>
    <row r="211" spans="1:4" x14ac:dyDescent="0.25">
      <c r="A211" s="17" t="s">
        <v>332</v>
      </c>
      <c r="B211" s="20">
        <v>3.6313</v>
      </c>
      <c r="C211" s="17">
        <f t="shared" si="1"/>
        <v>0.27538347148404152</v>
      </c>
      <c r="D211" s="19">
        <v>43739</v>
      </c>
    </row>
    <row r="212" spans="1:4" x14ac:dyDescent="0.25">
      <c r="A212" s="17" t="s">
        <v>332</v>
      </c>
      <c r="B212" s="17">
        <v>3.6487099999999999</v>
      </c>
      <c r="C212" s="17">
        <f t="shared" si="1"/>
        <v>0.27406946564676282</v>
      </c>
      <c r="D212" s="17">
        <v>43738</v>
      </c>
    </row>
    <row r="213" spans="1:4" x14ac:dyDescent="0.25">
      <c r="A213" s="17" t="s">
        <v>332</v>
      </c>
      <c r="B213" s="18">
        <v>3.6406200000000002</v>
      </c>
      <c r="C213" s="17">
        <f t="shared" si="1"/>
        <v>0.27467848882882584</v>
      </c>
      <c r="D213" s="19">
        <v>43737</v>
      </c>
    </row>
    <row r="214" spans="1:4" x14ac:dyDescent="0.25">
      <c r="A214" s="17" t="s">
        <v>332</v>
      </c>
      <c r="B214" s="20">
        <v>3.6404200000000002</v>
      </c>
      <c r="C214" s="17">
        <f t="shared" si="1"/>
        <v>0.27469357931227711</v>
      </c>
      <c r="D214" s="19">
        <v>43735</v>
      </c>
    </row>
    <row r="215" spans="1:4" x14ac:dyDescent="0.25">
      <c r="A215" s="17" t="s">
        <v>332</v>
      </c>
      <c r="B215" s="17">
        <v>3.6455199999999999</v>
      </c>
      <c r="C215" s="17">
        <f t="shared" si="1"/>
        <v>0.27430928920976982</v>
      </c>
      <c r="D215" s="17">
        <v>43734</v>
      </c>
    </row>
    <row r="216" spans="1:4" x14ac:dyDescent="0.25">
      <c r="A216" s="17" t="s">
        <v>332</v>
      </c>
      <c r="B216" s="18">
        <v>3.6582499999999998</v>
      </c>
      <c r="C216" s="17">
        <f t="shared" si="1"/>
        <v>0.27335474612177957</v>
      </c>
      <c r="D216" s="19">
        <v>43733</v>
      </c>
    </row>
    <row r="217" spans="1:4" x14ac:dyDescent="0.25">
      <c r="A217" s="17" t="s">
        <v>332</v>
      </c>
      <c r="B217" s="20">
        <v>3.6312899999999999</v>
      </c>
      <c r="C217" s="17">
        <f t="shared" si="1"/>
        <v>0.27538422984669358</v>
      </c>
      <c r="D217" s="19">
        <v>43732</v>
      </c>
    </row>
    <row r="218" spans="1:4" x14ac:dyDescent="0.25">
      <c r="A218" s="17" t="s">
        <v>332</v>
      </c>
      <c r="B218" s="17">
        <v>3.63829</v>
      </c>
      <c r="C218" s="17">
        <f t="shared" si="1"/>
        <v>0.27485439588378058</v>
      </c>
      <c r="D218" s="17">
        <v>43731</v>
      </c>
    </row>
    <row r="219" spans="1:4" x14ac:dyDescent="0.25">
      <c r="A219" s="17" t="s">
        <v>332</v>
      </c>
      <c r="B219" s="18">
        <v>3.6503100000000002</v>
      </c>
      <c r="C219" s="17">
        <f t="shared" si="1"/>
        <v>0.27394933580983533</v>
      </c>
      <c r="D219" s="19">
        <v>43730</v>
      </c>
    </row>
    <row r="220" spans="1:4" x14ac:dyDescent="0.25">
      <c r="A220" s="17" t="s">
        <v>332</v>
      </c>
      <c r="B220" s="20">
        <v>3.6494300000000002</v>
      </c>
      <c r="C220" s="17">
        <f t="shared" si="1"/>
        <v>0.27401539418484527</v>
      </c>
      <c r="D220" s="19">
        <v>43728</v>
      </c>
    </row>
    <row r="221" spans="1:4" x14ac:dyDescent="0.25">
      <c r="A221" s="17" t="s">
        <v>332</v>
      </c>
      <c r="B221" s="17">
        <v>3.6483699999999999</v>
      </c>
      <c r="C221" s="17">
        <f t="shared" si="1"/>
        <v>0.27409500681126092</v>
      </c>
      <c r="D221" s="17">
        <v>43727</v>
      </c>
    </row>
    <row r="222" spans="1:4" x14ac:dyDescent="0.25">
      <c r="A222" s="17" t="s">
        <v>332</v>
      </c>
      <c r="B222" s="18">
        <v>3.64514</v>
      </c>
      <c r="C222" s="17">
        <f t="shared" si="1"/>
        <v>0.27433788551331362</v>
      </c>
      <c r="D222" s="19">
        <v>43726</v>
      </c>
    </row>
    <row r="223" spans="1:4" x14ac:dyDescent="0.25">
      <c r="A223" s="17" t="s">
        <v>332</v>
      </c>
      <c r="B223" s="20">
        <v>3.6263100000000001</v>
      </c>
      <c r="C223" s="17">
        <f t="shared" si="1"/>
        <v>0.27576241413447827</v>
      </c>
      <c r="D223" s="19">
        <v>43725</v>
      </c>
    </row>
    <row r="224" spans="1:4" x14ac:dyDescent="0.25">
      <c r="A224" s="17" t="s">
        <v>332</v>
      </c>
      <c r="B224" s="17">
        <v>3.65476</v>
      </c>
      <c r="C224" s="17">
        <f t="shared" si="1"/>
        <v>0.2736157777802099</v>
      </c>
      <c r="D224" s="17">
        <v>43724</v>
      </c>
    </row>
    <row r="225" spans="1:4" x14ac:dyDescent="0.25">
      <c r="A225" s="17" t="s">
        <v>332</v>
      </c>
      <c r="B225" s="18">
        <v>3.6470799999999999</v>
      </c>
      <c r="C225" s="17">
        <f t="shared" si="1"/>
        <v>0.27419195630476983</v>
      </c>
      <c r="D225" s="19">
        <v>43723</v>
      </c>
    </row>
    <row r="226" spans="1:4" x14ac:dyDescent="0.25">
      <c r="A226" s="17" t="s">
        <v>332</v>
      </c>
      <c r="B226" s="20">
        <v>3.6475</v>
      </c>
      <c r="C226" s="17">
        <f t="shared" si="1"/>
        <v>0.27416038382453733</v>
      </c>
      <c r="D226" s="19">
        <v>43721</v>
      </c>
    </row>
    <row r="227" spans="1:4" x14ac:dyDescent="0.25">
      <c r="A227" s="17" t="s">
        <v>332</v>
      </c>
      <c r="B227" s="17">
        <v>3.6278299999999999</v>
      </c>
      <c r="C227" s="17">
        <f t="shared" si="1"/>
        <v>0.27564687430226886</v>
      </c>
      <c r="D227" s="17">
        <v>43720</v>
      </c>
    </row>
    <row r="228" spans="1:4" x14ac:dyDescent="0.25">
      <c r="A228" s="17" t="s">
        <v>332</v>
      </c>
      <c r="B228" s="18">
        <v>3.6412900000000001</v>
      </c>
      <c r="C228" s="17">
        <f t="shared" si="1"/>
        <v>0.27462794778773458</v>
      </c>
      <c r="D228" s="19">
        <v>43719</v>
      </c>
    </row>
    <row r="229" spans="1:4" x14ac:dyDescent="0.25">
      <c r="A229" s="17" t="s">
        <v>332</v>
      </c>
      <c r="B229" s="20">
        <v>3.63653</v>
      </c>
      <c r="C229" s="17">
        <f t="shared" si="1"/>
        <v>0.27498741932556586</v>
      </c>
      <c r="D229" s="19">
        <v>43718</v>
      </c>
    </row>
    <row r="230" spans="1:4" x14ac:dyDescent="0.25">
      <c r="A230" s="17" t="s">
        <v>332</v>
      </c>
      <c r="B230" s="17">
        <v>3.6339899999999998</v>
      </c>
      <c r="C230" s="17">
        <f t="shared" si="1"/>
        <v>0.27517962349923913</v>
      </c>
      <c r="D230" s="17">
        <v>43717</v>
      </c>
    </row>
    <row r="231" spans="1:4" x14ac:dyDescent="0.25">
      <c r="A231" s="17" t="s">
        <v>332</v>
      </c>
      <c r="B231" s="18">
        <v>3.6418499999999998</v>
      </c>
      <c r="C231" s="17">
        <f t="shared" si="1"/>
        <v>0.27458571879676541</v>
      </c>
      <c r="D231" s="19">
        <v>43716</v>
      </c>
    </row>
    <row r="232" spans="1:4" x14ac:dyDescent="0.25">
      <c r="A232" s="17" t="s">
        <v>332</v>
      </c>
      <c r="B232" s="20">
        <v>3.64235</v>
      </c>
      <c r="C232" s="17">
        <f t="shared" si="1"/>
        <v>0.27454802531332795</v>
      </c>
      <c r="D232" s="19">
        <v>43714</v>
      </c>
    </row>
    <row r="233" spans="1:4" x14ac:dyDescent="0.25">
      <c r="A233" s="17" t="s">
        <v>332</v>
      </c>
      <c r="B233" s="17">
        <v>3.6478999999999999</v>
      </c>
      <c r="C233" s="17">
        <f t="shared" si="1"/>
        <v>0.27413032155486716</v>
      </c>
      <c r="D233" s="17">
        <v>43713</v>
      </c>
    </row>
    <row r="234" spans="1:4" x14ac:dyDescent="0.25">
      <c r="A234" s="17" t="s">
        <v>332</v>
      </c>
      <c r="B234" s="18">
        <v>3.6347800000000001</v>
      </c>
      <c r="C234" s="17">
        <f t="shared" si="1"/>
        <v>0.27511981467929281</v>
      </c>
      <c r="D234" s="19">
        <v>43712</v>
      </c>
    </row>
    <row r="235" spans="1:4" x14ac:dyDescent="0.25">
      <c r="A235" s="17" t="s">
        <v>332</v>
      </c>
      <c r="B235" s="20">
        <v>3.6301999999999999</v>
      </c>
      <c r="C235" s="17">
        <f t="shared" si="1"/>
        <v>0.27546691642333759</v>
      </c>
      <c r="D235" s="19">
        <v>43711</v>
      </c>
    </row>
    <row r="236" spans="1:4" x14ac:dyDescent="0.25">
      <c r="A236" s="17" t="s">
        <v>332</v>
      </c>
      <c r="B236" s="17">
        <v>3.6408299999999998</v>
      </c>
      <c r="C236" s="17">
        <f t="shared" si="1"/>
        <v>0.27466264560553499</v>
      </c>
      <c r="D236" s="17">
        <v>43710</v>
      </c>
    </row>
    <row r="237" spans="1:4" x14ac:dyDescent="0.25">
      <c r="A237" s="17" t="s">
        <v>332</v>
      </c>
      <c r="B237" s="18">
        <v>3.6577099999999998</v>
      </c>
      <c r="C237" s="17">
        <f t="shared" si="1"/>
        <v>0.27339510240013559</v>
      </c>
      <c r="D237" s="19">
        <v>43709</v>
      </c>
    </row>
    <row r="238" spans="1:4" x14ac:dyDescent="0.25">
      <c r="A238" s="17" t="s">
        <v>332</v>
      </c>
      <c r="B238" s="20">
        <v>3.6580499999999998</v>
      </c>
      <c r="C238" s="17">
        <f t="shared" si="1"/>
        <v>0.27336969150230317</v>
      </c>
      <c r="D238" s="19">
        <v>43707</v>
      </c>
    </row>
    <row r="239" spans="1:4" x14ac:dyDescent="0.25">
      <c r="A239" s="17" t="s">
        <v>332</v>
      </c>
      <c r="B239" s="17">
        <v>3.6465700000000001</v>
      </c>
      <c r="C239" s="17">
        <f t="shared" si="1"/>
        <v>0.27423030409398419</v>
      </c>
      <c r="D239" s="17">
        <v>43706</v>
      </c>
    </row>
    <row r="240" spans="1:4" x14ac:dyDescent="0.25">
      <c r="A240" s="17" t="s">
        <v>332</v>
      </c>
      <c r="B240" s="18">
        <v>3.6449099999999999</v>
      </c>
      <c r="C240" s="17">
        <f t="shared" si="1"/>
        <v>0.2743551966989583</v>
      </c>
      <c r="D240" s="19">
        <v>43705</v>
      </c>
    </row>
    <row r="241" spans="1:4" x14ac:dyDescent="0.25">
      <c r="A241" s="17" t="s">
        <v>332</v>
      </c>
      <c r="B241" s="20">
        <v>3.6462300000000001</v>
      </c>
      <c r="C241" s="17">
        <f t="shared" si="1"/>
        <v>0.27425587524648748</v>
      </c>
      <c r="D241" s="19">
        <v>43704</v>
      </c>
    </row>
    <row r="242" spans="1:4" x14ac:dyDescent="0.25">
      <c r="A242" s="17" t="s">
        <v>332</v>
      </c>
      <c r="B242" s="17">
        <v>3.6472600000000002</v>
      </c>
      <c r="C242" s="17">
        <f t="shared" si="1"/>
        <v>0.27417842435143092</v>
      </c>
      <c r="D242" s="17">
        <v>43703</v>
      </c>
    </row>
    <row r="243" spans="1:4" x14ac:dyDescent="0.25">
      <c r="A243" s="17" t="s">
        <v>332</v>
      </c>
      <c r="B243" s="18">
        <v>3.61</v>
      </c>
      <c r="C243" s="17">
        <f t="shared" si="1"/>
        <v>0.2770083102493075</v>
      </c>
      <c r="D243" s="19">
        <v>43702</v>
      </c>
    </row>
    <row r="244" spans="1:4" x14ac:dyDescent="0.25">
      <c r="A244" s="17" t="s">
        <v>332</v>
      </c>
      <c r="B244" s="20">
        <v>3.6124800000000001</v>
      </c>
      <c r="C244" s="17">
        <f t="shared" si="1"/>
        <v>0.27681814155372486</v>
      </c>
      <c r="D244" s="19">
        <v>43700</v>
      </c>
    </row>
    <row r="245" spans="1:4" x14ac:dyDescent="0.25">
      <c r="A245" s="17" t="s">
        <v>332</v>
      </c>
      <c r="B245" s="17">
        <v>3.6370100000000001</v>
      </c>
      <c r="C245" s="17">
        <f t="shared" si="1"/>
        <v>0.27495112743709804</v>
      </c>
      <c r="D245" s="17">
        <v>43699</v>
      </c>
    </row>
    <row r="246" spans="1:4" x14ac:dyDescent="0.25">
      <c r="A246" s="17" t="s">
        <v>332</v>
      </c>
      <c r="B246" s="18">
        <v>3.64534</v>
      </c>
      <c r="C246" s="17">
        <f t="shared" si="1"/>
        <v>0.27432283408406349</v>
      </c>
      <c r="D246" s="19">
        <v>43698</v>
      </c>
    </row>
    <row r="247" spans="1:4" x14ac:dyDescent="0.25">
      <c r="A247" s="17" t="s">
        <v>332</v>
      </c>
      <c r="B247" s="20">
        <v>3.6349399999999998</v>
      </c>
      <c r="C247" s="17">
        <f t="shared" si="1"/>
        <v>0.27510770466637691</v>
      </c>
      <c r="D247" s="19">
        <v>43697</v>
      </c>
    </row>
    <row r="248" spans="1:4" x14ac:dyDescent="0.25">
      <c r="A248" s="17" t="s">
        <v>332</v>
      </c>
      <c r="B248" s="17">
        <v>3.6501199999999998</v>
      </c>
      <c r="C248" s="17">
        <f t="shared" si="1"/>
        <v>0.27396359571740109</v>
      </c>
      <c r="D248" s="17">
        <v>43696</v>
      </c>
    </row>
    <row r="249" spans="1:4" x14ac:dyDescent="0.25">
      <c r="A249" s="17" t="s">
        <v>332</v>
      </c>
      <c r="B249" s="18">
        <v>3.6351399999999998</v>
      </c>
      <c r="C249" s="17">
        <f t="shared" si="1"/>
        <v>0.2750925686493505</v>
      </c>
      <c r="D249" s="19">
        <v>43695</v>
      </c>
    </row>
    <row r="250" spans="1:4" x14ac:dyDescent="0.25">
      <c r="A250" s="17" t="s">
        <v>332</v>
      </c>
      <c r="B250" s="20">
        <v>3.63666</v>
      </c>
      <c r="C250" s="17">
        <f t="shared" si="1"/>
        <v>0.27497758932646987</v>
      </c>
      <c r="D250" s="19">
        <v>43693</v>
      </c>
    </row>
    <row r="251" spans="1:4" x14ac:dyDescent="0.25">
      <c r="A251" s="17" t="s">
        <v>332</v>
      </c>
      <c r="B251" s="17">
        <v>3.6560700000000002</v>
      </c>
      <c r="C251" s="17">
        <f t="shared" si="1"/>
        <v>0.27351773899296239</v>
      </c>
      <c r="D251" s="17">
        <v>43692</v>
      </c>
    </row>
    <row r="252" spans="1:4" x14ac:dyDescent="0.25">
      <c r="A252" s="17" t="s">
        <v>332</v>
      </c>
      <c r="B252" s="18">
        <v>3.6730399999999999</v>
      </c>
      <c r="C252" s="17">
        <f t="shared" si="1"/>
        <v>0.27225404569511902</v>
      </c>
      <c r="D252" s="19">
        <v>43691</v>
      </c>
    </row>
    <row r="253" spans="1:4" x14ac:dyDescent="0.25">
      <c r="A253" s="17" t="s">
        <v>332</v>
      </c>
      <c r="B253" s="20">
        <v>3.6551300000000002</v>
      </c>
      <c r="C253" s="17">
        <f t="shared" si="1"/>
        <v>0.27358808031451687</v>
      </c>
      <c r="D253" s="19">
        <v>43690</v>
      </c>
    </row>
    <row r="254" spans="1:4" x14ac:dyDescent="0.25">
      <c r="A254" s="17" t="s">
        <v>332</v>
      </c>
      <c r="B254" s="17">
        <v>3.6351800000000001</v>
      </c>
      <c r="C254" s="17">
        <f t="shared" si="1"/>
        <v>0.27508954164580568</v>
      </c>
      <c r="D254" s="17">
        <v>43689</v>
      </c>
    </row>
    <row r="255" spans="1:4" x14ac:dyDescent="0.25">
      <c r="A255" s="17" t="s">
        <v>332</v>
      </c>
      <c r="B255" s="18">
        <v>3.64289</v>
      </c>
      <c r="C255" s="17">
        <f t="shared" si="1"/>
        <v>0.27450732797312022</v>
      </c>
      <c r="D255" s="19">
        <v>43688</v>
      </c>
    </row>
    <row r="256" spans="1:4" x14ac:dyDescent="0.25">
      <c r="A256" s="17" t="s">
        <v>332</v>
      </c>
      <c r="B256" s="20">
        <v>3.6425100000000001</v>
      </c>
      <c r="C256" s="17">
        <f t="shared" si="1"/>
        <v>0.27453596558417137</v>
      </c>
      <c r="D256" s="19">
        <v>43686</v>
      </c>
    </row>
    <row r="257" spans="1:4" x14ac:dyDescent="0.25">
      <c r="A257" s="17" t="s">
        <v>332</v>
      </c>
      <c r="B257" s="17">
        <v>3.6442700000000001</v>
      </c>
      <c r="C257" s="17">
        <f t="shared" si="1"/>
        <v>0.2744033784543955</v>
      </c>
      <c r="D257" s="17">
        <v>43685</v>
      </c>
    </row>
    <row r="258" spans="1:4" x14ac:dyDescent="0.25">
      <c r="A258" s="17" t="s">
        <v>332</v>
      </c>
      <c r="B258" s="18">
        <v>3.6363699999999999</v>
      </c>
      <c r="C258" s="17">
        <f t="shared" si="1"/>
        <v>0.27499951875084222</v>
      </c>
      <c r="D258" s="19">
        <v>43684</v>
      </c>
    </row>
    <row r="259" spans="1:4" x14ac:dyDescent="0.25">
      <c r="A259" s="17" t="s">
        <v>332</v>
      </c>
      <c r="B259" s="20">
        <v>3.64181</v>
      </c>
      <c r="C259" s="17">
        <f t="shared" si="1"/>
        <v>0.27458873472256928</v>
      </c>
      <c r="D259" s="19">
        <v>43683</v>
      </c>
    </row>
    <row r="260" spans="1:4" x14ac:dyDescent="0.25">
      <c r="A260" s="17" t="s">
        <v>332</v>
      </c>
      <c r="B260" s="17">
        <v>3.6261299999999999</v>
      </c>
      <c r="C260" s="17">
        <f t="shared" si="1"/>
        <v>0.27577610289757953</v>
      </c>
      <c r="D260" s="17">
        <v>43682</v>
      </c>
    </row>
    <row r="261" spans="1:4" x14ac:dyDescent="0.25">
      <c r="A261" s="17" t="s">
        <v>332</v>
      </c>
      <c r="B261" s="18">
        <v>3.6364200000000002</v>
      </c>
      <c r="C261" s="17">
        <f t="shared" ref="C261:C284" si="2">1/B261</f>
        <v>0.27499573756606771</v>
      </c>
      <c r="D261" s="19">
        <v>43681</v>
      </c>
    </row>
    <row r="262" spans="1:4" x14ac:dyDescent="0.25">
      <c r="A262" s="17" t="s">
        <v>332</v>
      </c>
      <c r="B262" s="20">
        <v>3.6383899999999998</v>
      </c>
      <c r="C262" s="17">
        <f t="shared" si="2"/>
        <v>0.27484684159751982</v>
      </c>
      <c r="D262" s="19">
        <v>43679</v>
      </c>
    </row>
    <row r="263" spans="1:4" x14ac:dyDescent="0.25">
      <c r="A263" s="17" t="s">
        <v>332</v>
      </c>
      <c r="B263" s="17">
        <v>3.6254200000000001</v>
      </c>
      <c r="C263" s="17">
        <f t="shared" si="2"/>
        <v>0.27583011071820646</v>
      </c>
      <c r="D263" s="17">
        <v>43678</v>
      </c>
    </row>
    <row r="264" spans="1:4" x14ac:dyDescent="0.25">
      <c r="A264" s="17" t="s">
        <v>332</v>
      </c>
      <c r="B264" s="18">
        <v>3.6646899999999998</v>
      </c>
      <c r="C264" s="17">
        <f t="shared" si="2"/>
        <v>0.27287437682314197</v>
      </c>
      <c r="D264" s="19">
        <v>43677</v>
      </c>
    </row>
    <row r="265" spans="1:4" x14ac:dyDescent="0.25">
      <c r="A265" s="17" t="s">
        <v>332</v>
      </c>
      <c r="B265" s="20">
        <v>3.6375299999999999</v>
      </c>
      <c r="C265" s="17">
        <f t="shared" si="2"/>
        <v>0.2749118220330829</v>
      </c>
      <c r="D265" s="19">
        <v>43676</v>
      </c>
    </row>
    <row r="266" spans="1:4" x14ac:dyDescent="0.25">
      <c r="A266" s="17" t="s">
        <v>332</v>
      </c>
      <c r="B266" s="17">
        <v>3.6337299999999999</v>
      </c>
      <c r="C266" s="17">
        <f t="shared" si="2"/>
        <v>0.2751993131025145</v>
      </c>
      <c r="D266" s="17">
        <v>43675</v>
      </c>
    </row>
    <row r="267" spans="1:4" x14ac:dyDescent="0.25">
      <c r="A267" s="17" t="s">
        <v>332</v>
      </c>
      <c r="B267" s="18">
        <v>3.6429200000000002</v>
      </c>
      <c r="C267" s="17">
        <f t="shared" si="2"/>
        <v>0.27450506736354352</v>
      </c>
      <c r="D267" s="19">
        <v>43674</v>
      </c>
    </row>
    <row r="268" spans="1:4" x14ac:dyDescent="0.25">
      <c r="A268" s="17" t="s">
        <v>332</v>
      </c>
      <c r="B268" s="20">
        <v>3.64255</v>
      </c>
      <c r="C268" s="17">
        <f t="shared" si="2"/>
        <v>0.27453295081742185</v>
      </c>
      <c r="D268" s="19">
        <v>43672</v>
      </c>
    </row>
    <row r="269" spans="1:4" x14ac:dyDescent="0.25">
      <c r="A269" s="17" t="s">
        <v>332</v>
      </c>
      <c r="B269" s="17">
        <v>3.6383000000000001</v>
      </c>
      <c r="C269" s="17">
        <f t="shared" si="2"/>
        <v>0.27485364043646759</v>
      </c>
      <c r="D269" s="17">
        <v>43671</v>
      </c>
    </row>
    <row r="270" spans="1:4" x14ac:dyDescent="0.25">
      <c r="A270" s="17" t="s">
        <v>332</v>
      </c>
      <c r="B270" s="18">
        <v>3.6449099999999999</v>
      </c>
      <c r="C270" s="17">
        <f t="shared" si="2"/>
        <v>0.2743551966989583</v>
      </c>
      <c r="D270" s="19">
        <v>43670</v>
      </c>
    </row>
    <row r="271" spans="1:4" x14ac:dyDescent="0.25">
      <c r="A271" s="17" t="s">
        <v>332</v>
      </c>
      <c r="B271" s="20">
        <v>3.65036</v>
      </c>
      <c r="C271" s="17">
        <f t="shared" si="2"/>
        <v>0.27394558344930364</v>
      </c>
      <c r="D271" s="19">
        <v>43669</v>
      </c>
    </row>
    <row r="272" spans="1:4" x14ac:dyDescent="0.25">
      <c r="A272" s="17" t="s">
        <v>332</v>
      </c>
      <c r="B272" s="17">
        <v>3.6452</v>
      </c>
      <c r="C272" s="17">
        <f t="shared" si="2"/>
        <v>0.27433336991111601</v>
      </c>
      <c r="D272" s="17">
        <v>43668</v>
      </c>
    </row>
    <row r="273" spans="1:4" x14ac:dyDescent="0.25">
      <c r="A273" s="17" t="s">
        <v>332</v>
      </c>
      <c r="B273" s="18">
        <v>3.6475300000000002</v>
      </c>
      <c r="C273" s="17">
        <f t="shared" si="2"/>
        <v>0.27415812892560171</v>
      </c>
      <c r="D273" s="19">
        <v>43667</v>
      </c>
    </row>
    <row r="274" spans="1:4" x14ac:dyDescent="0.25">
      <c r="A274" s="17" t="s">
        <v>332</v>
      </c>
      <c r="B274" s="20">
        <v>3.6464500000000002</v>
      </c>
      <c r="C274" s="17">
        <f t="shared" si="2"/>
        <v>0.27423932866212342</v>
      </c>
      <c r="D274" s="19">
        <v>43665</v>
      </c>
    </row>
    <row r="275" spans="1:4" x14ac:dyDescent="0.25">
      <c r="A275" s="17" t="s">
        <v>332</v>
      </c>
      <c r="B275" s="17">
        <v>3.6202200000000002</v>
      </c>
      <c r="C275" s="17">
        <f t="shared" si="2"/>
        <v>0.27622630668854375</v>
      </c>
      <c r="D275" s="17">
        <v>43664</v>
      </c>
    </row>
    <row r="276" spans="1:4" x14ac:dyDescent="0.25">
      <c r="A276" s="17" t="s">
        <v>332</v>
      </c>
      <c r="B276" s="18">
        <v>3.6378900000000001</v>
      </c>
      <c r="C276" s="17">
        <f t="shared" si="2"/>
        <v>0.27488461718193785</v>
      </c>
      <c r="D276" s="19">
        <v>43663</v>
      </c>
    </row>
    <row r="277" spans="1:4" x14ac:dyDescent="0.25">
      <c r="A277" s="17" t="s">
        <v>332</v>
      </c>
      <c r="B277" s="20">
        <v>3.6448499999999999</v>
      </c>
      <c r="C277" s="17">
        <f t="shared" si="2"/>
        <v>0.27435971301974021</v>
      </c>
      <c r="D277" s="19">
        <v>43662</v>
      </c>
    </row>
    <row r="278" spans="1:4" x14ac:dyDescent="0.25">
      <c r="A278" s="17" t="s">
        <v>332</v>
      </c>
      <c r="B278" s="17">
        <v>3.6464500000000002</v>
      </c>
      <c r="C278" s="17">
        <f t="shared" si="2"/>
        <v>0.27423932866212342</v>
      </c>
      <c r="D278" s="17">
        <v>43661</v>
      </c>
    </row>
    <row r="279" spans="1:4" x14ac:dyDescent="0.25">
      <c r="A279" s="17" t="s">
        <v>332</v>
      </c>
      <c r="B279" s="18">
        <v>3.63714</v>
      </c>
      <c r="C279" s="17">
        <f t="shared" si="2"/>
        <v>0.27494130003244305</v>
      </c>
      <c r="D279" s="19">
        <v>43660</v>
      </c>
    </row>
    <row r="280" spans="1:4" x14ac:dyDescent="0.25">
      <c r="A280" s="17" t="s">
        <v>332</v>
      </c>
      <c r="B280" s="20">
        <v>3.6367099999999999</v>
      </c>
      <c r="C280" s="17">
        <f t="shared" si="2"/>
        <v>0.27497380874471705</v>
      </c>
      <c r="D280" s="19">
        <v>43658</v>
      </c>
    </row>
    <row r="281" spans="1:4" x14ac:dyDescent="0.25">
      <c r="A281" s="17" t="s">
        <v>332</v>
      </c>
      <c r="B281" s="17">
        <v>3.6467000000000001</v>
      </c>
      <c r="C281" s="17">
        <f t="shared" si="2"/>
        <v>0.27422052814873721</v>
      </c>
      <c r="D281" s="17">
        <v>43657</v>
      </c>
    </row>
    <row r="282" spans="1:4" x14ac:dyDescent="0.25">
      <c r="A282" s="17" t="s">
        <v>332</v>
      </c>
      <c r="B282" s="18">
        <v>3.6288</v>
      </c>
      <c r="C282" s="17">
        <f t="shared" si="2"/>
        <v>0.27557319223985888</v>
      </c>
      <c r="D282" s="19">
        <v>43656</v>
      </c>
    </row>
    <row r="283" spans="1:4" x14ac:dyDescent="0.25">
      <c r="A283" s="17" t="s">
        <v>332</v>
      </c>
      <c r="B283" s="20">
        <v>3.63896</v>
      </c>
      <c r="C283" s="17">
        <f t="shared" si="2"/>
        <v>0.27480379009387296</v>
      </c>
      <c r="D283" s="19">
        <v>43655</v>
      </c>
    </row>
    <row r="284" spans="1:4" x14ac:dyDescent="0.25">
      <c r="A284" s="17" t="s">
        <v>332</v>
      </c>
      <c r="B284" s="17">
        <v>3.6398799999999998</v>
      </c>
      <c r="C284" s="17">
        <f t="shared" si="2"/>
        <v>0.27473433190105168</v>
      </c>
      <c r="D284" s="17">
        <v>43654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5"/>
  <sheetViews>
    <sheetView workbookViewId="0">
      <selection activeCell="F18" sqref="F18"/>
    </sheetView>
  </sheetViews>
  <sheetFormatPr defaultRowHeight="15" x14ac:dyDescent="0.25"/>
  <cols>
    <col min="1" max="1" width="13.7109375" bestFit="1" customWidth="1"/>
    <col min="2" max="2" width="12.42578125" bestFit="1" customWidth="1"/>
    <col min="3" max="3" width="13.5703125" bestFit="1" customWidth="1"/>
  </cols>
  <sheetData>
    <row r="1" spans="1:3" x14ac:dyDescent="0.25">
      <c r="A1" s="117" t="s">
        <v>1133</v>
      </c>
      <c r="B1" s="117" t="s">
        <v>1137</v>
      </c>
      <c r="C1" s="117" t="s">
        <v>1139</v>
      </c>
    </row>
    <row r="2" spans="1:3" x14ac:dyDescent="0.25">
      <c r="A2" t="s">
        <v>360</v>
      </c>
      <c r="B2" t="s">
        <v>1383</v>
      </c>
      <c r="C2" t="s">
        <v>1140</v>
      </c>
    </row>
    <row r="3" spans="1:3" x14ac:dyDescent="0.25">
      <c r="A3" t="s">
        <v>1134</v>
      </c>
      <c r="B3" t="s">
        <v>1384</v>
      </c>
      <c r="C3" t="s">
        <v>1140</v>
      </c>
    </row>
    <row r="4" spans="1:3" x14ac:dyDescent="0.25">
      <c r="A4" t="s">
        <v>1135</v>
      </c>
      <c r="B4" t="s">
        <v>1138</v>
      </c>
      <c r="C4" t="s">
        <v>1140</v>
      </c>
    </row>
    <row r="5" spans="1:3" x14ac:dyDescent="0.25">
      <c r="A5" t="s">
        <v>1136</v>
      </c>
      <c r="B5" t="s">
        <v>1138</v>
      </c>
      <c r="C5" t="s">
        <v>1141</v>
      </c>
    </row>
    <row r="6" spans="1:3" x14ac:dyDescent="0.25">
      <c r="A6" t="s">
        <v>1585</v>
      </c>
      <c r="B6" t="s">
        <v>1383</v>
      </c>
      <c r="C6" t="s">
        <v>1140</v>
      </c>
    </row>
    <row r="7" spans="1:3" x14ac:dyDescent="0.25">
      <c r="A7" t="s">
        <v>1584</v>
      </c>
      <c r="B7" t="s">
        <v>1138</v>
      </c>
      <c r="C7" t="s">
        <v>1141</v>
      </c>
    </row>
    <row r="8" spans="1:3" x14ac:dyDescent="0.25">
      <c r="A8" t="s">
        <v>1367</v>
      </c>
      <c r="B8" t="s">
        <v>1138</v>
      </c>
      <c r="C8" t="s">
        <v>1140</v>
      </c>
    </row>
    <row r="9" spans="1:3" x14ac:dyDescent="0.25">
      <c r="A9" t="s">
        <v>1586</v>
      </c>
      <c r="B9" t="s">
        <v>1383</v>
      </c>
      <c r="C9" t="s">
        <v>1140</v>
      </c>
    </row>
    <row r="10" spans="1:3" x14ac:dyDescent="0.25">
      <c r="A10" t="s">
        <v>1587</v>
      </c>
      <c r="B10" t="s">
        <v>1138</v>
      </c>
      <c r="C10" t="s">
        <v>1140</v>
      </c>
    </row>
    <row r="11" spans="1:3" x14ac:dyDescent="0.25">
      <c r="A11" t="s">
        <v>302</v>
      </c>
      <c r="B11" t="s">
        <v>1383</v>
      </c>
      <c r="C11" t="s">
        <v>1140</v>
      </c>
    </row>
    <row r="12" spans="1:3" x14ac:dyDescent="0.25">
      <c r="A12" t="s">
        <v>1581</v>
      </c>
      <c r="B12" t="s">
        <v>1383</v>
      </c>
      <c r="C12" t="s">
        <v>1140</v>
      </c>
    </row>
    <row r="13" spans="1:3" x14ac:dyDescent="0.25">
      <c r="A13" t="s">
        <v>1582</v>
      </c>
      <c r="B13" t="s">
        <v>1383</v>
      </c>
      <c r="C13" t="s">
        <v>1140</v>
      </c>
    </row>
    <row r="14" spans="1:3" x14ac:dyDescent="0.25">
      <c r="A14" t="s">
        <v>1583</v>
      </c>
      <c r="B14" t="s">
        <v>1383</v>
      </c>
      <c r="C14" t="s">
        <v>1140</v>
      </c>
    </row>
    <row r="15" spans="1:3" x14ac:dyDescent="0.25">
      <c r="A15" t="s">
        <v>2060</v>
      </c>
      <c r="B15" t="s">
        <v>1138</v>
      </c>
      <c r="C15" t="s">
        <v>1140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59"/>
  <sheetViews>
    <sheetView topLeftCell="B1" workbookViewId="0">
      <selection activeCell="AD5" sqref="AD5"/>
    </sheetView>
  </sheetViews>
  <sheetFormatPr defaultRowHeight="15" x14ac:dyDescent="0.25"/>
  <cols>
    <col min="1" max="1" width="13.7109375" bestFit="1" customWidth="1"/>
    <col min="2" max="13" width="10" style="9" bestFit="1" customWidth="1"/>
    <col min="14" max="14" width="8" bestFit="1" customWidth="1"/>
    <col min="15" max="15" width="5.7109375" customWidth="1"/>
    <col min="16" max="16" width="11.28515625" customWidth="1"/>
    <col min="17" max="29" width="8" bestFit="1" customWidth="1"/>
    <col min="30" max="30" width="8.7109375" style="9" bestFit="1" customWidth="1"/>
    <col min="31" max="185" width="10.28515625" bestFit="1" customWidth="1"/>
    <col min="186" max="186" width="7" bestFit="1" customWidth="1"/>
    <col min="187" max="187" width="10.7109375" bestFit="1" customWidth="1"/>
  </cols>
  <sheetData>
    <row r="1" spans="1:30" x14ac:dyDescent="0.25">
      <c r="B1" s="9">
        <f>B5</f>
        <v>1</v>
      </c>
      <c r="C1" s="9">
        <f t="shared" ref="C1:M1" si="0">C5</f>
        <v>2</v>
      </c>
      <c r="D1" s="9">
        <f t="shared" si="0"/>
        <v>3</v>
      </c>
      <c r="E1" s="9">
        <f t="shared" si="0"/>
        <v>4</v>
      </c>
      <c r="F1" s="9">
        <f t="shared" si="0"/>
        <v>5</v>
      </c>
      <c r="G1" s="9">
        <f t="shared" si="0"/>
        <v>6</v>
      </c>
      <c r="H1" s="9">
        <f t="shared" si="0"/>
        <v>7</v>
      </c>
      <c r="I1" s="9">
        <f t="shared" si="0"/>
        <v>8</v>
      </c>
      <c r="J1" s="9">
        <f t="shared" si="0"/>
        <v>9</v>
      </c>
      <c r="K1" s="9">
        <f t="shared" si="0"/>
        <v>10</v>
      </c>
      <c r="L1" s="9">
        <f t="shared" si="0"/>
        <v>11</v>
      </c>
      <c r="M1" s="9">
        <f t="shared" si="0"/>
        <v>12</v>
      </c>
      <c r="P1" t="s">
        <v>636</v>
      </c>
      <c r="Q1" s="9">
        <v>1</v>
      </c>
      <c r="R1" s="9">
        <v>2</v>
      </c>
      <c r="S1" s="9">
        <v>3</v>
      </c>
      <c r="T1" s="9">
        <v>4</v>
      </c>
      <c r="U1" s="9">
        <v>5</v>
      </c>
      <c r="V1" s="9">
        <v>6</v>
      </c>
      <c r="W1" s="9">
        <v>7</v>
      </c>
      <c r="X1" s="9">
        <v>8</v>
      </c>
      <c r="Y1" s="9">
        <v>9</v>
      </c>
      <c r="Z1" s="9">
        <v>10</v>
      </c>
      <c r="AA1" s="9">
        <v>11</v>
      </c>
      <c r="AB1" s="9">
        <v>12</v>
      </c>
      <c r="AC1" t="s">
        <v>661</v>
      </c>
    </row>
    <row r="2" spans="1:30" x14ac:dyDescent="0.25">
      <c r="A2" s="8" t="s">
        <v>635</v>
      </c>
      <c r="B2" s="93">
        <f t="shared" ref="B2:M2" si="1">B6-SUM(B7:B24)</f>
        <v>0</v>
      </c>
      <c r="C2" s="93">
        <f t="shared" si="1"/>
        <v>0</v>
      </c>
      <c r="D2" s="93">
        <f t="shared" si="1"/>
        <v>0</v>
      </c>
      <c r="E2" s="93">
        <f t="shared" si="1"/>
        <v>0</v>
      </c>
      <c r="F2" s="93">
        <f t="shared" si="1"/>
        <v>0</v>
      </c>
      <c r="G2" s="93">
        <f t="shared" si="1"/>
        <v>0</v>
      </c>
      <c r="H2" s="93">
        <f t="shared" si="1"/>
        <v>0</v>
      </c>
      <c r="I2" s="93">
        <f t="shared" si="1"/>
        <v>0</v>
      </c>
      <c r="J2" s="93">
        <f t="shared" si="1"/>
        <v>0</v>
      </c>
      <c r="K2" s="93">
        <f t="shared" si="1"/>
        <v>1.3092545659116217E-2</v>
      </c>
      <c r="L2" s="93">
        <f t="shared" si="1"/>
        <v>0</v>
      </c>
      <c r="M2" s="93">
        <f t="shared" si="1"/>
        <v>-1.0236340728830839E-5</v>
      </c>
      <c r="P2" s="8" t="s">
        <v>635</v>
      </c>
      <c r="Q2" s="93">
        <f t="shared" ref="Q2:AC2" si="2">Q6-Q3</f>
        <v>2.9129347965797914E-2</v>
      </c>
      <c r="R2" s="93">
        <f t="shared" si="2"/>
        <v>2.8679773782321893E-3</v>
      </c>
      <c r="S2" s="93">
        <f t="shared" si="2"/>
        <v>1.5144089711666475E-2</v>
      </c>
      <c r="T2" s="93">
        <f t="shared" si="2"/>
        <v>4.8431084276933767E-2</v>
      </c>
      <c r="U2" s="93">
        <f t="shared" si="2"/>
        <v>1.7545225902578898E-2</v>
      </c>
      <c r="V2" s="93">
        <f t="shared" si="2"/>
        <v>4.608749721253047E-2</v>
      </c>
      <c r="W2" s="93">
        <f t="shared" si="2"/>
        <v>1.9826126624964857E-2</v>
      </c>
      <c r="X2" s="93">
        <f t="shared" si="2"/>
        <v>3.2876145576023919E-2</v>
      </c>
      <c r="Y2" s="93">
        <f t="shared" si="2"/>
        <v>1.8438484771404307E-2</v>
      </c>
      <c r="Z2" s="93">
        <f t="shared" si="2"/>
        <v>9.4142502077904089E-3</v>
      </c>
      <c r="AA2" s="93">
        <f t="shared" si="2"/>
        <v>1.4803355246714167E-3</v>
      </c>
      <c r="AB2" s="93">
        <f t="shared" si="2"/>
        <v>1.513897154130206E-2</v>
      </c>
      <c r="AC2" s="93">
        <f t="shared" si="2"/>
        <v>2.1364961391157955E-2</v>
      </c>
      <c r="AD2" s="96">
        <f t="shared" ref="AD2:AD3" si="3">$AD$6*AC2</f>
        <v>7556.0177054424867</v>
      </c>
    </row>
    <row r="3" spans="1:30" x14ac:dyDescent="0.25">
      <c r="A3" s="8" t="s">
        <v>634</v>
      </c>
      <c r="B3" s="93">
        <f>B6-B2</f>
        <v>1</v>
      </c>
      <c r="C3" s="93">
        <f t="shared" ref="C3:M3" si="4">C6-C2</f>
        <v>1</v>
      </c>
      <c r="D3" s="93">
        <f t="shared" si="4"/>
        <v>1</v>
      </c>
      <c r="E3" s="93">
        <f t="shared" si="4"/>
        <v>1</v>
      </c>
      <c r="F3" s="93">
        <f t="shared" si="4"/>
        <v>1</v>
      </c>
      <c r="G3" s="93">
        <f t="shared" si="4"/>
        <v>1</v>
      </c>
      <c r="H3" s="93">
        <f t="shared" si="4"/>
        <v>1</v>
      </c>
      <c r="I3" s="93">
        <f t="shared" si="4"/>
        <v>1</v>
      </c>
      <c r="J3" s="93">
        <f t="shared" si="4"/>
        <v>1</v>
      </c>
      <c r="K3" s="93">
        <f t="shared" si="4"/>
        <v>0.98690745434088378</v>
      </c>
      <c r="L3" s="93">
        <f t="shared" si="4"/>
        <v>1</v>
      </c>
      <c r="M3" s="93">
        <f t="shared" si="4"/>
        <v>1.0000102363407288</v>
      </c>
      <c r="P3" s="8" t="s">
        <v>634</v>
      </c>
      <c r="Q3" s="93">
        <f t="shared" ref="Q3:AC3" si="5">SUM(Q7:Q24)</f>
        <v>0.97087065203420209</v>
      </c>
      <c r="R3" s="93">
        <f t="shared" si="5"/>
        <v>0.99713202262176781</v>
      </c>
      <c r="S3" s="93">
        <f t="shared" si="5"/>
        <v>0.98485591028833352</v>
      </c>
      <c r="T3" s="93">
        <f t="shared" si="5"/>
        <v>0.95156891572306623</v>
      </c>
      <c r="U3" s="93">
        <f t="shared" si="5"/>
        <v>0.9824547740974211</v>
      </c>
      <c r="V3" s="93">
        <f t="shared" si="5"/>
        <v>0.95391250278746953</v>
      </c>
      <c r="W3" s="93">
        <f t="shared" si="5"/>
        <v>0.98017387337503514</v>
      </c>
      <c r="X3" s="93">
        <f t="shared" si="5"/>
        <v>0.96712385442397608</v>
      </c>
      <c r="Y3" s="93">
        <f t="shared" si="5"/>
        <v>0.98156151522859569</v>
      </c>
      <c r="Z3" s="93">
        <f t="shared" si="5"/>
        <v>0.99058574979220959</v>
      </c>
      <c r="AA3" s="93">
        <f t="shared" si="5"/>
        <v>0.99851966447532858</v>
      </c>
      <c r="AB3" s="93">
        <f t="shared" si="5"/>
        <v>0.98486102845869794</v>
      </c>
      <c r="AC3" s="93">
        <f t="shared" si="5"/>
        <v>0.97863503860884204</v>
      </c>
      <c r="AD3" s="96">
        <f t="shared" si="3"/>
        <v>346107.9822945575</v>
      </c>
    </row>
    <row r="5" spans="1:30" x14ac:dyDescent="0.25">
      <c r="A5" t="s">
        <v>636</v>
      </c>
      <c r="B5" s="9">
        <v>1</v>
      </c>
      <c r="C5" s="9">
        <v>2</v>
      </c>
      <c r="D5" s="9">
        <v>3</v>
      </c>
      <c r="E5" s="9">
        <v>4</v>
      </c>
      <c r="F5" s="9">
        <v>5</v>
      </c>
      <c r="G5" s="9">
        <v>6</v>
      </c>
      <c r="H5" s="9">
        <v>7</v>
      </c>
      <c r="I5" s="9">
        <v>8</v>
      </c>
      <c r="J5" s="9">
        <v>9</v>
      </c>
      <c r="K5" s="9">
        <v>10</v>
      </c>
      <c r="L5" s="9">
        <v>11</v>
      </c>
      <c r="M5" s="9">
        <v>12</v>
      </c>
      <c r="N5" t="s">
        <v>661</v>
      </c>
      <c r="AD5" s="9">
        <v>29472</v>
      </c>
    </row>
    <row r="6" spans="1:30" s="92" customFormat="1" x14ac:dyDescent="0.25">
      <c r="A6" s="91" t="s">
        <v>18</v>
      </c>
      <c r="B6" s="94">
        <v>1</v>
      </c>
      <c r="C6" s="94">
        <v>1</v>
      </c>
      <c r="D6" s="94">
        <v>1</v>
      </c>
      <c r="E6" s="94">
        <v>1</v>
      </c>
      <c r="F6" s="94">
        <v>1</v>
      </c>
      <c r="G6" s="94">
        <v>1</v>
      </c>
      <c r="H6" s="94">
        <v>1</v>
      </c>
      <c r="I6" s="94">
        <v>1</v>
      </c>
      <c r="J6" s="94">
        <v>1</v>
      </c>
      <c r="K6" s="94">
        <v>1</v>
      </c>
      <c r="L6" s="94">
        <v>1</v>
      </c>
      <c r="M6" s="94">
        <v>1</v>
      </c>
      <c r="N6" s="94">
        <f>AVERAGE(B6:M6)</f>
        <v>1</v>
      </c>
      <c r="O6"/>
      <c r="P6" s="91" t="s">
        <v>18</v>
      </c>
      <c r="Q6" s="94">
        <f>IF(B6&gt;0%,($N6+B6)/2,B6)</f>
        <v>1</v>
      </c>
      <c r="R6" s="94">
        <f t="shared" ref="R6:AB21" si="6">IF(C6&gt;0%,($N6+C6)/2,C6)</f>
        <v>1</v>
      </c>
      <c r="S6" s="94">
        <f t="shared" si="6"/>
        <v>1</v>
      </c>
      <c r="T6" s="94">
        <f t="shared" si="6"/>
        <v>1</v>
      </c>
      <c r="U6" s="94">
        <f t="shared" si="6"/>
        <v>1</v>
      </c>
      <c r="V6" s="94">
        <f t="shared" si="6"/>
        <v>1</v>
      </c>
      <c r="W6" s="94">
        <f t="shared" si="6"/>
        <v>1</v>
      </c>
      <c r="X6" s="94">
        <f t="shared" si="6"/>
        <v>1</v>
      </c>
      <c r="Y6" s="94">
        <f t="shared" si="6"/>
        <v>1</v>
      </c>
      <c r="Z6" s="94">
        <f t="shared" si="6"/>
        <v>1</v>
      </c>
      <c r="AA6" s="94">
        <f t="shared" si="6"/>
        <v>1</v>
      </c>
      <c r="AB6" s="94">
        <f t="shared" si="6"/>
        <v>1</v>
      </c>
      <c r="AC6" s="94">
        <f>AVERAGE(Q6:AB6)</f>
        <v>1</v>
      </c>
      <c r="AD6" s="97">
        <f>AD5*12</f>
        <v>353664</v>
      </c>
    </row>
    <row r="7" spans="1:30" x14ac:dyDescent="0.25">
      <c r="A7" s="95" t="s">
        <v>83</v>
      </c>
      <c r="B7" s="112">
        <f>VLOOKUP($A7,$A$26:$M$43,B$5+1,0)</f>
        <v>0.32739307925684857</v>
      </c>
      <c r="C7" s="112">
        <f t="shared" ref="C7:M7" si="7">VLOOKUP($A7,$A$26:$M$43,C$5+1,0)</f>
        <v>0.41377962212584524</v>
      </c>
      <c r="D7" s="112">
        <f t="shared" si="7"/>
        <v>0.27105906501175797</v>
      </c>
      <c r="E7" s="112">
        <f t="shared" si="7"/>
        <v>0.37996496871994268</v>
      </c>
      <c r="F7" s="112">
        <f t="shared" si="7"/>
        <v>0.29951405670604669</v>
      </c>
      <c r="G7" s="112">
        <f t="shared" si="7"/>
        <v>0.35486665642694792</v>
      </c>
      <c r="H7" s="112">
        <f t="shared" si="7"/>
        <v>0.24216397135958365</v>
      </c>
      <c r="I7" s="112">
        <f t="shared" si="7"/>
        <v>0.28344945031566904</v>
      </c>
      <c r="J7" s="112">
        <f t="shared" si="7"/>
        <v>0.49778475782861009</v>
      </c>
      <c r="K7" s="112">
        <f t="shared" si="7"/>
        <v>0.29492322903999363</v>
      </c>
      <c r="L7" s="112">
        <f t="shared" si="7"/>
        <v>0.28424033046663433</v>
      </c>
      <c r="M7" s="112">
        <f t="shared" si="7"/>
        <v>0.28064975377505996</v>
      </c>
      <c r="N7" s="94">
        <f t="shared" ref="N7:N22" si="8">AVERAGE(B7:M7)</f>
        <v>0.32748241175274495</v>
      </c>
      <c r="P7" s="8" t="s">
        <v>83</v>
      </c>
      <c r="Q7" s="94">
        <f t="shared" ref="Q7:Q22" si="9">IF(B7&gt;0%,($N7+B7)/2,B7)</f>
        <v>0.32743774550479676</v>
      </c>
      <c r="R7" s="94">
        <f t="shared" si="6"/>
        <v>0.37063101693929512</v>
      </c>
      <c r="S7" s="94">
        <f t="shared" si="6"/>
        <v>0.29927073838225149</v>
      </c>
      <c r="T7" s="94">
        <f t="shared" si="6"/>
        <v>0.35372369023634381</v>
      </c>
      <c r="U7" s="94">
        <f t="shared" si="6"/>
        <v>0.31349823422939582</v>
      </c>
      <c r="V7" s="94">
        <f t="shared" si="6"/>
        <v>0.34117453408984644</v>
      </c>
      <c r="W7" s="94">
        <f t="shared" si="6"/>
        <v>0.28482319155616431</v>
      </c>
      <c r="X7" s="94">
        <f t="shared" si="6"/>
        <v>0.30546593103420699</v>
      </c>
      <c r="Y7" s="94">
        <f t="shared" si="6"/>
        <v>0.41263358479067752</v>
      </c>
      <c r="Z7" s="94">
        <f t="shared" si="6"/>
        <v>0.31120282039636926</v>
      </c>
      <c r="AA7" s="94">
        <f t="shared" si="6"/>
        <v>0.30586137110968964</v>
      </c>
      <c r="AB7" s="94">
        <f t="shared" si="6"/>
        <v>0.30406608276390246</v>
      </c>
      <c r="AC7" s="94">
        <f t="shared" ref="AC7:AC22" si="10">AVERAGE(Q7:AB7)</f>
        <v>0.32748241175274495</v>
      </c>
      <c r="AD7" s="96">
        <f>$AD$6*AC7</f>
        <v>115818.73967012278</v>
      </c>
    </row>
    <row r="8" spans="1:30" x14ac:dyDescent="0.25">
      <c r="A8" s="95" t="s">
        <v>302</v>
      </c>
      <c r="B8" s="112">
        <f t="shared" ref="B8:M22" si="11">VLOOKUP($A8,$A$26:$M$43,B$5+1,0)</f>
        <v>0.20063085636909941</v>
      </c>
      <c r="C8" s="112">
        <f t="shared" si="11"/>
        <v>0.16136252673431289</v>
      </c>
      <c r="D8" s="112">
        <f t="shared" si="11"/>
        <v>0.38796621900537881</v>
      </c>
      <c r="E8" s="112">
        <f t="shared" si="11"/>
        <v>0.16763160384703354</v>
      </c>
      <c r="F8" s="112">
        <f t="shared" si="11"/>
        <v>0.34902722055176172</v>
      </c>
      <c r="G8" s="112">
        <f t="shared" si="11"/>
        <v>0.37751771960313607</v>
      </c>
      <c r="H8" s="112">
        <f t="shared" si="11"/>
        <v>0.44899702896457755</v>
      </c>
      <c r="I8" s="112">
        <f t="shared" si="11"/>
        <v>0.40595552166312282</v>
      </c>
      <c r="J8" s="112">
        <f t="shared" si="11"/>
        <v>9.9999052640553934E-2</v>
      </c>
      <c r="K8" s="112">
        <f t="shared" si="11"/>
        <v>0.1022855129618475</v>
      </c>
      <c r="L8" s="112">
        <f t="shared" si="11"/>
        <v>0.15184792278684972</v>
      </c>
      <c r="M8" s="112">
        <f t="shared" si="11"/>
        <v>0.20472681458588465</v>
      </c>
      <c r="N8" s="94">
        <f t="shared" si="8"/>
        <v>0.2548289999761299</v>
      </c>
      <c r="P8" s="8" t="s">
        <v>302</v>
      </c>
      <c r="Q8" s="94">
        <f t="shared" si="9"/>
        <v>0.22772992817261467</v>
      </c>
      <c r="R8" s="94">
        <f t="shared" si="6"/>
        <v>0.2080957633552214</v>
      </c>
      <c r="S8" s="94">
        <f t="shared" si="6"/>
        <v>0.32139760949075435</v>
      </c>
      <c r="T8" s="94">
        <f t="shared" si="6"/>
        <v>0.21123030191158171</v>
      </c>
      <c r="U8" s="94">
        <f t="shared" si="6"/>
        <v>0.30192811026394584</v>
      </c>
      <c r="V8" s="94">
        <f t="shared" si="6"/>
        <v>0.31617335978963301</v>
      </c>
      <c r="W8" s="94">
        <f t="shared" si="6"/>
        <v>0.35191301447035372</v>
      </c>
      <c r="X8" s="94">
        <f t="shared" si="6"/>
        <v>0.33039226081962636</v>
      </c>
      <c r="Y8" s="94">
        <f t="shared" si="6"/>
        <v>0.17741402630834191</v>
      </c>
      <c r="Z8" s="94">
        <f t="shared" si="6"/>
        <v>0.17855725646898871</v>
      </c>
      <c r="AA8" s="94">
        <f t="shared" si="6"/>
        <v>0.20333846138148981</v>
      </c>
      <c r="AB8" s="94">
        <f t="shared" si="6"/>
        <v>0.22977790728100728</v>
      </c>
      <c r="AC8" s="94">
        <f t="shared" si="10"/>
        <v>0.2548289999761299</v>
      </c>
      <c r="AD8" s="96">
        <f t="shared" ref="AD8:AD22" si="12">$AD$6*AC8</f>
        <v>90123.843447558</v>
      </c>
    </row>
    <row r="9" spans="1:30" x14ac:dyDescent="0.25">
      <c r="A9" s="95" t="s">
        <v>22</v>
      </c>
      <c r="B9" s="112">
        <f t="shared" si="11"/>
        <v>0.15823755641830872</v>
      </c>
      <c r="C9" s="112">
        <f t="shared" si="11"/>
        <v>0.11669968451320845</v>
      </c>
      <c r="D9" s="112">
        <f t="shared" si="11"/>
        <v>0.11999536509690362</v>
      </c>
      <c r="E9" s="112">
        <f t="shared" si="11"/>
        <v>9.2793405596213463E-2</v>
      </c>
      <c r="F9" s="112">
        <f t="shared" si="11"/>
        <v>6.5427181720454197E-2</v>
      </c>
      <c r="G9" s="112">
        <f t="shared" si="11"/>
        <v>5.4783214224695093E-2</v>
      </c>
      <c r="H9" s="112">
        <f t="shared" si="11"/>
        <v>0.1487699395164199</v>
      </c>
      <c r="I9" s="112">
        <f t="shared" si="11"/>
        <v>0.20837851087292775</v>
      </c>
      <c r="J9" s="112">
        <f t="shared" si="11"/>
        <v>0.10540679088303374</v>
      </c>
      <c r="K9" s="112">
        <f t="shared" si="11"/>
        <v>0.35150757481048767</v>
      </c>
      <c r="L9" s="112">
        <f t="shared" si="11"/>
        <v>0.11984464439019676</v>
      </c>
      <c r="M9" s="112">
        <f t="shared" si="11"/>
        <v>0.15320219352498213</v>
      </c>
      <c r="N9" s="94">
        <f t="shared" si="8"/>
        <v>0.14125383846398595</v>
      </c>
      <c r="P9" s="8" t="s">
        <v>22</v>
      </c>
      <c r="Q9" s="94">
        <f t="shared" si="9"/>
        <v>0.14974569744114735</v>
      </c>
      <c r="R9" s="94">
        <f t="shared" si="6"/>
        <v>0.12897676148859721</v>
      </c>
      <c r="S9" s="94">
        <f t="shared" si="6"/>
        <v>0.13062460178044477</v>
      </c>
      <c r="T9" s="94">
        <f t="shared" si="6"/>
        <v>0.11702362203009971</v>
      </c>
      <c r="U9" s="94">
        <f t="shared" si="6"/>
        <v>0.10334051009222008</v>
      </c>
      <c r="V9" s="94">
        <f t="shared" si="6"/>
        <v>9.8018526344340523E-2</v>
      </c>
      <c r="W9" s="94">
        <f t="shared" si="6"/>
        <v>0.14501188899020293</v>
      </c>
      <c r="X9" s="94">
        <f t="shared" si="6"/>
        <v>0.17481617466845684</v>
      </c>
      <c r="Y9" s="94">
        <f t="shared" si="6"/>
        <v>0.12333031467350986</v>
      </c>
      <c r="Z9" s="94">
        <f t="shared" si="6"/>
        <v>0.24638070663723682</v>
      </c>
      <c r="AA9" s="94">
        <f t="shared" si="6"/>
        <v>0.13054924142709134</v>
      </c>
      <c r="AB9" s="94">
        <f t="shared" si="6"/>
        <v>0.14722801599448404</v>
      </c>
      <c r="AC9" s="94">
        <f t="shared" si="10"/>
        <v>0.14125383846398595</v>
      </c>
      <c r="AD9" s="96">
        <f t="shared" si="12"/>
        <v>49956.397526527129</v>
      </c>
    </row>
    <row r="10" spans="1:30" x14ac:dyDescent="0.25">
      <c r="A10" s="95" t="s">
        <v>13</v>
      </c>
      <c r="B10" s="112">
        <f t="shared" si="11"/>
        <v>7.2956675043308883E-2</v>
      </c>
      <c r="C10" s="112">
        <f t="shared" si="11"/>
        <v>4.6103579066946544E-2</v>
      </c>
      <c r="D10" s="112">
        <f t="shared" si="11"/>
        <v>9.3111892561290904E-2</v>
      </c>
      <c r="E10" s="112">
        <f t="shared" si="11"/>
        <v>0</v>
      </c>
      <c r="F10" s="112">
        <f t="shared" si="11"/>
        <v>3.2467648423419697E-2</v>
      </c>
      <c r="G10" s="112">
        <f t="shared" si="11"/>
        <v>6.4717323360537621E-2</v>
      </c>
      <c r="H10" s="112">
        <f t="shared" si="11"/>
        <v>2.944242812882476E-2</v>
      </c>
      <c r="I10" s="112">
        <f t="shared" si="11"/>
        <v>1.1305090476694559E-2</v>
      </c>
      <c r="J10" s="112">
        <f t="shared" si="11"/>
        <v>5.2631080337133651E-2</v>
      </c>
      <c r="K10" s="112">
        <f t="shared" si="11"/>
        <v>4.5460227983043333E-2</v>
      </c>
      <c r="L10" s="112">
        <f t="shared" si="11"/>
        <v>7.592396139342486E-2</v>
      </c>
      <c r="M10" s="112">
        <f t="shared" si="11"/>
        <v>3.8857149408400904E-2</v>
      </c>
      <c r="N10" s="94">
        <f t="shared" si="8"/>
        <v>4.6914754681918802E-2</v>
      </c>
      <c r="P10" s="8" t="s">
        <v>13</v>
      </c>
      <c r="Q10" s="94">
        <f t="shared" si="9"/>
        <v>5.9935714862613843E-2</v>
      </c>
      <c r="R10" s="94">
        <f t="shared" si="6"/>
        <v>4.650916687443267E-2</v>
      </c>
      <c r="S10" s="94">
        <f t="shared" si="6"/>
        <v>7.0013323621604853E-2</v>
      </c>
      <c r="T10" s="94">
        <f t="shared" si="6"/>
        <v>0</v>
      </c>
      <c r="U10" s="94">
        <f t="shared" si="6"/>
        <v>3.9691201552669253E-2</v>
      </c>
      <c r="V10" s="94">
        <f t="shared" si="6"/>
        <v>5.5816039021228211E-2</v>
      </c>
      <c r="W10" s="94">
        <f t="shared" si="6"/>
        <v>3.8178591405371783E-2</v>
      </c>
      <c r="X10" s="94">
        <f t="shared" si="6"/>
        <v>2.9109922579306682E-2</v>
      </c>
      <c r="Y10" s="94">
        <f t="shared" si="6"/>
        <v>4.9772917509526227E-2</v>
      </c>
      <c r="Z10" s="94">
        <f t="shared" si="6"/>
        <v>4.6187491332481068E-2</v>
      </c>
      <c r="AA10" s="94">
        <f t="shared" si="6"/>
        <v>6.1419358037671831E-2</v>
      </c>
      <c r="AB10" s="94">
        <f t="shared" si="6"/>
        <v>4.2885952045159853E-2</v>
      </c>
      <c r="AC10" s="94">
        <f t="shared" si="10"/>
        <v>4.4959973236838861E-2</v>
      </c>
      <c r="AD10" s="96">
        <f t="shared" si="12"/>
        <v>15900.72397483338</v>
      </c>
    </row>
    <row r="11" spans="1:30" x14ac:dyDescent="0.25">
      <c r="A11" s="95" t="s">
        <v>43</v>
      </c>
      <c r="B11" s="112">
        <f t="shared" si="11"/>
        <v>9.5997852155486688E-2</v>
      </c>
      <c r="C11" s="112">
        <f t="shared" si="11"/>
        <v>5.5406359251075017E-2</v>
      </c>
      <c r="D11" s="112">
        <f t="shared" si="11"/>
        <v>6.3234976137491086E-2</v>
      </c>
      <c r="E11" s="112">
        <f t="shared" si="11"/>
        <v>0.19582723961410456</v>
      </c>
      <c r="F11" s="112">
        <f t="shared" si="11"/>
        <v>4.7876794365174676E-2</v>
      </c>
      <c r="G11" s="112">
        <f t="shared" si="11"/>
        <v>7.8185429800687906E-2</v>
      </c>
      <c r="H11" s="112">
        <f t="shared" si="11"/>
        <v>5.1484501947469417E-2</v>
      </c>
      <c r="I11" s="112">
        <f t="shared" si="11"/>
        <v>2.753077297014532E-2</v>
      </c>
      <c r="J11" s="112">
        <f t="shared" si="11"/>
        <v>4.355011373576461E-2</v>
      </c>
      <c r="K11" s="112">
        <f t="shared" si="11"/>
        <v>4.7609814863221543E-2</v>
      </c>
      <c r="L11" s="112">
        <f t="shared" si="11"/>
        <v>5.1239563065194567E-2</v>
      </c>
      <c r="M11" s="112">
        <f t="shared" si="11"/>
        <v>9.3739085501697336E-2</v>
      </c>
      <c r="N11" s="94">
        <f t="shared" si="8"/>
        <v>7.0973541950626065E-2</v>
      </c>
      <c r="P11" s="8" t="s">
        <v>43</v>
      </c>
      <c r="Q11" s="94">
        <f t="shared" si="9"/>
        <v>8.3485697053056376E-2</v>
      </c>
      <c r="R11" s="94">
        <f t="shared" si="6"/>
        <v>6.3189950600850545E-2</v>
      </c>
      <c r="S11" s="94">
        <f t="shared" si="6"/>
        <v>6.7104259044058576E-2</v>
      </c>
      <c r="T11" s="94">
        <f t="shared" si="6"/>
        <v>0.13340039078236532</v>
      </c>
      <c r="U11" s="94">
        <f t="shared" si="6"/>
        <v>5.9425168157900374E-2</v>
      </c>
      <c r="V11" s="94">
        <f t="shared" si="6"/>
        <v>7.4579485875656992E-2</v>
      </c>
      <c r="W11" s="94">
        <f t="shared" si="6"/>
        <v>6.1229021949047738E-2</v>
      </c>
      <c r="X11" s="94">
        <f t="shared" si="6"/>
        <v>4.9252157460385693E-2</v>
      </c>
      <c r="Y11" s="94">
        <f t="shared" si="6"/>
        <v>5.7261827843195334E-2</v>
      </c>
      <c r="Z11" s="94">
        <f t="shared" si="6"/>
        <v>5.9291678406923801E-2</v>
      </c>
      <c r="AA11" s="94">
        <f t="shared" si="6"/>
        <v>6.1106552507910319E-2</v>
      </c>
      <c r="AB11" s="94">
        <f t="shared" si="6"/>
        <v>8.2356313726161701E-2</v>
      </c>
      <c r="AC11" s="94">
        <f t="shared" si="10"/>
        <v>7.0973541950626065E-2</v>
      </c>
      <c r="AD11" s="96">
        <f t="shared" si="12"/>
        <v>25100.786740426218</v>
      </c>
    </row>
    <row r="12" spans="1:30" x14ac:dyDescent="0.25">
      <c r="A12" s="95" t="s">
        <v>106</v>
      </c>
      <c r="B12" s="112">
        <f t="shared" si="11"/>
        <v>7.0804453129531264E-2</v>
      </c>
      <c r="C12" s="112">
        <f t="shared" si="11"/>
        <v>9.7370758989391099E-2</v>
      </c>
      <c r="D12" s="112">
        <f t="shared" si="11"/>
        <v>0</v>
      </c>
      <c r="E12" s="112">
        <f t="shared" si="11"/>
        <v>0</v>
      </c>
      <c r="F12" s="112">
        <f t="shared" si="11"/>
        <v>0</v>
      </c>
      <c r="G12" s="112">
        <f t="shared" si="11"/>
        <v>0</v>
      </c>
      <c r="H12" s="112">
        <f t="shared" si="11"/>
        <v>0</v>
      </c>
      <c r="I12" s="112">
        <f t="shared" si="11"/>
        <v>7.584687974364168E-3</v>
      </c>
      <c r="J12" s="112">
        <f t="shared" si="11"/>
        <v>0</v>
      </c>
      <c r="K12" s="112">
        <f t="shared" si="11"/>
        <v>1.4547272954573868E-2</v>
      </c>
      <c r="L12" s="112">
        <f t="shared" si="11"/>
        <v>0.10431952295456576</v>
      </c>
      <c r="M12" s="112">
        <f t="shared" si="11"/>
        <v>0</v>
      </c>
      <c r="N12" s="94">
        <f t="shared" si="8"/>
        <v>2.4552224666868849E-2</v>
      </c>
      <c r="P12" s="8" t="s">
        <v>106</v>
      </c>
      <c r="Q12" s="94">
        <f t="shared" si="9"/>
        <v>4.7678338898200057E-2</v>
      </c>
      <c r="R12" s="94">
        <f t="shared" si="6"/>
        <v>6.0961491828129974E-2</v>
      </c>
      <c r="S12" s="94">
        <f t="shared" si="6"/>
        <v>0</v>
      </c>
      <c r="T12" s="94">
        <f t="shared" si="6"/>
        <v>0</v>
      </c>
      <c r="U12" s="94">
        <f t="shared" si="6"/>
        <v>0</v>
      </c>
      <c r="V12" s="94">
        <f t="shared" si="6"/>
        <v>0</v>
      </c>
      <c r="W12" s="94">
        <f t="shared" si="6"/>
        <v>0</v>
      </c>
      <c r="X12" s="94">
        <f t="shared" si="6"/>
        <v>1.6068456320616507E-2</v>
      </c>
      <c r="Y12" s="94">
        <f t="shared" si="6"/>
        <v>0</v>
      </c>
      <c r="Z12" s="94">
        <f t="shared" si="6"/>
        <v>1.9549748810721357E-2</v>
      </c>
      <c r="AA12" s="94">
        <f t="shared" si="6"/>
        <v>6.4435873810717303E-2</v>
      </c>
      <c r="AB12" s="94">
        <f t="shared" si="6"/>
        <v>0</v>
      </c>
      <c r="AC12" s="94">
        <f t="shared" si="10"/>
        <v>1.7391159139032098E-2</v>
      </c>
      <c r="AD12" s="96">
        <f t="shared" si="12"/>
        <v>6150.6269057466479</v>
      </c>
    </row>
    <row r="13" spans="1:30" x14ac:dyDescent="0.25">
      <c r="A13" s="95" t="s">
        <v>543</v>
      </c>
      <c r="B13" s="112">
        <f t="shared" si="11"/>
        <v>1.5320901759094865E-2</v>
      </c>
      <c r="C13" s="112">
        <f t="shared" si="11"/>
        <v>1.9363503208117548E-2</v>
      </c>
      <c r="D13" s="112">
        <f t="shared" si="11"/>
        <v>8.6904433057204845E-3</v>
      </c>
      <c r="E13" s="112">
        <f t="shared" si="11"/>
        <v>4.1509310259277662E-2</v>
      </c>
      <c r="F13" s="112">
        <f t="shared" si="11"/>
        <v>1.3675373515944374E-3</v>
      </c>
      <c r="G13" s="112">
        <f t="shared" si="11"/>
        <v>0</v>
      </c>
      <c r="H13" s="112">
        <f t="shared" si="11"/>
        <v>0</v>
      </c>
      <c r="I13" s="112">
        <f t="shared" si="11"/>
        <v>0</v>
      </c>
      <c r="J13" s="112">
        <f t="shared" si="11"/>
        <v>0</v>
      </c>
      <c r="K13" s="112">
        <f t="shared" si="11"/>
        <v>9.5466478764391002E-3</v>
      </c>
      <c r="L13" s="112">
        <f t="shared" si="11"/>
        <v>7.9720159463096095E-3</v>
      </c>
      <c r="M13" s="112">
        <f t="shared" si="11"/>
        <v>8.5985262126071545E-3</v>
      </c>
      <c r="N13" s="94">
        <f t="shared" si="8"/>
        <v>9.3640738265967378E-3</v>
      </c>
      <c r="P13" s="8" t="s">
        <v>543</v>
      </c>
      <c r="Q13" s="94">
        <f t="shared" si="9"/>
        <v>1.2342487792845802E-2</v>
      </c>
      <c r="R13" s="94">
        <f t="shared" si="6"/>
        <v>1.4363788517357142E-2</v>
      </c>
      <c r="S13" s="94">
        <f t="shared" si="6"/>
        <v>9.0272585661586111E-3</v>
      </c>
      <c r="T13" s="94">
        <f t="shared" si="6"/>
        <v>2.5436692042937199E-2</v>
      </c>
      <c r="U13" s="94">
        <f t="shared" si="6"/>
        <v>5.3658055890955878E-3</v>
      </c>
      <c r="V13" s="94">
        <f t="shared" si="6"/>
        <v>0</v>
      </c>
      <c r="W13" s="94">
        <f t="shared" si="6"/>
        <v>0</v>
      </c>
      <c r="X13" s="94">
        <f t="shared" si="6"/>
        <v>0</v>
      </c>
      <c r="Y13" s="94">
        <f t="shared" si="6"/>
        <v>0</v>
      </c>
      <c r="Z13" s="94">
        <f t="shared" si="6"/>
        <v>9.4553608515179181E-3</v>
      </c>
      <c r="AA13" s="94">
        <f t="shared" si="6"/>
        <v>8.6680448864531745E-3</v>
      </c>
      <c r="AB13" s="94">
        <f t="shared" si="6"/>
        <v>8.9813000196019462E-3</v>
      </c>
      <c r="AC13" s="94">
        <f t="shared" si="10"/>
        <v>7.8033948554972823E-3</v>
      </c>
      <c r="AD13" s="96">
        <f t="shared" si="12"/>
        <v>2759.7798381745911</v>
      </c>
    </row>
    <row r="14" spans="1:30" x14ac:dyDescent="0.25">
      <c r="A14" s="95" t="s">
        <v>194</v>
      </c>
      <c r="B14" s="112">
        <f t="shared" si="11"/>
        <v>2.0857219044756358E-2</v>
      </c>
      <c r="C14" s="112">
        <f t="shared" si="11"/>
        <v>2.227494422619522E-2</v>
      </c>
      <c r="D14" s="112">
        <f t="shared" si="11"/>
        <v>5.8453576996810403E-3</v>
      </c>
      <c r="E14" s="112">
        <f t="shared" si="11"/>
        <v>0</v>
      </c>
      <c r="F14" s="112">
        <f t="shared" si="11"/>
        <v>1.0811726924998759E-2</v>
      </c>
      <c r="G14" s="112">
        <f t="shared" si="11"/>
        <v>2.4031699407879636E-2</v>
      </c>
      <c r="H14" s="112">
        <f t="shared" si="11"/>
        <v>1.4220692786222358E-2</v>
      </c>
      <c r="I14" s="112">
        <f t="shared" si="11"/>
        <v>1.3155014372880941E-3</v>
      </c>
      <c r="J14" s="112">
        <f t="shared" si="11"/>
        <v>2.3418093933846942E-2</v>
      </c>
      <c r="K14" s="112">
        <f t="shared" si="11"/>
        <v>3.4371796474559319E-2</v>
      </c>
      <c r="L14" s="112">
        <f t="shared" si="11"/>
        <v>2.1938987884244046E-2</v>
      </c>
      <c r="M14" s="112">
        <f t="shared" si="11"/>
        <v>5.6824793563716482E-2</v>
      </c>
      <c r="N14" s="94">
        <f t="shared" si="8"/>
        <v>1.9659234448615687E-2</v>
      </c>
      <c r="P14" s="8" t="s">
        <v>393</v>
      </c>
      <c r="Q14" s="94">
        <f t="shared" si="9"/>
        <v>2.0258226746686023E-2</v>
      </c>
      <c r="R14" s="94">
        <f t="shared" si="6"/>
        <v>2.0967089337405452E-2</v>
      </c>
      <c r="S14" s="94">
        <f t="shared" si="6"/>
        <v>1.2752296074148364E-2</v>
      </c>
      <c r="T14" s="94">
        <f t="shared" si="6"/>
        <v>0</v>
      </c>
      <c r="U14" s="94">
        <f t="shared" si="6"/>
        <v>1.5235480686807223E-2</v>
      </c>
      <c r="V14" s="94">
        <f t="shared" si="6"/>
        <v>2.184546692824766E-2</v>
      </c>
      <c r="W14" s="94">
        <f t="shared" si="6"/>
        <v>1.6939963617419021E-2</v>
      </c>
      <c r="X14" s="94">
        <f t="shared" si="6"/>
        <v>1.0487367942951891E-2</v>
      </c>
      <c r="Y14" s="94">
        <f t="shared" si="6"/>
        <v>2.1538664191231315E-2</v>
      </c>
      <c r="Z14" s="94">
        <f t="shared" si="6"/>
        <v>2.7015515461587501E-2</v>
      </c>
      <c r="AA14" s="94">
        <f t="shared" si="6"/>
        <v>2.0799111166429865E-2</v>
      </c>
      <c r="AB14" s="94">
        <f t="shared" si="6"/>
        <v>3.8242014006166086E-2</v>
      </c>
      <c r="AC14" s="94">
        <f t="shared" si="10"/>
        <v>1.884009967992337E-2</v>
      </c>
      <c r="AD14" s="96">
        <f t="shared" si="12"/>
        <v>6663.0650132004184</v>
      </c>
    </row>
    <row r="15" spans="1:30" x14ac:dyDescent="0.25">
      <c r="A15" s="95" t="s">
        <v>296</v>
      </c>
      <c r="B15" s="112">
        <f t="shared" si="11"/>
        <v>7.7064135848247169E-3</v>
      </c>
      <c r="C15" s="112">
        <f t="shared" si="11"/>
        <v>7.1188536437272161E-3</v>
      </c>
      <c r="D15" s="112">
        <f t="shared" si="11"/>
        <v>6.298709158796126E-3</v>
      </c>
      <c r="E15" s="112">
        <f t="shared" si="11"/>
        <v>1.8490883448353448E-2</v>
      </c>
      <c r="F15" s="112">
        <f t="shared" si="11"/>
        <v>1.7207853664412437E-3</v>
      </c>
      <c r="G15" s="112">
        <f t="shared" si="11"/>
        <v>9.4504550059281052E-3</v>
      </c>
      <c r="H15" s="112">
        <f t="shared" si="11"/>
        <v>1.3080093120511683E-2</v>
      </c>
      <c r="I15" s="112">
        <f t="shared" si="11"/>
        <v>8.6500385914679481E-3</v>
      </c>
      <c r="J15" s="112">
        <f t="shared" si="11"/>
        <v>1.5928480677551479E-2</v>
      </c>
      <c r="K15" s="112">
        <f t="shared" si="11"/>
        <v>2.0350271056609349E-2</v>
      </c>
      <c r="L15" s="112">
        <f t="shared" si="11"/>
        <v>1.59569389660561E-2</v>
      </c>
      <c r="M15" s="112">
        <f t="shared" si="11"/>
        <v>3.107650682006436E-2</v>
      </c>
      <c r="N15" s="94">
        <f t="shared" si="8"/>
        <v>1.2985702453360981E-2</v>
      </c>
      <c r="P15" s="8" t="s">
        <v>194</v>
      </c>
      <c r="Q15" s="94">
        <f t="shared" si="9"/>
        <v>1.0346058019092849E-2</v>
      </c>
      <c r="R15" s="94">
        <f t="shared" si="6"/>
        <v>1.0052278048544099E-2</v>
      </c>
      <c r="S15" s="94">
        <f t="shared" si="6"/>
        <v>9.6422058060785538E-3</v>
      </c>
      <c r="T15" s="94">
        <f t="shared" si="6"/>
        <v>1.5738292950857213E-2</v>
      </c>
      <c r="U15" s="94">
        <f t="shared" si="6"/>
        <v>7.3532439099011125E-3</v>
      </c>
      <c r="V15" s="94">
        <f t="shared" si="6"/>
        <v>1.1218078729644542E-2</v>
      </c>
      <c r="W15" s="94">
        <f t="shared" si="6"/>
        <v>1.3032897786936332E-2</v>
      </c>
      <c r="X15" s="94">
        <f t="shared" si="6"/>
        <v>1.0817870522414464E-2</v>
      </c>
      <c r="Y15" s="94">
        <f t="shared" si="6"/>
        <v>1.4457091565456229E-2</v>
      </c>
      <c r="Z15" s="94">
        <f t="shared" si="6"/>
        <v>1.6667986754985164E-2</v>
      </c>
      <c r="AA15" s="94">
        <f t="shared" si="6"/>
        <v>1.4471320709708541E-2</v>
      </c>
      <c r="AB15" s="94">
        <f t="shared" si="6"/>
        <v>2.2031104636712671E-2</v>
      </c>
      <c r="AC15" s="94">
        <f t="shared" si="10"/>
        <v>1.2985702453360982E-2</v>
      </c>
      <c r="AD15" s="96">
        <f t="shared" si="12"/>
        <v>4592.5754724654589</v>
      </c>
    </row>
    <row r="16" spans="1:30" x14ac:dyDescent="0.25">
      <c r="A16" s="95" t="s">
        <v>393</v>
      </c>
      <c r="B16" s="112">
        <f t="shared" si="11"/>
        <v>0</v>
      </c>
      <c r="C16" s="112">
        <f t="shared" si="11"/>
        <v>3.0197844288849987E-2</v>
      </c>
      <c r="D16" s="112">
        <f t="shared" si="11"/>
        <v>2.9485432644408789E-2</v>
      </c>
      <c r="E16" s="112">
        <f t="shared" si="11"/>
        <v>6.7052641538813421E-2</v>
      </c>
      <c r="F16" s="112">
        <f t="shared" si="11"/>
        <v>0.17831232514142095</v>
      </c>
      <c r="G16" s="112">
        <f t="shared" si="11"/>
        <v>0</v>
      </c>
      <c r="H16" s="112">
        <f t="shared" si="11"/>
        <v>1.7665456877294854E-2</v>
      </c>
      <c r="I16" s="112">
        <f t="shared" si="11"/>
        <v>0</v>
      </c>
      <c r="J16" s="112">
        <f t="shared" si="11"/>
        <v>0.11831466859787645</v>
      </c>
      <c r="K16" s="112">
        <f t="shared" si="11"/>
        <v>1.2160610985464093E-2</v>
      </c>
      <c r="L16" s="112">
        <f t="shared" si="11"/>
        <v>9.3120738649035584E-2</v>
      </c>
      <c r="M16" s="112">
        <f t="shared" si="11"/>
        <v>8.3963175378406751E-2</v>
      </c>
      <c r="N16" s="94">
        <f t="shared" si="8"/>
        <v>5.2522741175130915E-2</v>
      </c>
      <c r="P16" s="8" t="s">
        <v>296</v>
      </c>
      <c r="Q16" s="94">
        <f t="shared" si="9"/>
        <v>0</v>
      </c>
      <c r="R16" s="94">
        <f t="shared" si="6"/>
        <v>4.1360292731990447E-2</v>
      </c>
      <c r="S16" s="94">
        <f t="shared" si="6"/>
        <v>4.1004086909769852E-2</v>
      </c>
      <c r="T16" s="94">
        <f t="shared" si="6"/>
        <v>5.9787691356972164E-2</v>
      </c>
      <c r="U16" s="94">
        <f t="shared" si="6"/>
        <v>0.11541753315827594</v>
      </c>
      <c r="V16" s="94">
        <f t="shared" si="6"/>
        <v>0</v>
      </c>
      <c r="W16" s="94">
        <f t="shared" si="6"/>
        <v>3.5094099026212883E-2</v>
      </c>
      <c r="X16" s="94">
        <f t="shared" si="6"/>
        <v>0</v>
      </c>
      <c r="Y16" s="94">
        <f t="shared" si="6"/>
        <v>8.5418704886503688E-2</v>
      </c>
      <c r="Z16" s="94">
        <f t="shared" si="6"/>
        <v>3.2341676080297505E-2</v>
      </c>
      <c r="AA16" s="94">
        <f t="shared" si="6"/>
        <v>7.2821739912083253E-2</v>
      </c>
      <c r="AB16" s="94">
        <f t="shared" si="6"/>
        <v>6.8242958276768836E-2</v>
      </c>
      <c r="AC16" s="94">
        <f t="shared" si="10"/>
        <v>4.5957398528239539E-2</v>
      </c>
      <c r="AD16" s="96">
        <f t="shared" si="12"/>
        <v>16253.477393091309</v>
      </c>
    </row>
    <row r="17" spans="1:30" x14ac:dyDescent="0.25">
      <c r="A17" s="95" t="s">
        <v>58</v>
      </c>
      <c r="B17" s="112">
        <f t="shared" si="11"/>
        <v>1.6050468509527953E-2</v>
      </c>
      <c r="C17" s="112">
        <f t="shared" si="11"/>
        <v>1.2475628495515735E-2</v>
      </c>
      <c r="D17" s="112">
        <f t="shared" si="11"/>
        <v>9.1042739393262222E-3</v>
      </c>
      <c r="E17" s="112">
        <f t="shared" si="11"/>
        <v>2.6821056615525366E-2</v>
      </c>
      <c r="F17" s="112">
        <f t="shared" si="11"/>
        <v>9.7402945270259091E-3</v>
      </c>
      <c r="G17" s="112">
        <f t="shared" si="11"/>
        <v>2.0925267886573829E-2</v>
      </c>
      <c r="H17" s="112">
        <f t="shared" si="11"/>
        <v>9.1271527199356748E-3</v>
      </c>
      <c r="I17" s="112">
        <f t="shared" si="11"/>
        <v>7.3996955847455293E-3</v>
      </c>
      <c r="J17" s="112">
        <f t="shared" si="11"/>
        <v>6.1052053191075033E-3</v>
      </c>
      <c r="K17" s="112">
        <f t="shared" si="11"/>
        <v>1.5834024707633908E-2</v>
      </c>
      <c r="L17" s="112">
        <f t="shared" si="11"/>
        <v>1.4321347027738247E-2</v>
      </c>
      <c r="M17" s="112">
        <f t="shared" si="11"/>
        <v>1.7647451417303256E-2</v>
      </c>
      <c r="N17" s="94">
        <f t="shared" si="8"/>
        <v>1.3795988895829926E-2</v>
      </c>
      <c r="P17" s="8" t="s">
        <v>58</v>
      </c>
      <c r="Q17" s="94">
        <f t="shared" si="9"/>
        <v>1.492322870267894E-2</v>
      </c>
      <c r="R17" s="94">
        <f t="shared" si="6"/>
        <v>1.3135808695672831E-2</v>
      </c>
      <c r="S17" s="94">
        <f t="shared" si="6"/>
        <v>1.1450131417578075E-2</v>
      </c>
      <c r="T17" s="94">
        <f t="shared" si="6"/>
        <v>2.0308522755677648E-2</v>
      </c>
      <c r="U17" s="94">
        <f t="shared" si="6"/>
        <v>1.1768141711427918E-2</v>
      </c>
      <c r="V17" s="94">
        <f t="shared" si="6"/>
        <v>1.7360628391201879E-2</v>
      </c>
      <c r="W17" s="94">
        <f t="shared" si="6"/>
        <v>1.14615708078828E-2</v>
      </c>
      <c r="X17" s="94">
        <f t="shared" si="6"/>
        <v>1.0597842240287727E-2</v>
      </c>
      <c r="Y17" s="94">
        <f t="shared" si="6"/>
        <v>9.9505971074687147E-3</v>
      </c>
      <c r="Z17" s="94">
        <f t="shared" si="6"/>
        <v>1.4815006801731917E-2</v>
      </c>
      <c r="AA17" s="94">
        <f t="shared" si="6"/>
        <v>1.4058667961784087E-2</v>
      </c>
      <c r="AB17" s="94">
        <f t="shared" si="6"/>
        <v>1.5721720156566591E-2</v>
      </c>
      <c r="AC17" s="94">
        <f t="shared" si="10"/>
        <v>1.3795988895829928E-2</v>
      </c>
      <c r="AD17" s="96">
        <f t="shared" si="12"/>
        <v>4879.1446168547955</v>
      </c>
    </row>
    <row r="18" spans="1:30" x14ac:dyDescent="0.25">
      <c r="A18" s="95" t="s">
        <v>10</v>
      </c>
      <c r="B18" s="112">
        <f t="shared" si="11"/>
        <v>1.1709546344451075E-2</v>
      </c>
      <c r="C18" s="112">
        <f t="shared" si="11"/>
        <v>9.4973372877909887E-3</v>
      </c>
      <c r="D18" s="112">
        <f t="shared" si="11"/>
        <v>4.4279877795813903E-3</v>
      </c>
      <c r="E18" s="112">
        <f t="shared" si="11"/>
        <v>8.1208199197007353E-3</v>
      </c>
      <c r="F18" s="112">
        <f t="shared" si="11"/>
        <v>2.4350736317564773E-3</v>
      </c>
      <c r="G18" s="112">
        <f t="shared" si="11"/>
        <v>1.41083764925972E-2</v>
      </c>
      <c r="H18" s="112">
        <f t="shared" si="11"/>
        <v>1.5207014128537987E-2</v>
      </c>
      <c r="I18" s="112">
        <f t="shared" si="11"/>
        <v>1.4861055299363938E-2</v>
      </c>
      <c r="J18" s="112">
        <f t="shared" si="11"/>
        <v>2.3262937509013076E-2</v>
      </c>
      <c r="K18" s="112">
        <f t="shared" si="11"/>
        <v>2.9674163815931538E-2</v>
      </c>
      <c r="L18" s="112">
        <f t="shared" si="11"/>
        <v>1.55273991544728E-2</v>
      </c>
      <c r="M18" s="112">
        <f t="shared" si="11"/>
        <v>1.7545088010010312E-2</v>
      </c>
      <c r="N18" s="94">
        <f t="shared" si="8"/>
        <v>1.3864733281100626E-2</v>
      </c>
      <c r="P18" s="8" t="s">
        <v>10</v>
      </c>
      <c r="Q18" s="94">
        <f t="shared" si="9"/>
        <v>1.278713981277585E-2</v>
      </c>
      <c r="R18" s="94">
        <f t="shared" si="6"/>
        <v>1.1681035284445807E-2</v>
      </c>
      <c r="S18" s="94">
        <f t="shared" si="6"/>
        <v>9.1463605303410082E-3</v>
      </c>
      <c r="T18" s="94">
        <f t="shared" si="6"/>
        <v>1.099277660040068E-2</v>
      </c>
      <c r="U18" s="94">
        <f t="shared" si="6"/>
        <v>8.1499034564285512E-3</v>
      </c>
      <c r="V18" s="94">
        <f t="shared" si="6"/>
        <v>1.3986554886848912E-2</v>
      </c>
      <c r="W18" s="94">
        <f t="shared" si="6"/>
        <v>1.4535873704819307E-2</v>
      </c>
      <c r="X18" s="94">
        <f t="shared" si="6"/>
        <v>1.4362894290232282E-2</v>
      </c>
      <c r="Y18" s="94">
        <f t="shared" si="6"/>
        <v>1.8563835395056849E-2</v>
      </c>
      <c r="Z18" s="94">
        <f t="shared" si="6"/>
        <v>2.1769448548516084E-2</v>
      </c>
      <c r="AA18" s="94">
        <f t="shared" si="6"/>
        <v>1.4696066217786713E-2</v>
      </c>
      <c r="AB18" s="94">
        <f t="shared" si="6"/>
        <v>1.5704910645555469E-2</v>
      </c>
      <c r="AC18" s="94">
        <f t="shared" si="10"/>
        <v>1.3864733281100624E-2</v>
      </c>
      <c r="AD18" s="96">
        <f t="shared" si="12"/>
        <v>4903.4570311271709</v>
      </c>
    </row>
    <row r="19" spans="1:30" x14ac:dyDescent="0.25">
      <c r="A19" s="95" t="s">
        <v>3</v>
      </c>
      <c r="B19" s="112">
        <f t="shared" si="11"/>
        <v>0</v>
      </c>
      <c r="C19" s="112">
        <f t="shared" si="11"/>
        <v>0</v>
      </c>
      <c r="D19" s="112">
        <f t="shared" si="11"/>
        <v>0</v>
      </c>
      <c r="E19" s="112">
        <f t="shared" si="11"/>
        <v>0</v>
      </c>
      <c r="F19" s="112">
        <f t="shared" si="11"/>
        <v>0</v>
      </c>
      <c r="G19" s="112">
        <f t="shared" si="11"/>
        <v>0</v>
      </c>
      <c r="H19" s="112">
        <f t="shared" si="11"/>
        <v>0</v>
      </c>
      <c r="I19" s="112">
        <f t="shared" si="11"/>
        <v>2.2445743273728107E-2</v>
      </c>
      <c r="J19" s="112">
        <f t="shared" si="11"/>
        <v>0</v>
      </c>
      <c r="K19" s="112">
        <f t="shared" si="11"/>
        <v>0</v>
      </c>
      <c r="L19" s="112">
        <f t="shared" si="11"/>
        <v>0</v>
      </c>
      <c r="M19" s="112">
        <f t="shared" si="11"/>
        <v>0</v>
      </c>
      <c r="N19" s="94">
        <f t="shared" si="8"/>
        <v>1.870478606144009E-3</v>
      </c>
      <c r="P19" s="8" t="s">
        <v>3</v>
      </c>
      <c r="Q19" s="94">
        <f t="shared" si="9"/>
        <v>0</v>
      </c>
      <c r="R19" s="94">
        <f t="shared" si="6"/>
        <v>0</v>
      </c>
      <c r="S19" s="94">
        <f t="shared" si="6"/>
        <v>0</v>
      </c>
      <c r="T19" s="94">
        <f t="shared" si="6"/>
        <v>0</v>
      </c>
      <c r="U19" s="94">
        <f t="shared" si="6"/>
        <v>0</v>
      </c>
      <c r="V19" s="94">
        <f t="shared" si="6"/>
        <v>0</v>
      </c>
      <c r="W19" s="94">
        <f t="shared" si="6"/>
        <v>0</v>
      </c>
      <c r="X19" s="94">
        <f t="shared" si="6"/>
        <v>1.2158110939936058E-2</v>
      </c>
      <c r="Y19" s="94">
        <f t="shared" si="6"/>
        <v>0</v>
      </c>
      <c r="Z19" s="94">
        <f t="shared" si="6"/>
        <v>0</v>
      </c>
      <c r="AA19" s="94">
        <f t="shared" si="6"/>
        <v>0</v>
      </c>
      <c r="AB19" s="94">
        <f t="shared" si="6"/>
        <v>0</v>
      </c>
      <c r="AC19" s="94">
        <f t="shared" si="10"/>
        <v>1.0131759116613381E-3</v>
      </c>
      <c r="AD19" s="96">
        <f t="shared" si="12"/>
        <v>358.32384562179544</v>
      </c>
    </row>
    <row r="20" spans="1:30" x14ac:dyDescent="0.25">
      <c r="A20" s="95" t="s">
        <v>301</v>
      </c>
      <c r="B20" s="112">
        <f t="shared" si="11"/>
        <v>1.4591335008661776E-3</v>
      </c>
      <c r="C20" s="112">
        <f t="shared" si="11"/>
        <v>7.9805295364884458E-3</v>
      </c>
      <c r="D20" s="112">
        <f t="shared" si="11"/>
        <v>2.0070785729878261E-4</v>
      </c>
      <c r="E20" s="112">
        <f t="shared" si="11"/>
        <v>1.4900587008625204E-3</v>
      </c>
      <c r="F20" s="112">
        <f t="shared" si="11"/>
        <v>0</v>
      </c>
      <c r="G20" s="112">
        <f t="shared" si="11"/>
        <v>1.0686987330936779E-3</v>
      </c>
      <c r="H20" s="112">
        <f t="shared" si="11"/>
        <v>7.1344891841768152E-3</v>
      </c>
      <c r="I20" s="112">
        <f t="shared" si="11"/>
        <v>1.3730546251694483E-4</v>
      </c>
      <c r="J20" s="112">
        <f t="shared" si="11"/>
        <v>3.3915468169248923E-4</v>
      </c>
      <c r="K20" s="112">
        <f t="shared" si="11"/>
        <v>7.3861505415449653E-3</v>
      </c>
      <c r="L20" s="112">
        <f t="shared" si="11"/>
        <v>1.8857424101188416E-2</v>
      </c>
      <c r="M20" s="112">
        <f t="shared" si="11"/>
        <v>1.1573616282169231E-2</v>
      </c>
      <c r="N20" s="94">
        <f t="shared" si="8"/>
        <v>4.8022723818248727E-3</v>
      </c>
      <c r="P20" s="8" t="s">
        <v>301</v>
      </c>
      <c r="Q20" s="94">
        <f t="shared" si="9"/>
        <v>3.1307029413455249E-3</v>
      </c>
      <c r="R20" s="94">
        <f t="shared" si="6"/>
        <v>6.3914009591566588E-3</v>
      </c>
      <c r="S20" s="94">
        <f t="shared" si="6"/>
        <v>2.5014901195618278E-3</v>
      </c>
      <c r="T20" s="94">
        <f t="shared" si="6"/>
        <v>3.1461655413436967E-3</v>
      </c>
      <c r="U20" s="94">
        <f t="shared" si="6"/>
        <v>0</v>
      </c>
      <c r="V20" s="94">
        <f t="shared" si="6"/>
        <v>2.9354855574592752E-3</v>
      </c>
      <c r="W20" s="94">
        <f t="shared" si="6"/>
        <v>5.9683807830008435E-3</v>
      </c>
      <c r="X20" s="94">
        <f t="shared" si="6"/>
        <v>2.4697889221709088E-3</v>
      </c>
      <c r="Y20" s="94">
        <f t="shared" si="6"/>
        <v>2.570713531758681E-3</v>
      </c>
      <c r="Z20" s="94">
        <f t="shared" si="6"/>
        <v>6.094211461684919E-3</v>
      </c>
      <c r="AA20" s="94">
        <f t="shared" si="6"/>
        <v>1.1829848241506645E-2</v>
      </c>
      <c r="AB20" s="94">
        <f t="shared" si="6"/>
        <v>8.1879443319970522E-3</v>
      </c>
      <c r="AC20" s="94">
        <f t="shared" si="10"/>
        <v>4.6021776992488357E-3</v>
      </c>
      <c r="AD20" s="96">
        <f t="shared" si="12"/>
        <v>1627.6245738271402</v>
      </c>
    </row>
    <row r="21" spans="1:30" x14ac:dyDescent="0.25">
      <c r="A21" s="95" t="s">
        <v>29</v>
      </c>
      <c r="B21" s="112">
        <f t="shared" si="11"/>
        <v>0</v>
      </c>
      <c r="C21" s="112">
        <f t="shared" si="11"/>
        <v>0</v>
      </c>
      <c r="D21" s="112">
        <f t="shared" si="11"/>
        <v>0</v>
      </c>
      <c r="E21" s="112">
        <f t="shared" si="11"/>
        <v>0</v>
      </c>
      <c r="F21" s="112">
        <f t="shared" si="11"/>
        <v>0</v>
      </c>
      <c r="G21" s="112">
        <f t="shared" si="11"/>
        <v>0</v>
      </c>
      <c r="H21" s="112">
        <f t="shared" si="11"/>
        <v>0</v>
      </c>
      <c r="I21" s="112">
        <f t="shared" si="11"/>
        <v>0</v>
      </c>
      <c r="J21" s="112">
        <f t="shared" si="11"/>
        <v>1.0526216067426731E-2</v>
      </c>
      <c r="K21" s="112">
        <f t="shared" si="11"/>
        <v>0</v>
      </c>
      <c r="L21" s="112">
        <f t="shared" si="11"/>
        <v>2.2777188418027457E-2</v>
      </c>
      <c r="M21" s="112">
        <f t="shared" si="11"/>
        <v>0</v>
      </c>
      <c r="N21" s="94">
        <f t="shared" si="8"/>
        <v>2.7752837071211823E-3</v>
      </c>
      <c r="P21" s="8" t="s">
        <v>29</v>
      </c>
      <c r="Q21" s="94">
        <f t="shared" si="9"/>
        <v>0</v>
      </c>
      <c r="R21" s="94">
        <f t="shared" si="6"/>
        <v>0</v>
      </c>
      <c r="S21" s="94">
        <f t="shared" si="6"/>
        <v>0</v>
      </c>
      <c r="T21" s="94">
        <f t="shared" si="6"/>
        <v>0</v>
      </c>
      <c r="U21" s="94">
        <f t="shared" si="6"/>
        <v>0</v>
      </c>
      <c r="V21" s="94">
        <f t="shared" si="6"/>
        <v>0</v>
      </c>
      <c r="W21" s="94">
        <f t="shared" si="6"/>
        <v>0</v>
      </c>
      <c r="X21" s="94">
        <f t="shared" si="6"/>
        <v>0</v>
      </c>
      <c r="Y21" s="94">
        <f t="shared" si="6"/>
        <v>6.6507498872739566E-3</v>
      </c>
      <c r="Z21" s="94">
        <f t="shared" si="6"/>
        <v>0</v>
      </c>
      <c r="AA21" s="94">
        <f t="shared" si="6"/>
        <v>1.2776236062574319E-2</v>
      </c>
      <c r="AB21" s="94">
        <f t="shared" si="6"/>
        <v>0</v>
      </c>
      <c r="AC21" s="94">
        <f t="shared" si="10"/>
        <v>1.6189154958206897E-3</v>
      </c>
      <c r="AD21" s="96">
        <f t="shared" si="12"/>
        <v>572.55212991392841</v>
      </c>
    </row>
    <row r="22" spans="1:30" x14ac:dyDescent="0.25">
      <c r="A22" s="95" t="s">
        <v>7</v>
      </c>
      <c r="B22" s="112">
        <f t="shared" si="11"/>
        <v>8.7584488389492315E-4</v>
      </c>
      <c r="C22" s="112">
        <f t="shared" si="11"/>
        <v>3.6882863253557234E-4</v>
      </c>
      <c r="D22" s="112">
        <f t="shared" si="11"/>
        <v>5.7956980236483521E-4</v>
      </c>
      <c r="E22" s="112">
        <f t="shared" si="11"/>
        <v>2.9801174017250406E-4</v>
      </c>
      <c r="F22" s="112">
        <f t="shared" si="11"/>
        <v>1.2993552899052564E-3</v>
      </c>
      <c r="G22" s="112">
        <f t="shared" si="11"/>
        <v>3.4515905792286729E-4</v>
      </c>
      <c r="H22" s="112">
        <f t="shared" si="11"/>
        <v>2.7072312664454365E-3</v>
      </c>
      <c r="I22" s="112">
        <f t="shared" si="11"/>
        <v>9.8662607796607066E-4</v>
      </c>
      <c r="J22" s="112">
        <f t="shared" si="11"/>
        <v>2.7334477883893733E-3</v>
      </c>
      <c r="K22" s="112">
        <f t="shared" si="11"/>
        <v>1.2501562695336917E-3</v>
      </c>
      <c r="L22" s="112">
        <f t="shared" si="11"/>
        <v>2.1120147960615961E-3</v>
      </c>
      <c r="M22" s="112">
        <f t="shared" si="11"/>
        <v>1.606081860426265E-3</v>
      </c>
      <c r="N22" s="94">
        <f t="shared" si="8"/>
        <v>1.2635272888015326E-3</v>
      </c>
      <c r="P22" s="8" t="s">
        <v>7</v>
      </c>
      <c r="Q22" s="94">
        <f t="shared" si="9"/>
        <v>1.0696860863482279E-3</v>
      </c>
      <c r="R22" s="94">
        <f t="shared" ref="R22" si="13">IF(C22&gt;0%,($N22+C22)/2,C22)</f>
        <v>8.1617796066855248E-4</v>
      </c>
      <c r="S22" s="94">
        <f t="shared" ref="S22" si="14">IF(D22&gt;0%,($N22+D22)/2,D22)</f>
        <v>9.2154854558318389E-4</v>
      </c>
      <c r="T22" s="94">
        <f t="shared" ref="T22" si="15">IF(E22&gt;0%,($N22+E22)/2,E22)</f>
        <v>7.8076951448701826E-4</v>
      </c>
      <c r="U22" s="94">
        <f t="shared" ref="U22" si="16">IF(F22&gt;0%,($N22+F22)/2,F22)</f>
        <v>1.2814412893533945E-3</v>
      </c>
      <c r="V22" s="94">
        <f t="shared" ref="V22" si="17">IF(G22&gt;0%,($N22+G22)/2,G22)</f>
        <v>8.0434317336219993E-4</v>
      </c>
      <c r="W22" s="94">
        <f t="shared" ref="W22" si="18">IF(H22&gt;0%,($N22+H22)/2,H22)</f>
        <v>1.9853792776234848E-3</v>
      </c>
      <c r="X22" s="94">
        <f t="shared" ref="X22" si="19">IF(I22&gt;0%,($N22+I22)/2,I22)</f>
        <v>1.1250766833838016E-3</v>
      </c>
      <c r="Y22" s="94">
        <f t="shared" ref="Y22" si="20">IF(J22&gt;0%,($N22+J22)/2,J22)</f>
        <v>1.9984875385954531E-3</v>
      </c>
      <c r="Z22" s="94">
        <f t="shared" ref="Z22" si="21">IF(K22&gt;0%,($N22+K22)/2,K22)</f>
        <v>1.2568417791676122E-3</v>
      </c>
      <c r="AA22" s="94">
        <f t="shared" ref="AA22" si="22">IF(L22&gt;0%,($N22+L22)/2,L22)</f>
        <v>1.6877710424315644E-3</v>
      </c>
      <c r="AB22" s="94">
        <f t="shared" ref="AB22" si="23">IF(M22&gt;0%,($N22+M22)/2,M22)</f>
        <v>1.4348045746138988E-3</v>
      </c>
      <c r="AC22" s="94">
        <f t="shared" si="10"/>
        <v>1.2635272888015328E-3</v>
      </c>
      <c r="AD22" s="96">
        <f t="shared" si="12"/>
        <v>446.86411506670527</v>
      </c>
    </row>
    <row r="23" spans="1:30" x14ac:dyDescent="0.25">
      <c r="C23"/>
      <c r="D23"/>
      <c r="E23"/>
      <c r="F23"/>
      <c r="G23"/>
      <c r="H23"/>
      <c r="I23"/>
      <c r="J23"/>
      <c r="K23"/>
      <c r="L23"/>
      <c r="M23"/>
    </row>
    <row r="24" spans="1:30" ht="19.5" thickBot="1" x14ac:dyDescent="0.35">
      <c r="A24" s="141" t="b">
        <f>COUNTA(A7:A22)=COUNTA(A26:A41)</f>
        <v>1</v>
      </c>
    </row>
    <row r="25" spans="1:30" x14ac:dyDescent="0.25">
      <c r="A25" s="100" t="s">
        <v>254</v>
      </c>
      <c r="B25" s="108">
        <v>1</v>
      </c>
      <c r="C25" s="108">
        <v>2</v>
      </c>
      <c r="D25" s="108">
        <v>3</v>
      </c>
      <c r="E25" s="108">
        <v>4</v>
      </c>
      <c r="F25" s="108">
        <v>5</v>
      </c>
      <c r="G25" s="108">
        <v>6</v>
      </c>
      <c r="H25" s="108">
        <v>7</v>
      </c>
      <c r="I25" s="108">
        <v>8</v>
      </c>
      <c r="J25" s="108">
        <v>9</v>
      </c>
      <c r="K25" s="108">
        <v>10</v>
      </c>
      <c r="L25" s="108">
        <v>11</v>
      </c>
      <c r="M25" s="108">
        <v>12</v>
      </c>
    </row>
    <row r="26" spans="1:30" x14ac:dyDescent="0.25">
      <c r="A26" s="109" t="s">
        <v>83</v>
      </c>
      <c r="B26" s="110">
        <v>0.32739307925684857</v>
      </c>
      <c r="C26" s="110">
        <v>0.41377962212584524</v>
      </c>
      <c r="D26" s="110">
        <v>0.27105906501175797</v>
      </c>
      <c r="E26" s="110">
        <v>0.37996496871994268</v>
      </c>
      <c r="F26" s="110">
        <v>0.29951405670604669</v>
      </c>
      <c r="G26" s="110">
        <v>0.35486665642694792</v>
      </c>
      <c r="H26" s="110">
        <v>0.24216397135958365</v>
      </c>
      <c r="I26" s="110">
        <v>0.28344945031566904</v>
      </c>
      <c r="J26" s="110">
        <v>0.49778475782861009</v>
      </c>
      <c r="K26" s="110">
        <v>0.29492322903999363</v>
      </c>
      <c r="L26" s="110">
        <v>0.28424033046663433</v>
      </c>
      <c r="M26" s="110">
        <v>0.28064975377505996</v>
      </c>
    </row>
    <row r="27" spans="1:30" x14ac:dyDescent="0.25">
      <c r="A27" s="109" t="s">
        <v>302</v>
      </c>
      <c r="B27" s="110">
        <v>0.20063085636909941</v>
      </c>
      <c r="C27" s="110">
        <v>0.16136252673431289</v>
      </c>
      <c r="D27" s="110">
        <v>0.38796621900537881</v>
      </c>
      <c r="E27" s="110">
        <v>0.16763160384703354</v>
      </c>
      <c r="F27" s="110">
        <v>0.34902722055176172</v>
      </c>
      <c r="G27" s="110">
        <v>0.37751771960313607</v>
      </c>
      <c r="H27" s="110">
        <v>0.44899702896457755</v>
      </c>
      <c r="I27" s="110">
        <v>0.40595552166312282</v>
      </c>
      <c r="J27" s="110">
        <v>9.9999052640553934E-2</v>
      </c>
      <c r="K27" s="110">
        <v>0.1022855129618475</v>
      </c>
      <c r="L27" s="110">
        <v>0.15184792278684972</v>
      </c>
      <c r="M27" s="110">
        <v>0.20472681458588465</v>
      </c>
    </row>
    <row r="28" spans="1:30" x14ac:dyDescent="0.25">
      <c r="A28" s="109" t="s">
        <v>22</v>
      </c>
      <c r="B28" s="110">
        <v>0.15823755641830872</v>
      </c>
      <c r="C28" s="110">
        <v>0.11669968451320845</v>
      </c>
      <c r="D28" s="110">
        <v>0.11999536509690362</v>
      </c>
      <c r="E28" s="110">
        <v>9.2793405596213463E-2</v>
      </c>
      <c r="F28" s="110">
        <v>6.5427181720454197E-2</v>
      </c>
      <c r="G28" s="110">
        <v>5.4783214224695093E-2</v>
      </c>
      <c r="H28" s="110">
        <v>0.1487699395164199</v>
      </c>
      <c r="I28" s="110">
        <v>0.20837851087292775</v>
      </c>
      <c r="J28" s="110">
        <v>0.10540679088303374</v>
      </c>
      <c r="K28" s="110">
        <v>0.35150757481048767</v>
      </c>
      <c r="L28" s="110">
        <v>0.11984464439019676</v>
      </c>
      <c r="M28" s="110">
        <v>0.15320219352498213</v>
      </c>
    </row>
    <row r="29" spans="1:30" x14ac:dyDescent="0.25">
      <c r="A29" s="109" t="s">
        <v>43</v>
      </c>
      <c r="B29" s="110">
        <v>9.5997852155486688E-2</v>
      </c>
      <c r="C29" s="110">
        <v>5.5406359251075017E-2</v>
      </c>
      <c r="D29" s="110">
        <v>6.3234976137491086E-2</v>
      </c>
      <c r="E29" s="110">
        <v>0.19582723961410456</v>
      </c>
      <c r="F29" s="110">
        <v>4.7876794365174676E-2</v>
      </c>
      <c r="G29" s="110">
        <v>7.8185429800687906E-2</v>
      </c>
      <c r="H29" s="110">
        <v>5.1484501947469417E-2</v>
      </c>
      <c r="I29" s="110">
        <v>2.753077297014532E-2</v>
      </c>
      <c r="J29" s="110">
        <v>4.355011373576461E-2</v>
      </c>
      <c r="K29" s="110">
        <v>4.7609814863221543E-2</v>
      </c>
      <c r="L29" s="110">
        <v>5.1239563065194567E-2</v>
      </c>
      <c r="M29" s="110">
        <v>9.3739085501697336E-2</v>
      </c>
    </row>
    <row r="30" spans="1:30" x14ac:dyDescent="0.25">
      <c r="A30" s="109" t="s">
        <v>393</v>
      </c>
      <c r="B30" s="110">
        <v>0</v>
      </c>
      <c r="C30" s="110">
        <v>3.0197844288849987E-2</v>
      </c>
      <c r="D30" s="110">
        <v>2.9485432644408789E-2</v>
      </c>
      <c r="E30" s="110">
        <v>6.7052641538813421E-2</v>
      </c>
      <c r="F30" s="110">
        <v>0.17831232514142095</v>
      </c>
      <c r="G30" s="110">
        <v>0</v>
      </c>
      <c r="H30" s="110">
        <v>1.7665456877294854E-2</v>
      </c>
      <c r="I30" s="110">
        <v>0</v>
      </c>
      <c r="J30" s="110">
        <v>0.11831466859787645</v>
      </c>
      <c r="K30" s="110">
        <v>1.2160610985464093E-2</v>
      </c>
      <c r="L30" s="110">
        <v>9.3120738649035584E-2</v>
      </c>
      <c r="M30" s="110">
        <v>8.3963175378406751E-2</v>
      </c>
    </row>
    <row r="31" spans="1:30" x14ac:dyDescent="0.25">
      <c r="A31" s="109" t="s">
        <v>13</v>
      </c>
      <c r="B31" s="110">
        <v>7.2956675043308883E-2</v>
      </c>
      <c r="C31" s="110">
        <v>4.6103579066946544E-2</v>
      </c>
      <c r="D31" s="110">
        <v>9.3111892561290904E-2</v>
      </c>
      <c r="E31" s="110">
        <v>0</v>
      </c>
      <c r="F31" s="110">
        <v>3.2467648423419697E-2</v>
      </c>
      <c r="G31" s="110">
        <v>6.4717323360537621E-2</v>
      </c>
      <c r="H31" s="110">
        <v>2.944242812882476E-2</v>
      </c>
      <c r="I31" s="110">
        <v>1.1305090476694559E-2</v>
      </c>
      <c r="J31" s="110">
        <v>5.2631080337133651E-2</v>
      </c>
      <c r="K31" s="110">
        <v>4.5460227983043333E-2</v>
      </c>
      <c r="L31" s="110">
        <v>7.592396139342486E-2</v>
      </c>
      <c r="M31" s="110">
        <v>3.8857149408400904E-2</v>
      </c>
    </row>
    <row r="32" spans="1:30" x14ac:dyDescent="0.25">
      <c r="A32" s="109" t="s">
        <v>106</v>
      </c>
      <c r="B32" s="110">
        <v>7.0804453129531264E-2</v>
      </c>
      <c r="C32" s="110">
        <v>9.7370758989391099E-2</v>
      </c>
      <c r="D32" s="110">
        <v>0</v>
      </c>
      <c r="E32" s="110">
        <v>0</v>
      </c>
      <c r="F32" s="110">
        <v>0</v>
      </c>
      <c r="G32" s="110">
        <v>0</v>
      </c>
      <c r="H32" s="110">
        <v>0</v>
      </c>
      <c r="I32" s="110">
        <v>7.584687974364168E-3</v>
      </c>
      <c r="J32" s="110">
        <v>0</v>
      </c>
      <c r="K32" s="110">
        <v>1.4547272954573868E-2</v>
      </c>
      <c r="L32" s="110">
        <v>0.10431952295456576</v>
      </c>
      <c r="M32" s="110">
        <v>0</v>
      </c>
    </row>
    <row r="33" spans="1:13" x14ac:dyDescent="0.25">
      <c r="A33" s="109" t="s">
        <v>194</v>
      </c>
      <c r="B33" s="110">
        <v>2.0857219044756358E-2</v>
      </c>
      <c r="C33" s="110">
        <v>2.227494422619522E-2</v>
      </c>
      <c r="D33" s="110">
        <v>5.8453576996810403E-3</v>
      </c>
      <c r="E33" s="110">
        <v>0</v>
      </c>
      <c r="F33" s="110">
        <v>1.0811726924998759E-2</v>
      </c>
      <c r="G33" s="110">
        <v>2.4031699407879636E-2</v>
      </c>
      <c r="H33" s="110">
        <v>1.4220692786222358E-2</v>
      </c>
      <c r="I33" s="110">
        <v>1.3155014372880941E-3</v>
      </c>
      <c r="J33" s="110">
        <v>2.3418093933846942E-2</v>
      </c>
      <c r="K33" s="110">
        <v>3.4371796474559319E-2</v>
      </c>
      <c r="L33" s="110">
        <v>2.1938987884244046E-2</v>
      </c>
      <c r="M33" s="110">
        <v>5.6824793563716482E-2</v>
      </c>
    </row>
    <row r="34" spans="1:13" x14ac:dyDescent="0.25">
      <c r="A34" s="109" t="s">
        <v>10</v>
      </c>
      <c r="B34" s="110">
        <v>1.1709546344451075E-2</v>
      </c>
      <c r="C34" s="110">
        <v>9.4973372877909887E-3</v>
      </c>
      <c r="D34" s="110">
        <v>4.4279877795813903E-3</v>
      </c>
      <c r="E34" s="110">
        <v>8.1208199197007353E-3</v>
      </c>
      <c r="F34" s="110">
        <v>2.4350736317564773E-3</v>
      </c>
      <c r="G34" s="110">
        <v>1.41083764925972E-2</v>
      </c>
      <c r="H34" s="110">
        <v>1.5207014128537987E-2</v>
      </c>
      <c r="I34" s="110">
        <v>1.4861055299363938E-2</v>
      </c>
      <c r="J34" s="110">
        <v>2.3262937509013076E-2</v>
      </c>
      <c r="K34" s="110">
        <v>2.9674163815931538E-2</v>
      </c>
      <c r="L34" s="110">
        <v>1.55273991544728E-2</v>
      </c>
      <c r="M34" s="110">
        <v>1.7545088010010312E-2</v>
      </c>
    </row>
    <row r="35" spans="1:13" x14ac:dyDescent="0.25">
      <c r="A35" s="111" t="s">
        <v>296</v>
      </c>
      <c r="B35" s="110">
        <v>7.7064135848247169E-3</v>
      </c>
      <c r="C35" s="110">
        <v>7.1188536437272161E-3</v>
      </c>
      <c r="D35" s="110">
        <v>6.298709158796126E-3</v>
      </c>
      <c r="E35" s="110">
        <v>1.8490883448353448E-2</v>
      </c>
      <c r="F35" s="110">
        <v>1.7207853664412437E-3</v>
      </c>
      <c r="G35" s="110">
        <v>9.4504550059281052E-3</v>
      </c>
      <c r="H35" s="110">
        <v>1.3080093120511683E-2</v>
      </c>
      <c r="I35" s="110">
        <v>8.6500385914679481E-3</v>
      </c>
      <c r="J35" s="110">
        <v>1.5928480677551479E-2</v>
      </c>
      <c r="K35" s="110">
        <v>2.0350271056609349E-2</v>
      </c>
      <c r="L35" s="110">
        <v>1.59569389660561E-2</v>
      </c>
      <c r="M35" s="110">
        <v>3.107650682006436E-2</v>
      </c>
    </row>
    <row r="36" spans="1:13" x14ac:dyDescent="0.25">
      <c r="A36" s="109" t="s">
        <v>58</v>
      </c>
      <c r="B36" s="110">
        <v>1.6050468509527953E-2</v>
      </c>
      <c r="C36" s="110">
        <v>1.2475628495515735E-2</v>
      </c>
      <c r="D36" s="110">
        <v>9.1042739393262222E-3</v>
      </c>
      <c r="E36" s="110">
        <v>2.6821056615525366E-2</v>
      </c>
      <c r="F36" s="110">
        <v>9.7402945270259091E-3</v>
      </c>
      <c r="G36" s="110">
        <v>2.0925267886573829E-2</v>
      </c>
      <c r="H36" s="110">
        <v>9.1271527199356748E-3</v>
      </c>
      <c r="I36" s="110">
        <v>7.3996955847455293E-3</v>
      </c>
      <c r="J36" s="110">
        <v>6.1052053191075033E-3</v>
      </c>
      <c r="K36" s="110">
        <v>1.5834024707633908E-2</v>
      </c>
      <c r="L36" s="110">
        <v>1.4321347027738247E-2</v>
      </c>
      <c r="M36" s="110">
        <v>1.7647451417303256E-2</v>
      </c>
    </row>
    <row r="37" spans="1:13" x14ac:dyDescent="0.25">
      <c r="A37" s="109" t="s">
        <v>543</v>
      </c>
      <c r="B37" s="110">
        <v>1.5320901759094865E-2</v>
      </c>
      <c r="C37" s="110">
        <v>1.9363503208117548E-2</v>
      </c>
      <c r="D37" s="110">
        <v>8.6904433057204845E-3</v>
      </c>
      <c r="E37" s="110">
        <v>4.1509310259277662E-2</v>
      </c>
      <c r="F37" s="110">
        <v>1.3675373515944374E-3</v>
      </c>
      <c r="G37" s="110">
        <v>0</v>
      </c>
      <c r="H37" s="110">
        <v>0</v>
      </c>
      <c r="I37" s="110">
        <v>0</v>
      </c>
      <c r="J37" s="110">
        <v>0</v>
      </c>
      <c r="K37" s="110">
        <v>9.5466478764391002E-3</v>
      </c>
      <c r="L37" s="110">
        <v>7.9720159463096095E-3</v>
      </c>
      <c r="M37" s="110">
        <v>8.5985262126071545E-3</v>
      </c>
    </row>
    <row r="38" spans="1:13" x14ac:dyDescent="0.25">
      <c r="A38" s="111" t="s">
        <v>301</v>
      </c>
      <c r="B38" s="110">
        <v>1.4591335008661776E-3</v>
      </c>
      <c r="C38" s="110">
        <v>7.9805295364884458E-3</v>
      </c>
      <c r="D38" s="110">
        <v>2.0070785729878261E-4</v>
      </c>
      <c r="E38" s="110">
        <v>1.4900587008625204E-3</v>
      </c>
      <c r="F38" s="110">
        <v>0</v>
      </c>
      <c r="G38" s="110">
        <v>1.0686987330936779E-3</v>
      </c>
      <c r="H38" s="110">
        <v>7.1344891841768152E-3</v>
      </c>
      <c r="I38" s="110">
        <v>1.3730546251694483E-4</v>
      </c>
      <c r="J38" s="110">
        <v>3.3915468169248923E-4</v>
      </c>
      <c r="K38" s="110">
        <v>7.3861505415449653E-3</v>
      </c>
      <c r="L38" s="110">
        <v>1.8857424101188416E-2</v>
      </c>
      <c r="M38" s="110">
        <v>1.1573616282169231E-2</v>
      </c>
    </row>
    <row r="39" spans="1:13" x14ac:dyDescent="0.25">
      <c r="A39" s="109" t="s">
        <v>29</v>
      </c>
      <c r="B39" s="110">
        <v>0</v>
      </c>
      <c r="C39" s="110">
        <v>0</v>
      </c>
      <c r="D39" s="110">
        <v>0</v>
      </c>
      <c r="E39" s="110">
        <v>0</v>
      </c>
      <c r="F39" s="110">
        <v>0</v>
      </c>
      <c r="G39" s="110">
        <v>0</v>
      </c>
      <c r="H39" s="110">
        <v>0</v>
      </c>
      <c r="I39" s="110">
        <v>0</v>
      </c>
      <c r="J39" s="110">
        <v>1.0526216067426731E-2</v>
      </c>
      <c r="K39" s="110">
        <v>0</v>
      </c>
      <c r="L39" s="110">
        <v>2.2777188418027457E-2</v>
      </c>
      <c r="M39" s="110">
        <v>0</v>
      </c>
    </row>
    <row r="40" spans="1:13" x14ac:dyDescent="0.25">
      <c r="A40" s="111" t="s">
        <v>3</v>
      </c>
      <c r="B40" s="110">
        <v>0</v>
      </c>
      <c r="C40" s="110">
        <v>0</v>
      </c>
      <c r="D40" s="110">
        <v>0</v>
      </c>
      <c r="E40" s="110">
        <v>0</v>
      </c>
      <c r="F40" s="110">
        <v>0</v>
      </c>
      <c r="G40" s="110">
        <v>0</v>
      </c>
      <c r="H40" s="110">
        <v>0</v>
      </c>
      <c r="I40" s="110">
        <v>2.2445743273728107E-2</v>
      </c>
      <c r="J40" s="110">
        <v>0</v>
      </c>
      <c r="K40" s="110">
        <v>0</v>
      </c>
      <c r="L40" s="110">
        <v>0</v>
      </c>
      <c r="M40" s="110">
        <v>0</v>
      </c>
    </row>
    <row r="41" spans="1:13" x14ac:dyDescent="0.25">
      <c r="A41" s="109" t="s">
        <v>7</v>
      </c>
      <c r="B41" s="110">
        <v>8.7584488389492315E-4</v>
      </c>
      <c r="C41" s="110">
        <v>3.6882863253557234E-4</v>
      </c>
      <c r="D41" s="110">
        <v>5.7956980236483521E-4</v>
      </c>
      <c r="E41" s="110">
        <v>2.9801174017250406E-4</v>
      </c>
      <c r="F41" s="110">
        <v>1.2993552899052564E-3</v>
      </c>
      <c r="G41" s="110">
        <v>3.4515905792286729E-4</v>
      </c>
      <c r="H41" s="110">
        <v>2.7072312664454365E-3</v>
      </c>
      <c r="I41" s="110">
        <v>9.8662607796607066E-4</v>
      </c>
      <c r="J41" s="110">
        <v>2.7334477883893733E-3</v>
      </c>
      <c r="K41" s="110">
        <v>1.2501562695336917E-3</v>
      </c>
      <c r="L41" s="110">
        <v>2.1120147960615961E-3</v>
      </c>
      <c r="M41" s="110">
        <v>1.606081860426265E-3</v>
      </c>
    </row>
    <row r="43" spans="1:13" x14ac:dyDescent="0.25">
      <c r="A43" t="b">
        <f>A7=A26</f>
        <v>1</v>
      </c>
    </row>
    <row r="44" spans="1:13" x14ac:dyDescent="0.25">
      <c r="A44" t="b">
        <f t="shared" ref="A44:A59" si="24">A8=A27</f>
        <v>1</v>
      </c>
    </row>
    <row r="45" spans="1:13" x14ac:dyDescent="0.25">
      <c r="A45" t="b">
        <f t="shared" si="24"/>
        <v>1</v>
      </c>
    </row>
    <row r="46" spans="1:13" x14ac:dyDescent="0.25">
      <c r="A46" t="b">
        <f t="shared" si="24"/>
        <v>0</v>
      </c>
    </row>
    <row r="47" spans="1:13" x14ac:dyDescent="0.25">
      <c r="A47" t="b">
        <f t="shared" si="24"/>
        <v>0</v>
      </c>
    </row>
    <row r="48" spans="1:13" x14ac:dyDescent="0.25">
      <c r="A48" t="b">
        <f t="shared" si="24"/>
        <v>0</v>
      </c>
    </row>
    <row r="49" spans="1:1" x14ac:dyDescent="0.25">
      <c r="A49" t="b">
        <f t="shared" si="24"/>
        <v>0</v>
      </c>
    </row>
    <row r="50" spans="1:1" x14ac:dyDescent="0.25">
      <c r="A50" t="b">
        <f t="shared" si="24"/>
        <v>1</v>
      </c>
    </row>
    <row r="51" spans="1:1" x14ac:dyDescent="0.25">
      <c r="A51" t="b">
        <f t="shared" si="24"/>
        <v>0</v>
      </c>
    </row>
    <row r="52" spans="1:1" x14ac:dyDescent="0.25">
      <c r="A52" t="b">
        <f t="shared" si="24"/>
        <v>0</v>
      </c>
    </row>
    <row r="53" spans="1:1" x14ac:dyDescent="0.25">
      <c r="A53" t="b">
        <f t="shared" si="24"/>
        <v>1</v>
      </c>
    </row>
    <row r="54" spans="1:1" x14ac:dyDescent="0.25">
      <c r="A54" t="b">
        <f t="shared" si="24"/>
        <v>0</v>
      </c>
    </row>
    <row r="55" spans="1:1" x14ac:dyDescent="0.25">
      <c r="A55" t="b">
        <f t="shared" si="24"/>
        <v>0</v>
      </c>
    </row>
    <row r="56" spans="1:1" x14ac:dyDescent="0.25">
      <c r="A56" t="b">
        <f t="shared" si="24"/>
        <v>0</v>
      </c>
    </row>
    <row r="57" spans="1:1" x14ac:dyDescent="0.25">
      <c r="A57" t="b">
        <f t="shared" si="24"/>
        <v>0</v>
      </c>
    </row>
    <row r="58" spans="1:1" x14ac:dyDescent="0.25">
      <c r="A58" t="b">
        <f t="shared" si="24"/>
        <v>1</v>
      </c>
    </row>
    <row r="59" spans="1:1" x14ac:dyDescent="0.25">
      <c r="A59" t="b">
        <f t="shared" si="24"/>
        <v>1</v>
      </c>
    </row>
  </sheetData>
  <conditionalFormatting sqref="A24">
    <cfRule type="containsText" dxfId="2" priority="1" operator="containsText" text="True">
      <formula>NOT(ISERROR(SEARCH("True",A24)))</formula>
    </cfRule>
  </conditionalFormatting>
  <conditionalFormatting sqref="B6:M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M2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:N2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:AB22 AD7:AD2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:AC2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:AD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N29"/>
  <sheetViews>
    <sheetView workbookViewId="0">
      <pane xSplit="1" ySplit="2" topLeftCell="AP3" activePane="bottomRight" state="frozen"/>
      <selection activeCell="F7" sqref="F7"/>
      <selection pane="topRight" activeCell="F7" sqref="F7"/>
      <selection pane="bottomLeft" activeCell="F7" sqref="F7"/>
      <selection pane="bottomRight" activeCell="BE29" sqref="BE29"/>
    </sheetView>
  </sheetViews>
  <sheetFormatPr defaultColWidth="8.85546875" defaultRowHeight="15" x14ac:dyDescent="0.25"/>
  <cols>
    <col min="1" max="1" width="12.28515625" style="74" bestFit="1" customWidth="1"/>
    <col min="2" max="2" width="9.7109375" style="9" bestFit="1" customWidth="1"/>
    <col min="3" max="3" width="9.42578125" style="9" bestFit="1" customWidth="1"/>
    <col min="4" max="4" width="9.28515625" style="9" bestFit="1" customWidth="1"/>
    <col min="5" max="5" width="9.7109375" style="9" bestFit="1" customWidth="1"/>
    <col min="6" max="6" width="9.5703125" style="9" bestFit="1" customWidth="1"/>
    <col min="7" max="7" width="9.28515625" style="9" bestFit="1" customWidth="1"/>
    <col min="8" max="8" width="9.42578125" style="9" bestFit="1" customWidth="1"/>
    <col min="9" max="9" width="9.85546875" style="9" bestFit="1" customWidth="1"/>
    <col min="10" max="10" width="9.42578125" style="9" bestFit="1" customWidth="1"/>
    <col min="11" max="11" width="10.140625" style="9" bestFit="1" customWidth="1"/>
    <col min="12" max="12" width="9.28515625" style="9" bestFit="1" customWidth="1"/>
    <col min="13" max="13" width="8.7109375" style="9" bestFit="1" customWidth="1"/>
    <col min="14" max="14" width="9.7109375" style="9" bestFit="1" customWidth="1"/>
    <col min="15" max="15" width="9.42578125" style="9" bestFit="1" customWidth="1"/>
    <col min="16" max="16" width="9.28515625" style="9" bestFit="1" customWidth="1"/>
    <col min="17" max="17" width="9.7109375" style="9" bestFit="1" customWidth="1"/>
    <col min="18" max="18" width="9.5703125" style="9" bestFit="1" customWidth="1"/>
    <col min="19" max="19" width="9.28515625" style="9" bestFit="1" customWidth="1"/>
    <col min="20" max="20" width="9.42578125" style="9" bestFit="1" customWidth="1"/>
    <col min="21" max="21" width="9.85546875" style="9" bestFit="1" customWidth="1"/>
    <col min="22" max="22" width="9.42578125" style="9" bestFit="1" customWidth="1"/>
    <col min="23" max="23" width="10.140625" style="9" bestFit="1" customWidth="1"/>
    <col min="24" max="24" width="9.28515625" style="9" bestFit="1" customWidth="1"/>
    <col min="25" max="25" width="8.7109375" style="9" bestFit="1" customWidth="1"/>
    <col min="26" max="26" width="9.7109375" style="9" bestFit="1" customWidth="1"/>
    <col min="27" max="27" width="9.42578125" style="9" bestFit="1" customWidth="1"/>
    <col min="28" max="28" width="9.28515625" style="9" bestFit="1" customWidth="1"/>
    <col min="29" max="29" width="9.7109375" style="9" bestFit="1" customWidth="1"/>
    <col min="30" max="30" width="9.5703125" style="9" bestFit="1" customWidth="1"/>
    <col min="31" max="31" width="9.28515625" style="9" bestFit="1" customWidth="1"/>
    <col min="32" max="32" width="9.42578125" style="9" bestFit="1" customWidth="1"/>
    <col min="33" max="33" width="9.85546875" style="9" bestFit="1" customWidth="1"/>
    <col min="34" max="34" width="9.42578125" style="9" bestFit="1" customWidth="1"/>
    <col min="35" max="35" width="10.140625" style="9" bestFit="1" customWidth="1"/>
    <col min="36" max="36" width="9.28515625" style="9" bestFit="1" customWidth="1"/>
    <col min="37" max="37" width="8.7109375" style="9" bestFit="1" customWidth="1"/>
    <col min="38" max="38" width="9.7109375" style="9" bestFit="1" customWidth="1"/>
    <col min="39" max="39" width="9.42578125" style="9" bestFit="1" customWidth="1"/>
    <col min="40" max="40" width="9.28515625" style="9" bestFit="1" customWidth="1"/>
    <col min="41" max="41" width="9.7109375" style="9" bestFit="1" customWidth="1"/>
    <col min="42" max="42" width="9.5703125" style="9" bestFit="1" customWidth="1"/>
    <col min="43" max="43" width="9.28515625" style="9" bestFit="1" customWidth="1"/>
    <col min="44" max="44" width="9.42578125" style="9" bestFit="1" customWidth="1"/>
    <col min="45" max="45" width="9.85546875" style="9" bestFit="1" customWidth="1"/>
    <col min="46" max="46" width="9.42578125" style="9" bestFit="1" customWidth="1"/>
    <col min="47" max="47" width="10.140625" style="9" bestFit="1" customWidth="1"/>
    <col min="48" max="48" width="9.28515625" style="9" bestFit="1" customWidth="1"/>
    <col min="49" max="49" width="8.7109375" style="9" bestFit="1" customWidth="1"/>
    <col min="50" max="50" width="9.7109375" style="9" bestFit="1" customWidth="1"/>
    <col min="51" max="51" width="9.42578125" style="9" bestFit="1" customWidth="1"/>
    <col min="52" max="52" width="9.28515625" style="9" bestFit="1" customWidth="1"/>
    <col min="53" max="53" width="9.7109375" style="9" bestFit="1" customWidth="1"/>
    <col min="54" max="54" width="9.5703125" style="9" bestFit="1" customWidth="1"/>
    <col min="55" max="55" width="9.42578125" style="9" bestFit="1" customWidth="1"/>
    <col min="56" max="56" width="10.140625" style="9" bestFit="1" customWidth="1"/>
    <col min="57" max="57" width="10.28515625" style="9" bestFit="1" customWidth="1"/>
    <col min="58" max="58" width="9.85546875" style="9" bestFit="1" customWidth="1"/>
    <col min="59" max="59" width="10.5703125" style="9" bestFit="1" customWidth="1"/>
    <col min="60" max="60" width="9.5703125" style="9" bestFit="1" customWidth="1"/>
    <col min="61" max="61" width="9" style="9" bestFit="1" customWidth="1"/>
    <col min="62" max="62" width="10.140625" style="9" bestFit="1" customWidth="1"/>
    <col min="63" max="63" width="9.85546875" style="9" bestFit="1" customWidth="1"/>
    <col min="64" max="64" width="9.7109375" style="9" bestFit="1" customWidth="1"/>
    <col min="65" max="65" width="10.28515625" style="9" bestFit="1" customWidth="1"/>
    <col min="66" max="66" width="9.85546875" style="9" bestFit="1" customWidth="1"/>
    <col min="67" max="16384" width="8.85546875" style="9"/>
  </cols>
  <sheetData>
    <row r="1" spans="1:66" s="74" customFormat="1" ht="15.75" x14ac:dyDescent="0.25">
      <c r="A1" s="73" t="s">
        <v>556</v>
      </c>
      <c r="B1" s="75">
        <v>43678</v>
      </c>
      <c r="C1" s="75">
        <v>43709</v>
      </c>
      <c r="D1" s="75">
        <v>43739</v>
      </c>
      <c r="E1" s="75">
        <v>43770</v>
      </c>
      <c r="F1" s="75">
        <v>43800</v>
      </c>
      <c r="G1" s="75">
        <v>43831</v>
      </c>
      <c r="H1" s="75">
        <v>43862</v>
      </c>
      <c r="I1" s="75">
        <v>43891</v>
      </c>
      <c r="J1" s="75">
        <v>43922</v>
      </c>
      <c r="K1" s="75">
        <v>43952</v>
      </c>
      <c r="L1" s="75">
        <v>43983</v>
      </c>
      <c r="M1" s="75">
        <v>44013</v>
      </c>
      <c r="N1" s="75">
        <v>44044</v>
      </c>
      <c r="O1" s="75">
        <v>44075</v>
      </c>
      <c r="P1" s="75">
        <v>44105</v>
      </c>
      <c r="Q1" s="75">
        <v>44136</v>
      </c>
      <c r="R1" s="75">
        <v>44166</v>
      </c>
      <c r="S1" s="75">
        <v>44197</v>
      </c>
      <c r="T1" s="75">
        <v>44228</v>
      </c>
      <c r="U1" s="75">
        <v>44256</v>
      </c>
      <c r="V1" s="75">
        <v>44287</v>
      </c>
      <c r="W1" s="75">
        <v>44317</v>
      </c>
      <c r="X1" s="75">
        <v>44348</v>
      </c>
      <c r="Y1" s="75">
        <v>44378</v>
      </c>
      <c r="Z1" s="75">
        <v>44409</v>
      </c>
      <c r="AA1" s="75">
        <v>44440</v>
      </c>
      <c r="AB1" s="75">
        <v>44470</v>
      </c>
      <c r="AC1" s="75">
        <v>44501</v>
      </c>
      <c r="AD1" s="75">
        <v>44531</v>
      </c>
      <c r="AE1" s="75">
        <v>44562</v>
      </c>
      <c r="AF1" s="75">
        <v>44593</v>
      </c>
      <c r="AG1" s="75">
        <v>44621</v>
      </c>
      <c r="AH1" s="75">
        <v>44652</v>
      </c>
      <c r="AI1" s="75">
        <v>44682</v>
      </c>
      <c r="AJ1" s="75">
        <v>44713</v>
      </c>
      <c r="AK1" s="75">
        <v>44743</v>
      </c>
      <c r="AL1" s="75">
        <v>44774</v>
      </c>
      <c r="AM1" s="75">
        <v>44805</v>
      </c>
      <c r="AN1" s="75">
        <v>44835</v>
      </c>
      <c r="AO1" s="75">
        <v>44866</v>
      </c>
      <c r="AP1" s="75">
        <v>44896</v>
      </c>
      <c r="AQ1" s="75">
        <v>44927</v>
      </c>
      <c r="AR1" s="75">
        <v>44958</v>
      </c>
      <c r="AS1" s="75">
        <v>44986</v>
      </c>
      <c r="AT1" s="75">
        <v>45017</v>
      </c>
      <c r="AU1" s="75">
        <v>45047</v>
      </c>
      <c r="AV1" s="75">
        <v>45078</v>
      </c>
      <c r="AW1" s="75">
        <v>45108</v>
      </c>
      <c r="AX1" s="75">
        <v>45139</v>
      </c>
      <c r="AY1" s="75">
        <v>45170</v>
      </c>
      <c r="AZ1" s="75">
        <v>45200</v>
      </c>
      <c r="BA1" s="75">
        <v>45231</v>
      </c>
      <c r="BB1" s="75">
        <v>45261</v>
      </c>
      <c r="BC1" s="75">
        <v>45292</v>
      </c>
      <c r="BD1" s="75">
        <v>45323</v>
      </c>
      <c r="BE1" s="75">
        <v>45352</v>
      </c>
      <c r="BF1" s="75">
        <v>45383</v>
      </c>
      <c r="BG1" s="75">
        <v>45413</v>
      </c>
      <c r="BH1" s="75">
        <v>45444</v>
      </c>
      <c r="BI1" s="75">
        <v>45474</v>
      </c>
      <c r="BJ1" s="75">
        <v>45505</v>
      </c>
      <c r="BK1" s="75">
        <v>45536</v>
      </c>
      <c r="BL1" s="75">
        <v>45566</v>
      </c>
      <c r="BM1" s="75">
        <v>45597</v>
      </c>
      <c r="BN1" s="75">
        <v>45627</v>
      </c>
    </row>
    <row r="2" spans="1:66" s="74" customFormat="1" ht="15.75" x14ac:dyDescent="0.25">
      <c r="A2" s="76" t="s">
        <v>18</v>
      </c>
      <c r="B2" s="80">
        <f>SUM(B3:B18)</f>
        <v>1.0000039496326791</v>
      </c>
      <c r="C2" s="80">
        <f>SUM(C3:C18)</f>
        <v>0.99996645324392253</v>
      </c>
      <c r="D2" s="80">
        <f>SUM(D3:D18)</f>
        <v>0.99997956453218817</v>
      </c>
      <c r="E2" s="80">
        <f>SUM(E3:E18)</f>
        <v>1.0000185580064096</v>
      </c>
      <c r="F2" s="80">
        <f t="shared" ref="F2:U2" si="0">SUM(F3:F18)</f>
        <v>1.0000185580064096</v>
      </c>
      <c r="G2" s="80">
        <f t="shared" si="0"/>
        <v>1.000020949591647</v>
      </c>
      <c r="H2" s="80">
        <f t="shared" si="0"/>
        <v>1.0000249158883827</v>
      </c>
      <c r="I2" s="80">
        <f t="shared" si="0"/>
        <v>1.0000249158883827</v>
      </c>
      <c r="J2" s="80">
        <f t="shared" si="0"/>
        <v>1.0000149158883829</v>
      </c>
      <c r="K2" s="80">
        <f t="shared" si="0"/>
        <v>1.0000349158883828</v>
      </c>
      <c r="L2" s="80">
        <f t="shared" si="0"/>
        <v>0.99996368538578306</v>
      </c>
      <c r="M2" s="80">
        <f t="shared" si="0"/>
        <v>0.99999383049641677</v>
      </c>
      <c r="N2" s="80">
        <f t="shared" si="0"/>
        <v>0.99998259129967848</v>
      </c>
      <c r="O2" s="80">
        <f t="shared" si="0"/>
        <v>0.9999870109216612</v>
      </c>
      <c r="P2" s="80">
        <f t="shared" si="0"/>
        <v>1.0000444449292007</v>
      </c>
      <c r="Q2" s="80">
        <f t="shared" si="0"/>
        <v>1.0000246198125657</v>
      </c>
      <c r="R2" s="80">
        <f t="shared" si="0"/>
        <v>0.99996301429473011</v>
      </c>
      <c r="S2" s="80">
        <f t="shared" si="0"/>
        <v>0.99996953923309306</v>
      </c>
      <c r="T2" s="80">
        <f t="shared" si="0"/>
        <v>0.99999999999999989</v>
      </c>
      <c r="U2" s="80">
        <f t="shared" si="0"/>
        <v>1.0000000000000002</v>
      </c>
      <c r="V2" s="80">
        <f t="shared" ref="V2:Z2" si="1">SUM(V3:V18)</f>
        <v>0.99999999999999989</v>
      </c>
      <c r="W2" s="80">
        <f t="shared" si="1"/>
        <v>0.99999999999999989</v>
      </c>
      <c r="X2" s="80">
        <f t="shared" si="1"/>
        <v>1.0000000000000002</v>
      </c>
      <c r="Y2" s="80">
        <f t="shared" si="1"/>
        <v>1</v>
      </c>
      <c r="Z2" s="80">
        <f t="shared" si="1"/>
        <v>0.99999999999999989</v>
      </c>
      <c r="AA2" s="80">
        <f t="shared" ref="AA2:AE2" si="2">SUM(AA3:AA18)</f>
        <v>1</v>
      </c>
      <c r="AB2" s="80">
        <f t="shared" si="2"/>
        <v>1</v>
      </c>
      <c r="AC2" s="80">
        <f t="shared" si="2"/>
        <v>1</v>
      </c>
      <c r="AD2" s="80">
        <f t="shared" si="2"/>
        <v>0.99999999999999989</v>
      </c>
      <c r="AE2" s="80">
        <f t="shared" si="2"/>
        <v>1</v>
      </c>
      <c r="AF2" s="80">
        <f t="shared" ref="AF2:AP2" si="3">SUM(AF3:AF18)</f>
        <v>1</v>
      </c>
      <c r="AG2" s="80">
        <f t="shared" si="3"/>
        <v>1</v>
      </c>
      <c r="AH2" s="80">
        <f t="shared" si="3"/>
        <v>1</v>
      </c>
      <c r="AI2" s="80">
        <f t="shared" si="3"/>
        <v>1</v>
      </c>
      <c r="AJ2" s="80">
        <f t="shared" si="3"/>
        <v>1.0000000000000002</v>
      </c>
      <c r="AK2" s="80">
        <f t="shared" si="3"/>
        <v>1</v>
      </c>
      <c r="AL2" s="80">
        <f t="shared" si="3"/>
        <v>1</v>
      </c>
      <c r="AM2" s="80">
        <f t="shared" si="3"/>
        <v>0.99999999999999978</v>
      </c>
      <c r="AN2" s="80">
        <f t="shared" si="3"/>
        <v>1</v>
      </c>
      <c r="AO2" s="80">
        <f t="shared" si="3"/>
        <v>0.99999999999999989</v>
      </c>
      <c r="AP2" s="80">
        <f t="shared" si="3"/>
        <v>1.0000000000000002</v>
      </c>
      <c r="AQ2" s="80">
        <f t="shared" ref="AQ2:BB2" si="4">SUM(AQ3:AQ18)</f>
        <v>1.0000000000000002</v>
      </c>
      <c r="AR2" s="80">
        <f t="shared" si="4"/>
        <v>0.99999999999999978</v>
      </c>
      <c r="AS2" s="80">
        <f t="shared" si="4"/>
        <v>1</v>
      </c>
      <c r="AT2" s="80">
        <f t="shared" si="4"/>
        <v>0.99999999999999989</v>
      </c>
      <c r="AU2" s="80">
        <f t="shared" si="4"/>
        <v>1.0000000000000002</v>
      </c>
      <c r="AV2" s="80">
        <f t="shared" si="4"/>
        <v>1.0000000000000002</v>
      </c>
      <c r="AW2" s="80">
        <f t="shared" si="4"/>
        <v>1</v>
      </c>
      <c r="AX2" s="80">
        <f t="shared" si="4"/>
        <v>0.99999999999999989</v>
      </c>
      <c r="AY2" s="80">
        <f t="shared" si="4"/>
        <v>0.99999999999999989</v>
      </c>
      <c r="AZ2" s="80">
        <f t="shared" si="4"/>
        <v>1</v>
      </c>
      <c r="BA2" s="80">
        <f t="shared" si="4"/>
        <v>1</v>
      </c>
      <c r="BB2" s="80">
        <f t="shared" si="4"/>
        <v>1</v>
      </c>
      <c r="BC2" s="80">
        <f t="shared" ref="BC2:BN2" si="5">SUM(BC3:BC18)</f>
        <v>1</v>
      </c>
      <c r="BD2" s="80">
        <f t="shared" si="5"/>
        <v>0.99999999999999989</v>
      </c>
      <c r="BE2" s="80">
        <f t="shared" si="5"/>
        <v>1</v>
      </c>
      <c r="BF2" s="80">
        <f t="shared" si="5"/>
        <v>1</v>
      </c>
      <c r="BG2" s="80">
        <f t="shared" si="5"/>
        <v>1</v>
      </c>
      <c r="BH2" s="80">
        <f t="shared" si="5"/>
        <v>1</v>
      </c>
      <c r="BI2" s="80">
        <f t="shared" si="5"/>
        <v>1</v>
      </c>
      <c r="BJ2" s="80">
        <f t="shared" si="5"/>
        <v>0.99999999999999989</v>
      </c>
      <c r="BK2" s="80">
        <f t="shared" si="5"/>
        <v>1</v>
      </c>
      <c r="BL2" s="80">
        <f t="shared" si="5"/>
        <v>0.99999999999999989</v>
      </c>
      <c r="BM2" s="80">
        <f t="shared" si="5"/>
        <v>1.0000000000000002</v>
      </c>
      <c r="BN2" s="80">
        <f t="shared" si="5"/>
        <v>1.0000000000000002</v>
      </c>
    </row>
    <row r="3" spans="1:66" ht="15.75" x14ac:dyDescent="0.25">
      <c r="A3" s="76" t="s">
        <v>83</v>
      </c>
      <c r="B3" s="81">
        <v>0.2913</v>
      </c>
      <c r="C3" s="81">
        <v>0.47339999999999999</v>
      </c>
      <c r="D3" s="81">
        <v>0.35320000000000001</v>
      </c>
      <c r="E3" s="81">
        <v>0.35320000000000001</v>
      </c>
      <c r="F3" s="81">
        <v>0.35320000000000001</v>
      </c>
      <c r="G3" s="81">
        <v>0.35320000000000001</v>
      </c>
      <c r="H3" s="81">
        <v>0.35320000000000001</v>
      </c>
      <c r="I3" s="81">
        <v>0.35320000000000001</v>
      </c>
      <c r="J3" s="81">
        <v>0.37140000000000001</v>
      </c>
      <c r="K3" s="81">
        <v>0.37140000000000001</v>
      </c>
      <c r="L3" s="81">
        <v>0.28422876949740034</v>
      </c>
      <c r="M3" s="81">
        <v>0.28422876949740034</v>
      </c>
      <c r="N3" s="81">
        <v>0.33171499999999998</v>
      </c>
      <c r="O3" s="81">
        <v>0.35558252427184467</v>
      </c>
      <c r="P3" s="81">
        <v>0.33373786407766992</v>
      </c>
      <c r="Q3" s="81">
        <v>0.33373786407766992</v>
      </c>
      <c r="R3" s="81">
        <v>0.33373786407766992</v>
      </c>
      <c r="S3" s="81">
        <v>0.33373786407766992</v>
      </c>
      <c r="T3" s="81">
        <v>0.33373786407766992</v>
      </c>
      <c r="U3" s="81">
        <v>0.202206</v>
      </c>
      <c r="V3" s="81">
        <v>0.2213</v>
      </c>
      <c r="W3" s="81">
        <v>0.2213</v>
      </c>
      <c r="X3" s="81">
        <v>0.2213</v>
      </c>
      <c r="Y3" s="81">
        <v>0.2213</v>
      </c>
      <c r="Z3" s="81">
        <v>0.23471</v>
      </c>
      <c r="AA3" s="81">
        <v>0.42920999999999998</v>
      </c>
      <c r="AB3" s="81">
        <v>0.32190999999999997</v>
      </c>
      <c r="AC3" s="81">
        <v>0.24142926122646063</v>
      </c>
      <c r="AD3" s="81">
        <v>0.21596199068963862</v>
      </c>
      <c r="AE3" s="81">
        <v>0.21802325581395349</v>
      </c>
      <c r="AF3" s="81">
        <v>0.21802325581395349</v>
      </c>
      <c r="AG3" s="81">
        <v>0.20478747610812778</v>
      </c>
      <c r="AH3" s="81">
        <v>0.20478747610812778</v>
      </c>
      <c r="AI3" s="81">
        <v>0.20478747610812778</v>
      </c>
      <c r="AJ3" s="81">
        <v>0.20478747610812778</v>
      </c>
      <c r="AK3" s="81">
        <v>0.20478747610812778</v>
      </c>
      <c r="AL3" s="81">
        <v>0.21802325581395349</v>
      </c>
      <c r="AM3" s="81">
        <v>0.25029000000000001</v>
      </c>
      <c r="AN3" s="81">
        <v>0.25029000000000001</v>
      </c>
      <c r="AO3" s="81">
        <v>0.25029000000000001</v>
      </c>
      <c r="AP3" s="81">
        <v>0.25029000000000001</v>
      </c>
      <c r="AQ3" s="81">
        <v>0.25029000000000001</v>
      </c>
      <c r="AR3" s="81">
        <v>0.25029000000000001</v>
      </c>
      <c r="AS3" s="81">
        <v>0.25029000000000001</v>
      </c>
      <c r="AT3" s="81">
        <v>0.25029000000000001</v>
      </c>
      <c r="AU3" s="81">
        <v>0.25029000000000001</v>
      </c>
      <c r="AV3" s="81">
        <v>0.25029000000000001</v>
      </c>
      <c r="AW3" s="81">
        <v>0.25029000000000001</v>
      </c>
      <c r="AX3" s="81">
        <v>0.25029000000000001</v>
      </c>
      <c r="AY3" s="81">
        <v>0.21802325581395299</v>
      </c>
      <c r="AZ3" s="81">
        <v>0.21802325581395299</v>
      </c>
      <c r="BA3" s="81">
        <v>0.18661780673181325</v>
      </c>
      <c r="BB3" s="81">
        <v>0.18661780673181325</v>
      </c>
      <c r="BC3" s="81">
        <v>0.18661780673181325</v>
      </c>
      <c r="BD3" s="81">
        <v>0.18661780673181325</v>
      </c>
      <c r="BE3" s="81">
        <v>0.18661780673181325</v>
      </c>
      <c r="BF3" s="81">
        <v>0.18661780673181325</v>
      </c>
      <c r="BG3" s="81">
        <v>0.18661780673181325</v>
      </c>
      <c r="BH3" s="81">
        <v>0.18661780673181325</v>
      </c>
      <c r="BI3" s="81">
        <v>0.18661780673181325</v>
      </c>
      <c r="BJ3" s="81">
        <v>0.18661780673181325</v>
      </c>
      <c r="BK3" s="81">
        <v>0.18661780673181325</v>
      </c>
      <c r="BL3" s="81">
        <v>0.18661780673181325</v>
      </c>
      <c r="BM3" s="81">
        <v>0.18661780673181325</v>
      </c>
      <c r="BN3" s="81">
        <v>0.18661780673181325</v>
      </c>
    </row>
    <row r="4" spans="1:66" ht="15.75" x14ac:dyDescent="0.25">
      <c r="A4" s="76" t="s">
        <v>302</v>
      </c>
      <c r="B4" s="81">
        <v>0.15049999999999999</v>
      </c>
      <c r="C4" s="81">
        <v>8.3738978903639086E-2</v>
      </c>
      <c r="D4" s="81">
        <v>7.7499999999999999E-2</v>
      </c>
      <c r="E4" s="81">
        <v>0.1081</v>
      </c>
      <c r="F4" s="81">
        <v>8.2100000000000006E-2</v>
      </c>
      <c r="G4" s="81">
        <v>0.14699999999999999</v>
      </c>
      <c r="H4" s="81">
        <v>0.1709</v>
      </c>
      <c r="I4" s="81">
        <v>0.1709</v>
      </c>
      <c r="J4" s="81">
        <v>0.1434</v>
      </c>
      <c r="K4" s="81">
        <v>0.18329999999999999</v>
      </c>
      <c r="L4" s="81">
        <v>0.27039999999999997</v>
      </c>
      <c r="M4" s="81">
        <v>0.3498</v>
      </c>
      <c r="N4" s="81">
        <v>0.22470000000000001</v>
      </c>
      <c r="O4" s="81">
        <v>0.2082</v>
      </c>
      <c r="P4" s="81">
        <v>0.1454</v>
      </c>
      <c r="Q4" s="81">
        <v>0.30270000000000002</v>
      </c>
      <c r="R4" s="81">
        <v>0.25430000000000003</v>
      </c>
      <c r="S4" s="81">
        <v>0.20250000000000001</v>
      </c>
      <c r="T4" s="81">
        <v>0.2402823700582839</v>
      </c>
      <c r="U4" s="81">
        <v>0.37181423413595394</v>
      </c>
      <c r="V4" s="81">
        <v>0.45627706867997764</v>
      </c>
      <c r="W4" s="81">
        <v>0.45627706867997764</v>
      </c>
      <c r="X4" s="81">
        <v>0.46279080785624016</v>
      </c>
      <c r="Y4" s="81">
        <v>0.38379860688797895</v>
      </c>
      <c r="Z4" s="81">
        <v>0.40568238886983043</v>
      </c>
      <c r="AA4" s="81">
        <v>6.5808007637215171E-2</v>
      </c>
      <c r="AB4" s="81">
        <v>0.2001305714762287</v>
      </c>
      <c r="AC4" s="81">
        <v>0.27644143598215998</v>
      </c>
      <c r="AD4" s="81">
        <v>0.27644143598215998</v>
      </c>
      <c r="AE4" s="81">
        <v>0.34042913188021218</v>
      </c>
      <c r="AF4" s="81">
        <v>0.34436294875447138</v>
      </c>
      <c r="AG4" s="81">
        <v>0.39814103004675638</v>
      </c>
      <c r="AH4" s="81">
        <v>0.37576911805588087</v>
      </c>
      <c r="AI4" s="81">
        <v>0.32334780650456385</v>
      </c>
      <c r="AJ4" s="81">
        <v>0.38222598180227685</v>
      </c>
      <c r="AK4" s="81">
        <v>0.32041015377966475</v>
      </c>
      <c r="AL4" s="81">
        <v>0.30858304000636405</v>
      </c>
      <c r="AM4" s="81">
        <v>0.22407966515264754</v>
      </c>
      <c r="AN4" s="81">
        <v>0.21237738039616039</v>
      </c>
      <c r="AO4" s="81">
        <v>0.19944563516524383</v>
      </c>
      <c r="AP4" s="81">
        <v>0.19479799079705074</v>
      </c>
      <c r="AQ4" s="81">
        <v>0.1635221328982277</v>
      </c>
      <c r="AR4" s="81">
        <v>0.18343252643171837</v>
      </c>
      <c r="AS4" s="81">
        <v>0.21992993253660653</v>
      </c>
      <c r="AT4" s="81">
        <v>0.17404988284215106</v>
      </c>
      <c r="AU4" s="81">
        <v>0.27337650560146076</v>
      </c>
      <c r="AV4" s="81">
        <v>0.21815124483773762</v>
      </c>
      <c r="AW4" s="81">
        <v>0.34438324806928577</v>
      </c>
      <c r="AX4" s="81">
        <v>0.23867651965197578</v>
      </c>
      <c r="AY4" s="81">
        <v>7.7364009338694695E-2</v>
      </c>
      <c r="AZ4" s="81">
        <v>2.0714113730820882E-2</v>
      </c>
      <c r="BA4" s="81">
        <v>4.6495652265089005E-2</v>
      </c>
      <c r="BB4" s="81">
        <v>4.1848007896895689E-2</v>
      </c>
      <c r="BC4" s="81">
        <v>0.39767921491139591</v>
      </c>
      <c r="BD4" s="81">
        <v>0.39497695094093532</v>
      </c>
      <c r="BE4" s="81">
        <v>0.44919463085285904</v>
      </c>
      <c r="BF4" s="81">
        <v>0.42676726969304601</v>
      </c>
      <c r="BG4" s="81">
        <v>0.44635376366410728</v>
      </c>
      <c r="BH4" s="81">
        <v>0.51681758436019654</v>
      </c>
      <c r="BI4" s="81">
        <v>0.46994452591966962</v>
      </c>
      <c r="BJ4" s="81">
        <v>0.48211653069804394</v>
      </c>
      <c r="BK4" s="81">
        <v>0.42186828913861052</v>
      </c>
      <c r="BL4" s="81">
        <v>0.31255652034133508</v>
      </c>
      <c r="BM4" s="81">
        <v>0.32406236128403776</v>
      </c>
      <c r="BN4" s="81">
        <v>0.36236515485439857</v>
      </c>
    </row>
    <row r="5" spans="1:66" ht="15.75" x14ac:dyDescent="0.25">
      <c r="A5" s="76" t="s">
        <v>22</v>
      </c>
      <c r="B5" s="81">
        <v>0.2</v>
      </c>
      <c r="C5" s="81">
        <v>0.1297845312333831</v>
      </c>
      <c r="D5" s="81">
        <v>0.1297845312333831</v>
      </c>
      <c r="E5" s="81">
        <v>0.1297845312333831</v>
      </c>
      <c r="F5" s="81">
        <v>0.1297845312333831</v>
      </c>
      <c r="G5" s="81">
        <v>0.1297845312333831</v>
      </c>
      <c r="H5" s="81">
        <v>0.1297845312333831</v>
      </c>
      <c r="I5" s="81">
        <v>0.1297845312333831</v>
      </c>
      <c r="J5" s="81">
        <v>0.1297845312333831</v>
      </c>
      <c r="K5" s="81">
        <v>0.1297845312333831</v>
      </c>
      <c r="L5" s="81">
        <v>0.1297845312333831</v>
      </c>
      <c r="M5" s="81">
        <v>0.11469090756904604</v>
      </c>
      <c r="N5" s="81">
        <v>0.13543527514388876</v>
      </c>
      <c r="O5" s="81">
        <v>0.13935068656551902</v>
      </c>
      <c r="P5" s="81">
        <v>0.10624670343061655</v>
      </c>
      <c r="Q5" s="81">
        <v>4.4558261219561274E-2</v>
      </c>
      <c r="R5" s="81">
        <v>8.9116522439122547E-2</v>
      </c>
      <c r="S5" s="81">
        <v>0.15337023972309954</v>
      </c>
      <c r="T5" s="81">
        <v>0.10608866525739391</v>
      </c>
      <c r="U5" s="81">
        <v>0.10608866525739391</v>
      </c>
      <c r="V5" s="81">
        <v>0.134127</v>
      </c>
      <c r="W5" s="81">
        <v>0.134127</v>
      </c>
      <c r="X5" s="81">
        <v>0.134127</v>
      </c>
      <c r="Y5" s="81">
        <v>0.134127</v>
      </c>
      <c r="Z5" s="81">
        <v>0.15176702904057129</v>
      </c>
      <c r="AA5" s="81">
        <v>0.2571036676910976</v>
      </c>
      <c r="AB5" s="81">
        <v>0.17578586122653242</v>
      </c>
      <c r="AC5" s="81">
        <v>0.1495499893824474</v>
      </c>
      <c r="AD5" s="81">
        <v>0.1495499893824474</v>
      </c>
      <c r="AE5" s="81">
        <v>0.17276495802413983</v>
      </c>
      <c r="AF5" s="81">
        <v>0.15199602207158958</v>
      </c>
      <c r="AG5" s="81">
        <v>0.1536438623634373</v>
      </c>
      <c r="AH5" s="81">
        <v>0.14004288261309228</v>
      </c>
      <c r="AI5" s="81">
        <v>0.12635977067521265</v>
      </c>
      <c r="AJ5" s="81">
        <v>0.12103778692733302</v>
      </c>
      <c r="AK5" s="81">
        <v>0.18961</v>
      </c>
      <c r="AL5" s="81">
        <v>0.18961</v>
      </c>
      <c r="AM5" s="81">
        <v>0.18961</v>
      </c>
      <c r="AN5" s="81">
        <v>0.18961</v>
      </c>
      <c r="AO5" s="81">
        <v>0.18961</v>
      </c>
      <c r="AP5" s="81">
        <v>0.18961</v>
      </c>
      <c r="AQ5" s="81">
        <v>0.18961</v>
      </c>
      <c r="AR5" s="81">
        <v>0.18961</v>
      </c>
      <c r="AS5" s="81">
        <v>0.18961</v>
      </c>
      <c r="AT5" s="81">
        <v>0.18961</v>
      </c>
      <c r="AU5" s="81">
        <v>0.18961</v>
      </c>
      <c r="AV5" s="81">
        <v>0.18961</v>
      </c>
      <c r="AW5" s="81">
        <v>0.18961</v>
      </c>
      <c r="AX5" s="81">
        <v>0.18961</v>
      </c>
      <c r="AY5" s="81">
        <v>0.18961</v>
      </c>
      <c r="AZ5" s="81">
        <v>0.18961</v>
      </c>
      <c r="BA5" s="81">
        <v>0.18961</v>
      </c>
      <c r="BB5" s="81">
        <v>0.18961</v>
      </c>
      <c r="BC5" s="81">
        <v>0.14974569744114735</v>
      </c>
      <c r="BD5" s="81">
        <v>0.12897676148859721</v>
      </c>
      <c r="BE5" s="81">
        <v>0.13062460178044477</v>
      </c>
      <c r="BF5" s="81">
        <v>0.11702362203009971</v>
      </c>
      <c r="BG5" s="81">
        <v>0.10334051009222008</v>
      </c>
      <c r="BH5" s="81">
        <v>9.8018526344340523E-2</v>
      </c>
      <c r="BI5" s="81">
        <v>0.14501188899020293</v>
      </c>
      <c r="BJ5" s="81">
        <v>0.17481617466845684</v>
      </c>
      <c r="BK5" s="81">
        <v>0.12333031467350986</v>
      </c>
      <c r="BL5" s="81">
        <v>0.24638070663723682</v>
      </c>
      <c r="BM5" s="81">
        <v>0.13054924142709134</v>
      </c>
      <c r="BN5" s="81">
        <v>0.14722801599448404</v>
      </c>
    </row>
    <row r="6" spans="1:66" ht="15.75" x14ac:dyDescent="0.25">
      <c r="A6" s="76" t="s">
        <v>13</v>
      </c>
      <c r="B6" s="81">
        <v>8.9496033703264283E-2</v>
      </c>
      <c r="C6" s="81">
        <v>8.9496033703264283E-2</v>
      </c>
      <c r="D6" s="81">
        <v>8.9496033703264283E-2</v>
      </c>
      <c r="E6" s="81">
        <v>8.9496033703264283E-2</v>
      </c>
      <c r="F6" s="81">
        <v>8.9496033703264283E-2</v>
      </c>
      <c r="G6" s="81">
        <v>8.9496033703264283E-2</v>
      </c>
      <c r="H6" s="81">
        <v>6.5600000000000006E-2</v>
      </c>
      <c r="I6" s="81">
        <v>6.5600000000000006E-2</v>
      </c>
      <c r="J6" s="81">
        <v>6.5600000000000006E-2</v>
      </c>
      <c r="K6" s="81">
        <v>6.5600000000000006E-2</v>
      </c>
      <c r="L6" s="81">
        <v>6.5600000000000006E-2</v>
      </c>
      <c r="M6" s="81">
        <v>5.6580794347449254E-2</v>
      </c>
      <c r="N6" s="81">
        <v>9.6184024116394873E-2</v>
      </c>
      <c r="O6" s="81">
        <v>4.1507345542362649E-2</v>
      </c>
      <c r="P6" s="81">
        <v>4.1507345542362649E-2</v>
      </c>
      <c r="Q6" s="81">
        <v>4.1507345542362649E-2</v>
      </c>
      <c r="R6" s="81">
        <v>8.3014691084725298E-2</v>
      </c>
      <c r="S6" s="81">
        <v>7.2891891877209861E-2</v>
      </c>
      <c r="T6" s="81">
        <v>6.1681176374165515E-2</v>
      </c>
      <c r="U6" s="81">
        <v>6.1681176374165515E-2</v>
      </c>
      <c r="V6" s="81">
        <v>0</v>
      </c>
      <c r="W6" s="81">
        <v>0</v>
      </c>
      <c r="X6" s="81">
        <v>0</v>
      </c>
      <c r="Y6" s="81">
        <v>0.10517093431433765</v>
      </c>
      <c r="Z6" s="81">
        <v>4.76602897350039E-2</v>
      </c>
      <c r="AA6" s="81">
        <v>8.6769409109933637E-2</v>
      </c>
      <c r="AB6" s="81">
        <v>5.9621947624564353E-2</v>
      </c>
      <c r="AC6" s="81">
        <v>9.5921264918382293E-2</v>
      </c>
      <c r="AD6" s="81">
        <v>9.5921264918382293E-2</v>
      </c>
      <c r="AE6" s="81">
        <v>6.2382219600227995E-2</v>
      </c>
      <c r="AF6" s="81">
        <v>4.8955671612046822E-2</v>
      </c>
      <c r="AG6" s="81">
        <v>7.2459828359219006E-2</v>
      </c>
      <c r="AH6" s="81">
        <v>9.1017600000000032E-2</v>
      </c>
      <c r="AI6" s="81">
        <v>4.2137706290283398E-2</v>
      </c>
      <c r="AJ6" s="81">
        <v>5.8262543758842364E-2</v>
      </c>
      <c r="AK6" s="81">
        <v>4.0625096142985928E-2</v>
      </c>
      <c r="AL6" s="81">
        <v>3.1556427316920828E-2</v>
      </c>
      <c r="AM6" s="81">
        <v>6.0835490181700605E-2</v>
      </c>
      <c r="AN6" s="81">
        <v>4.9112275347582501E-2</v>
      </c>
      <c r="AO6" s="81">
        <v>8.5411592641400427E-2</v>
      </c>
      <c r="AP6" s="81">
        <v>4.4050436555981815E-2</v>
      </c>
      <c r="AQ6" s="81">
        <v>6.2382219600227995E-2</v>
      </c>
      <c r="AR6" s="81">
        <v>4.8955671612046822E-2</v>
      </c>
      <c r="AS6" s="81">
        <v>7.2459828359219006E-2</v>
      </c>
      <c r="AT6" s="81">
        <v>9.1017600000000032E-2</v>
      </c>
      <c r="AU6" s="81">
        <v>4.2137706290283398E-2</v>
      </c>
      <c r="AV6" s="81">
        <v>5.8262543758842364E-2</v>
      </c>
      <c r="AW6" s="81">
        <v>4.0625096142985928E-2</v>
      </c>
      <c r="AX6" s="81">
        <v>3.1556427316920828E-2</v>
      </c>
      <c r="AY6" s="81">
        <v>6.0835490181700605E-2</v>
      </c>
      <c r="AZ6" s="81">
        <v>4.9112275347582501E-2</v>
      </c>
      <c r="BA6" s="81">
        <v>8.5411592641400427E-2</v>
      </c>
      <c r="BB6" s="81">
        <v>4.4050436555981815E-2</v>
      </c>
      <c r="BC6" s="81">
        <v>5.9935714862613843E-2</v>
      </c>
      <c r="BD6" s="81">
        <v>4.650916687443267E-2</v>
      </c>
      <c r="BE6" s="81">
        <v>7.0013323621604853E-2</v>
      </c>
      <c r="BF6" s="81">
        <v>0</v>
      </c>
      <c r="BG6" s="81">
        <v>3.9691201552669253E-2</v>
      </c>
      <c r="BH6" s="81">
        <v>5.5816039021228211E-2</v>
      </c>
      <c r="BI6" s="81">
        <v>3.8178591405371783E-2</v>
      </c>
      <c r="BJ6" s="81">
        <v>2.9109922579306682E-2</v>
      </c>
      <c r="BK6" s="81">
        <v>4.9772917509526227E-2</v>
      </c>
      <c r="BL6" s="81">
        <v>4.6187491332481068E-2</v>
      </c>
      <c r="BM6" s="81">
        <v>6.1419358037671831E-2</v>
      </c>
      <c r="BN6" s="81">
        <v>4.2885952045159853E-2</v>
      </c>
    </row>
    <row r="7" spans="1:66" ht="15.75" x14ac:dyDescent="0.25">
      <c r="A7" s="76" t="s">
        <v>43</v>
      </c>
      <c r="B7" s="81">
        <v>5.1965688790784052E-2</v>
      </c>
      <c r="C7" s="81">
        <v>5.1965688790784052E-2</v>
      </c>
      <c r="D7" s="81">
        <v>5.1965688790784052E-2</v>
      </c>
      <c r="E7" s="81">
        <v>5.1965688790784052E-2</v>
      </c>
      <c r="F7" s="81">
        <v>5.1965688790784052E-2</v>
      </c>
      <c r="G7" s="81">
        <v>5.1965688790784052E-2</v>
      </c>
      <c r="H7" s="81">
        <v>5.1965688790784052E-2</v>
      </c>
      <c r="I7" s="81">
        <v>5.1965688790784052E-2</v>
      </c>
      <c r="J7" s="81">
        <v>5.1965688790784052E-2</v>
      </c>
      <c r="K7" s="81">
        <v>5.1965688790784052E-2</v>
      </c>
      <c r="L7" s="81">
        <v>5.1965688790784052E-2</v>
      </c>
      <c r="M7" s="81">
        <v>7.6999999999999999E-2</v>
      </c>
      <c r="N7" s="81">
        <v>7.6999999999999999E-2</v>
      </c>
      <c r="O7" s="81">
        <v>7.6999999999999999E-2</v>
      </c>
      <c r="P7" s="81">
        <v>9.0303349358990564E-2</v>
      </c>
      <c r="Q7" s="81">
        <v>9.6546143811954588E-2</v>
      </c>
      <c r="R7" s="81">
        <v>7.3471020326021333E-2</v>
      </c>
      <c r="S7" s="81">
        <v>9.2779207434431327E-2</v>
      </c>
      <c r="T7" s="81">
        <v>6.1885956110846629E-2</v>
      </c>
      <c r="U7" s="81">
        <v>6.1885956110846629E-2</v>
      </c>
      <c r="V7" s="81">
        <v>0.10674013226774524</v>
      </c>
      <c r="W7" s="81">
        <v>0.10674013226774524</v>
      </c>
      <c r="X7" s="81">
        <v>0.12291533100228078</v>
      </c>
      <c r="Y7" s="81">
        <v>0.11709012594667395</v>
      </c>
      <c r="Z7" s="81">
        <v>7.1135472072691941E-2</v>
      </c>
      <c r="AA7" s="81">
        <v>7.6180782417585094E-2</v>
      </c>
      <c r="AB7" s="81">
        <v>8.4188829379263225E-2</v>
      </c>
      <c r="AC7" s="81">
        <v>7.1535840641393372E-2</v>
      </c>
      <c r="AD7" s="81">
        <v>7.1535840641393372E-2</v>
      </c>
      <c r="AE7" s="81">
        <v>8.5898601724497398E-2</v>
      </c>
      <c r="AF7" s="81">
        <v>6.5602855272291566E-2</v>
      </c>
      <c r="AG7" s="81">
        <v>6.9517163715499597E-2</v>
      </c>
      <c r="AH7" s="81">
        <v>0.10313167103684773</v>
      </c>
      <c r="AI7" s="81">
        <v>6.1838072829341395E-2</v>
      </c>
      <c r="AJ7" s="81">
        <v>7.6992390547098E-2</v>
      </c>
      <c r="AK7" s="81">
        <v>6.3641926620488759E-2</v>
      </c>
      <c r="AL7" s="81">
        <v>5.1665062131826714E-2</v>
      </c>
      <c r="AM7" s="81">
        <v>6.183034227317951E-2</v>
      </c>
      <c r="AN7" s="81">
        <v>7.7308223669329323E-2</v>
      </c>
      <c r="AO7" s="81">
        <v>6.4655234931459471E-2</v>
      </c>
      <c r="AP7" s="81">
        <v>9.4829046353279267E-2</v>
      </c>
      <c r="AQ7" s="81">
        <v>8.5898601724497398E-2</v>
      </c>
      <c r="AR7" s="81">
        <v>6.5602855272291566E-2</v>
      </c>
      <c r="AS7" s="81">
        <v>6.9517163715499597E-2</v>
      </c>
      <c r="AT7" s="81">
        <v>0.10313167103684773</v>
      </c>
      <c r="AU7" s="81">
        <v>6.1838072829341395E-2</v>
      </c>
      <c r="AV7" s="81">
        <v>7.6992390547098E-2</v>
      </c>
      <c r="AW7" s="81">
        <v>6.3641926620488759E-2</v>
      </c>
      <c r="AX7" s="81">
        <v>5.1665062131826714E-2</v>
      </c>
      <c r="AY7" s="81">
        <v>6.183034227317951E-2</v>
      </c>
      <c r="AZ7" s="81">
        <v>7.7308223669329323E-2</v>
      </c>
      <c r="BA7" s="81">
        <v>6.4655234931459471E-2</v>
      </c>
      <c r="BB7" s="81">
        <v>9.4829046353279267E-2</v>
      </c>
      <c r="BC7" s="81">
        <v>8.3485697053056376E-2</v>
      </c>
      <c r="BD7" s="81">
        <v>6.3189950600850545E-2</v>
      </c>
      <c r="BE7" s="81">
        <v>6.7104259044058576E-2</v>
      </c>
      <c r="BF7" s="81">
        <v>0.13340039078236532</v>
      </c>
      <c r="BG7" s="81">
        <v>5.9425168157900374E-2</v>
      </c>
      <c r="BH7" s="81">
        <v>7.4579485875656992E-2</v>
      </c>
      <c r="BI7" s="81">
        <v>6.1229021949047738E-2</v>
      </c>
      <c r="BJ7" s="81">
        <v>4.9252157460385693E-2</v>
      </c>
      <c r="BK7" s="81">
        <v>5.7261827843195334E-2</v>
      </c>
      <c r="BL7" s="81">
        <v>5.9291678406923801E-2</v>
      </c>
      <c r="BM7" s="81">
        <v>6.1106552507910319E-2</v>
      </c>
      <c r="BN7" s="81">
        <v>8.2356313726161701E-2</v>
      </c>
    </row>
    <row r="8" spans="1:66" ht="15.75" x14ac:dyDescent="0.25">
      <c r="A8" s="76" t="s">
        <v>106</v>
      </c>
      <c r="B8" s="81">
        <v>5.6461006525778658E-2</v>
      </c>
      <c r="C8" s="81">
        <v>1.1299999999999999E-2</v>
      </c>
      <c r="D8" s="81">
        <v>5.6461006525778658E-2</v>
      </c>
      <c r="E8" s="81">
        <v>2.5899999999999999E-2</v>
      </c>
      <c r="F8" s="81">
        <v>5.1900000000000002E-2</v>
      </c>
      <c r="G8" s="81">
        <v>5.6461006525778658E-2</v>
      </c>
      <c r="H8" s="81">
        <v>5.6461006525778658E-2</v>
      </c>
      <c r="I8" s="81">
        <v>5.6461006525778658E-2</v>
      </c>
      <c r="J8" s="81">
        <v>5.6461006525778658E-2</v>
      </c>
      <c r="K8" s="81">
        <v>5.6461006525778658E-2</v>
      </c>
      <c r="L8" s="81">
        <v>5.6461006525778658E-2</v>
      </c>
      <c r="M8" s="81">
        <v>1.9384469424718973E-2</v>
      </c>
      <c r="N8" s="81">
        <v>1.9384469424718973E-2</v>
      </c>
      <c r="O8" s="81">
        <v>4.2691097247005941E-2</v>
      </c>
      <c r="P8" s="81">
        <v>0.11421576877863139</v>
      </c>
      <c r="Q8" s="81">
        <v>1.9384469424718973E-2</v>
      </c>
      <c r="R8" s="81">
        <v>3.8768938849437946E-2</v>
      </c>
      <c r="S8" s="81">
        <v>6.5496465723986444E-2</v>
      </c>
      <c r="T8" s="81">
        <v>8.3459456862525344E-2</v>
      </c>
      <c r="U8" s="81">
        <v>8.3459456862525344E-2</v>
      </c>
      <c r="V8" s="81">
        <v>0</v>
      </c>
      <c r="W8" s="81">
        <v>0</v>
      </c>
      <c r="X8" s="81">
        <v>0</v>
      </c>
      <c r="Y8" s="81">
        <v>0</v>
      </c>
      <c r="Z8" s="81">
        <v>3.7639776168341695E-2</v>
      </c>
      <c r="AA8" s="81">
        <v>0</v>
      </c>
      <c r="AB8" s="81">
        <v>4.494761085138653E-2</v>
      </c>
      <c r="AC8" s="81">
        <v>6.9399081985967948E-2</v>
      </c>
      <c r="AD8" s="81">
        <v>9.4866352522789965E-2</v>
      </c>
      <c r="AE8" s="81">
        <v>4.723874027856198E-2</v>
      </c>
      <c r="AF8" s="81">
        <v>6.0521893208491898E-2</v>
      </c>
      <c r="AG8" s="81">
        <v>0</v>
      </c>
      <c r="AH8" s="81">
        <v>0</v>
      </c>
      <c r="AI8" s="81">
        <v>0</v>
      </c>
      <c r="AJ8" s="81">
        <v>0</v>
      </c>
      <c r="AK8" s="81">
        <v>0</v>
      </c>
      <c r="AL8" s="81">
        <v>0</v>
      </c>
      <c r="AM8" s="81">
        <v>0</v>
      </c>
      <c r="AN8" s="81">
        <v>0</v>
      </c>
      <c r="AO8" s="81">
        <v>0</v>
      </c>
      <c r="AP8" s="81">
        <v>0</v>
      </c>
      <c r="AQ8" s="81">
        <v>4.723874027856198E-2</v>
      </c>
      <c r="AR8" s="81">
        <v>6.0521893208491898E-2</v>
      </c>
      <c r="AS8" s="81">
        <v>0</v>
      </c>
      <c r="AT8" s="81">
        <v>0</v>
      </c>
      <c r="AU8" s="81">
        <v>0</v>
      </c>
      <c r="AV8" s="81">
        <v>0</v>
      </c>
      <c r="AW8" s="81">
        <v>0</v>
      </c>
      <c r="AX8" s="81">
        <v>3.7639776168341695E-2</v>
      </c>
      <c r="AY8" s="81">
        <v>0</v>
      </c>
      <c r="AZ8" s="81">
        <v>4.494761085138653E-2</v>
      </c>
      <c r="BA8" s="81">
        <v>3.7639776168341695E-2</v>
      </c>
      <c r="BB8" s="81">
        <v>3.7639776168341695E-2</v>
      </c>
      <c r="BC8" s="81">
        <v>4.7678338898200057E-2</v>
      </c>
      <c r="BD8" s="81">
        <v>6.0961491828129974E-2</v>
      </c>
      <c r="BE8" s="81">
        <v>0</v>
      </c>
      <c r="BF8" s="81">
        <v>0</v>
      </c>
      <c r="BG8" s="81">
        <v>0</v>
      </c>
      <c r="BH8" s="81">
        <v>0</v>
      </c>
      <c r="BI8" s="81">
        <v>0</v>
      </c>
      <c r="BJ8" s="81">
        <v>1.6068456320616507E-2</v>
      </c>
      <c r="BK8" s="81">
        <v>0</v>
      </c>
      <c r="BL8" s="81">
        <v>1.9549748810721357E-2</v>
      </c>
      <c r="BM8" s="81">
        <v>6.4435873810717303E-2</v>
      </c>
      <c r="BN8" s="81">
        <v>0</v>
      </c>
    </row>
    <row r="9" spans="1:66" ht="15.75" x14ac:dyDescent="0.25">
      <c r="A9" s="76" t="s">
        <v>543</v>
      </c>
      <c r="B9" s="81">
        <v>0</v>
      </c>
      <c r="C9" s="81">
        <v>0</v>
      </c>
      <c r="D9" s="81">
        <v>3.0589999999999999E-2</v>
      </c>
      <c r="E9" s="81">
        <v>3.0589999999999999E-2</v>
      </c>
      <c r="F9" s="81">
        <v>3.0589999999999999E-2</v>
      </c>
      <c r="G9" s="81">
        <v>3.0589999999999999E-2</v>
      </c>
      <c r="H9" s="81">
        <v>3.0589999999999999E-2</v>
      </c>
      <c r="I9" s="81">
        <v>3.0589999999999999E-2</v>
      </c>
      <c r="J9" s="81">
        <v>3.9879999999999999E-2</v>
      </c>
      <c r="K9" s="81">
        <v>0</v>
      </c>
      <c r="L9" s="81">
        <v>0</v>
      </c>
      <c r="M9" s="81">
        <v>1.1209750452807405E-2</v>
      </c>
      <c r="N9" s="81">
        <v>1.1209750452807405E-2</v>
      </c>
      <c r="O9" s="81">
        <v>2.6504724961183224E-2</v>
      </c>
      <c r="P9" s="81">
        <v>2.6285127337229514E-2</v>
      </c>
      <c r="Q9" s="81">
        <v>2.6504724961183224E-2</v>
      </c>
      <c r="R9" s="81">
        <v>2.2419500905614811E-2</v>
      </c>
      <c r="S9" s="81">
        <v>1.8308366394631206E-2</v>
      </c>
      <c r="T9" s="81">
        <v>2.1260316762900015E-2</v>
      </c>
      <c r="U9" s="81">
        <v>2.1260316762900015E-2</v>
      </c>
      <c r="V9" s="81">
        <v>4.0596323516520046E-2</v>
      </c>
      <c r="W9" s="81">
        <v>4.0596323516520046E-2</v>
      </c>
      <c r="X9" s="81">
        <v>1.2963353859666293E-2</v>
      </c>
      <c r="Y9" s="81">
        <v>0</v>
      </c>
      <c r="Z9" s="81">
        <v>0</v>
      </c>
      <c r="AA9" s="81">
        <v>0</v>
      </c>
      <c r="AB9" s="81">
        <v>2.0395440688067527E-2</v>
      </c>
      <c r="AC9" s="81">
        <v>1.6896225124180594E-2</v>
      </c>
      <c r="AD9" s="81">
        <v>1.6896225124180594E-2</v>
      </c>
      <c r="AE9" s="81">
        <v>1.3222387179921979E-2</v>
      </c>
      <c r="AF9" s="81">
        <v>1.5243687904433319E-2</v>
      </c>
      <c r="AG9" s="81">
        <v>9.9071579532347877E-3</v>
      </c>
      <c r="AH9" s="81">
        <v>0</v>
      </c>
      <c r="AI9" s="81">
        <v>9.1017600000000004E-2</v>
      </c>
      <c r="AJ9" s="81">
        <v>9.1017600000000004E-2</v>
      </c>
      <c r="AK9" s="81">
        <v>9.1017600000000004E-2</v>
      </c>
      <c r="AL9" s="81">
        <v>9.1017600000000004E-2</v>
      </c>
      <c r="AM9" s="81">
        <v>9.1017600000000004E-2</v>
      </c>
      <c r="AN9" s="81">
        <v>9.1017600000000004E-2</v>
      </c>
      <c r="AO9" s="81">
        <v>9.1017600000000004E-2</v>
      </c>
      <c r="AP9" s="81">
        <v>9.1017600000000004E-2</v>
      </c>
      <c r="AQ9" s="81">
        <v>9.1017600000000004E-2</v>
      </c>
      <c r="AR9" s="81">
        <v>9.1017600000000004E-2</v>
      </c>
      <c r="AS9" s="81">
        <v>9.1017600000000004E-2</v>
      </c>
      <c r="AT9" s="81">
        <v>9.1017600000000004E-2</v>
      </c>
      <c r="AU9" s="81">
        <v>9.1017600000000004E-2</v>
      </c>
      <c r="AV9" s="81">
        <v>9.1017600000000004E-2</v>
      </c>
      <c r="AW9" s="81">
        <v>0</v>
      </c>
      <c r="AX9" s="81">
        <v>9.1017600000000004E-2</v>
      </c>
      <c r="AY9" s="81">
        <v>0.16</v>
      </c>
      <c r="AZ9" s="81">
        <v>0.16</v>
      </c>
      <c r="BA9" s="81">
        <v>0.16</v>
      </c>
      <c r="BB9" s="81">
        <v>0.16</v>
      </c>
      <c r="BC9" s="81">
        <v>1.2342487792845802E-2</v>
      </c>
      <c r="BD9" s="81">
        <v>1.4363788517357142E-2</v>
      </c>
      <c r="BE9" s="81">
        <v>9.0272585661586111E-3</v>
      </c>
      <c r="BF9" s="81">
        <v>2.5436692042937199E-2</v>
      </c>
      <c r="BG9" s="81">
        <v>5.3658055890955878E-3</v>
      </c>
      <c r="BH9" s="81">
        <v>0</v>
      </c>
      <c r="BI9" s="81">
        <v>0</v>
      </c>
      <c r="BJ9" s="81">
        <v>0</v>
      </c>
      <c r="BK9" s="81">
        <v>0</v>
      </c>
      <c r="BL9" s="81">
        <v>9.4553608515179181E-3</v>
      </c>
      <c r="BM9" s="81">
        <v>8.6680448864531745E-3</v>
      </c>
      <c r="BN9" s="81">
        <v>8.9813000196019462E-3</v>
      </c>
    </row>
    <row r="10" spans="1:66" ht="15.75" x14ac:dyDescent="0.25">
      <c r="A10" s="76" t="s">
        <v>393</v>
      </c>
      <c r="B10" s="81">
        <v>2.4441314467499659E-2</v>
      </c>
      <c r="C10" s="81">
        <v>2.4441314467499659E-2</v>
      </c>
      <c r="D10" s="81">
        <v>2.4441314467499659E-2</v>
      </c>
      <c r="E10" s="81">
        <v>2.4441314467499659E-2</v>
      </c>
      <c r="F10" s="81">
        <v>2.4441314467499659E-2</v>
      </c>
      <c r="G10" s="81">
        <v>2.4441314467499659E-2</v>
      </c>
      <c r="H10" s="81">
        <v>2.4441314467499659E-2</v>
      </c>
      <c r="I10" s="81">
        <v>2.4441314467499659E-2</v>
      </c>
      <c r="J10" s="81">
        <v>2.4441314467499659E-2</v>
      </c>
      <c r="K10" s="81">
        <v>2.4441314467499659E-2</v>
      </c>
      <c r="L10" s="81">
        <v>2.4441314467499659E-2</v>
      </c>
      <c r="M10" s="81">
        <v>1.1104562573671047E-2</v>
      </c>
      <c r="N10" s="81">
        <v>1.1104562573671047E-2</v>
      </c>
      <c r="O10" s="81">
        <v>1.1104562573671047E-2</v>
      </c>
      <c r="P10" s="81">
        <v>2.2052157692120437E-2</v>
      </c>
      <c r="Q10" s="81">
        <v>1.1104562573671047E-2</v>
      </c>
      <c r="R10" s="81">
        <v>2.2209125147342093E-2</v>
      </c>
      <c r="S10" s="81">
        <v>1.9470800535817123E-2</v>
      </c>
      <c r="T10" s="81">
        <v>2.125024259173041E-2</v>
      </c>
      <c r="U10" s="81">
        <v>2.125024259173041E-2</v>
      </c>
      <c r="V10" s="81">
        <v>0</v>
      </c>
      <c r="W10" s="81">
        <v>0</v>
      </c>
      <c r="X10" s="81">
        <v>0</v>
      </c>
      <c r="Y10" s="81">
        <v>0</v>
      </c>
      <c r="Z10" s="81">
        <v>1.0350902039411126E-2</v>
      </c>
      <c r="AA10" s="81">
        <v>2.6593623476367956E-2</v>
      </c>
      <c r="AB10" s="81">
        <v>1.6774531398874651E-2</v>
      </c>
      <c r="AC10" s="81">
        <v>1.3998736995493196E-2</v>
      </c>
      <c r="AD10" s="81">
        <v>1.3998736995493196E-2</v>
      </c>
      <c r="AE10" s="81">
        <v>1.7867171178008904E-2</v>
      </c>
      <c r="AF10" s="81">
        <v>1.8576033768728337E-2</v>
      </c>
      <c r="AG10" s="82">
        <v>2.3597020211297171E-2</v>
      </c>
      <c r="AH10" s="81">
        <v>0</v>
      </c>
      <c r="AI10" s="81">
        <v>1.2844425118130106E-2</v>
      </c>
      <c r="AJ10" s="81">
        <v>1.9454411359570545E-2</v>
      </c>
      <c r="AK10" s="81">
        <v>1.4548908048741906E-2</v>
      </c>
      <c r="AL10" s="81">
        <v>8.0963123742747722E-3</v>
      </c>
      <c r="AM10" s="81">
        <v>1.9613903796759452E-2</v>
      </c>
      <c r="AN10" s="81">
        <v>1.5170902041066438E-2</v>
      </c>
      <c r="AO10" s="81">
        <v>1.2395107637684984E-2</v>
      </c>
      <c r="AP10" s="81">
        <v>2.2158502251069991E-2</v>
      </c>
      <c r="AQ10" s="81">
        <v>1.7867171178008904E-2</v>
      </c>
      <c r="AR10" s="81">
        <v>1.8576033768728337E-2</v>
      </c>
      <c r="AS10" s="81">
        <v>2.3597020211297171E-2</v>
      </c>
      <c r="AT10" s="81">
        <v>0</v>
      </c>
      <c r="AU10" s="81">
        <v>1.2844425118130106E-2</v>
      </c>
      <c r="AV10" s="81">
        <v>1.9454411359570545E-2</v>
      </c>
      <c r="AW10" s="81">
        <v>1.4548908048741906E-2</v>
      </c>
      <c r="AX10" s="81">
        <v>8.0963123742747722E-3</v>
      </c>
      <c r="AY10" s="81">
        <v>1.9613903796759452E-2</v>
      </c>
      <c r="AZ10" s="81">
        <v>1.5170902041066438E-2</v>
      </c>
      <c r="BA10" s="81">
        <v>1.2395107637684984E-2</v>
      </c>
      <c r="BB10" s="81">
        <v>2.2158502251069991E-2</v>
      </c>
      <c r="BC10" s="81">
        <v>2.0258226746686023E-2</v>
      </c>
      <c r="BD10" s="81">
        <v>2.0967089337405452E-2</v>
      </c>
      <c r="BE10" s="81">
        <v>1.2752296074148364E-2</v>
      </c>
      <c r="BF10" s="81">
        <v>0</v>
      </c>
      <c r="BG10" s="81">
        <v>1.5235480686807223E-2</v>
      </c>
      <c r="BH10" s="81">
        <v>2.184546692824766E-2</v>
      </c>
      <c r="BI10" s="81">
        <v>1.6939963617419021E-2</v>
      </c>
      <c r="BJ10" s="81">
        <v>1.0487367942951891E-2</v>
      </c>
      <c r="BK10" s="81">
        <v>2.1538664191231315E-2</v>
      </c>
      <c r="BL10" s="81">
        <v>2.7015515461587501E-2</v>
      </c>
      <c r="BM10" s="81">
        <v>2.0799111166429865E-2</v>
      </c>
      <c r="BN10" s="81">
        <v>3.8242014006166086E-2</v>
      </c>
    </row>
    <row r="11" spans="1:66" ht="15.75" x14ac:dyDescent="0.25">
      <c r="A11" s="76" t="s">
        <v>194</v>
      </c>
      <c r="B11" s="81">
        <v>2.6670864780809048E-2</v>
      </c>
      <c r="C11" s="81">
        <v>2.6670864780809048E-2</v>
      </c>
      <c r="D11" s="81">
        <v>2.6670864780809048E-2</v>
      </c>
      <c r="E11" s="81">
        <v>2.6670864780809048E-2</v>
      </c>
      <c r="F11" s="81">
        <v>2.6670864780809048E-2</v>
      </c>
      <c r="G11" s="81">
        <v>2.6670864780809048E-2</v>
      </c>
      <c r="H11" s="81">
        <v>2.6670864780809048E-2</v>
      </c>
      <c r="I11" s="81">
        <v>2.6670864780809048E-2</v>
      </c>
      <c r="J11" s="81">
        <v>2.6670864780809048E-2</v>
      </c>
      <c r="K11" s="81">
        <v>2.6670864780809048E-2</v>
      </c>
      <c r="L11" s="81">
        <v>2.6670864780809048E-2</v>
      </c>
      <c r="M11" s="81">
        <v>9.1567719863151539E-3</v>
      </c>
      <c r="N11" s="81">
        <v>2.1301191319988699E-2</v>
      </c>
      <c r="O11" s="81">
        <v>2.1289692598114134E-2</v>
      </c>
      <c r="P11" s="81">
        <v>2.1115494168655428E-2</v>
      </c>
      <c r="Q11" s="81">
        <v>3.6184084440794399E-2</v>
      </c>
      <c r="R11" s="81">
        <v>1.8313543972630308E-2</v>
      </c>
      <c r="S11" s="81">
        <v>9.7310455024771925E-3</v>
      </c>
      <c r="T11" s="81">
        <v>8.3399157995582007E-3</v>
      </c>
      <c r="U11" s="81">
        <v>8.3399157995582007E-3</v>
      </c>
      <c r="V11" s="81">
        <v>6.3078616195353342E-3</v>
      </c>
      <c r="W11" s="81">
        <v>6.3078616195353342E-3</v>
      </c>
      <c r="X11" s="81">
        <v>6.3176180727585688E-3</v>
      </c>
      <c r="Y11" s="81">
        <v>8.2453844933122345E-3</v>
      </c>
      <c r="Z11" s="81">
        <v>7.7848760582236807E-3</v>
      </c>
      <c r="AA11" s="81">
        <v>1.3183667541249042E-2</v>
      </c>
      <c r="AB11" s="81">
        <v>2.4507448071031009E-2</v>
      </c>
      <c r="AC11" s="81">
        <v>1.3258431281895845E-2</v>
      </c>
      <c r="AD11" s="81">
        <v>1.3258431281895845E-2</v>
      </c>
      <c r="AE11" s="81">
        <v>1.1286655148348673E-2</v>
      </c>
      <c r="AF11" s="81">
        <v>1.0992875177799923E-2</v>
      </c>
      <c r="AG11" s="81">
        <v>1.0582802935334378E-2</v>
      </c>
      <c r="AH11" s="81">
        <v>1.667889008011304E-2</v>
      </c>
      <c r="AI11" s="81">
        <v>8.2938410391569361E-3</v>
      </c>
      <c r="AJ11" s="81">
        <v>1.2158675858900368E-2</v>
      </c>
      <c r="AK11" s="81">
        <v>1.3973494916192156E-2</v>
      </c>
      <c r="AL11" s="81">
        <v>1.1758467651670289E-2</v>
      </c>
      <c r="AM11" s="81">
        <v>1.3362599788928687E-2</v>
      </c>
      <c r="AN11" s="81">
        <v>2.6063057716902489E-2</v>
      </c>
      <c r="AO11" s="81">
        <v>1.4814040927767325E-2</v>
      </c>
      <c r="AP11" s="81">
        <v>2.8437359301357285E-2</v>
      </c>
      <c r="AQ11" s="81">
        <v>1.1286655148348673E-2</v>
      </c>
      <c r="AR11" s="81">
        <v>1.0992875177799923E-2</v>
      </c>
      <c r="AS11" s="81">
        <v>1.0582802935334378E-2</v>
      </c>
      <c r="AT11" s="81">
        <v>1.667889008011304E-2</v>
      </c>
      <c r="AU11" s="81">
        <v>8.2938410391569361E-3</v>
      </c>
      <c r="AV11" s="81">
        <v>1.2158675858900368E-2</v>
      </c>
      <c r="AW11" s="81">
        <v>1.3973494916192156E-2</v>
      </c>
      <c r="AX11" s="81">
        <v>1.1758467651670289E-2</v>
      </c>
      <c r="AY11" s="81">
        <v>1.3362599788928687E-2</v>
      </c>
      <c r="AZ11" s="81">
        <v>2.6063057716902489E-2</v>
      </c>
      <c r="BA11" s="81">
        <v>1.4814040927767325E-2</v>
      </c>
      <c r="BB11" s="81">
        <v>2.8437359301357285E-2</v>
      </c>
      <c r="BC11" s="81">
        <v>1.0346058019092849E-2</v>
      </c>
      <c r="BD11" s="81">
        <v>1.0052278048544099E-2</v>
      </c>
      <c r="BE11" s="81">
        <v>9.6422058060785538E-3</v>
      </c>
      <c r="BF11" s="81">
        <v>1.5738292950857213E-2</v>
      </c>
      <c r="BG11" s="81">
        <v>7.3532439099011125E-3</v>
      </c>
      <c r="BH11" s="81">
        <v>1.1218078729644542E-2</v>
      </c>
      <c r="BI11" s="81">
        <v>1.3032897786936332E-2</v>
      </c>
      <c r="BJ11" s="81">
        <v>1.0817870522414464E-2</v>
      </c>
      <c r="BK11" s="81">
        <v>1.4457091565456229E-2</v>
      </c>
      <c r="BL11" s="81">
        <v>1.6667986754985164E-2</v>
      </c>
      <c r="BM11" s="81">
        <v>1.4471320709708541E-2</v>
      </c>
      <c r="BN11" s="81">
        <v>2.2031104636712671E-2</v>
      </c>
    </row>
    <row r="12" spans="1:66" ht="15.75" x14ac:dyDescent="0.25">
      <c r="A12" s="76" t="s">
        <v>296</v>
      </c>
      <c r="B12" s="81">
        <v>4.9298916333874017E-2</v>
      </c>
      <c r="C12" s="81">
        <v>4.9298916333874017E-2</v>
      </c>
      <c r="D12" s="81">
        <v>0.1</v>
      </c>
      <c r="E12" s="81">
        <v>0.1</v>
      </c>
      <c r="F12" s="81">
        <v>0.1</v>
      </c>
      <c r="G12" s="81">
        <v>4.9298916333874017E-2</v>
      </c>
      <c r="H12" s="81">
        <v>4.9298916333874017E-2</v>
      </c>
      <c r="I12" s="81">
        <v>4.9298916333874017E-2</v>
      </c>
      <c r="J12" s="81">
        <v>4.9298916333874017E-2</v>
      </c>
      <c r="K12" s="81">
        <v>4.9298916333874017E-2</v>
      </c>
      <c r="L12" s="81">
        <v>4.9298916333874017E-2</v>
      </c>
      <c r="M12" s="81">
        <v>8.3521763505160548E-3</v>
      </c>
      <c r="N12" s="81">
        <v>1.2096070788075288E-2</v>
      </c>
      <c r="O12" s="81">
        <v>3.005647351002079E-2</v>
      </c>
      <c r="P12" s="81">
        <v>2.3343202911894373E-2</v>
      </c>
      <c r="Q12" s="81">
        <v>4.4332875549350718E-2</v>
      </c>
      <c r="R12" s="81">
        <v>1.670435270103211E-2</v>
      </c>
      <c r="S12" s="81">
        <v>0</v>
      </c>
      <c r="T12" s="81">
        <v>0.03</v>
      </c>
      <c r="U12" s="81">
        <v>0.03</v>
      </c>
      <c r="V12" s="81">
        <v>1.073E-2</v>
      </c>
      <c r="W12" s="81">
        <v>1.073E-2</v>
      </c>
      <c r="X12" s="81">
        <v>1.073E-2</v>
      </c>
      <c r="Y12" s="81">
        <v>1.073E-2</v>
      </c>
      <c r="Z12" s="81">
        <v>1.073E-2</v>
      </c>
      <c r="AA12" s="81">
        <v>1.073E-2</v>
      </c>
      <c r="AB12" s="81">
        <v>1.073E-2</v>
      </c>
      <c r="AC12" s="81">
        <v>1.073E-2</v>
      </c>
      <c r="AD12" s="81">
        <v>1.073E-2</v>
      </c>
      <c r="AE12" s="81">
        <v>0</v>
      </c>
      <c r="AF12" s="81">
        <v>3.4724211887270963E-2</v>
      </c>
      <c r="AG12" s="81">
        <v>3.436800606505036E-2</v>
      </c>
      <c r="AH12" s="81">
        <v>3.436800606505036E-2</v>
      </c>
      <c r="AI12" s="81">
        <v>0.10878145231355645</v>
      </c>
      <c r="AJ12" s="81">
        <v>0</v>
      </c>
      <c r="AK12" s="81">
        <v>2.8458018181493398E-2</v>
      </c>
      <c r="AL12" s="81">
        <v>0.05</v>
      </c>
      <c r="AM12" s="81">
        <v>0.05</v>
      </c>
      <c r="AN12" s="81">
        <v>0.05</v>
      </c>
      <c r="AO12" s="81">
        <v>0.05</v>
      </c>
      <c r="AP12" s="81">
        <v>0.05</v>
      </c>
      <c r="AQ12" s="81">
        <v>0.05</v>
      </c>
      <c r="AR12" s="81">
        <v>0.05</v>
      </c>
      <c r="AS12" s="81">
        <v>0.05</v>
      </c>
      <c r="AT12" s="81">
        <v>0.05</v>
      </c>
      <c r="AU12" s="81">
        <v>0.05</v>
      </c>
      <c r="AV12" s="81">
        <v>0.05</v>
      </c>
      <c r="AW12" s="81">
        <v>0.05</v>
      </c>
      <c r="AX12" s="81">
        <v>0.05</v>
      </c>
      <c r="AY12" s="81">
        <v>0.16</v>
      </c>
      <c r="AZ12" s="81">
        <v>0.16</v>
      </c>
      <c r="BA12" s="81">
        <v>0.16</v>
      </c>
      <c r="BB12" s="81">
        <v>0.16</v>
      </c>
      <c r="BC12" s="81">
        <v>0</v>
      </c>
      <c r="BD12" s="81">
        <v>4.1360292731990447E-2</v>
      </c>
      <c r="BE12" s="81">
        <v>4.1004086909769852E-2</v>
      </c>
      <c r="BF12" s="81">
        <v>5.9787691356972164E-2</v>
      </c>
      <c r="BG12" s="81">
        <v>0.11541753315827594</v>
      </c>
      <c r="BH12" s="81">
        <v>0</v>
      </c>
      <c r="BI12" s="81">
        <v>3.5094099026212883E-2</v>
      </c>
      <c r="BJ12" s="81">
        <v>0</v>
      </c>
      <c r="BK12" s="81">
        <v>8.5418704886503688E-2</v>
      </c>
      <c r="BL12" s="81">
        <v>3.2341676080297505E-2</v>
      </c>
      <c r="BM12" s="81">
        <v>7.2821739912083253E-2</v>
      </c>
      <c r="BN12" s="81">
        <v>6.8242958276768836E-2</v>
      </c>
    </row>
    <row r="13" spans="1:66" ht="15.75" x14ac:dyDescent="0.25">
      <c r="A13" s="76" t="s">
        <v>58</v>
      </c>
      <c r="B13" s="81">
        <v>1.587492159938101E-2</v>
      </c>
      <c r="C13" s="81">
        <v>1.587492159938101E-2</v>
      </c>
      <c r="D13" s="81">
        <v>1.587492159938101E-2</v>
      </c>
      <c r="E13" s="81">
        <v>1.587492159938101E-2</v>
      </c>
      <c r="F13" s="81">
        <v>1.587492159938101E-2</v>
      </c>
      <c r="G13" s="81">
        <v>1.587492159938101E-2</v>
      </c>
      <c r="H13" s="81">
        <v>1.587492159938101E-2</v>
      </c>
      <c r="I13" s="81">
        <v>1.587492159938101E-2</v>
      </c>
      <c r="J13" s="81">
        <v>1.587492159938101E-2</v>
      </c>
      <c r="K13" s="81">
        <v>1.587492159938101E-2</v>
      </c>
      <c r="L13" s="81">
        <v>1.587492159938101E-2</v>
      </c>
      <c r="M13" s="81">
        <v>7.5705445188741635E-3</v>
      </c>
      <c r="N13" s="81">
        <v>8.2995668998612597E-3</v>
      </c>
      <c r="O13" s="81">
        <v>1.8007907956601767E-2</v>
      </c>
      <c r="P13" s="81">
        <v>1.654398314055399E-2</v>
      </c>
      <c r="Q13" s="81">
        <v>1.8859692370294411E-2</v>
      </c>
      <c r="R13" s="81">
        <v>1.5141089037748327E-2</v>
      </c>
      <c r="S13" s="81">
        <v>1.5791305592642142E-2</v>
      </c>
      <c r="T13" s="81">
        <v>1.4603489856114059E-2</v>
      </c>
      <c r="U13" s="81">
        <v>1.4603489856114059E-2</v>
      </c>
      <c r="V13" s="81">
        <v>1.9054172711478842E-2</v>
      </c>
      <c r="W13" s="81">
        <v>1.9054172711478842E-2</v>
      </c>
      <c r="X13" s="81">
        <v>1.9310279608588748E-2</v>
      </c>
      <c r="Y13" s="81">
        <v>1.4641809333756386E-2</v>
      </c>
      <c r="Z13" s="81">
        <v>1.2060279391849404E-2</v>
      </c>
      <c r="AA13" s="81">
        <v>1.2398809975280959E-2</v>
      </c>
      <c r="AB13" s="81">
        <v>2.0684095115341236E-2</v>
      </c>
      <c r="AC13" s="81">
        <v>1.2176336536965669E-2</v>
      </c>
      <c r="AD13" s="81">
        <v>1.2176336536965669E-2</v>
      </c>
      <c r="AE13" s="81">
        <v>1.5193391175022941E-2</v>
      </c>
      <c r="AF13" s="81">
        <v>1.3405971168016832E-2</v>
      </c>
      <c r="AG13" s="81">
        <v>1.1720293889922075E-2</v>
      </c>
      <c r="AH13" s="81">
        <v>2.0578685228021646E-2</v>
      </c>
      <c r="AI13" s="81">
        <v>1.2038304183771917E-2</v>
      </c>
      <c r="AJ13" s="81">
        <v>1.7630790863545878E-2</v>
      </c>
      <c r="AK13" s="81">
        <v>1.1731733280226801E-2</v>
      </c>
      <c r="AL13" s="81">
        <v>1.0868004712631728E-2</v>
      </c>
      <c r="AM13" s="81">
        <v>1.0381864865746653E-2</v>
      </c>
      <c r="AN13" s="81">
        <v>2.0086180697722035E-2</v>
      </c>
      <c r="AO13" s="81">
        <v>1.1578422119346472E-2</v>
      </c>
      <c r="AP13" s="81">
        <v>1.6822123902240162E-2</v>
      </c>
      <c r="AQ13" s="81">
        <v>1.5193391175022941E-2</v>
      </c>
      <c r="AR13" s="81">
        <v>1.3405971168016832E-2</v>
      </c>
      <c r="AS13" s="81">
        <v>1.1720293889922075E-2</v>
      </c>
      <c r="AT13" s="81">
        <v>2.0578685228021646E-2</v>
      </c>
      <c r="AU13" s="81">
        <v>1.2038304183771917E-2</v>
      </c>
      <c r="AV13" s="81">
        <v>1.7630790863545878E-2</v>
      </c>
      <c r="AW13" s="81">
        <v>1.1731733280226801E-2</v>
      </c>
      <c r="AX13" s="81">
        <v>1.0868004712631728E-2</v>
      </c>
      <c r="AY13" s="81">
        <v>1.0381864865746653E-2</v>
      </c>
      <c r="AZ13" s="81">
        <v>2.0086180697722035E-2</v>
      </c>
      <c r="BA13" s="81">
        <v>1.1578422119346472E-2</v>
      </c>
      <c r="BB13" s="81">
        <v>1.6822123902240162E-2</v>
      </c>
      <c r="BC13" s="81">
        <v>1.492322870267894E-2</v>
      </c>
      <c r="BD13" s="81">
        <v>1.3135808695672831E-2</v>
      </c>
      <c r="BE13" s="81">
        <v>1.1450131417578075E-2</v>
      </c>
      <c r="BF13" s="81">
        <v>2.0308522755677648E-2</v>
      </c>
      <c r="BG13" s="81">
        <v>1.1768141711427918E-2</v>
      </c>
      <c r="BH13" s="81">
        <v>1.7360628391201879E-2</v>
      </c>
      <c r="BI13" s="81">
        <v>1.14615708078828E-2</v>
      </c>
      <c r="BJ13" s="81">
        <v>1.0597842240287727E-2</v>
      </c>
      <c r="BK13" s="81">
        <v>9.9505971074687147E-3</v>
      </c>
      <c r="BL13" s="81">
        <v>1.4815006801731917E-2</v>
      </c>
      <c r="BM13" s="81">
        <v>1.4058667961784087E-2</v>
      </c>
      <c r="BN13" s="81">
        <v>1.5721720156566591E-2</v>
      </c>
    </row>
    <row r="14" spans="1:66" ht="15.75" x14ac:dyDescent="0.25">
      <c r="A14" s="76" t="s">
        <v>10</v>
      </c>
      <c r="B14" s="81">
        <v>1.5933957579508079E-2</v>
      </c>
      <c r="C14" s="81">
        <v>1.5933957579508079E-2</v>
      </c>
      <c r="D14" s="81">
        <v>1.5933957579508079E-2</v>
      </c>
      <c r="E14" s="81">
        <v>1.5933957579508079E-2</v>
      </c>
      <c r="F14" s="81">
        <v>1.5933957579508079E-2</v>
      </c>
      <c r="G14" s="81">
        <v>1.5933957579508079E-2</v>
      </c>
      <c r="H14" s="81">
        <v>1.5933957579508079E-2</v>
      </c>
      <c r="I14" s="81">
        <v>1.5933957579508079E-2</v>
      </c>
      <c r="J14" s="81">
        <v>1.5933957579508079E-2</v>
      </c>
      <c r="K14" s="81">
        <v>1.5933957579508079E-2</v>
      </c>
      <c r="L14" s="81">
        <v>1.5933957579508079E-2</v>
      </c>
      <c r="M14" s="81">
        <v>6.6835199564073966E-3</v>
      </c>
      <c r="N14" s="81">
        <v>1.7726306952866675E-2</v>
      </c>
      <c r="O14" s="81">
        <v>1.5639378175486059E-2</v>
      </c>
      <c r="P14" s="81">
        <v>2.1861944811600767E-2</v>
      </c>
      <c r="Q14" s="81">
        <v>9.2664721303294673E-3</v>
      </c>
      <c r="R14" s="81">
        <v>1.1832288761751431E-2</v>
      </c>
      <c r="S14" s="81">
        <v>1.1147490702416192E-2</v>
      </c>
      <c r="T14" s="81">
        <v>9.4113399192241008E-3</v>
      </c>
      <c r="U14" s="81">
        <v>9.4113399192241008E-3</v>
      </c>
      <c r="V14" s="81">
        <v>0</v>
      </c>
      <c r="W14" s="81">
        <v>0</v>
      </c>
      <c r="X14" s="81">
        <v>8.5910627503936778E-3</v>
      </c>
      <c r="Y14" s="81">
        <v>0</v>
      </c>
      <c r="Z14" s="81">
        <v>5.865278604053485E-3</v>
      </c>
      <c r="AA14" s="81">
        <v>1.5504884874378556E-2</v>
      </c>
      <c r="AB14" s="81">
        <v>1.3821802056551442E-2</v>
      </c>
      <c r="AC14" s="81">
        <v>1.2110069621544508E-2</v>
      </c>
      <c r="AD14" s="81">
        <v>1.2110069621544508E-2</v>
      </c>
      <c r="AE14" s="81">
        <v>1.189914695309258E-2</v>
      </c>
      <c r="AF14" s="81">
        <v>1.0793042424762537E-2</v>
      </c>
      <c r="AG14" s="81">
        <v>8.2583676706577385E-3</v>
      </c>
      <c r="AH14" s="81">
        <v>1.010478374071741E-2</v>
      </c>
      <c r="AI14" s="81">
        <v>7.2619105967452816E-3</v>
      </c>
      <c r="AJ14" s="81">
        <v>1.3098562027165642E-2</v>
      </c>
      <c r="AK14" s="81">
        <v>1.3647880845136037E-2</v>
      </c>
      <c r="AL14" s="81">
        <v>1.3474901430549012E-2</v>
      </c>
      <c r="AM14" s="81">
        <v>1.6495910925322654E-2</v>
      </c>
      <c r="AN14" s="81">
        <v>1.4573458307227833E-2</v>
      </c>
      <c r="AO14" s="81">
        <v>1.2861725872220897E-2</v>
      </c>
      <c r="AP14" s="81">
        <v>1.2595279947211428E-2</v>
      </c>
      <c r="AQ14" s="81">
        <v>1.189914695309258E-2</v>
      </c>
      <c r="AR14" s="81">
        <v>1.0793042424762537E-2</v>
      </c>
      <c r="AS14" s="81">
        <v>8.2583676706577385E-3</v>
      </c>
      <c r="AT14" s="81">
        <v>1.010478374071741E-2</v>
      </c>
      <c r="AU14" s="81">
        <v>7.2619105967452816E-3</v>
      </c>
      <c r="AV14" s="81">
        <v>1.3098562027165642E-2</v>
      </c>
      <c r="AW14" s="81">
        <v>1.3647880845136037E-2</v>
      </c>
      <c r="AX14" s="81">
        <v>1.3474901430549012E-2</v>
      </c>
      <c r="AY14" s="81">
        <v>1.6495910925322654E-2</v>
      </c>
      <c r="AZ14" s="81">
        <v>1.4573458307227833E-2</v>
      </c>
      <c r="BA14" s="81">
        <v>1.2861725872220897E-2</v>
      </c>
      <c r="BB14" s="81">
        <v>1.2595279947211428E-2</v>
      </c>
      <c r="BC14" s="81">
        <v>1.278713981277585E-2</v>
      </c>
      <c r="BD14" s="81">
        <v>1.1681035284445807E-2</v>
      </c>
      <c r="BE14" s="81">
        <v>9.1463605303410082E-3</v>
      </c>
      <c r="BF14" s="81">
        <v>1.099277660040068E-2</v>
      </c>
      <c r="BG14" s="81">
        <v>8.1499034564285512E-3</v>
      </c>
      <c r="BH14" s="81">
        <v>1.3986554886848912E-2</v>
      </c>
      <c r="BI14" s="81">
        <v>1.4535873704819307E-2</v>
      </c>
      <c r="BJ14" s="81">
        <v>1.4362894290232282E-2</v>
      </c>
      <c r="BK14" s="81">
        <v>1.8563835395056849E-2</v>
      </c>
      <c r="BL14" s="81">
        <v>2.1769448548516084E-2</v>
      </c>
      <c r="BM14" s="81">
        <v>1.4696066217786713E-2</v>
      </c>
      <c r="BN14" s="81">
        <v>1.5704910645555469E-2</v>
      </c>
    </row>
    <row r="15" spans="1:66" ht="15.75" x14ac:dyDescent="0.25">
      <c r="A15" s="76" t="s">
        <v>3</v>
      </c>
      <c r="B15" s="81">
        <v>1.143037062034674E-2</v>
      </c>
      <c r="C15" s="81">
        <v>1.143037062034674E-2</v>
      </c>
      <c r="D15" s="81">
        <v>1.143037062034674E-2</v>
      </c>
      <c r="E15" s="81">
        <v>1.143037062034674E-2</v>
      </c>
      <c r="F15" s="81">
        <v>1.143037062034674E-2</v>
      </c>
      <c r="G15" s="81">
        <v>0</v>
      </c>
      <c r="H15" s="81">
        <v>0</v>
      </c>
      <c r="I15" s="81">
        <v>0</v>
      </c>
      <c r="J15" s="81">
        <v>0</v>
      </c>
      <c r="K15" s="81">
        <v>0</v>
      </c>
      <c r="L15" s="81">
        <v>0</v>
      </c>
      <c r="M15" s="81">
        <v>3.6951976309560527E-2</v>
      </c>
      <c r="N15" s="81">
        <v>4.2837018083546558E-3</v>
      </c>
      <c r="O15" s="81">
        <v>4.2837018083546558E-3</v>
      </c>
      <c r="P15" s="81">
        <v>4.2837018083546558E-3</v>
      </c>
      <c r="Q15" s="81">
        <v>4.2837018083546558E-3</v>
      </c>
      <c r="R15" s="81">
        <v>8.5674036167093116E-3</v>
      </c>
      <c r="S15" s="81">
        <v>0</v>
      </c>
      <c r="T15" s="81">
        <v>0</v>
      </c>
      <c r="U15" s="81">
        <v>0</v>
      </c>
      <c r="V15" s="81">
        <v>0</v>
      </c>
      <c r="W15" s="81">
        <v>0</v>
      </c>
      <c r="X15" s="81">
        <v>0</v>
      </c>
      <c r="Y15" s="81">
        <v>0</v>
      </c>
      <c r="Z15" s="81">
        <v>0</v>
      </c>
      <c r="AA15" s="81">
        <v>0</v>
      </c>
      <c r="AB15" s="81">
        <v>0</v>
      </c>
      <c r="AC15" s="81">
        <v>0</v>
      </c>
      <c r="AD15" s="81">
        <v>0</v>
      </c>
      <c r="AE15" s="81">
        <v>0</v>
      </c>
      <c r="AF15" s="81">
        <v>0</v>
      </c>
      <c r="AG15" s="81">
        <v>0</v>
      </c>
      <c r="AH15" s="81">
        <v>0</v>
      </c>
      <c r="AI15" s="81">
        <v>0</v>
      </c>
      <c r="AJ15" s="81">
        <v>0</v>
      </c>
      <c r="AK15" s="81">
        <v>0</v>
      </c>
      <c r="AL15" s="81">
        <v>1.2158110939936058E-2</v>
      </c>
      <c r="AM15" s="81">
        <v>0</v>
      </c>
      <c r="AN15" s="81">
        <v>0</v>
      </c>
      <c r="AO15" s="81">
        <v>0</v>
      </c>
      <c r="AP15" s="81">
        <v>0</v>
      </c>
      <c r="AQ15" s="81">
        <v>0</v>
      </c>
      <c r="AR15" s="81">
        <v>0</v>
      </c>
      <c r="AS15" s="81">
        <v>0</v>
      </c>
      <c r="AT15" s="81">
        <v>0</v>
      </c>
      <c r="AU15" s="81">
        <v>0</v>
      </c>
      <c r="AV15" s="81">
        <v>0</v>
      </c>
      <c r="AW15" s="81">
        <v>0</v>
      </c>
      <c r="AX15" s="81">
        <v>1.2158110939936058E-2</v>
      </c>
      <c r="AY15" s="81">
        <v>0</v>
      </c>
      <c r="AZ15" s="81">
        <v>0</v>
      </c>
      <c r="BA15" s="81">
        <v>0</v>
      </c>
      <c r="BB15" s="81">
        <v>0</v>
      </c>
      <c r="BC15" s="81">
        <v>0</v>
      </c>
      <c r="BD15" s="81">
        <v>0</v>
      </c>
      <c r="BE15" s="81">
        <v>0</v>
      </c>
      <c r="BF15" s="81">
        <v>0</v>
      </c>
      <c r="BG15" s="81">
        <v>0</v>
      </c>
      <c r="BH15" s="81">
        <v>0</v>
      </c>
      <c r="BI15" s="81">
        <v>0</v>
      </c>
      <c r="BJ15" s="81">
        <v>1.2158110939936058E-2</v>
      </c>
      <c r="BK15" s="81">
        <v>0</v>
      </c>
      <c r="BL15" s="81">
        <v>0</v>
      </c>
      <c r="BM15" s="81">
        <v>0</v>
      </c>
      <c r="BN15" s="81">
        <v>0</v>
      </c>
    </row>
    <row r="16" spans="1:66" ht="15.75" x14ac:dyDescent="0.25">
      <c r="A16" s="76" t="s">
        <v>301</v>
      </c>
      <c r="B16" s="81">
        <v>7.0025674370931892E-3</v>
      </c>
      <c r="C16" s="81">
        <v>7.0025674370931892E-3</v>
      </c>
      <c r="D16" s="81">
        <v>7.0025674370931892E-3</v>
      </c>
      <c r="E16" s="81">
        <v>7.0025674370931892E-3</v>
      </c>
      <c r="F16" s="81">
        <v>7.0025674370931892E-3</v>
      </c>
      <c r="G16" s="81">
        <v>7.0025674370931892E-3</v>
      </c>
      <c r="H16" s="81">
        <v>7.0025674370931892E-3</v>
      </c>
      <c r="I16" s="81">
        <v>7.0025674370931892E-3</v>
      </c>
      <c r="J16" s="81">
        <v>7.0025674370931892E-3</v>
      </c>
      <c r="K16" s="81">
        <v>7.0025674370931892E-3</v>
      </c>
      <c r="L16" s="81">
        <v>7.0025674370931892E-3</v>
      </c>
      <c r="M16" s="81">
        <v>2.5650461432308886E-3</v>
      </c>
      <c r="N16" s="81">
        <v>2.5650461432308886E-3</v>
      </c>
      <c r="O16" s="81">
        <v>3.9124605642068535E-3</v>
      </c>
      <c r="P16" s="81">
        <v>2.1130372776396719E-2</v>
      </c>
      <c r="Q16" s="81">
        <v>6.7442158446147189E-3</v>
      </c>
      <c r="R16" s="81">
        <v>5.1300922864617772E-3</v>
      </c>
      <c r="S16" s="81">
        <v>3.5722820580395328E-3</v>
      </c>
      <c r="T16" s="81">
        <v>7.0624081847143324E-3</v>
      </c>
      <c r="U16" s="81">
        <v>7.0624081847143324E-3</v>
      </c>
      <c r="V16" s="81">
        <v>3.917772581282699E-3</v>
      </c>
      <c r="W16" s="81">
        <v>3.917772581282699E-3</v>
      </c>
      <c r="X16" s="81">
        <v>0</v>
      </c>
      <c r="Y16" s="81">
        <v>3.978128841992468E-3</v>
      </c>
      <c r="Z16" s="81">
        <v>2.9793120209422909E-3</v>
      </c>
      <c r="AA16" s="81">
        <v>3.1672084356436569E-3</v>
      </c>
      <c r="AB16" s="81">
        <v>4.8618455220102224E-3</v>
      </c>
      <c r="AC16" s="81">
        <v>1.5000586883421197E-2</v>
      </c>
      <c r="AD16" s="81">
        <v>1.5000586883421197E-2</v>
      </c>
      <c r="AE16" s="81">
        <v>2.7144619059069029E-3</v>
      </c>
      <c r="AF16" s="81">
        <v>5.9751599237180368E-3</v>
      </c>
      <c r="AG16" s="81">
        <v>2.0852490841232058E-3</v>
      </c>
      <c r="AH16" s="81">
        <v>2.7299245059050747E-3</v>
      </c>
      <c r="AI16" s="81">
        <v>0</v>
      </c>
      <c r="AJ16" s="81">
        <v>2.5192445220206532E-3</v>
      </c>
      <c r="AK16" s="81">
        <v>5.5521397475622215E-3</v>
      </c>
      <c r="AL16" s="81">
        <v>2.0535478867322867E-3</v>
      </c>
      <c r="AM16" s="81">
        <v>2.209994438090365E-3</v>
      </c>
      <c r="AN16" s="81">
        <v>2.8436057064271454E-3</v>
      </c>
      <c r="AO16" s="81">
        <v>1.2655073967217897E-2</v>
      </c>
      <c r="AP16" s="81">
        <v>4.3141868881939396E-3</v>
      </c>
      <c r="AQ16" s="81">
        <v>2.7144619059069029E-3</v>
      </c>
      <c r="AR16" s="81">
        <v>5.9751599237180368E-3</v>
      </c>
      <c r="AS16" s="81">
        <v>2.0852490841232058E-3</v>
      </c>
      <c r="AT16" s="81">
        <v>2.7299245059050747E-3</v>
      </c>
      <c r="AU16" s="81">
        <v>0</v>
      </c>
      <c r="AV16" s="81">
        <v>2.5192445220206532E-3</v>
      </c>
      <c r="AW16" s="81">
        <v>5.5521397475622215E-3</v>
      </c>
      <c r="AX16" s="81">
        <v>2.0535478867322867E-3</v>
      </c>
      <c r="AY16" s="81">
        <v>2.209994438090365E-3</v>
      </c>
      <c r="AZ16" s="81">
        <v>2.8436057064271454E-3</v>
      </c>
      <c r="BA16" s="81">
        <v>1.2655073967217897E-2</v>
      </c>
      <c r="BB16" s="81">
        <v>4.3141868881939396E-3</v>
      </c>
      <c r="BC16" s="81">
        <v>3.1307029413455249E-3</v>
      </c>
      <c r="BD16" s="81">
        <v>6.3914009591566588E-3</v>
      </c>
      <c r="BE16" s="81">
        <v>2.5014901195618278E-3</v>
      </c>
      <c r="BF16" s="81">
        <v>3.1461655413436967E-3</v>
      </c>
      <c r="BG16" s="81">
        <v>0</v>
      </c>
      <c r="BH16" s="81">
        <v>2.9354855574592752E-3</v>
      </c>
      <c r="BI16" s="81">
        <v>5.9683807830008435E-3</v>
      </c>
      <c r="BJ16" s="81">
        <v>2.4697889221709088E-3</v>
      </c>
      <c r="BK16" s="81">
        <v>2.570713531758681E-3</v>
      </c>
      <c r="BL16" s="81">
        <v>6.094211461684919E-3</v>
      </c>
      <c r="BM16" s="81">
        <v>1.1829848241506645E-2</v>
      </c>
      <c r="BN16" s="81">
        <v>8.1879443319970522E-3</v>
      </c>
    </row>
    <row r="17" spans="1:66" ht="15.75" x14ac:dyDescent="0.25">
      <c r="A17" s="76" t="s">
        <v>29</v>
      </c>
      <c r="B17" s="81">
        <v>7.3271606540684202E-3</v>
      </c>
      <c r="C17" s="81">
        <v>7.3271606540684202E-3</v>
      </c>
      <c r="D17" s="81">
        <v>7.3271606540684202E-3</v>
      </c>
      <c r="E17" s="81">
        <v>7.3271606540684202E-3</v>
      </c>
      <c r="F17" s="81">
        <v>7.3271606540684202E-3</v>
      </c>
      <c r="G17" s="81">
        <v>0</v>
      </c>
      <c r="H17" s="81">
        <v>0</v>
      </c>
      <c r="I17" s="81">
        <v>0</v>
      </c>
      <c r="J17" s="81">
        <v>0</v>
      </c>
      <c r="K17" s="81">
        <v>0</v>
      </c>
      <c r="L17" s="81">
        <v>0</v>
      </c>
      <c r="M17" s="81">
        <v>2.5155966995371302E-3</v>
      </c>
      <c r="N17" s="81">
        <v>2.0741156224214539E-2</v>
      </c>
      <c r="O17" s="81">
        <v>2.5155966995371302E-3</v>
      </c>
      <c r="P17" s="81">
        <v>9.6943475968809915E-3</v>
      </c>
      <c r="Q17" s="81">
        <v>2.5155966995371302E-3</v>
      </c>
      <c r="R17" s="81">
        <v>5.0311933990742604E-3</v>
      </c>
      <c r="S17" s="81">
        <v>0</v>
      </c>
      <c r="T17" s="81">
        <v>0</v>
      </c>
      <c r="U17" s="81">
        <v>0</v>
      </c>
      <c r="V17" s="81">
        <v>0</v>
      </c>
      <c r="W17" s="81">
        <v>0</v>
      </c>
      <c r="X17" s="81">
        <v>0</v>
      </c>
      <c r="Y17" s="81">
        <v>0</v>
      </c>
      <c r="Z17" s="81">
        <v>0</v>
      </c>
      <c r="AA17" s="81">
        <v>0</v>
      </c>
      <c r="AB17" s="81">
        <v>0</v>
      </c>
      <c r="AC17" s="81">
        <v>0</v>
      </c>
      <c r="AD17" s="81">
        <v>0</v>
      </c>
      <c r="AE17" s="81">
        <v>0</v>
      </c>
      <c r="AF17" s="81">
        <v>0</v>
      </c>
      <c r="AG17" s="81">
        <v>0</v>
      </c>
      <c r="AH17" s="81">
        <v>0</v>
      </c>
      <c r="AI17" s="81">
        <v>0</v>
      </c>
      <c r="AJ17" s="81">
        <v>0</v>
      </c>
      <c r="AK17" s="81">
        <v>0</v>
      </c>
      <c r="AL17" s="81">
        <v>0</v>
      </c>
      <c r="AM17" s="81">
        <v>7.8164638830226386E-3</v>
      </c>
      <c r="AN17" s="81">
        <v>0</v>
      </c>
      <c r="AO17" s="81">
        <v>3.8055277905385738E-3</v>
      </c>
      <c r="AP17" s="81">
        <v>0</v>
      </c>
      <c r="AQ17" s="81">
        <v>0</v>
      </c>
      <c r="AR17" s="81">
        <v>0</v>
      </c>
      <c r="AS17" s="81">
        <v>0</v>
      </c>
      <c r="AT17" s="81">
        <v>0</v>
      </c>
      <c r="AU17" s="81">
        <v>0</v>
      </c>
      <c r="AV17" s="81">
        <v>0</v>
      </c>
      <c r="AW17" s="81">
        <v>0</v>
      </c>
      <c r="AX17" s="81">
        <v>0</v>
      </c>
      <c r="AY17" s="81">
        <v>7.8164638830226386E-3</v>
      </c>
      <c r="AZ17" s="81">
        <v>0</v>
      </c>
      <c r="BA17" s="81">
        <v>3.8055277905385738E-3</v>
      </c>
      <c r="BB17" s="81">
        <v>0</v>
      </c>
      <c r="BC17" s="81">
        <v>0</v>
      </c>
      <c r="BD17" s="81">
        <v>0</v>
      </c>
      <c r="BE17" s="81">
        <v>0</v>
      </c>
      <c r="BF17" s="81">
        <v>0</v>
      </c>
      <c r="BG17" s="81">
        <v>0</v>
      </c>
      <c r="BH17" s="81">
        <v>0</v>
      </c>
      <c r="BI17" s="81">
        <v>0</v>
      </c>
      <c r="BJ17" s="81">
        <v>0</v>
      </c>
      <c r="BK17" s="81">
        <v>6.6507498872739566E-3</v>
      </c>
      <c r="BL17" s="81">
        <v>0</v>
      </c>
      <c r="BM17" s="81">
        <v>1.2776236062574319E-2</v>
      </c>
      <c r="BN17" s="81">
        <v>0</v>
      </c>
    </row>
    <row r="18" spans="1:66" ht="15.75" x14ac:dyDescent="0.25">
      <c r="A18" s="76" t="s">
        <v>7</v>
      </c>
      <c r="B18" s="81">
        <v>2.3011471402720018E-3</v>
      </c>
      <c r="C18" s="81">
        <v>2.3011471402720018E-3</v>
      </c>
      <c r="D18" s="81">
        <v>2.3011471402720018E-3</v>
      </c>
      <c r="E18" s="81">
        <v>2.3011471402720018E-3</v>
      </c>
      <c r="F18" s="81">
        <v>2.3011471402720018E-3</v>
      </c>
      <c r="G18" s="81">
        <v>2.3011471402720018E-3</v>
      </c>
      <c r="H18" s="81">
        <v>2.3011471402720018E-3</v>
      </c>
      <c r="I18" s="81">
        <v>2.3011471402720018E-3</v>
      </c>
      <c r="J18" s="81">
        <v>2.3011471402720018E-3</v>
      </c>
      <c r="K18" s="81">
        <v>2.3011471402720018E-3</v>
      </c>
      <c r="L18" s="81">
        <v>2.3011471402720018E-3</v>
      </c>
      <c r="M18" s="81">
        <v>2.198944666882364E-3</v>
      </c>
      <c r="N18" s="81">
        <v>6.2364694516053795E-3</v>
      </c>
      <c r="O18" s="81">
        <v>2.3408584477532419E-3</v>
      </c>
      <c r="P18" s="81">
        <v>2.3230814972427039E-3</v>
      </c>
      <c r="Q18" s="81">
        <v>1.7946093581683916E-3</v>
      </c>
      <c r="R18" s="81">
        <v>2.2053876893884947E-3</v>
      </c>
      <c r="S18" s="81">
        <v>1.1725796106723913E-3</v>
      </c>
      <c r="T18" s="81">
        <v>9.3679814487381051E-4</v>
      </c>
      <c r="U18" s="81">
        <v>9.3679814487381051E-4</v>
      </c>
      <c r="V18" s="81">
        <v>9.496686234601807E-4</v>
      </c>
      <c r="W18" s="81">
        <v>9.496686234601807E-4</v>
      </c>
      <c r="X18" s="81">
        <v>9.5454685007179791E-4</v>
      </c>
      <c r="Y18" s="81">
        <v>9.1801018194834899E-4</v>
      </c>
      <c r="Z18" s="81">
        <v>1.634395999080809E-3</v>
      </c>
      <c r="AA18" s="81">
        <v>3.3499388412483169E-3</v>
      </c>
      <c r="AB18" s="81">
        <v>1.640016590148969E-3</v>
      </c>
      <c r="AC18" s="81">
        <v>1.5527394196873921E-3</v>
      </c>
      <c r="AD18" s="81">
        <v>1.5527394196873921E-3</v>
      </c>
      <c r="AE18" s="81">
        <v>1.0798791381051317E-3</v>
      </c>
      <c r="AF18" s="81">
        <v>8.2637101242545618E-4</v>
      </c>
      <c r="AG18" s="81">
        <v>9.3174159734008759E-4</v>
      </c>
      <c r="AH18" s="81">
        <v>7.9096256624392207E-4</v>
      </c>
      <c r="AI18" s="81">
        <v>1.2916343411102983E-3</v>
      </c>
      <c r="AJ18" s="81">
        <v>8.1453622511910362E-4</v>
      </c>
      <c r="AK18" s="81">
        <v>1.9955723293803881E-3</v>
      </c>
      <c r="AL18" s="81">
        <v>1.1352697351407052E-3</v>
      </c>
      <c r="AM18" s="81">
        <v>2.4561646946016764E-3</v>
      </c>
      <c r="AN18" s="81">
        <v>1.5473161175817095E-3</v>
      </c>
      <c r="AO18" s="81">
        <v>1.4600389471201324E-3</v>
      </c>
      <c r="AP18" s="81">
        <v>1.0774740036154683E-3</v>
      </c>
      <c r="AQ18" s="81">
        <v>1.0798791381051317E-3</v>
      </c>
      <c r="AR18" s="81">
        <v>8.2637101242545618E-4</v>
      </c>
      <c r="AS18" s="81">
        <v>9.3174159734008759E-4</v>
      </c>
      <c r="AT18" s="81">
        <v>7.9096256624392207E-4</v>
      </c>
      <c r="AU18" s="81">
        <v>1.2916343411102983E-3</v>
      </c>
      <c r="AV18" s="81">
        <v>8.1453622511910362E-4</v>
      </c>
      <c r="AW18" s="81">
        <v>1.9955723293803881E-3</v>
      </c>
      <c r="AX18" s="81">
        <v>1.1352697351407052E-3</v>
      </c>
      <c r="AY18" s="81">
        <v>2.4561646946016764E-3</v>
      </c>
      <c r="AZ18" s="81">
        <v>1.5473161175817095E-3</v>
      </c>
      <c r="BA18" s="81">
        <v>1.4600389471201324E-3</v>
      </c>
      <c r="BB18" s="81">
        <v>1.0774740036154683E-3</v>
      </c>
      <c r="BC18" s="81">
        <v>1.0696860863482279E-3</v>
      </c>
      <c r="BD18" s="81">
        <v>8.1617796066855248E-4</v>
      </c>
      <c r="BE18" s="81">
        <v>9.2154854558318389E-4</v>
      </c>
      <c r="BF18" s="81">
        <v>7.8076951448701826E-4</v>
      </c>
      <c r="BG18" s="81">
        <v>1.2814412893533945E-3</v>
      </c>
      <c r="BH18" s="81">
        <v>8.0434317336219993E-4</v>
      </c>
      <c r="BI18" s="81">
        <v>1.9853792776234848E-3</v>
      </c>
      <c r="BJ18" s="81">
        <v>1.1250766833838016E-3</v>
      </c>
      <c r="BK18" s="81">
        <v>1.9984875385954531E-3</v>
      </c>
      <c r="BL18" s="81">
        <v>1.2568417791676122E-3</v>
      </c>
      <c r="BM18" s="81">
        <v>1.6877710424315644E-3</v>
      </c>
      <c r="BN18" s="81">
        <v>1.4348045746138988E-3</v>
      </c>
    </row>
    <row r="21" spans="1:66" ht="15.75" x14ac:dyDescent="0.25">
      <c r="B21" s="83">
        <v>13730</v>
      </c>
      <c r="C21" s="82">
        <f>C2-C8</f>
        <v>0.98866645324392255</v>
      </c>
      <c r="D21" s="82">
        <f>D2-D4</f>
        <v>0.92247956453218816</v>
      </c>
      <c r="E21" s="82">
        <f>E2-E8</f>
        <v>0.97411855800640956</v>
      </c>
      <c r="F21" s="82">
        <f t="shared" ref="F21:M21" si="6">F2-F4</f>
        <v>0.91791855800640954</v>
      </c>
      <c r="G21" s="82">
        <f t="shared" si="6"/>
        <v>0.85302094959164698</v>
      </c>
      <c r="H21" s="82">
        <f t="shared" si="6"/>
        <v>0.82912491588838266</v>
      </c>
      <c r="I21" s="82">
        <f t="shared" si="6"/>
        <v>0.82912491588838266</v>
      </c>
      <c r="J21" s="82">
        <f t="shared" si="6"/>
        <v>0.8566149158883829</v>
      </c>
      <c r="K21" s="82">
        <f t="shared" si="6"/>
        <v>0.81673491588838276</v>
      </c>
      <c r="L21" s="82">
        <f t="shared" si="6"/>
        <v>0.72956368538578309</v>
      </c>
      <c r="M21" s="82">
        <f t="shared" si="6"/>
        <v>0.65019383049641677</v>
      </c>
      <c r="N21" s="82">
        <f t="shared" ref="N21:O21" si="7">N2-N4</f>
        <v>0.77528259129967847</v>
      </c>
      <c r="O21" s="82">
        <f t="shared" si="7"/>
        <v>0.79178701092166115</v>
      </c>
      <c r="P21" s="82">
        <f t="shared" ref="P21:U21" si="8">P2-P4</f>
        <v>0.85464444492920078</v>
      </c>
      <c r="Q21" s="82">
        <f t="shared" si="8"/>
        <v>0.69732461981256577</v>
      </c>
      <c r="R21" s="82">
        <f t="shared" si="8"/>
        <v>0.74566301429473003</v>
      </c>
      <c r="S21" s="82">
        <f t="shared" si="8"/>
        <v>0.79746953923309305</v>
      </c>
      <c r="T21" s="82">
        <f t="shared" si="8"/>
        <v>0.75971762994171599</v>
      </c>
      <c r="U21" s="82">
        <f t="shared" si="8"/>
        <v>0.62818576586404629</v>
      </c>
      <c r="V21" s="82">
        <f t="shared" ref="V21:Z21" si="9">V2-V4</f>
        <v>0.54372293132002225</v>
      </c>
      <c r="W21" s="82">
        <f t="shared" si="9"/>
        <v>0.54372293132002225</v>
      </c>
      <c r="X21" s="82">
        <f t="shared" si="9"/>
        <v>0.53720919214376006</v>
      </c>
      <c r="Y21" s="82">
        <f t="shared" si="9"/>
        <v>0.61620139311202105</v>
      </c>
      <c r="Z21" s="82">
        <f t="shared" si="9"/>
        <v>0.59431761113016945</v>
      </c>
      <c r="AA21" s="82">
        <f>AA2-AA5</f>
        <v>0.7428963323089024</v>
      </c>
      <c r="AB21" s="82">
        <f t="shared" ref="AB21:AC21" si="10">AB2-AB4</f>
        <v>0.7998694285237713</v>
      </c>
      <c r="AC21" s="82">
        <f t="shared" si="10"/>
        <v>0.72355856401784002</v>
      </c>
      <c r="AD21" s="82">
        <f>AD2-AD8</f>
        <v>0.90513364747720992</v>
      </c>
      <c r="AE21" s="82">
        <f>AE2-AE5</f>
        <v>0.82723504197586017</v>
      </c>
      <c r="AF21" s="82">
        <f t="shared" ref="AF21" si="11">AF2-AF5</f>
        <v>0.84800397792841042</v>
      </c>
      <c r="AG21" s="82">
        <f>AG2-AG10</f>
        <v>0.97640297978870283</v>
      </c>
      <c r="AH21" s="82">
        <f>AH2-AH6</f>
        <v>0.90898239999999997</v>
      </c>
      <c r="AI21" s="82">
        <f>AI2-AI4</f>
        <v>0.67665219349543615</v>
      </c>
      <c r="AJ21" s="82">
        <f t="shared" ref="AJ21:AK21" si="12">AJ2-AJ4</f>
        <v>0.61777401819772337</v>
      </c>
      <c r="AK21" s="82">
        <f t="shared" si="12"/>
        <v>0.67958984622033525</v>
      </c>
      <c r="AL21" s="82">
        <f>AL2-AL4</f>
        <v>0.69141695999363595</v>
      </c>
      <c r="AM21" s="82">
        <f t="shared" ref="AM21:AP21" si="13">AM2-AM4</f>
        <v>0.77592033484735223</v>
      </c>
      <c r="AN21" s="82">
        <f t="shared" si="13"/>
        <v>0.78762261960383961</v>
      </c>
      <c r="AO21" s="82">
        <f t="shared" si="13"/>
        <v>0.80055436483475606</v>
      </c>
      <c r="AP21" s="82">
        <f t="shared" si="13"/>
        <v>0.80520200920294949</v>
      </c>
      <c r="AQ21" s="82">
        <f t="shared" ref="AQ21:BB21" si="14">AQ2-AQ4</f>
        <v>0.83647786710177252</v>
      </c>
      <c r="AR21" s="82">
        <f t="shared" si="14"/>
        <v>0.81656747356828141</v>
      </c>
      <c r="AS21" s="82">
        <f t="shared" si="14"/>
        <v>0.78007006746339347</v>
      </c>
      <c r="AT21" s="82">
        <f t="shared" si="14"/>
        <v>0.82595011715784883</v>
      </c>
      <c r="AU21" s="82">
        <f t="shared" si="14"/>
        <v>0.72662349439853946</v>
      </c>
      <c r="AV21" s="82">
        <f t="shared" si="14"/>
        <v>0.7818487551622626</v>
      </c>
      <c r="AW21" s="82">
        <f t="shared" si="14"/>
        <v>0.65561675193071423</v>
      </c>
      <c r="AX21" s="82">
        <f t="shared" si="14"/>
        <v>0.76132348034802411</v>
      </c>
      <c r="AY21" s="82">
        <f t="shared" si="14"/>
        <v>0.92263599066130519</v>
      </c>
      <c r="AZ21" s="82">
        <f t="shared" si="14"/>
        <v>0.97928588626917912</v>
      </c>
      <c r="BA21" s="82">
        <f t="shared" si="14"/>
        <v>0.953504347734911</v>
      </c>
      <c r="BB21" s="82">
        <f t="shared" si="14"/>
        <v>0.95815199210310431</v>
      </c>
      <c r="BC21" s="82">
        <f t="shared" ref="BC21:BN21" si="15">BC2-BC4</f>
        <v>0.60232078508860409</v>
      </c>
      <c r="BD21" s="82">
        <f t="shared" si="15"/>
        <v>0.60502304905906457</v>
      </c>
      <c r="BE21" s="82">
        <f t="shared" si="15"/>
        <v>0.55080536914714096</v>
      </c>
      <c r="BF21" s="82">
        <f t="shared" si="15"/>
        <v>0.57323273030695399</v>
      </c>
      <c r="BG21" s="82">
        <f t="shared" si="15"/>
        <v>0.55364623633589272</v>
      </c>
      <c r="BH21" s="82">
        <f t="shared" si="15"/>
        <v>0.48318241563980346</v>
      </c>
      <c r="BI21" s="82">
        <f t="shared" si="15"/>
        <v>0.53005547408033038</v>
      </c>
      <c r="BJ21" s="82">
        <f t="shared" si="15"/>
        <v>0.51788346930195595</v>
      </c>
      <c r="BK21" s="82">
        <f t="shared" si="15"/>
        <v>0.57813171086138948</v>
      </c>
      <c r="BL21" s="82">
        <f t="shared" si="15"/>
        <v>0.68744347965866481</v>
      </c>
      <c r="BM21" s="82">
        <f t="shared" si="15"/>
        <v>0.67593763871596246</v>
      </c>
      <c r="BN21" s="82">
        <f t="shared" si="15"/>
        <v>0.63763484514560165</v>
      </c>
    </row>
    <row r="22" spans="1:66" x14ac:dyDescent="0.25">
      <c r="A22" s="74">
        <v>4100</v>
      </c>
      <c r="B22" s="84">
        <f>A22/B21</f>
        <v>0.29861616897305171</v>
      </c>
      <c r="C22" s="82">
        <v>1</v>
      </c>
      <c r="D22" s="82">
        <v>1</v>
      </c>
      <c r="E22" s="82">
        <v>1</v>
      </c>
      <c r="F22" s="82">
        <v>1</v>
      </c>
      <c r="G22" s="82">
        <v>1</v>
      </c>
      <c r="H22" s="82">
        <v>1</v>
      </c>
      <c r="I22" s="82">
        <v>1</v>
      </c>
      <c r="J22" s="82">
        <v>1</v>
      </c>
      <c r="K22" s="82">
        <v>1</v>
      </c>
      <c r="L22" s="82">
        <v>1</v>
      </c>
      <c r="M22" s="82">
        <v>1</v>
      </c>
      <c r="N22" s="82">
        <v>1</v>
      </c>
      <c r="O22" s="82">
        <v>1</v>
      </c>
      <c r="P22" s="82">
        <v>1</v>
      </c>
      <c r="Q22" s="82">
        <v>1</v>
      </c>
      <c r="R22" s="82">
        <v>1</v>
      </c>
      <c r="S22" s="82">
        <v>1</v>
      </c>
      <c r="T22" s="82">
        <v>1</v>
      </c>
      <c r="U22" s="82">
        <v>1</v>
      </c>
      <c r="V22" s="82">
        <v>1</v>
      </c>
      <c r="W22" s="82">
        <v>1</v>
      </c>
      <c r="X22" s="82">
        <v>1</v>
      </c>
      <c r="Y22" s="82">
        <v>1</v>
      </c>
      <c r="Z22" s="82">
        <v>1</v>
      </c>
      <c r="AA22" s="82">
        <v>1</v>
      </c>
      <c r="AB22" s="82">
        <v>1</v>
      </c>
      <c r="AC22" s="82">
        <v>1</v>
      </c>
      <c r="AD22" s="82">
        <v>1</v>
      </c>
      <c r="AE22" s="82">
        <v>1</v>
      </c>
      <c r="AF22" s="82">
        <v>1</v>
      </c>
      <c r="AG22" s="82">
        <v>1</v>
      </c>
      <c r="AH22" s="82">
        <v>1</v>
      </c>
      <c r="AI22" s="82">
        <v>1</v>
      </c>
      <c r="AJ22" s="82">
        <v>1</v>
      </c>
      <c r="AK22" s="82">
        <v>1</v>
      </c>
      <c r="AL22" s="82">
        <v>1</v>
      </c>
      <c r="AM22" s="82">
        <v>1</v>
      </c>
      <c r="AN22" s="82">
        <v>1</v>
      </c>
      <c r="AO22" s="82">
        <v>1</v>
      </c>
      <c r="AP22" s="82">
        <v>1</v>
      </c>
      <c r="AQ22" s="82">
        <v>1</v>
      </c>
      <c r="AR22" s="82">
        <v>1</v>
      </c>
      <c r="AS22" s="82">
        <v>1</v>
      </c>
      <c r="AT22" s="82">
        <v>1</v>
      </c>
      <c r="AU22" s="82">
        <v>1</v>
      </c>
      <c r="AV22" s="82">
        <v>1</v>
      </c>
      <c r="AW22" s="82">
        <v>1</v>
      </c>
      <c r="AX22" s="82">
        <v>1</v>
      </c>
      <c r="AY22" s="82">
        <v>1</v>
      </c>
      <c r="AZ22" s="82">
        <v>1</v>
      </c>
      <c r="BA22" s="82">
        <v>1</v>
      </c>
      <c r="BB22" s="82">
        <v>1</v>
      </c>
      <c r="BC22" s="82">
        <v>1</v>
      </c>
      <c r="BD22" s="82">
        <v>1</v>
      </c>
      <c r="BE22" s="82">
        <v>1</v>
      </c>
      <c r="BF22" s="82">
        <v>1</v>
      </c>
      <c r="BG22" s="82">
        <v>1</v>
      </c>
      <c r="BH22" s="82">
        <v>1</v>
      </c>
      <c r="BI22" s="82">
        <v>1</v>
      </c>
      <c r="BJ22" s="82">
        <v>1</v>
      </c>
      <c r="BK22" s="82">
        <v>1</v>
      </c>
      <c r="BL22" s="82">
        <v>1</v>
      </c>
      <c r="BM22" s="82">
        <v>1</v>
      </c>
      <c r="BN22" s="82">
        <v>1</v>
      </c>
    </row>
    <row r="23" spans="1:66" x14ac:dyDescent="0.25">
      <c r="C23" s="82">
        <f>C22-C21</f>
        <v>1.1333546756077451E-2</v>
      </c>
      <c r="D23" s="82">
        <f t="shared" ref="D23:L23" si="16">D22-D21</f>
        <v>7.7520435467811843E-2</v>
      </c>
      <c r="E23" s="82">
        <f t="shared" si="16"/>
        <v>2.5881441993590437E-2</v>
      </c>
      <c r="F23" s="82">
        <f t="shared" si="16"/>
        <v>8.2081441993590465E-2</v>
      </c>
      <c r="G23" s="82">
        <f t="shared" si="16"/>
        <v>0.14697905040835302</v>
      </c>
      <c r="H23" s="82">
        <f t="shared" si="16"/>
        <v>0.17087508411161734</v>
      </c>
      <c r="I23" s="82">
        <f t="shared" si="16"/>
        <v>0.17087508411161734</v>
      </c>
      <c r="J23" s="82">
        <f t="shared" si="16"/>
        <v>0.1433850841116171</v>
      </c>
      <c r="K23" s="82">
        <f t="shared" si="16"/>
        <v>0.18326508411161724</v>
      </c>
      <c r="L23" s="82">
        <f t="shared" si="16"/>
        <v>0.27043631461421691</v>
      </c>
      <c r="M23" s="82">
        <f>M22-M21</f>
        <v>0.34980616950358323</v>
      </c>
      <c r="N23" s="82">
        <f t="shared" ref="N23:O23" si="17">N22-N21</f>
        <v>0.22471740870032153</v>
      </c>
      <c r="O23" s="82">
        <f t="shared" si="17"/>
        <v>0.20821298907833885</v>
      </c>
      <c r="P23" s="82">
        <f t="shared" ref="P23" si="18">P22-P21</f>
        <v>0.14535555507079922</v>
      </c>
      <c r="Q23" s="82">
        <f t="shared" ref="Q23" si="19">Q22-Q21</f>
        <v>0.30267538018743423</v>
      </c>
      <c r="R23" s="82">
        <f t="shared" ref="R23" si="20">R22-R21</f>
        <v>0.25433698570526997</v>
      </c>
      <c r="S23" s="82">
        <f t="shared" ref="S23" si="21">S22-S21</f>
        <v>0.20253046076690695</v>
      </c>
      <c r="T23" s="82">
        <f t="shared" ref="T23" si="22">T22-T21</f>
        <v>0.24028237005828401</v>
      </c>
      <c r="U23" s="82">
        <f t="shared" ref="U23:Z23" si="23">U22-U21</f>
        <v>0.37181423413595371</v>
      </c>
      <c r="V23" s="82">
        <f t="shared" si="23"/>
        <v>0.45627706867997775</v>
      </c>
      <c r="W23" s="82">
        <f t="shared" si="23"/>
        <v>0.45627706867997775</v>
      </c>
      <c r="X23" s="82">
        <f t="shared" si="23"/>
        <v>0.46279080785623994</v>
      </c>
      <c r="Y23" s="82">
        <f t="shared" si="23"/>
        <v>0.38379860688797895</v>
      </c>
      <c r="Z23" s="82">
        <f t="shared" si="23"/>
        <v>0.40568238886983055</v>
      </c>
      <c r="AA23" s="82">
        <f t="shared" ref="AA23:AE23" si="24">AA22-AA21</f>
        <v>0.2571036676910976</v>
      </c>
      <c r="AB23" s="82">
        <f t="shared" si="24"/>
        <v>0.2001305714762287</v>
      </c>
      <c r="AC23" s="82">
        <f t="shared" si="24"/>
        <v>0.27644143598215998</v>
      </c>
      <c r="AD23" s="82">
        <f t="shared" si="24"/>
        <v>9.4866352522790076E-2</v>
      </c>
      <c r="AE23" s="82">
        <f t="shared" si="24"/>
        <v>0.17276495802413983</v>
      </c>
      <c r="AF23" s="82">
        <f t="shared" ref="AF23:AP23" si="25">AF22-AF21</f>
        <v>0.15199602207158958</v>
      </c>
      <c r="AG23" s="82">
        <f t="shared" si="25"/>
        <v>2.3597020211297171E-2</v>
      </c>
      <c r="AH23" s="82">
        <f t="shared" si="25"/>
        <v>9.1017600000000032E-2</v>
      </c>
      <c r="AI23" s="82">
        <f t="shared" si="25"/>
        <v>0.32334780650456385</v>
      </c>
      <c r="AJ23" s="82">
        <f t="shared" si="25"/>
        <v>0.38222598180227663</v>
      </c>
      <c r="AK23" s="82">
        <f t="shared" si="25"/>
        <v>0.32041015377966475</v>
      </c>
      <c r="AL23" s="82">
        <f t="shared" si="25"/>
        <v>0.30858304000636405</v>
      </c>
      <c r="AM23" s="82">
        <f t="shared" si="25"/>
        <v>0.22407966515264777</v>
      </c>
      <c r="AN23" s="82">
        <f t="shared" si="25"/>
        <v>0.21237738039616039</v>
      </c>
      <c r="AO23" s="82">
        <f t="shared" si="25"/>
        <v>0.19944563516524394</v>
      </c>
      <c r="AP23" s="82">
        <f t="shared" si="25"/>
        <v>0.19479799079705051</v>
      </c>
      <c r="AQ23" s="82">
        <f t="shared" ref="AQ23:BB23" si="26">AQ22-AQ21</f>
        <v>0.16352213289822748</v>
      </c>
      <c r="AR23" s="82">
        <f t="shared" si="26"/>
        <v>0.18343252643171859</v>
      </c>
      <c r="AS23" s="82">
        <f t="shared" si="26"/>
        <v>0.21992993253660653</v>
      </c>
      <c r="AT23" s="82">
        <f t="shared" si="26"/>
        <v>0.17404988284215117</v>
      </c>
      <c r="AU23" s="82">
        <f t="shared" si="26"/>
        <v>0.27337650560146054</v>
      </c>
      <c r="AV23" s="82">
        <f t="shared" si="26"/>
        <v>0.2181512448377374</v>
      </c>
      <c r="AW23" s="82">
        <f t="shared" si="26"/>
        <v>0.34438324806928577</v>
      </c>
      <c r="AX23" s="82">
        <f t="shared" si="26"/>
        <v>0.23867651965197589</v>
      </c>
      <c r="AY23" s="82">
        <f t="shared" si="26"/>
        <v>7.7364009338694806E-2</v>
      </c>
      <c r="AZ23" s="82">
        <f t="shared" si="26"/>
        <v>2.0714113730820882E-2</v>
      </c>
      <c r="BA23" s="82">
        <f t="shared" si="26"/>
        <v>4.6495652265089005E-2</v>
      </c>
      <c r="BB23" s="82">
        <f t="shared" si="26"/>
        <v>4.1848007896895689E-2</v>
      </c>
      <c r="BC23" s="82">
        <f t="shared" ref="BC23:BN23" si="27">BC22-BC21</f>
        <v>0.39767921491139591</v>
      </c>
      <c r="BD23" s="82">
        <f t="shared" si="27"/>
        <v>0.39497695094093543</v>
      </c>
      <c r="BE23" s="82">
        <f t="shared" si="27"/>
        <v>0.44919463085285904</v>
      </c>
      <c r="BF23" s="82">
        <f t="shared" si="27"/>
        <v>0.42676726969304601</v>
      </c>
      <c r="BG23" s="82">
        <f t="shared" si="27"/>
        <v>0.44635376366410728</v>
      </c>
      <c r="BH23" s="82">
        <f t="shared" si="27"/>
        <v>0.51681758436019654</v>
      </c>
      <c r="BI23" s="82">
        <f t="shared" si="27"/>
        <v>0.46994452591966962</v>
      </c>
      <c r="BJ23" s="82">
        <f t="shared" si="27"/>
        <v>0.48211653069804405</v>
      </c>
      <c r="BK23" s="82">
        <f t="shared" si="27"/>
        <v>0.42186828913861052</v>
      </c>
      <c r="BL23" s="82">
        <f t="shared" si="27"/>
        <v>0.31255652034133519</v>
      </c>
      <c r="BM23" s="82">
        <f t="shared" si="27"/>
        <v>0.32406236128403754</v>
      </c>
      <c r="BN23" s="82">
        <f t="shared" si="27"/>
        <v>0.36236515485439835</v>
      </c>
    </row>
    <row r="26" spans="1:66" x14ac:dyDescent="0.25">
      <c r="V26" s="79"/>
      <c r="BD26" s="84"/>
    </row>
    <row r="27" spans="1:66" x14ac:dyDescent="0.25">
      <c r="W27" s="79"/>
    </row>
    <row r="29" spans="1:66" x14ac:dyDescent="0.25">
      <c r="BL29" s="9">
        <f>+BE32</f>
        <v>0</v>
      </c>
    </row>
  </sheetData>
  <conditionalFormatting sqref="A2:U2 BO2:XFD2">
    <cfRule type="cellIs" dxfId="1" priority="186" operator="greaterThan">
      <formula>1.0001</formula>
    </cfRule>
  </conditionalFormatting>
  <conditionalFormatting sqref="B3:L18 L3:N4">
    <cfRule type="colorScale" priority="18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3:N4 R4 M5:R18">
    <cfRule type="colorScale" priority="1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4:Q4">
    <cfRule type="colorScale" priority="18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3:U3 W3:AA3">
    <cfRule type="colorScale" priority="17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7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4:U18">
    <cfRule type="colorScale" priority="18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3">
    <cfRule type="colorScale" priority="15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3:V11 V13:V18">
    <cfRule type="colorScale" priority="14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12">
    <cfRule type="colorScale" priority="14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13:V18 V3:V11">
    <cfRule type="colorScale" priority="14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13:V18 V4:V11">
    <cfRule type="colorScale" priority="15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13:Y18 W4:Y11 X4:AA4">
    <cfRule type="colorScale" priority="17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AA3 W13:AC18 W4:AC11">
    <cfRule type="colorScale" priority="16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12:AC12">
    <cfRule type="colorScale" priority="1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13:AC18 W3:AC11">
    <cfRule type="colorScale" priority="16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Y5">
    <cfRule type="colorScale" priority="1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Y4:AA11 Y13:AA18">
    <cfRule type="colorScale" priority="1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3">
    <cfRule type="colorScale" priority="14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5">
    <cfRule type="colorScale" priority="1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AC4">
    <cfRule type="colorScale" priority="17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AC11 Z18:AC18 Z13:AC16">
    <cfRule type="colorScale" priority="17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17:AC17">
    <cfRule type="colorScale" priority="1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">
    <cfRule type="colorScale" priority="14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C3">
    <cfRule type="colorScale" priority="16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">
    <cfRule type="colorScale" priority="15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C3">
    <cfRule type="colorScale" priority="13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3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3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4">
    <cfRule type="colorScale" priority="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4:AD11 AD18 AD13:AD16">
    <cfRule type="colorScale" priority="6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12"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13:AD18 AD3:AD11"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13:AD18 AD4:AD11">
    <cfRule type="colorScale" priority="6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17">
    <cfRule type="colorScale" priority="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E3:AF3">
    <cfRule type="colorScale" priority="8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9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8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88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8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8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8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8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E4:AF4">
    <cfRule type="colorScale" priority="1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E12:AF12">
    <cfRule type="colorScale" priority="1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E13:AF18 AE4:AF11">
    <cfRule type="colorScale" priority="11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1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E17:AF17">
    <cfRule type="colorScale" priority="1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E18:AF18 AE13:AF16 AE4:AF11">
    <cfRule type="colorScale" priority="1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F3">
    <cfRule type="colorScale" priority="10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0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0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0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0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0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0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9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G8:AW8 AG13:BN18 AG11:BN11 AH10:BN10 AG4:BN7 AG9:BN9 BC8:BI8">
    <cfRule type="colorScale" priority="525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G8:AW8 AG18:BN18 AG13:BN16 AG11:BN11 AH10:BN10 AG4:BN7 AG9:BN9 BC8:BI8">
    <cfRule type="colorScale" priority="52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G3:BN3">
    <cfRule type="colorScale" priority="52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G4:BN4">
    <cfRule type="colorScale" priority="52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G12:BN12">
    <cfRule type="colorScale" priority="52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G17:BN17">
    <cfRule type="colorScale" priority="52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X8:AY8 BJ8:BK8">
    <cfRule type="colorScale" priority="527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X8:BB8 BJ8:BN8">
    <cfRule type="colorScale" priority="527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27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27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2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A8:BB8 BM8:BN8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O25"/>
  <sheetViews>
    <sheetView workbookViewId="0">
      <pane xSplit="2" ySplit="1" topLeftCell="AH2" activePane="bottomRight" state="frozen"/>
      <selection activeCell="F7" sqref="F7"/>
      <selection pane="topRight" activeCell="F7" sqref="F7"/>
      <selection pane="bottomLeft" activeCell="F7" sqref="F7"/>
      <selection pane="bottomRight" activeCell="BG30" sqref="BG30"/>
    </sheetView>
  </sheetViews>
  <sheetFormatPr defaultColWidth="8.85546875" defaultRowHeight="15" x14ac:dyDescent="0.25"/>
  <cols>
    <col min="1" max="1" width="12.85546875" style="74" bestFit="1" customWidth="1"/>
    <col min="2" max="2" width="11.140625" style="74" bestFit="1" customWidth="1"/>
    <col min="3" max="3" width="10.140625" style="9" hidden="1" customWidth="1"/>
    <col min="4" max="4" width="9.85546875" style="9" hidden="1" customWidth="1"/>
    <col min="5" max="5" width="9.7109375" style="9" hidden="1" customWidth="1"/>
    <col min="6" max="6" width="10.28515625" style="9" hidden="1" customWidth="1"/>
    <col min="7" max="7" width="9.85546875" style="9" hidden="1" customWidth="1"/>
    <col min="8" max="8" width="9.42578125" style="9" hidden="1" customWidth="1"/>
    <col min="9" max="9" width="9.7109375" style="9" hidden="1" customWidth="1"/>
    <col min="10" max="10" width="10.28515625" style="9" hidden="1" customWidth="1"/>
    <col min="11" max="11" width="9.85546875" style="9" hidden="1" customWidth="1"/>
    <col min="12" max="12" width="10.5703125" style="9" hidden="1" customWidth="1"/>
    <col min="13" max="13" width="9.5703125" style="9" hidden="1" customWidth="1"/>
    <col min="14" max="14" width="8.85546875" style="9" hidden="1" customWidth="1"/>
    <col min="15" max="15" width="10.140625" style="9" hidden="1" customWidth="1"/>
    <col min="16" max="16" width="9.85546875" style="9" hidden="1" customWidth="1"/>
    <col min="17" max="17" width="9.7109375" style="9" hidden="1" customWidth="1"/>
    <col min="18" max="18" width="10.28515625" style="9" hidden="1" customWidth="1"/>
    <col min="19" max="19" width="9.85546875" style="9" hidden="1" customWidth="1"/>
    <col min="20" max="20" width="9.42578125" style="9" hidden="1" customWidth="1"/>
    <col min="21" max="21" width="9.7109375" style="9" hidden="1" customWidth="1"/>
    <col min="22" max="22" width="10.28515625" style="9" hidden="1" customWidth="1"/>
    <col min="23" max="23" width="9.85546875" style="9" hidden="1" customWidth="1"/>
    <col min="24" max="24" width="10.5703125" style="9" hidden="1" customWidth="1"/>
    <col min="25" max="25" width="9.5703125" style="9" hidden="1" customWidth="1"/>
    <col min="26" max="26" width="8.85546875" style="9" hidden="1" customWidth="1"/>
    <col min="27" max="27" width="10.140625" style="9" hidden="1" customWidth="1"/>
    <col min="28" max="28" width="9.85546875" style="9" hidden="1" customWidth="1"/>
    <col min="29" max="29" width="9.7109375" style="9" hidden="1" customWidth="1"/>
    <col min="30" max="30" width="10.28515625" style="9" hidden="1" customWidth="1"/>
    <col min="31" max="31" width="9.85546875" style="9" hidden="1" customWidth="1"/>
    <col min="32" max="32" width="9.42578125" style="9" hidden="1" customWidth="1"/>
    <col min="33" max="33" width="9.7109375" style="9" hidden="1" customWidth="1"/>
    <col min="34" max="34" width="10.28515625" style="9" hidden="1" customWidth="1"/>
    <col min="35" max="35" width="9.85546875" style="9" hidden="1" customWidth="1"/>
    <col min="36" max="36" width="10.5703125" style="9" hidden="1" customWidth="1"/>
    <col min="37" max="37" width="9.5703125" style="9" hidden="1" customWidth="1"/>
    <col min="38" max="38" width="8.85546875" style="9" hidden="1" customWidth="1"/>
    <col min="39" max="39" width="10.140625" style="9" hidden="1" customWidth="1"/>
    <col min="40" max="40" width="9.85546875" style="9" hidden="1" customWidth="1"/>
    <col min="41" max="41" width="9.7109375" style="9" hidden="1" customWidth="1"/>
    <col min="42" max="42" width="10.28515625" style="9" hidden="1" customWidth="1"/>
    <col min="43" max="43" width="9.85546875" style="9" hidden="1" customWidth="1"/>
    <col min="44" max="44" width="9.42578125" style="9" hidden="1" customWidth="1"/>
    <col min="45" max="45" width="9.7109375" style="9" hidden="1" customWidth="1"/>
    <col min="46" max="46" width="10.28515625" style="9" hidden="1" customWidth="1"/>
    <col min="47" max="47" width="9.85546875" style="9" bestFit="1" customWidth="1"/>
    <col min="48" max="48" width="10.5703125" style="9" bestFit="1" customWidth="1"/>
    <col min="49" max="49" width="9.5703125" style="9" bestFit="1" customWidth="1"/>
    <col min="50" max="50" width="8.85546875" style="9" bestFit="1" customWidth="1"/>
    <col min="51" max="51" width="10.140625" style="9" bestFit="1" customWidth="1"/>
    <col min="52" max="52" width="9.85546875" style="9" bestFit="1" customWidth="1"/>
    <col min="53" max="53" width="9.7109375" style="9" bestFit="1" customWidth="1"/>
    <col min="54" max="54" width="10.28515625" style="9" bestFit="1" customWidth="1"/>
    <col min="55" max="55" width="9.85546875" style="9" bestFit="1" customWidth="1"/>
    <col min="56" max="56" width="9.42578125" style="9" bestFit="1" customWidth="1"/>
    <col min="57" max="57" width="9.7109375" style="9" bestFit="1" customWidth="1"/>
    <col min="58" max="58" width="10.28515625" style="9" bestFit="1" customWidth="1"/>
    <col min="59" max="59" width="9.85546875" style="9" bestFit="1" customWidth="1"/>
    <col min="60" max="60" width="10.5703125" style="9" bestFit="1" customWidth="1"/>
    <col min="61" max="61" width="9.5703125" style="9" bestFit="1" customWidth="1"/>
    <col min="62" max="62" width="8.85546875" style="9"/>
    <col min="63" max="63" width="10.140625" style="9" bestFit="1" customWidth="1"/>
    <col min="64" max="64" width="9.85546875" style="9" bestFit="1" customWidth="1"/>
    <col min="65" max="65" width="9.7109375" style="9" bestFit="1" customWidth="1"/>
    <col min="66" max="66" width="10.28515625" style="9" bestFit="1" customWidth="1"/>
    <col min="67" max="67" width="9.85546875" style="9" bestFit="1" customWidth="1"/>
    <col min="68" max="16384" width="8.85546875" style="9"/>
  </cols>
  <sheetData>
    <row r="1" spans="1:67" s="74" customFormat="1" ht="15.75" x14ac:dyDescent="0.25">
      <c r="A1" s="73" t="s">
        <v>556</v>
      </c>
      <c r="B1" s="74" t="s">
        <v>557</v>
      </c>
      <c r="C1" s="75">
        <v>43678</v>
      </c>
      <c r="D1" s="75">
        <v>43709</v>
      </c>
      <c r="E1" s="75">
        <v>43739</v>
      </c>
      <c r="F1" s="75">
        <v>43770</v>
      </c>
      <c r="G1" s="75">
        <v>43800</v>
      </c>
      <c r="H1" s="75">
        <v>43831</v>
      </c>
      <c r="I1" s="75">
        <v>43862</v>
      </c>
      <c r="J1" s="75">
        <v>43891</v>
      </c>
      <c r="K1" s="75">
        <v>43922</v>
      </c>
      <c r="L1" s="75">
        <v>43952</v>
      </c>
      <c r="M1" s="75">
        <v>43983</v>
      </c>
      <c r="N1" s="75">
        <v>44013</v>
      </c>
      <c r="O1" s="75">
        <v>44044</v>
      </c>
      <c r="P1" s="75">
        <v>44075</v>
      </c>
      <c r="Q1" s="75">
        <v>44105</v>
      </c>
      <c r="R1" s="75">
        <v>44136</v>
      </c>
      <c r="S1" s="75">
        <v>44166</v>
      </c>
      <c r="T1" s="75">
        <v>44197</v>
      </c>
      <c r="U1" s="75">
        <v>44228</v>
      </c>
      <c r="V1" s="75">
        <v>44256</v>
      </c>
      <c r="W1" s="75">
        <v>44287</v>
      </c>
      <c r="X1" s="75">
        <v>44317</v>
      </c>
      <c r="Y1" s="75">
        <v>44348</v>
      </c>
      <c r="Z1" s="75">
        <v>44378</v>
      </c>
      <c r="AA1" s="75">
        <v>44409</v>
      </c>
      <c r="AB1" s="75">
        <v>44440</v>
      </c>
      <c r="AC1" s="75">
        <v>44470</v>
      </c>
      <c r="AD1" s="75">
        <v>44501</v>
      </c>
      <c r="AE1" s="75">
        <v>44531</v>
      </c>
      <c r="AF1" s="75">
        <v>44562</v>
      </c>
      <c r="AG1" s="75">
        <v>44593</v>
      </c>
      <c r="AH1" s="75">
        <v>44621</v>
      </c>
      <c r="AI1" s="75">
        <v>44652</v>
      </c>
      <c r="AJ1" s="75">
        <v>44682</v>
      </c>
      <c r="AK1" s="75">
        <v>44713</v>
      </c>
      <c r="AL1" s="75">
        <v>44743</v>
      </c>
      <c r="AM1" s="75">
        <v>44774</v>
      </c>
      <c r="AN1" s="75">
        <v>44805</v>
      </c>
      <c r="AO1" s="75">
        <v>44835</v>
      </c>
      <c r="AP1" s="75">
        <v>44866</v>
      </c>
      <c r="AQ1" s="75">
        <v>44896</v>
      </c>
      <c r="AR1" s="75">
        <v>44927</v>
      </c>
      <c r="AS1" s="75">
        <v>44958</v>
      </c>
      <c r="AT1" s="75">
        <v>44986</v>
      </c>
      <c r="AU1" s="75">
        <v>45017</v>
      </c>
      <c r="AV1" s="75">
        <v>45047</v>
      </c>
      <c r="AW1" s="75">
        <v>45078</v>
      </c>
      <c r="AX1" s="75">
        <v>45108</v>
      </c>
      <c r="AY1" s="75">
        <v>45139</v>
      </c>
      <c r="AZ1" s="75">
        <v>45170</v>
      </c>
      <c r="BA1" s="75">
        <v>45200</v>
      </c>
      <c r="BB1" s="75">
        <v>45231</v>
      </c>
      <c r="BC1" s="75">
        <v>45261</v>
      </c>
      <c r="BD1" s="75">
        <v>45292</v>
      </c>
      <c r="BE1" s="75">
        <v>45323</v>
      </c>
      <c r="BF1" s="75">
        <v>45352</v>
      </c>
      <c r="BG1" s="75">
        <v>45383</v>
      </c>
      <c r="BH1" s="75">
        <v>45413</v>
      </c>
      <c r="BI1" s="75">
        <v>45444</v>
      </c>
      <c r="BJ1" s="75">
        <v>45474</v>
      </c>
      <c r="BK1" s="75">
        <v>45505</v>
      </c>
      <c r="BL1" s="75">
        <v>45536</v>
      </c>
      <c r="BM1" s="75">
        <v>45566</v>
      </c>
      <c r="BN1" s="75">
        <v>45597</v>
      </c>
      <c r="BO1" s="75">
        <v>45627</v>
      </c>
    </row>
    <row r="2" spans="1:67" ht="15.75" x14ac:dyDescent="0.25">
      <c r="A2" s="76" t="s">
        <v>18</v>
      </c>
      <c r="B2" s="74" t="s">
        <v>300</v>
      </c>
      <c r="C2" s="77">
        <v>13730</v>
      </c>
      <c r="D2" s="77">
        <v>13730</v>
      </c>
      <c r="E2" s="77">
        <v>13730</v>
      </c>
      <c r="F2" s="77">
        <v>13730</v>
      </c>
      <c r="G2" s="77">
        <v>13730</v>
      </c>
      <c r="H2" s="77">
        <v>13730</v>
      </c>
      <c r="I2" s="77">
        <v>13730</v>
      </c>
      <c r="J2" s="77">
        <v>13730</v>
      </c>
      <c r="K2" s="77">
        <v>13730</v>
      </c>
      <c r="L2" s="77">
        <v>13730</v>
      </c>
      <c r="M2" s="77">
        <v>14425</v>
      </c>
      <c r="N2" s="77">
        <v>14425</v>
      </c>
      <c r="O2" s="77">
        <v>12360</v>
      </c>
      <c r="P2" s="77">
        <v>12360</v>
      </c>
      <c r="Q2" s="77">
        <v>12360</v>
      </c>
      <c r="R2" s="77">
        <v>12360</v>
      </c>
      <c r="S2" s="77">
        <v>12360</v>
      </c>
      <c r="T2" s="77">
        <v>12360</v>
      </c>
      <c r="U2" s="77">
        <v>12360</v>
      </c>
      <c r="V2" s="77">
        <v>20400</v>
      </c>
      <c r="W2" s="77">
        <v>18639</v>
      </c>
      <c r="X2" s="77">
        <v>18639</v>
      </c>
      <c r="Y2" s="77">
        <v>18639</v>
      </c>
      <c r="Z2" s="77">
        <v>18639</v>
      </c>
      <c r="AA2" s="77">
        <v>18639</v>
      </c>
      <c r="AB2" s="77">
        <v>18639</v>
      </c>
      <c r="AC2" s="77">
        <v>18639</v>
      </c>
      <c r="AD2" s="77">
        <v>18639</v>
      </c>
      <c r="AE2" s="77">
        <v>20837</v>
      </c>
      <c r="AF2" s="77">
        <v>20640</v>
      </c>
      <c r="AG2" s="77">
        <v>20640</v>
      </c>
      <c r="AH2" s="77">
        <v>20640</v>
      </c>
      <c r="AI2" s="77">
        <v>20640</v>
      </c>
      <c r="AJ2" s="77">
        <v>20640</v>
      </c>
      <c r="AK2" s="77">
        <v>21974</v>
      </c>
      <c r="AL2" s="77">
        <v>21974</v>
      </c>
      <c r="AM2" s="77">
        <v>21974</v>
      </c>
      <c r="AN2" s="77">
        <v>21974</v>
      </c>
      <c r="AO2" s="77">
        <v>21974</v>
      </c>
      <c r="AP2" s="77">
        <v>21974</v>
      </c>
      <c r="AQ2" s="77">
        <v>21974</v>
      </c>
      <c r="AR2" s="77">
        <v>21974</v>
      </c>
      <c r="AS2" s="77">
        <v>21974</v>
      </c>
      <c r="AT2" s="77">
        <v>21974</v>
      </c>
      <c r="AU2" s="77">
        <v>21974</v>
      </c>
      <c r="AV2" s="77">
        <v>21974</v>
      </c>
      <c r="AW2" s="77">
        <v>21974</v>
      </c>
      <c r="AX2" s="77">
        <v>21974</v>
      </c>
      <c r="AY2" s="77">
        <v>21974</v>
      </c>
      <c r="AZ2" s="77">
        <v>29472</v>
      </c>
      <c r="BA2" s="77">
        <v>29472</v>
      </c>
      <c r="BB2" s="77">
        <v>29472</v>
      </c>
      <c r="BC2" s="77">
        <v>29472</v>
      </c>
      <c r="BD2" s="77">
        <v>29472</v>
      </c>
      <c r="BE2" s="77">
        <v>29472</v>
      </c>
      <c r="BF2" s="77">
        <v>29472</v>
      </c>
      <c r="BG2" s="77">
        <v>29472</v>
      </c>
      <c r="BH2" s="77">
        <v>29472</v>
      </c>
      <c r="BI2" s="77">
        <v>29472</v>
      </c>
      <c r="BJ2" s="77">
        <v>29472</v>
      </c>
      <c r="BK2" s="77">
        <v>29472</v>
      </c>
      <c r="BL2" s="77">
        <v>29472</v>
      </c>
      <c r="BM2" s="77">
        <v>29472</v>
      </c>
      <c r="BN2" s="77">
        <v>29472</v>
      </c>
      <c r="BO2" s="77">
        <v>29472</v>
      </c>
    </row>
    <row r="3" spans="1:67" ht="16.5" thickBot="1" x14ac:dyDescent="0.3">
      <c r="A3" s="76" t="s">
        <v>83</v>
      </c>
      <c r="B3" s="74" t="s">
        <v>298</v>
      </c>
      <c r="C3" s="113">
        <f>C$2*'%BUDGET'!B3</f>
        <v>3999.549</v>
      </c>
      <c r="D3" s="113">
        <f>D$2*'%BUDGET'!C3</f>
        <v>6499.7820000000002</v>
      </c>
      <c r="E3" s="113">
        <f>E$2*'%BUDGET'!D3</f>
        <v>4849.4360000000006</v>
      </c>
      <c r="F3" s="113">
        <f>F$2*'%BUDGET'!E3</f>
        <v>4849.4360000000006</v>
      </c>
      <c r="G3" s="113">
        <f>G$2*'%BUDGET'!F3</f>
        <v>4849.4360000000006</v>
      </c>
      <c r="H3" s="113">
        <f>H$2*'%BUDGET'!G3</f>
        <v>4849.4360000000006</v>
      </c>
      <c r="I3" s="113">
        <f>I$2*'%BUDGET'!H3</f>
        <v>4849.4360000000006</v>
      </c>
      <c r="J3" s="113">
        <f>J$2*'%BUDGET'!I3</f>
        <v>4849.4360000000006</v>
      </c>
      <c r="K3" s="113">
        <f>K$2*'%BUDGET'!J3</f>
        <v>5099.3220000000001</v>
      </c>
      <c r="L3" s="113">
        <f>L$2*'%BUDGET'!K3</f>
        <v>5099.3220000000001</v>
      </c>
      <c r="M3" s="113">
        <f>M$2*'%BUDGET'!L3</f>
        <v>4100</v>
      </c>
      <c r="N3" s="113">
        <f>N$2*'%BUDGET'!M3</f>
        <v>4100</v>
      </c>
      <c r="O3" s="113">
        <f>O$2*'%BUDGET'!N3</f>
        <v>4099.9974000000002</v>
      </c>
      <c r="P3" s="113">
        <f>P$2*'%BUDGET'!O3</f>
        <v>4395</v>
      </c>
      <c r="Q3" s="113">
        <f>Q$2*'%BUDGET'!P3</f>
        <v>4125</v>
      </c>
      <c r="R3" s="113">
        <f>R$2*'%BUDGET'!Q3</f>
        <v>4125</v>
      </c>
      <c r="S3" s="113">
        <f>S$2*'%BUDGET'!R3</f>
        <v>4125</v>
      </c>
      <c r="T3" s="113">
        <f>T$2*'%BUDGET'!S3</f>
        <v>4125</v>
      </c>
      <c r="U3" s="113">
        <f>U$2*'%BUDGET'!T3</f>
        <v>4125</v>
      </c>
      <c r="V3" s="113">
        <f>V$2*'%BUDGET'!U3</f>
        <v>4125.0024000000003</v>
      </c>
      <c r="W3" s="113">
        <f>W$2*'%BUDGET'!V3</f>
        <v>4124.8107</v>
      </c>
      <c r="X3" s="113">
        <f>X$2*'%BUDGET'!W3</f>
        <v>4124.8107</v>
      </c>
      <c r="Y3" s="113">
        <f>Y$2*'%BUDGET'!X3</f>
        <v>4124.8107</v>
      </c>
      <c r="Z3" s="113">
        <f>Z$2*'%BUDGET'!Y3</f>
        <v>4124.8107</v>
      </c>
      <c r="AA3" s="113">
        <f>AA$2*'%BUDGET'!Z3</f>
        <v>4374.7596899999999</v>
      </c>
      <c r="AB3" s="113">
        <f>AB$2*'%BUDGET'!AA3</f>
        <v>8000.0451899999998</v>
      </c>
      <c r="AC3" s="113">
        <f>AC$2*'%BUDGET'!AB3</f>
        <v>6000.0804899999994</v>
      </c>
      <c r="AD3" s="113">
        <f>AD$2*'%BUDGET'!AC3</f>
        <v>4500</v>
      </c>
      <c r="AE3" s="113">
        <f>AE$2*'%BUDGET'!AD3</f>
        <v>4500</v>
      </c>
      <c r="AF3" s="113">
        <f>AF$2*'%BUDGET'!AE3</f>
        <v>4500</v>
      </c>
      <c r="AG3" s="113">
        <f>AG$2*'%BUDGET'!AF3</f>
        <v>4500</v>
      </c>
      <c r="AH3" s="113">
        <f>AH$2*'%BUDGET'!AG3</f>
        <v>4226.8135068717575</v>
      </c>
      <c r="AI3" s="113">
        <f>AI$2*'%BUDGET'!AH3</f>
        <v>4226.8135068717575</v>
      </c>
      <c r="AJ3" s="113">
        <f>AJ$2*'%BUDGET'!AI3</f>
        <v>4226.8135068717575</v>
      </c>
      <c r="AK3" s="113">
        <f>AK$2*'%BUDGET'!AJ3</f>
        <v>4500</v>
      </c>
      <c r="AL3" s="113">
        <f>AL$2*'%BUDGET'!AK3</f>
        <v>4500</v>
      </c>
      <c r="AM3" s="113">
        <f>AM$2*'%BUDGET'!AL3</f>
        <v>4790.8430232558139</v>
      </c>
      <c r="AN3" s="113">
        <f>AN$2*'%BUDGET'!AM3</f>
        <v>5499.8724600000005</v>
      </c>
      <c r="AO3" s="113">
        <f>AO$2*'%BUDGET'!AN3</f>
        <v>5499.8724600000005</v>
      </c>
      <c r="AP3" s="113">
        <f>AP$2*'%BUDGET'!AO3</f>
        <v>5499.8724600000005</v>
      </c>
      <c r="AQ3" s="113">
        <f>AQ$2*'%BUDGET'!AP3</f>
        <v>5499.8724600000005</v>
      </c>
      <c r="AR3" s="113">
        <f>AR$2*'%BUDGET'!AQ3</f>
        <v>5499.8724600000005</v>
      </c>
      <c r="AS3" s="113">
        <f>AS$2*'%BUDGET'!AR3</f>
        <v>5499.8724600000005</v>
      </c>
      <c r="AT3" s="113">
        <f>AT$2*'%BUDGET'!AS3</f>
        <v>5499.8724600000005</v>
      </c>
      <c r="AU3" s="113">
        <f>AU$2*'%BUDGET'!AT3</f>
        <v>5499.8724600000005</v>
      </c>
      <c r="AV3" s="113">
        <f>AV$2*'%BUDGET'!AU3</f>
        <v>5499.8724600000005</v>
      </c>
      <c r="AW3" s="113">
        <f>AW$2*'%BUDGET'!AV3</f>
        <v>5499.8724600000005</v>
      </c>
      <c r="AX3" s="113">
        <f>AX$2*'%BUDGET'!AW3</f>
        <v>5499.8724600000005</v>
      </c>
      <c r="AY3" s="113">
        <f>AY$2*'%BUDGET'!AX3</f>
        <v>5499.8724600000005</v>
      </c>
      <c r="AZ3" s="113">
        <f>AZ$2*'%BUDGET'!AY3</f>
        <v>6425.5813953488223</v>
      </c>
      <c r="BA3" s="113">
        <f>BA$2*'%BUDGET'!AZ3</f>
        <v>6425.5813953488223</v>
      </c>
      <c r="BB3" s="113">
        <f>BB$2*'%BUDGET'!BA3</f>
        <v>5500</v>
      </c>
      <c r="BC3" s="113">
        <f>BC$2*'%BUDGET'!BB3</f>
        <v>5500</v>
      </c>
      <c r="BD3" s="113">
        <f>BD$2*'%BUDGET'!BC3</f>
        <v>5500</v>
      </c>
      <c r="BE3" s="113">
        <f>BE$2*'%BUDGET'!BD3</f>
        <v>5500</v>
      </c>
      <c r="BF3" s="113">
        <f>BF$2*'%BUDGET'!BE3</f>
        <v>5500</v>
      </c>
      <c r="BG3" s="113">
        <f>BG$2*'%BUDGET'!BF3</f>
        <v>5500</v>
      </c>
      <c r="BH3" s="113">
        <f>BH$2*'%BUDGET'!BG3</f>
        <v>5500</v>
      </c>
      <c r="BI3" s="113">
        <f>BI$2*'%BUDGET'!BH3</f>
        <v>5500</v>
      </c>
      <c r="BJ3" s="113">
        <f>BJ$2*'%BUDGET'!BI3</f>
        <v>5500</v>
      </c>
      <c r="BK3" s="113">
        <f>BK$2*'%BUDGET'!BJ3</f>
        <v>5500</v>
      </c>
      <c r="BL3" s="113">
        <f>BL$2*'%BUDGET'!BK3</f>
        <v>5500</v>
      </c>
      <c r="BM3" s="113">
        <f>BM$2*'%BUDGET'!BL3</f>
        <v>5500</v>
      </c>
      <c r="BN3" s="113">
        <f>BN$2*'%BUDGET'!BM3</f>
        <v>5500</v>
      </c>
      <c r="BO3" s="113">
        <f>BO$2*'%BUDGET'!BN3</f>
        <v>5500</v>
      </c>
    </row>
    <row r="4" spans="1:67" s="103" customFormat="1" ht="16.5" thickBot="1" x14ac:dyDescent="0.3">
      <c r="A4" s="101" t="s">
        <v>302</v>
      </c>
      <c r="B4" s="102" t="s">
        <v>298</v>
      </c>
      <c r="C4" s="114">
        <f>C$2*'%BUDGET'!B4</f>
        <v>2066.3649999999998</v>
      </c>
      <c r="D4" s="114">
        <f>D$2*'%BUDGET'!C4</f>
        <v>1149.7361803469646</v>
      </c>
      <c r="E4" s="114">
        <f>E$2*'%BUDGET'!D4</f>
        <v>1064.075</v>
      </c>
      <c r="F4" s="114">
        <f>F$2*'%BUDGET'!E4</f>
        <v>1484.213</v>
      </c>
      <c r="G4" s="114">
        <f>G$2*'%BUDGET'!F4</f>
        <v>1127.2330000000002</v>
      </c>
      <c r="H4" s="114">
        <f>H$2*'%BUDGET'!G4</f>
        <v>2018.31</v>
      </c>
      <c r="I4" s="114">
        <f>I$2*'%BUDGET'!H4</f>
        <v>2346.4569999999999</v>
      </c>
      <c r="J4" s="114">
        <f>J$2*'%BUDGET'!I4</f>
        <v>2346.4569999999999</v>
      </c>
      <c r="K4" s="114">
        <f>K$2*'%BUDGET'!J4</f>
        <v>1968.8820000000001</v>
      </c>
      <c r="L4" s="114">
        <f>L$2*'%BUDGET'!K4</f>
        <v>2516.7089999999998</v>
      </c>
      <c r="M4" s="114">
        <f>M$2*'%BUDGET'!L4</f>
        <v>3900.5199999999995</v>
      </c>
      <c r="N4" s="114">
        <f>N$2*'%BUDGET'!M4</f>
        <v>5045.8649999999998</v>
      </c>
      <c r="O4" s="114">
        <f>O$2*'%BUDGET'!N4</f>
        <v>2777.2919999999999</v>
      </c>
      <c r="P4" s="114">
        <f>P$2*'%BUDGET'!O4</f>
        <v>2573.3519999999999</v>
      </c>
      <c r="Q4" s="114">
        <f>Q$2*'%BUDGET'!P4</f>
        <v>1797.144</v>
      </c>
      <c r="R4" s="114">
        <f>R$2*'%BUDGET'!Q4</f>
        <v>3741.3720000000003</v>
      </c>
      <c r="S4" s="114">
        <f>S$2*'%BUDGET'!R4</f>
        <v>3143.1480000000001</v>
      </c>
      <c r="T4" s="114">
        <f>T$2*'%BUDGET'!S4</f>
        <v>2502.9</v>
      </c>
      <c r="U4" s="114">
        <f>U$2*'%BUDGET'!T4</f>
        <v>2969.8900939203891</v>
      </c>
      <c r="V4" s="114">
        <f>V$2*'%BUDGET'!U4</f>
        <v>7585.0103763734605</v>
      </c>
      <c r="W4" s="114">
        <f>W$2*'%BUDGET'!V4</f>
        <v>8504.5482831261033</v>
      </c>
      <c r="X4" s="114">
        <f>X$2*'%BUDGET'!W4</f>
        <v>8504.5482831261033</v>
      </c>
      <c r="Y4" s="114">
        <f>Y$2*'%BUDGET'!X4</f>
        <v>8625.95786763246</v>
      </c>
      <c r="Z4" s="114">
        <f>Z$2*'%BUDGET'!Y4</f>
        <v>7153.6222337850395</v>
      </c>
      <c r="AA4" s="114">
        <f>AA$2*'%BUDGET'!Z4</f>
        <v>7561.5140461447691</v>
      </c>
      <c r="AB4" s="114">
        <f>AB$2*'%BUDGET'!AA4</f>
        <v>1226.5954543500536</v>
      </c>
      <c r="AC4" s="114">
        <f>AC$2*'%BUDGET'!AB4</f>
        <v>3730.2337217454269</v>
      </c>
      <c r="AD4" s="114">
        <f>AD$2*'%BUDGET'!AC4</f>
        <v>5152.5919252714802</v>
      </c>
      <c r="AE4" s="114">
        <f>AE$2*'%BUDGET'!AD4</f>
        <v>5760.2102015602677</v>
      </c>
      <c r="AF4" s="114">
        <f>AF$2*'%BUDGET'!AE4</f>
        <v>7026.4572820075791</v>
      </c>
      <c r="AG4" s="114">
        <f>AG$2*'%BUDGET'!AF4</f>
        <v>7107.6512622922892</v>
      </c>
      <c r="AH4" s="114">
        <f>AH$2*'%BUDGET'!AG4</f>
        <v>8217.6308601650526</v>
      </c>
      <c r="AI4" s="114">
        <f>AI$2*'%BUDGET'!AH4</f>
        <v>7755.8745966733813</v>
      </c>
      <c r="AJ4" s="114">
        <f>AJ$2*'%BUDGET'!AI4</f>
        <v>6673.8987262541978</v>
      </c>
      <c r="AK4" s="114">
        <f>AK$2*'%BUDGET'!AJ4</f>
        <v>8399.0337241232319</v>
      </c>
      <c r="AL4" s="114">
        <f>AL$2*'%BUDGET'!AK4</f>
        <v>7040.6927191543537</v>
      </c>
      <c r="AM4" s="114">
        <f>AM$2*'%BUDGET'!AL4</f>
        <v>6780.8037210998436</v>
      </c>
      <c r="AN4" s="114">
        <f>AN$2*'%BUDGET'!AM4</f>
        <v>4923.9265620642773</v>
      </c>
      <c r="AO4" s="114">
        <f>AO$2*'%BUDGET'!AN4</f>
        <v>4666.7805568252279</v>
      </c>
      <c r="AP4" s="114">
        <f>AP$2*'%BUDGET'!AO4</f>
        <v>4382.6183871210678</v>
      </c>
      <c r="AQ4" s="114">
        <f>AQ$2*'%BUDGET'!AP4</f>
        <v>4280.4910497743931</v>
      </c>
      <c r="AR4" s="114">
        <f>AR$2*'%BUDGET'!AQ4</f>
        <v>3593.2353483056554</v>
      </c>
      <c r="AS4" s="114">
        <f>AS$2*'%BUDGET'!AR4</f>
        <v>4030.7463358105792</v>
      </c>
      <c r="AT4" s="114">
        <f>AT$2*'%BUDGET'!AS4</f>
        <v>4832.7403375593922</v>
      </c>
      <c r="AU4" s="114">
        <f>AU$2*'%BUDGET'!AT4</f>
        <v>3824.5721255734275</v>
      </c>
      <c r="AV4" s="114">
        <f>AV$2*'%BUDGET'!AU4</f>
        <v>6007.1753340864989</v>
      </c>
      <c r="AW4" s="114">
        <f>AW$2*'%BUDGET'!AV4</f>
        <v>4793.6554540644465</v>
      </c>
      <c r="AX4" s="114">
        <f>AX$2*'%BUDGET'!AW4</f>
        <v>7567.4774930744852</v>
      </c>
      <c r="AY4" s="114">
        <f>AY$2*'%BUDGET'!AX4</f>
        <v>5244.677842832516</v>
      </c>
      <c r="AZ4" s="114">
        <f>AZ$2*'%BUDGET'!AY4</f>
        <v>2280.0720832300099</v>
      </c>
      <c r="BA4" s="114">
        <f>BA$2*'%BUDGET'!AZ4</f>
        <v>610.48635987475302</v>
      </c>
      <c r="BB4" s="114">
        <f>BB$2*'%BUDGET'!BA4</f>
        <v>1370.3198635567032</v>
      </c>
      <c r="BC4" s="114">
        <f>BC$2*'%BUDGET'!BB4</f>
        <v>1233.3444887373098</v>
      </c>
      <c r="BD4" s="114">
        <f>BD$2*'%BUDGET'!BC4</f>
        <v>11720.40182186866</v>
      </c>
      <c r="BE4" s="114">
        <f>BE$2*'%BUDGET'!BD4</f>
        <v>11640.760698131246</v>
      </c>
      <c r="BF4" s="114">
        <f>BF$2*'%BUDGET'!BE4</f>
        <v>13238.664160495462</v>
      </c>
      <c r="BG4" s="114">
        <f>BG$2*'%BUDGET'!BF4</f>
        <v>12577.684972393452</v>
      </c>
      <c r="BH4" s="114">
        <f>BH$2*'%BUDGET'!BG4</f>
        <v>13154.938122708571</v>
      </c>
      <c r="BI4" s="114">
        <f>BI$2*'%BUDGET'!BH4</f>
        <v>15231.647846263711</v>
      </c>
      <c r="BJ4" s="114">
        <f>BJ$2*'%BUDGET'!BI4</f>
        <v>13850.205067904502</v>
      </c>
      <c r="BK4" s="114">
        <f>BK$2*'%BUDGET'!BJ4</f>
        <v>14208.938392732751</v>
      </c>
      <c r="BL4" s="114">
        <f>BL$2*'%BUDGET'!BK4</f>
        <v>12433.302217493128</v>
      </c>
      <c r="BM4" s="114">
        <f>BM$2*'%BUDGET'!BL4</f>
        <v>9211.6657674998278</v>
      </c>
      <c r="BN4" s="114">
        <f>BN$2*'%BUDGET'!BM4</f>
        <v>9550.7659117631611</v>
      </c>
      <c r="BO4" s="114">
        <f>BO$2*'%BUDGET'!BN4</f>
        <v>10679.625843868835</v>
      </c>
    </row>
    <row r="5" spans="1:67" s="106" customFormat="1" ht="16.5" thickBot="1" x14ac:dyDescent="0.3">
      <c r="A5" s="104" t="s">
        <v>22</v>
      </c>
      <c r="B5" s="105" t="s">
        <v>298</v>
      </c>
      <c r="C5" s="115">
        <f>C$2*'%BUDGET'!B5</f>
        <v>2746</v>
      </c>
      <c r="D5" s="115">
        <f>D$2*'%BUDGET'!C5</f>
        <v>1781.9416138343499</v>
      </c>
      <c r="E5" s="115">
        <f>E$2*'%BUDGET'!D5</f>
        <v>1781.9416138343499</v>
      </c>
      <c r="F5" s="115">
        <f>F$2*'%BUDGET'!E5</f>
        <v>1781.9416138343499</v>
      </c>
      <c r="G5" s="115">
        <f>G$2*'%BUDGET'!F5</f>
        <v>1781.9416138343499</v>
      </c>
      <c r="H5" s="115">
        <f>H$2*'%BUDGET'!G5</f>
        <v>1781.9416138343499</v>
      </c>
      <c r="I5" s="115">
        <f>I$2*'%BUDGET'!H5</f>
        <v>1781.9416138343499</v>
      </c>
      <c r="J5" s="115">
        <f>J$2*'%BUDGET'!I5</f>
        <v>1781.9416138343499</v>
      </c>
      <c r="K5" s="115">
        <f>K$2*'%BUDGET'!J5</f>
        <v>1781.9416138343499</v>
      </c>
      <c r="L5" s="115">
        <f>L$2*'%BUDGET'!K5</f>
        <v>1781.9416138343499</v>
      </c>
      <c r="M5" s="115">
        <f>M$2*'%BUDGET'!L5</f>
        <v>1872.1418630415512</v>
      </c>
      <c r="N5" s="115">
        <f>N$2*'%BUDGET'!M5</f>
        <v>1654.4163416834892</v>
      </c>
      <c r="O5" s="115">
        <f>O$2*'%BUDGET'!N5</f>
        <v>1673.980000778465</v>
      </c>
      <c r="P5" s="115">
        <f>P$2*'%BUDGET'!O5</f>
        <v>1722.3744859498152</v>
      </c>
      <c r="Q5" s="115">
        <f>Q$2*'%BUDGET'!P5</f>
        <v>1313.2092544024206</v>
      </c>
      <c r="R5" s="115">
        <f>R$2*'%BUDGET'!Q5</f>
        <v>550.7401086737774</v>
      </c>
      <c r="S5" s="115">
        <f>S$2*'%BUDGET'!R5</f>
        <v>1101.4802173475548</v>
      </c>
      <c r="T5" s="115">
        <f>T$2*'%BUDGET'!S5</f>
        <v>1895.6561629775103</v>
      </c>
      <c r="U5" s="115">
        <f>U$2*'%BUDGET'!T5</f>
        <v>1311.2559025813887</v>
      </c>
      <c r="V5" s="115">
        <f>V$2*'%BUDGET'!U5</f>
        <v>2164.208771250836</v>
      </c>
      <c r="W5" s="115">
        <f>W$2*'%BUDGET'!V5</f>
        <v>2499.9931529999999</v>
      </c>
      <c r="X5" s="115">
        <f>X$2*'%BUDGET'!W5</f>
        <v>2499.9931529999999</v>
      </c>
      <c r="Y5" s="115">
        <f>Y$2*'%BUDGET'!X5</f>
        <v>2499.9931529999999</v>
      </c>
      <c r="Z5" s="115">
        <f>Z$2*'%BUDGET'!Y5</f>
        <v>2499.9931529999999</v>
      </c>
      <c r="AA5" s="115">
        <f>AA$2*'%BUDGET'!Z5</f>
        <v>2828.7856542872082</v>
      </c>
      <c r="AB5" s="115">
        <f>AB$2*'%BUDGET'!AA5</f>
        <v>4792.1552620943685</v>
      </c>
      <c r="AC5" s="115">
        <f>AC$2*'%BUDGET'!AB5</f>
        <v>3276.4726674013377</v>
      </c>
      <c r="AD5" s="115">
        <f>AD$2*'%BUDGET'!AC5</f>
        <v>2787.4622520994371</v>
      </c>
      <c r="AE5" s="115">
        <f>AE$2*'%BUDGET'!AD5</f>
        <v>3116.1731287620564</v>
      </c>
      <c r="AF5" s="115">
        <f>AF$2*'%BUDGET'!AE5</f>
        <v>3565.8687336182461</v>
      </c>
      <c r="AG5" s="115">
        <f>AG$2*'%BUDGET'!AF5</f>
        <v>3137.1978955576087</v>
      </c>
      <c r="AH5" s="115">
        <f>AH$2*'%BUDGET'!AG5</f>
        <v>3171.209319181346</v>
      </c>
      <c r="AI5" s="115">
        <f>AI$2*'%BUDGET'!AH5</f>
        <v>2890.4850971342248</v>
      </c>
      <c r="AJ5" s="115">
        <f>AJ$2*'%BUDGET'!AI5</f>
        <v>2608.0656667363892</v>
      </c>
      <c r="AK5" s="115">
        <f>AK$2*'%BUDGET'!AJ5</f>
        <v>2659.6843299412158</v>
      </c>
      <c r="AL5" s="115">
        <f>AL$2*'%BUDGET'!AK5</f>
        <v>4166.4901399999999</v>
      </c>
      <c r="AM5" s="115">
        <f>AM$2*'%BUDGET'!AL5</f>
        <v>4166.4901399999999</v>
      </c>
      <c r="AN5" s="115">
        <f>AN$2*'%BUDGET'!AM5</f>
        <v>4166.4901399999999</v>
      </c>
      <c r="AO5" s="115">
        <f>AO$2*'%BUDGET'!AN5</f>
        <v>4166.4901399999999</v>
      </c>
      <c r="AP5" s="115">
        <f>AP$2*'%BUDGET'!AO5</f>
        <v>4166.4901399999999</v>
      </c>
      <c r="AQ5" s="115">
        <f>AQ$2*'%BUDGET'!AP5</f>
        <v>4166.4901399999999</v>
      </c>
      <c r="AR5" s="115">
        <f>AR$2*'%BUDGET'!AQ5</f>
        <v>4166.4901399999999</v>
      </c>
      <c r="AS5" s="115">
        <f>AS$2*'%BUDGET'!AR5</f>
        <v>4166.4901399999999</v>
      </c>
      <c r="AT5" s="115">
        <f>AT$2*'%BUDGET'!AS5</f>
        <v>4166.4901399999999</v>
      </c>
      <c r="AU5" s="115">
        <f>AU$2*'%BUDGET'!AT5</f>
        <v>4166.4901399999999</v>
      </c>
      <c r="AV5" s="115">
        <f>AV$2*'%BUDGET'!AU5</f>
        <v>4166.4901399999999</v>
      </c>
      <c r="AW5" s="115">
        <f>AW$2*'%BUDGET'!AV5</f>
        <v>4166.4901399999999</v>
      </c>
      <c r="AX5" s="115">
        <f>AX$2*'%BUDGET'!AW5</f>
        <v>4166.4901399999999</v>
      </c>
      <c r="AY5" s="115">
        <f>AY$2*'%BUDGET'!AX5</f>
        <v>4166.4901399999999</v>
      </c>
      <c r="AZ5" s="115">
        <f>AZ$2*'%BUDGET'!AY5</f>
        <v>5588.1859199999999</v>
      </c>
      <c r="BA5" s="115">
        <f>BA$2*'%BUDGET'!AZ5</f>
        <v>5588.1859199999999</v>
      </c>
      <c r="BB5" s="115">
        <f>BB$2*'%BUDGET'!BA5</f>
        <v>5588.1859199999999</v>
      </c>
      <c r="BC5" s="115">
        <f>BC$2*'%BUDGET'!BB5</f>
        <v>5588.1859199999999</v>
      </c>
      <c r="BD5" s="115">
        <f>BD$2*'%BUDGET'!BC5</f>
        <v>4413.3051949854944</v>
      </c>
      <c r="BE5" s="115">
        <f>BE$2*'%BUDGET'!BD5</f>
        <v>3801.2031145919373</v>
      </c>
      <c r="BF5" s="115">
        <f>BF$2*'%BUDGET'!BE5</f>
        <v>3849.7682636732684</v>
      </c>
      <c r="BG5" s="115">
        <f>BG$2*'%BUDGET'!BF5</f>
        <v>3448.9201884710988</v>
      </c>
      <c r="BH5" s="115">
        <f>BH$2*'%BUDGET'!BG5</f>
        <v>3045.6515134379101</v>
      </c>
      <c r="BI5" s="115">
        <f>BI$2*'%BUDGET'!BH5</f>
        <v>2888.802008420404</v>
      </c>
      <c r="BJ5" s="115">
        <f>BJ$2*'%BUDGET'!BI5</f>
        <v>4273.7903923192607</v>
      </c>
      <c r="BK5" s="115">
        <f>BK$2*'%BUDGET'!BJ5</f>
        <v>5152.1822998287598</v>
      </c>
      <c r="BL5" s="115">
        <f>BL$2*'%BUDGET'!BK5</f>
        <v>3634.7910340576823</v>
      </c>
      <c r="BM5" s="115">
        <f>BM$2*'%BUDGET'!BL5</f>
        <v>7261.3321860126434</v>
      </c>
      <c r="BN5" s="115">
        <f>BN$2*'%BUDGET'!BM5</f>
        <v>3847.547243339236</v>
      </c>
      <c r="BO5" s="115">
        <f>BO$2*'%BUDGET'!BN5</f>
        <v>4339.1040873894335</v>
      </c>
    </row>
    <row r="6" spans="1:67" ht="15.75" x14ac:dyDescent="0.25">
      <c r="A6" s="76" t="s">
        <v>13</v>
      </c>
      <c r="B6" s="74" t="s">
        <v>298</v>
      </c>
      <c r="C6" s="113">
        <f>C$2*'%BUDGET'!B6</f>
        <v>1228.7805427458186</v>
      </c>
      <c r="D6" s="113">
        <f>D$2*'%BUDGET'!C6</f>
        <v>1228.7805427458186</v>
      </c>
      <c r="E6" s="113">
        <f>E$2*'%BUDGET'!D6</f>
        <v>1228.7805427458186</v>
      </c>
      <c r="F6" s="113">
        <f>F$2*'%BUDGET'!E6</f>
        <v>1228.7805427458186</v>
      </c>
      <c r="G6" s="113">
        <f>G$2*'%BUDGET'!F6</f>
        <v>1228.7805427458186</v>
      </c>
      <c r="H6" s="113">
        <f>H$2*'%BUDGET'!G6</f>
        <v>1228.7805427458186</v>
      </c>
      <c r="I6" s="113">
        <f>I$2*'%BUDGET'!H6</f>
        <v>900.6880000000001</v>
      </c>
      <c r="J6" s="113">
        <f>J$2*'%BUDGET'!I6</f>
        <v>900.6880000000001</v>
      </c>
      <c r="K6" s="113">
        <f>K$2*'%BUDGET'!J6</f>
        <v>900.6880000000001</v>
      </c>
      <c r="L6" s="113">
        <f>L$2*'%BUDGET'!K6</f>
        <v>900.6880000000001</v>
      </c>
      <c r="M6" s="113">
        <f>M$2*'%BUDGET'!L6</f>
        <v>946.28000000000009</v>
      </c>
      <c r="N6" s="113">
        <f>N$2*'%BUDGET'!M6</f>
        <v>816.17795846195543</v>
      </c>
      <c r="O6" s="113">
        <f>O$2*'%BUDGET'!N6</f>
        <v>1188.8345380786407</v>
      </c>
      <c r="P6" s="113">
        <f>P$2*'%BUDGET'!O6</f>
        <v>513.03079090360234</v>
      </c>
      <c r="Q6" s="113">
        <f>Q$2*'%BUDGET'!P6</f>
        <v>513.03079090360234</v>
      </c>
      <c r="R6" s="113">
        <f>R$2*'%BUDGET'!Q6</f>
        <v>513.03079090360234</v>
      </c>
      <c r="S6" s="113">
        <f>S$2*'%BUDGET'!R6</f>
        <v>1026.0615818072047</v>
      </c>
      <c r="T6" s="113">
        <f>T$2*'%BUDGET'!S6</f>
        <v>900.94378360231383</v>
      </c>
      <c r="U6" s="113">
        <f>U$2*'%BUDGET'!T6</f>
        <v>762.37933998468577</v>
      </c>
      <c r="V6" s="113">
        <f>V$2*'%BUDGET'!U6</f>
        <v>1258.2959980329765</v>
      </c>
      <c r="W6" s="113">
        <f>W$2*'%BUDGET'!V6</f>
        <v>0</v>
      </c>
      <c r="X6" s="113">
        <f>X$2*'%BUDGET'!W6</f>
        <v>0</v>
      </c>
      <c r="Y6" s="113">
        <f>Y$2*'%BUDGET'!X6</f>
        <v>0</v>
      </c>
      <c r="Z6" s="113">
        <f>Z$2*'%BUDGET'!Y6</f>
        <v>1960.2810446849394</v>
      </c>
      <c r="AA6" s="113">
        <f>AA$2*'%BUDGET'!Z6</f>
        <v>888.34014037073769</v>
      </c>
      <c r="AB6" s="113">
        <f>AB$2*'%BUDGET'!AA6</f>
        <v>1617.2950164000531</v>
      </c>
      <c r="AC6" s="113">
        <f>AC$2*'%BUDGET'!AB6</f>
        <v>1111.293481774255</v>
      </c>
      <c r="AD6" s="113">
        <f>AD$2*'%BUDGET'!AC6</f>
        <v>1787.8764568137276</v>
      </c>
      <c r="AE6" s="113">
        <f>AE$2*'%BUDGET'!AD6</f>
        <v>1998.7113971043318</v>
      </c>
      <c r="AF6" s="113">
        <f>AF$2*'%BUDGET'!AE6</f>
        <v>1287.5690125487058</v>
      </c>
      <c r="AG6" s="113">
        <f>AG$2*'%BUDGET'!AF6</f>
        <v>1010.4450620726465</v>
      </c>
      <c r="AH6" s="113">
        <f>AH$2*'%BUDGET'!AG6</f>
        <v>1495.5708573342804</v>
      </c>
      <c r="AI6" s="113">
        <f>AI$2*'%BUDGET'!AH6</f>
        <v>1878.6032640000008</v>
      </c>
      <c r="AJ6" s="113">
        <f>AJ$2*'%BUDGET'!AI6</f>
        <v>869.72225783144938</v>
      </c>
      <c r="AK6" s="113">
        <f>AK$2*'%BUDGET'!AJ6</f>
        <v>1280.2611365568021</v>
      </c>
      <c r="AL6" s="113">
        <f>AL$2*'%BUDGET'!AK6</f>
        <v>892.69586264597274</v>
      </c>
      <c r="AM6" s="113">
        <f>AM$2*'%BUDGET'!AL6</f>
        <v>693.42093386201827</v>
      </c>
      <c r="AN6" s="113">
        <f>AN$2*'%BUDGET'!AM6</f>
        <v>1336.7990612526892</v>
      </c>
      <c r="AO6" s="113">
        <f>AO$2*'%BUDGET'!AN6</f>
        <v>1079.1931384877778</v>
      </c>
      <c r="AP6" s="113">
        <f>AP$2*'%BUDGET'!AO6</f>
        <v>1876.834336702133</v>
      </c>
      <c r="AQ6" s="113">
        <f>AQ$2*'%BUDGET'!AP6</f>
        <v>967.96429288114439</v>
      </c>
      <c r="AR6" s="113">
        <f>AR$2*'%BUDGET'!AQ6</f>
        <v>1370.7868934954099</v>
      </c>
      <c r="AS6" s="113">
        <f>AS$2*'%BUDGET'!AR6</f>
        <v>1075.751928003117</v>
      </c>
      <c r="AT6" s="113">
        <f>AT$2*'%BUDGET'!AS6</f>
        <v>1592.2322683654784</v>
      </c>
      <c r="AU6" s="113">
        <f>AU$2*'%BUDGET'!AT6</f>
        <v>2000.0207424000007</v>
      </c>
      <c r="AV6" s="113">
        <f>AV$2*'%BUDGET'!AU6</f>
        <v>925.93395802268742</v>
      </c>
      <c r="AW6" s="113">
        <f>AW$2*'%BUDGET'!AV6</f>
        <v>1280.2611365568021</v>
      </c>
      <c r="AX6" s="113">
        <f>AX$2*'%BUDGET'!AW6</f>
        <v>892.69586264597274</v>
      </c>
      <c r="AY6" s="113">
        <f>AY$2*'%BUDGET'!AX6</f>
        <v>693.42093386201827</v>
      </c>
      <c r="AZ6" s="113">
        <f>AZ$2*'%BUDGET'!AY6</f>
        <v>1792.9435666350803</v>
      </c>
      <c r="BA6" s="113">
        <f>BA$2*'%BUDGET'!AZ6</f>
        <v>1447.4369790439514</v>
      </c>
      <c r="BB6" s="113">
        <f>BB$2*'%BUDGET'!BA6</f>
        <v>2517.2504583273535</v>
      </c>
      <c r="BC6" s="113">
        <f>BC$2*'%BUDGET'!BB6</f>
        <v>1298.2544661778961</v>
      </c>
      <c r="BD6" s="113">
        <f>BD$2*'%BUDGET'!BC6</f>
        <v>1766.4253884309551</v>
      </c>
      <c r="BE6" s="113">
        <f>BE$2*'%BUDGET'!BD6</f>
        <v>1370.7181661232796</v>
      </c>
      <c r="BF6" s="113">
        <f>BF$2*'%BUDGET'!BE6</f>
        <v>2063.4326737759384</v>
      </c>
      <c r="BG6" s="113">
        <f>BG$2*'%BUDGET'!BF6</f>
        <v>0</v>
      </c>
      <c r="BH6" s="113">
        <f>BH$2*'%BUDGET'!BG6</f>
        <v>1169.7790921602682</v>
      </c>
      <c r="BI6" s="113">
        <f>BI$2*'%BUDGET'!BH6</f>
        <v>1645.0103020336378</v>
      </c>
      <c r="BJ6" s="113">
        <f>BJ$2*'%BUDGET'!BI6</f>
        <v>1125.1994458991171</v>
      </c>
      <c r="BK6" s="113">
        <f>BK$2*'%BUDGET'!BJ6</f>
        <v>857.92763825732652</v>
      </c>
      <c r="BL6" s="113">
        <f>BL$2*'%BUDGET'!BK6</f>
        <v>1466.9074248407569</v>
      </c>
      <c r="BM6" s="113">
        <f>BM$2*'%BUDGET'!BL6</f>
        <v>1361.2377445508821</v>
      </c>
      <c r="BN6" s="113">
        <f>BN$2*'%BUDGET'!BM6</f>
        <v>1810.1513200862641</v>
      </c>
      <c r="BO6" s="113">
        <f>BO$2*'%BUDGET'!BN6</f>
        <v>1263.9347786749511</v>
      </c>
    </row>
    <row r="7" spans="1:67" ht="15.75" x14ac:dyDescent="0.25">
      <c r="A7" s="76" t="s">
        <v>43</v>
      </c>
      <c r="B7" s="74" t="s">
        <v>298</v>
      </c>
      <c r="C7" s="113">
        <f>C$2*'%BUDGET'!B7</f>
        <v>713.48890709746502</v>
      </c>
      <c r="D7" s="113">
        <f>D$2*'%BUDGET'!C7</f>
        <v>713.48890709746502</v>
      </c>
      <c r="E7" s="113">
        <f>E$2*'%BUDGET'!D7</f>
        <v>713.48890709746502</v>
      </c>
      <c r="F7" s="113">
        <f>F$2*'%BUDGET'!E7</f>
        <v>713.48890709746502</v>
      </c>
      <c r="G7" s="113">
        <f>G$2*'%BUDGET'!F7</f>
        <v>713.48890709746502</v>
      </c>
      <c r="H7" s="113">
        <f>H$2*'%BUDGET'!G7</f>
        <v>713.48890709746502</v>
      </c>
      <c r="I7" s="113">
        <f>I$2*'%BUDGET'!H7</f>
        <v>713.48890709746502</v>
      </c>
      <c r="J7" s="113">
        <f>J$2*'%BUDGET'!I7</f>
        <v>713.48890709746502</v>
      </c>
      <c r="K7" s="113">
        <f>K$2*'%BUDGET'!J7</f>
        <v>713.48890709746502</v>
      </c>
      <c r="L7" s="113">
        <f>L$2*'%BUDGET'!K7</f>
        <v>713.48890709746502</v>
      </c>
      <c r="M7" s="113">
        <f>M$2*'%BUDGET'!L7</f>
        <v>749.60506080706</v>
      </c>
      <c r="N7" s="113">
        <f>N$2*'%BUDGET'!M7</f>
        <v>1110.7249999999999</v>
      </c>
      <c r="O7" s="113">
        <f>O$2*'%BUDGET'!N7</f>
        <v>951.72</v>
      </c>
      <c r="P7" s="113">
        <f>P$2*'%BUDGET'!O7</f>
        <v>951.72</v>
      </c>
      <c r="Q7" s="113">
        <f>Q$2*'%BUDGET'!P7</f>
        <v>1116.1493980771234</v>
      </c>
      <c r="R7" s="113">
        <f>R$2*'%BUDGET'!Q7</f>
        <v>1193.3103375157586</v>
      </c>
      <c r="S7" s="113">
        <f>S$2*'%BUDGET'!R7</f>
        <v>908.10181122962365</v>
      </c>
      <c r="T7" s="113">
        <f>T$2*'%BUDGET'!S7</f>
        <v>1146.7510038895712</v>
      </c>
      <c r="U7" s="113">
        <f>U$2*'%BUDGET'!T7</f>
        <v>764.91041753006436</v>
      </c>
      <c r="V7" s="113">
        <f>V$2*'%BUDGET'!U7</f>
        <v>1262.4735046612711</v>
      </c>
      <c r="W7" s="113">
        <f>W$2*'%BUDGET'!V7</f>
        <v>1989.5293253385037</v>
      </c>
      <c r="X7" s="113">
        <f>X$2*'%BUDGET'!W7</f>
        <v>1989.5293253385037</v>
      </c>
      <c r="Y7" s="113">
        <f>Y$2*'%BUDGET'!X7</f>
        <v>2291.0188545515116</v>
      </c>
      <c r="Z7" s="113">
        <f>Z$2*'%BUDGET'!Y7</f>
        <v>2182.4428575200559</v>
      </c>
      <c r="AA7" s="113">
        <f>AA$2*'%BUDGET'!Z7</f>
        <v>1325.8940639629052</v>
      </c>
      <c r="AB7" s="113">
        <f>AB$2*'%BUDGET'!AA7</f>
        <v>1419.9336034813687</v>
      </c>
      <c r="AC7" s="113">
        <f>AC$2*'%BUDGET'!AB7</f>
        <v>1569.1955908000873</v>
      </c>
      <c r="AD7" s="113">
        <f>AD$2*'%BUDGET'!AC7</f>
        <v>1333.3565337149312</v>
      </c>
      <c r="AE7" s="113">
        <f>AE$2*'%BUDGET'!AD7</f>
        <v>1490.5923114447137</v>
      </c>
      <c r="AF7" s="113">
        <f>AF$2*'%BUDGET'!AE7</f>
        <v>1772.9471395936264</v>
      </c>
      <c r="AG7" s="113">
        <f>AG$2*'%BUDGET'!AF7</f>
        <v>1354.042932820098</v>
      </c>
      <c r="AH7" s="113">
        <f>AH$2*'%BUDGET'!AG7</f>
        <v>1434.8342590879117</v>
      </c>
      <c r="AI7" s="113">
        <f>AI$2*'%BUDGET'!AH7</f>
        <v>2128.6376902005372</v>
      </c>
      <c r="AJ7" s="113">
        <f>AJ$2*'%BUDGET'!AI7</f>
        <v>1276.3378231976064</v>
      </c>
      <c r="AK7" s="113">
        <f>AK$2*'%BUDGET'!AJ7</f>
        <v>1691.8307898819314</v>
      </c>
      <c r="AL7" s="113">
        <f>AL$2*'%BUDGET'!AK7</f>
        <v>1398.4676955586199</v>
      </c>
      <c r="AM7" s="113">
        <f>AM$2*'%BUDGET'!AL7</f>
        <v>1135.2880752847602</v>
      </c>
      <c r="AN7" s="113">
        <f>AN$2*'%BUDGET'!AM7</f>
        <v>1358.6599411108466</v>
      </c>
      <c r="AO7" s="113">
        <f>AO$2*'%BUDGET'!AN7</f>
        <v>1698.7709069098426</v>
      </c>
      <c r="AP7" s="113">
        <f>AP$2*'%BUDGET'!AO7</f>
        <v>1420.7341323838905</v>
      </c>
      <c r="AQ7" s="113">
        <f>AQ$2*'%BUDGET'!AP7</f>
        <v>2083.7734645669584</v>
      </c>
      <c r="AR7" s="113">
        <f>AR$2*'%BUDGET'!AQ7</f>
        <v>1887.5358742941057</v>
      </c>
      <c r="AS7" s="113">
        <f>AS$2*'%BUDGET'!AR7</f>
        <v>1441.5571417533349</v>
      </c>
      <c r="AT7" s="113">
        <f>AT$2*'%BUDGET'!AS7</f>
        <v>1527.5701554843881</v>
      </c>
      <c r="AU7" s="113">
        <f>AU$2*'%BUDGET'!AT7</f>
        <v>2266.2153393636918</v>
      </c>
      <c r="AV7" s="113">
        <f>AV$2*'%BUDGET'!AU7</f>
        <v>1358.8298123519478</v>
      </c>
      <c r="AW7" s="113">
        <f>AW$2*'%BUDGET'!AV7</f>
        <v>1691.8307898819314</v>
      </c>
      <c r="AX7" s="113">
        <f>AX$2*'%BUDGET'!AW7</f>
        <v>1398.4676955586199</v>
      </c>
      <c r="AY7" s="113">
        <f>AY$2*'%BUDGET'!AX7</f>
        <v>1135.2880752847602</v>
      </c>
      <c r="AZ7" s="113">
        <f>AZ$2*'%BUDGET'!AY7</f>
        <v>1822.2638474751466</v>
      </c>
      <c r="BA7" s="113">
        <f>BA$2*'%BUDGET'!AZ7</f>
        <v>2278.427967982474</v>
      </c>
      <c r="BB7" s="113">
        <f>BB$2*'%BUDGET'!BA7</f>
        <v>1905.5190838999736</v>
      </c>
      <c r="BC7" s="113">
        <f>BC$2*'%BUDGET'!BB7</f>
        <v>2794.8016541238467</v>
      </c>
      <c r="BD7" s="113">
        <f>BD$2*'%BUDGET'!BC7</f>
        <v>2460.4904635476773</v>
      </c>
      <c r="BE7" s="113">
        <f>BE$2*'%BUDGET'!BD7</f>
        <v>1862.3342241082673</v>
      </c>
      <c r="BF7" s="113">
        <f>BF$2*'%BUDGET'!BE7</f>
        <v>1977.6967225464944</v>
      </c>
      <c r="BG7" s="113">
        <f>BG$2*'%BUDGET'!BF7</f>
        <v>3931.5763171378708</v>
      </c>
      <c r="BH7" s="113">
        <f>BH$2*'%BUDGET'!BG7</f>
        <v>1751.3785559496398</v>
      </c>
      <c r="BI7" s="113">
        <f>BI$2*'%BUDGET'!BH7</f>
        <v>2198.0066077273627</v>
      </c>
      <c r="BJ7" s="113">
        <f>BJ$2*'%BUDGET'!BI7</f>
        <v>1804.5417348823348</v>
      </c>
      <c r="BK7" s="113">
        <f>BK$2*'%BUDGET'!BJ7</f>
        <v>1451.5595846724871</v>
      </c>
      <c r="BL7" s="113">
        <f>BL$2*'%BUDGET'!BK7</f>
        <v>1687.6205901946528</v>
      </c>
      <c r="BM7" s="113">
        <f>BM$2*'%BUDGET'!BL7</f>
        <v>1747.4443460088582</v>
      </c>
      <c r="BN7" s="113">
        <f>BN$2*'%BUDGET'!BM7</f>
        <v>1800.9323155131328</v>
      </c>
      <c r="BO7" s="113">
        <f>BO$2*'%BUDGET'!BN7</f>
        <v>2427.2052781374377</v>
      </c>
    </row>
    <row r="8" spans="1:67" ht="15.75" x14ac:dyDescent="0.25">
      <c r="A8" s="76" t="s">
        <v>106</v>
      </c>
      <c r="B8" s="74" t="s">
        <v>298</v>
      </c>
      <c r="C8" s="113">
        <f>C$2*'%BUDGET'!B8</f>
        <v>775.209619598941</v>
      </c>
      <c r="D8" s="113">
        <f>D$2*'%BUDGET'!C8</f>
        <v>155.149</v>
      </c>
      <c r="E8" s="113">
        <f>E$2*'%BUDGET'!D8</f>
        <v>775.209619598941</v>
      </c>
      <c r="F8" s="113">
        <f>F$2*'%BUDGET'!E8</f>
        <v>355.60699999999997</v>
      </c>
      <c r="G8" s="113">
        <f>G$2*'%BUDGET'!F8</f>
        <v>712.58699999999999</v>
      </c>
      <c r="H8" s="113">
        <f>H$2*'%BUDGET'!G8</f>
        <v>775.209619598941</v>
      </c>
      <c r="I8" s="113">
        <f>I$2*'%BUDGET'!H8</f>
        <v>775.209619598941</v>
      </c>
      <c r="J8" s="113">
        <f>J$2*'%BUDGET'!I8</f>
        <v>775.209619598941</v>
      </c>
      <c r="K8" s="113">
        <f>K$2*'%BUDGET'!J8</f>
        <v>775.209619598941</v>
      </c>
      <c r="L8" s="113">
        <f>L$2*'%BUDGET'!K8</f>
        <v>775.209619598941</v>
      </c>
      <c r="M8" s="113">
        <f>M$2*'%BUDGET'!L8</f>
        <v>814.45001913435715</v>
      </c>
      <c r="N8" s="113">
        <f>N$2*'%BUDGET'!M8</f>
        <v>279.62097145157117</v>
      </c>
      <c r="O8" s="113">
        <f>O$2*'%BUDGET'!N8</f>
        <v>239.5920420895265</v>
      </c>
      <c r="P8" s="113">
        <f>P$2*'%BUDGET'!O8</f>
        <v>527.66196197299348</v>
      </c>
      <c r="Q8" s="113">
        <f>Q$2*'%BUDGET'!P8</f>
        <v>1411.706902103884</v>
      </c>
      <c r="R8" s="113">
        <f>R$2*'%BUDGET'!Q8</f>
        <v>239.5920420895265</v>
      </c>
      <c r="S8" s="113">
        <f>S$2*'%BUDGET'!R8</f>
        <v>479.184084179053</v>
      </c>
      <c r="T8" s="113">
        <f>T$2*'%BUDGET'!S8</f>
        <v>809.5363163484725</v>
      </c>
      <c r="U8" s="113">
        <f>U$2*'%BUDGET'!T8</f>
        <v>1031.5588868208133</v>
      </c>
      <c r="V8" s="113">
        <f>V$2*'%BUDGET'!U8</f>
        <v>1702.5729199955169</v>
      </c>
      <c r="W8" s="113">
        <f>W$2*'%BUDGET'!V8</f>
        <v>0</v>
      </c>
      <c r="X8" s="113">
        <f>X$2*'%BUDGET'!W8</f>
        <v>0</v>
      </c>
      <c r="Y8" s="113">
        <f>Y$2*'%BUDGET'!X8</f>
        <v>0</v>
      </c>
      <c r="Z8" s="113">
        <f>Z$2*'%BUDGET'!Y8</f>
        <v>0</v>
      </c>
      <c r="AA8" s="113">
        <f>AA$2*'%BUDGET'!Z8</f>
        <v>701.56778800172083</v>
      </c>
      <c r="AB8" s="113">
        <f>AB$2*'%BUDGET'!AA8</f>
        <v>0</v>
      </c>
      <c r="AC8" s="113">
        <f>AC$2*'%BUDGET'!AB8</f>
        <v>837.77851865899356</v>
      </c>
      <c r="AD8" s="113">
        <f>AD$2*'%BUDGET'!AC8</f>
        <v>1293.5294891364565</v>
      </c>
      <c r="AE8" s="113">
        <f>AE$2*'%BUDGET'!AD8</f>
        <v>1976.7301875173746</v>
      </c>
      <c r="AF8" s="113">
        <f>AF$2*'%BUDGET'!AE8</f>
        <v>975.0075993495193</v>
      </c>
      <c r="AG8" s="113">
        <f>AG$2*'%BUDGET'!AF8</f>
        <v>1249.1718758232728</v>
      </c>
      <c r="AH8" s="113">
        <f>AH$2*'%BUDGET'!AG8</f>
        <v>0</v>
      </c>
      <c r="AI8" s="113">
        <f>AI$2*'%BUDGET'!AH8</f>
        <v>0</v>
      </c>
      <c r="AJ8" s="113">
        <f>AJ$2*'%BUDGET'!AI8</f>
        <v>0</v>
      </c>
      <c r="AK8" s="113">
        <f>AK$2*'%BUDGET'!AJ8</f>
        <v>0</v>
      </c>
      <c r="AL8" s="113">
        <f>AL$2*'%BUDGET'!AK8</f>
        <v>0</v>
      </c>
      <c r="AM8" s="113">
        <f>AM$2*'%BUDGET'!AL8</f>
        <v>0</v>
      </c>
      <c r="AN8" s="113">
        <f>AN$2*'%BUDGET'!AM8</f>
        <v>0</v>
      </c>
      <c r="AO8" s="113">
        <f>AO$2*'%BUDGET'!AN8</f>
        <v>0</v>
      </c>
      <c r="AP8" s="113">
        <f>AP$2*'%BUDGET'!AO8</f>
        <v>0</v>
      </c>
      <c r="AQ8" s="113">
        <f>AQ$2*'%BUDGET'!AP8</f>
        <v>0</v>
      </c>
      <c r="AR8" s="113">
        <f>AR$2*'%BUDGET'!AQ8</f>
        <v>1038.0240788811209</v>
      </c>
      <c r="AS8" s="113">
        <f>AS$2*'%BUDGET'!AR8</f>
        <v>1329.9080813634009</v>
      </c>
      <c r="AT8" s="113">
        <f>AT$2*'%BUDGET'!AS8</f>
        <v>0</v>
      </c>
      <c r="AU8" s="113">
        <f>AU$2*'%BUDGET'!AT8</f>
        <v>0</v>
      </c>
      <c r="AV8" s="113">
        <f>AV$2*'%BUDGET'!AU8</f>
        <v>0</v>
      </c>
      <c r="AW8" s="113">
        <f>AW$2*'%BUDGET'!AV8</f>
        <v>0</v>
      </c>
      <c r="AX8" s="113">
        <f>AX$2*'%BUDGET'!AW8</f>
        <v>0</v>
      </c>
      <c r="AY8" s="113">
        <f>AY$2*'%BUDGET'!AX8</f>
        <v>827.09644152314036</v>
      </c>
      <c r="AZ8" s="113">
        <f>AZ$2*'%BUDGET'!AY8</f>
        <v>0</v>
      </c>
      <c r="BA8" s="113">
        <f>BA$2*'%BUDGET'!AZ8</f>
        <v>1324.6959870120638</v>
      </c>
      <c r="BB8" s="113">
        <f>BB$2*'%BUDGET'!BA8</f>
        <v>1109.3194832333663</v>
      </c>
      <c r="BC8" s="113">
        <f>BC$2*'%BUDGET'!BB8</f>
        <v>1109.3194832333663</v>
      </c>
      <c r="BD8" s="113">
        <f>BD$2*'%BUDGET'!BC8</f>
        <v>1405.176004007752</v>
      </c>
      <c r="BE8" s="113">
        <f>BE$2*'%BUDGET'!BD8</f>
        <v>1796.6570871586466</v>
      </c>
      <c r="BF8" s="113">
        <f>BF$2*'%BUDGET'!BE8</f>
        <v>0</v>
      </c>
      <c r="BG8" s="113">
        <f>BG$2*'%BUDGET'!BF8</f>
        <v>0</v>
      </c>
      <c r="BH8" s="113">
        <f>BH$2*'%BUDGET'!BG8</f>
        <v>0</v>
      </c>
      <c r="BI8" s="113">
        <f>BI$2*'%BUDGET'!BH8</f>
        <v>0</v>
      </c>
      <c r="BJ8" s="113">
        <f>BJ$2*'%BUDGET'!BI8</f>
        <v>0</v>
      </c>
      <c r="BK8" s="113">
        <f>BK$2*'%BUDGET'!BJ8</f>
        <v>473.56954468120972</v>
      </c>
      <c r="BL8" s="113">
        <f>BL$2*'%BUDGET'!BK8</f>
        <v>0</v>
      </c>
      <c r="BM8" s="113">
        <f>BM$2*'%BUDGET'!BL8</f>
        <v>576.1701969495798</v>
      </c>
      <c r="BN8" s="113">
        <f>BN$2*'%BUDGET'!BM8</f>
        <v>1899.0540729494603</v>
      </c>
      <c r="BO8" s="113">
        <f>BO$2*'%BUDGET'!BN8</f>
        <v>0</v>
      </c>
    </row>
    <row r="9" spans="1:67" ht="15.75" x14ac:dyDescent="0.25">
      <c r="A9" s="76" t="s">
        <v>543</v>
      </c>
      <c r="B9" s="74" t="s">
        <v>298</v>
      </c>
      <c r="C9" s="113">
        <f>C$2*'%BUDGET'!B9</f>
        <v>0</v>
      </c>
      <c r="D9" s="113">
        <f>D$2*'%BUDGET'!C9</f>
        <v>0</v>
      </c>
      <c r="E9" s="113">
        <f>E$2*'%BUDGET'!D9</f>
        <v>420.00069999999999</v>
      </c>
      <c r="F9" s="113">
        <f>F$2*'%BUDGET'!E9</f>
        <v>420.00069999999999</v>
      </c>
      <c r="G9" s="113">
        <f>G$2*'%BUDGET'!F9</f>
        <v>420.00069999999999</v>
      </c>
      <c r="H9" s="113">
        <f>H$2*'%BUDGET'!G9</f>
        <v>420.00069999999999</v>
      </c>
      <c r="I9" s="113">
        <f>I$2*'%BUDGET'!H9</f>
        <v>420.00069999999999</v>
      </c>
      <c r="J9" s="113">
        <f>J$2*'%BUDGET'!I9</f>
        <v>420.00069999999999</v>
      </c>
      <c r="K9" s="113">
        <f>K$2*'%BUDGET'!J9</f>
        <v>547.55240000000003</v>
      </c>
      <c r="L9" s="113">
        <f>L$2*'%BUDGET'!K9</f>
        <v>0</v>
      </c>
      <c r="M9" s="113">
        <f>M$2*'%BUDGET'!L9</f>
        <v>0</v>
      </c>
      <c r="N9" s="113">
        <f>N$2*'%BUDGET'!M9</f>
        <v>161.70065028174682</v>
      </c>
      <c r="O9" s="113">
        <f>O$2*'%BUDGET'!N9</f>
        <v>138.55251559669952</v>
      </c>
      <c r="P9" s="113">
        <f>P$2*'%BUDGET'!O9</f>
        <v>327.59840052022463</v>
      </c>
      <c r="Q9" s="113">
        <f>Q$2*'%BUDGET'!P9</f>
        <v>324.88417388815679</v>
      </c>
      <c r="R9" s="113">
        <f>R$2*'%BUDGET'!Q9</f>
        <v>327.59840052022463</v>
      </c>
      <c r="S9" s="113">
        <f>S$2*'%BUDGET'!R9</f>
        <v>277.10503119339904</v>
      </c>
      <c r="T9" s="113">
        <f>T$2*'%BUDGET'!S9</f>
        <v>226.29140863764169</v>
      </c>
      <c r="U9" s="113">
        <f>U$2*'%BUDGET'!T9</f>
        <v>262.77751518944422</v>
      </c>
      <c r="V9" s="113">
        <f>V$2*'%BUDGET'!U9</f>
        <v>433.7104619631603</v>
      </c>
      <c r="W9" s="113">
        <f>W$2*'%BUDGET'!V9</f>
        <v>756.67487402441714</v>
      </c>
      <c r="X9" s="113">
        <f>X$2*'%BUDGET'!W9</f>
        <v>756.67487402441714</v>
      </c>
      <c r="Y9" s="113">
        <f>Y$2*'%BUDGET'!X9</f>
        <v>241.62395259032004</v>
      </c>
      <c r="Z9" s="113">
        <f>Z$2*'%BUDGET'!Y9</f>
        <v>0</v>
      </c>
      <c r="AA9" s="113">
        <f>AA$2*'%BUDGET'!Z9</f>
        <v>0</v>
      </c>
      <c r="AB9" s="113">
        <f>AB$2*'%BUDGET'!AA9</f>
        <v>0</v>
      </c>
      <c r="AC9" s="113">
        <f>AC$2*'%BUDGET'!AB9</f>
        <v>380.15061898489063</v>
      </c>
      <c r="AD9" s="113">
        <f>AD$2*'%BUDGET'!AC9</f>
        <v>314.92874008960206</v>
      </c>
      <c r="AE9" s="113">
        <f>AE$2*'%BUDGET'!AD9</f>
        <v>352.066642912551</v>
      </c>
      <c r="AF9" s="113">
        <f>AF$2*'%BUDGET'!AE9</f>
        <v>272.91007139358965</v>
      </c>
      <c r="AG9" s="113">
        <f>AG$2*'%BUDGET'!AF9</f>
        <v>314.62971834750368</v>
      </c>
      <c r="AH9" s="113">
        <f>AH$2*'%BUDGET'!AG9</f>
        <v>204.48374015476602</v>
      </c>
      <c r="AI9" s="113">
        <f>AI$2*'%BUDGET'!AH9</f>
        <v>0</v>
      </c>
      <c r="AJ9" s="113">
        <f>AJ$2*'%BUDGET'!AI9</f>
        <v>1878.6032640000001</v>
      </c>
      <c r="AK9" s="113">
        <f>AK$2*'%BUDGET'!AJ9</f>
        <v>2000.0207424</v>
      </c>
      <c r="AL9" s="113">
        <f>AL$2*'%BUDGET'!AK9</f>
        <v>2000.0207424</v>
      </c>
      <c r="AM9" s="113">
        <f>AM$2*'%BUDGET'!AL9</f>
        <v>2000.0207424</v>
      </c>
      <c r="AN9" s="113">
        <f>AN$2*'%BUDGET'!AM9</f>
        <v>2000.0207424</v>
      </c>
      <c r="AO9" s="113">
        <f>AO$2*'%BUDGET'!AN9</f>
        <v>2000.0207424</v>
      </c>
      <c r="AP9" s="113">
        <f>AP$2*'%BUDGET'!AO9</f>
        <v>2000.0207424</v>
      </c>
      <c r="AQ9" s="113">
        <f>AQ$2*'%BUDGET'!AP9</f>
        <v>2000.0207424</v>
      </c>
      <c r="AR9" s="113">
        <f>AR$2*'%BUDGET'!AQ9</f>
        <v>2000.0207424</v>
      </c>
      <c r="AS9" s="113">
        <f>AS$2*'%BUDGET'!AR9</f>
        <v>2000.0207424</v>
      </c>
      <c r="AT9" s="113">
        <f>AT$2*'%BUDGET'!AS9</f>
        <v>2000.0207424</v>
      </c>
      <c r="AU9" s="113">
        <f>AU$2*'%BUDGET'!AT9</f>
        <v>2000.0207424</v>
      </c>
      <c r="AV9" s="113">
        <f>AV$2*'%BUDGET'!AU9</f>
        <v>2000.0207424</v>
      </c>
      <c r="AW9" s="113">
        <f>AW$2*'%BUDGET'!AV9</f>
        <v>2000.0207424</v>
      </c>
      <c r="AX9" s="113">
        <f>AX$2*'%BUDGET'!AW9</f>
        <v>0</v>
      </c>
      <c r="AY9" s="113">
        <f>AY$2*'%BUDGET'!AX9</f>
        <v>2000.0207424</v>
      </c>
      <c r="AZ9" s="113">
        <f>AZ$2*'%BUDGET'!AY9</f>
        <v>4715.5200000000004</v>
      </c>
      <c r="BA9" s="113">
        <f>BA$2*'%BUDGET'!AZ9</f>
        <v>4715.5200000000004</v>
      </c>
      <c r="BB9" s="113">
        <f>BB$2*'%BUDGET'!BA9</f>
        <v>4715.5200000000004</v>
      </c>
      <c r="BC9" s="113">
        <f>BC$2*'%BUDGET'!BB9</f>
        <v>4715.5200000000004</v>
      </c>
      <c r="BD9" s="113">
        <f>BD$2*'%BUDGET'!BC9</f>
        <v>363.75780023075146</v>
      </c>
      <c r="BE9" s="113">
        <f>BE$2*'%BUDGET'!BD9</f>
        <v>423.32957518354971</v>
      </c>
      <c r="BF9" s="113">
        <f>BF$2*'%BUDGET'!BE9</f>
        <v>266.05136446182661</v>
      </c>
      <c r="BG9" s="113">
        <f>BG$2*'%BUDGET'!BF9</f>
        <v>749.67018788944517</v>
      </c>
      <c r="BH9" s="113">
        <f>BH$2*'%BUDGET'!BG9</f>
        <v>158.14102232182518</v>
      </c>
      <c r="BI9" s="113">
        <f>BI$2*'%BUDGET'!BH9</f>
        <v>0</v>
      </c>
      <c r="BJ9" s="113">
        <f>BJ$2*'%BUDGET'!BI9</f>
        <v>0</v>
      </c>
      <c r="BK9" s="113">
        <f>BK$2*'%BUDGET'!BJ9</f>
        <v>0</v>
      </c>
      <c r="BL9" s="113">
        <f>BL$2*'%BUDGET'!BK9</f>
        <v>0</v>
      </c>
      <c r="BM9" s="113">
        <f>BM$2*'%BUDGET'!BL9</f>
        <v>278.66839501593608</v>
      </c>
      <c r="BN9" s="113">
        <f>BN$2*'%BUDGET'!BM9</f>
        <v>255.46461889354796</v>
      </c>
      <c r="BO9" s="113">
        <f>BO$2*'%BUDGET'!BN9</f>
        <v>264.69687417770854</v>
      </c>
    </row>
    <row r="10" spans="1:67" ht="15.75" x14ac:dyDescent="0.25">
      <c r="A10" s="76" t="s">
        <v>393</v>
      </c>
      <c r="B10" s="74" t="s">
        <v>298</v>
      </c>
      <c r="C10" s="113">
        <f>C$2*'%BUDGET'!B10</f>
        <v>335.57924763877031</v>
      </c>
      <c r="D10" s="113">
        <f>D$2*'%BUDGET'!C10</f>
        <v>335.57924763877031</v>
      </c>
      <c r="E10" s="113">
        <f>E$2*'%BUDGET'!D10</f>
        <v>335.57924763877031</v>
      </c>
      <c r="F10" s="113">
        <f>F$2*'%BUDGET'!E10</f>
        <v>335.57924763877031</v>
      </c>
      <c r="G10" s="113">
        <f>G$2*'%BUDGET'!F10</f>
        <v>335.57924763877031</v>
      </c>
      <c r="H10" s="113">
        <f>H$2*'%BUDGET'!G10</f>
        <v>335.57924763877031</v>
      </c>
      <c r="I10" s="113">
        <f>I$2*'%BUDGET'!H10</f>
        <v>335.57924763877031</v>
      </c>
      <c r="J10" s="113">
        <f>J$2*'%BUDGET'!I10</f>
        <v>335.57924763877031</v>
      </c>
      <c r="K10" s="113">
        <f>K$2*'%BUDGET'!J10</f>
        <v>335.57924763877031</v>
      </c>
      <c r="L10" s="113">
        <f>L$2*'%BUDGET'!K10</f>
        <v>335.57924763877031</v>
      </c>
      <c r="M10" s="113">
        <f>M$2*'%BUDGET'!L10</f>
        <v>352.5659611936826</v>
      </c>
      <c r="N10" s="113">
        <f>N$2*'%BUDGET'!M10</f>
        <v>160.18331512520484</v>
      </c>
      <c r="O10" s="113">
        <f>O$2*'%BUDGET'!N10</f>
        <v>137.25239341057414</v>
      </c>
      <c r="P10" s="113">
        <f>P$2*'%BUDGET'!O10</f>
        <v>137.25239341057414</v>
      </c>
      <c r="Q10" s="113">
        <f>Q$2*'%BUDGET'!P10</f>
        <v>272.56466907460862</v>
      </c>
      <c r="R10" s="113">
        <f>R$2*'%BUDGET'!Q10</f>
        <v>137.25239341057414</v>
      </c>
      <c r="S10" s="113">
        <f>S$2*'%BUDGET'!R10</f>
        <v>274.50478682114829</v>
      </c>
      <c r="T10" s="113">
        <f>T$2*'%BUDGET'!S10</f>
        <v>240.65909462269966</v>
      </c>
      <c r="U10" s="113">
        <f>U$2*'%BUDGET'!T10</f>
        <v>262.65299843378784</v>
      </c>
      <c r="V10" s="113">
        <f>V$2*'%BUDGET'!U10</f>
        <v>433.50494887130037</v>
      </c>
      <c r="W10" s="113">
        <f>W$2*'%BUDGET'!V10</f>
        <v>0</v>
      </c>
      <c r="X10" s="113">
        <f>X$2*'%BUDGET'!W10</f>
        <v>0</v>
      </c>
      <c r="Y10" s="113">
        <f>Y$2*'%BUDGET'!X10</f>
        <v>0</v>
      </c>
      <c r="Z10" s="113">
        <f>Z$2*'%BUDGET'!Y10</f>
        <v>0</v>
      </c>
      <c r="AA10" s="113">
        <f>AA$2*'%BUDGET'!Z10</f>
        <v>192.93046311258396</v>
      </c>
      <c r="AB10" s="113">
        <f>AB$2*'%BUDGET'!AA10</f>
        <v>495.67854797602234</v>
      </c>
      <c r="AC10" s="113">
        <f>AC$2*'%BUDGET'!AB10</f>
        <v>312.66049074362462</v>
      </c>
      <c r="AD10" s="113">
        <f>AD$2*'%BUDGET'!AC10</f>
        <v>260.92245885899769</v>
      </c>
      <c r="AE10" s="113">
        <f>AE$2*'%BUDGET'!AD10</f>
        <v>291.69168277509175</v>
      </c>
      <c r="AF10" s="113">
        <f>AF$2*'%BUDGET'!AE10</f>
        <v>368.77841311410378</v>
      </c>
      <c r="AG10" s="113">
        <f>AG$2*'%BUDGET'!AF10</f>
        <v>383.40933698655289</v>
      </c>
      <c r="AH10" s="113">
        <f>AH$2*'%BUDGET'!AG10</f>
        <v>487.04249716117363</v>
      </c>
      <c r="AI10" s="113">
        <f>AI$2*'%BUDGET'!AH10</f>
        <v>0</v>
      </c>
      <c r="AJ10" s="113">
        <f>AJ$2*'%BUDGET'!AI10</f>
        <v>265.10893443820538</v>
      </c>
      <c r="AK10" s="113">
        <f>AK$2*'%BUDGET'!AJ10</f>
        <v>427.49123521520318</v>
      </c>
      <c r="AL10" s="113">
        <f>AL$2*'%BUDGET'!AK10</f>
        <v>319.69770546305466</v>
      </c>
      <c r="AM10" s="113">
        <f>AM$2*'%BUDGET'!AL10</f>
        <v>177.90836811231384</v>
      </c>
      <c r="AN10" s="113">
        <f>AN$2*'%BUDGET'!AM10</f>
        <v>430.99592202999219</v>
      </c>
      <c r="AO10" s="113">
        <f>AO$2*'%BUDGET'!AN10</f>
        <v>333.3654014503939</v>
      </c>
      <c r="AP10" s="113">
        <f>AP$2*'%BUDGET'!AO10</f>
        <v>272.37009523048982</v>
      </c>
      <c r="AQ10" s="113">
        <f>AQ$2*'%BUDGET'!AP10</f>
        <v>486.91092846501198</v>
      </c>
      <c r="AR10" s="113">
        <f>AR$2*'%BUDGET'!AQ10</f>
        <v>392.61321946556768</v>
      </c>
      <c r="AS10" s="113">
        <f>AS$2*'%BUDGET'!AR10</f>
        <v>408.1897660340365</v>
      </c>
      <c r="AT10" s="113">
        <f>AT$2*'%BUDGET'!AS10</f>
        <v>518.52092212304399</v>
      </c>
      <c r="AU10" s="113">
        <f>AU$2*'%BUDGET'!AT10</f>
        <v>0</v>
      </c>
      <c r="AV10" s="113">
        <f>AV$2*'%BUDGET'!AU10</f>
        <v>282.24339754579097</v>
      </c>
      <c r="AW10" s="113">
        <f>AW$2*'%BUDGET'!AV10</f>
        <v>427.49123521520318</v>
      </c>
      <c r="AX10" s="113">
        <f>AX$2*'%BUDGET'!AW10</f>
        <v>319.69770546305466</v>
      </c>
      <c r="AY10" s="113">
        <f>AY$2*'%BUDGET'!AX10</f>
        <v>177.90836811231384</v>
      </c>
      <c r="AZ10" s="113">
        <f>AZ$2*'%BUDGET'!AY10</f>
        <v>578.06097269809459</v>
      </c>
      <c r="BA10" s="113">
        <f>BA$2*'%BUDGET'!AZ10</f>
        <v>447.11682495431006</v>
      </c>
      <c r="BB10" s="113">
        <f>BB$2*'%BUDGET'!BA10</f>
        <v>365.30861229785182</v>
      </c>
      <c r="BC10" s="113">
        <f>BC$2*'%BUDGET'!BB10</f>
        <v>653.05537834353481</v>
      </c>
      <c r="BD10" s="113">
        <f>BD$2*'%BUDGET'!BC10</f>
        <v>597.05045867833041</v>
      </c>
      <c r="BE10" s="113">
        <f>BE$2*'%BUDGET'!BD10</f>
        <v>617.94205695201344</v>
      </c>
      <c r="BF10" s="113">
        <f>BF$2*'%BUDGET'!BE10</f>
        <v>375.83566989730059</v>
      </c>
      <c r="BG10" s="113">
        <f>BG$2*'%BUDGET'!BF10</f>
        <v>0</v>
      </c>
      <c r="BH10" s="113">
        <f>BH$2*'%BUDGET'!BG10</f>
        <v>449.02008680158247</v>
      </c>
      <c r="BI10" s="113">
        <f>BI$2*'%BUDGET'!BH10</f>
        <v>643.82960130931508</v>
      </c>
      <c r="BJ10" s="113">
        <f>BJ$2*'%BUDGET'!BI10</f>
        <v>499.25460773257339</v>
      </c>
      <c r="BK10" s="113">
        <f>BK$2*'%BUDGET'!BJ10</f>
        <v>309.08370801467811</v>
      </c>
      <c r="BL10" s="113">
        <f>BL$2*'%BUDGET'!BK10</f>
        <v>634.78751104396929</v>
      </c>
      <c r="BM10" s="113">
        <f>BM$2*'%BUDGET'!BL10</f>
        <v>796.20127168390684</v>
      </c>
      <c r="BN10" s="113">
        <f>BN$2*'%BUDGET'!BM10</f>
        <v>612.99140429702095</v>
      </c>
      <c r="BO10" s="113">
        <f>BO$2*'%BUDGET'!BN10</f>
        <v>1127.068636789727</v>
      </c>
    </row>
    <row r="11" spans="1:67" ht="15.75" x14ac:dyDescent="0.25">
      <c r="A11" s="76" t="s">
        <v>194</v>
      </c>
      <c r="B11" s="74" t="s">
        <v>298</v>
      </c>
      <c r="C11" s="113">
        <f>C$2*'%BUDGET'!B11</f>
        <v>366.19097344050823</v>
      </c>
      <c r="D11" s="113">
        <f>D$2*'%BUDGET'!C11</f>
        <v>366.19097344050823</v>
      </c>
      <c r="E11" s="113">
        <f>E$2*'%BUDGET'!D11</f>
        <v>366.19097344050823</v>
      </c>
      <c r="F11" s="113">
        <f>F$2*'%BUDGET'!E11</f>
        <v>366.19097344050823</v>
      </c>
      <c r="G11" s="113">
        <f>G$2*'%BUDGET'!F11</f>
        <v>366.19097344050823</v>
      </c>
      <c r="H11" s="113">
        <f>H$2*'%BUDGET'!G11</f>
        <v>366.19097344050823</v>
      </c>
      <c r="I11" s="113">
        <f>I$2*'%BUDGET'!H11</f>
        <v>366.19097344050823</v>
      </c>
      <c r="J11" s="113">
        <f>J$2*'%BUDGET'!I11</f>
        <v>366.19097344050823</v>
      </c>
      <c r="K11" s="113">
        <f>K$2*'%BUDGET'!J11</f>
        <v>366.19097344050823</v>
      </c>
      <c r="L11" s="113">
        <f>L$2*'%BUDGET'!K11</f>
        <v>366.19097344050823</v>
      </c>
      <c r="M11" s="113">
        <f>M$2*'%BUDGET'!L11</f>
        <v>384.7272244631705</v>
      </c>
      <c r="N11" s="113">
        <f>N$2*'%BUDGET'!M11</f>
        <v>132.08643590259609</v>
      </c>
      <c r="O11" s="113">
        <f>O$2*'%BUDGET'!N11</f>
        <v>263.28272471506034</v>
      </c>
      <c r="P11" s="113">
        <f>P$2*'%BUDGET'!O11</f>
        <v>263.1406005126907</v>
      </c>
      <c r="Q11" s="113">
        <f>Q$2*'%BUDGET'!P11</f>
        <v>260.98750792458111</v>
      </c>
      <c r="R11" s="113">
        <f>R$2*'%BUDGET'!Q11</f>
        <v>447.23528368821877</v>
      </c>
      <c r="S11" s="113">
        <f>S$2*'%BUDGET'!R11</f>
        <v>226.35540350171061</v>
      </c>
      <c r="T11" s="113">
        <f>T$2*'%BUDGET'!S11</f>
        <v>120.2757224106181</v>
      </c>
      <c r="U11" s="113">
        <f>U$2*'%BUDGET'!T11</f>
        <v>103.08135928253937</v>
      </c>
      <c r="V11" s="113">
        <f>V$2*'%BUDGET'!U11</f>
        <v>170.13428231098729</v>
      </c>
      <c r="W11" s="113">
        <f>W$2*'%BUDGET'!V11</f>
        <v>117.57223272651909</v>
      </c>
      <c r="X11" s="113">
        <f>X$2*'%BUDGET'!W11</f>
        <v>117.57223272651909</v>
      </c>
      <c r="Y11" s="113">
        <f>Y$2*'%BUDGET'!X11</f>
        <v>117.75408325814696</v>
      </c>
      <c r="Z11" s="113">
        <f>Z$2*'%BUDGET'!Y11</f>
        <v>153.68572157084674</v>
      </c>
      <c r="AA11" s="113">
        <f>AA$2*'%BUDGET'!Z11</f>
        <v>145.10230484923119</v>
      </c>
      <c r="AB11" s="113">
        <f>AB$2*'%BUDGET'!AA11</f>
        <v>245.73037930134089</v>
      </c>
      <c r="AC11" s="113">
        <f>AC$2*'%BUDGET'!AB11</f>
        <v>456.79432459594699</v>
      </c>
      <c r="AD11" s="113">
        <f>AD$2*'%BUDGET'!AC11</f>
        <v>247.12390066325665</v>
      </c>
      <c r="AE11" s="113">
        <f>AE$2*'%BUDGET'!AD11</f>
        <v>276.26593262086374</v>
      </c>
      <c r="AF11" s="113">
        <f>AF$2*'%BUDGET'!AE11</f>
        <v>232.95656226191662</v>
      </c>
      <c r="AG11" s="113">
        <f>AG$2*'%BUDGET'!AF11</f>
        <v>226.89294366979041</v>
      </c>
      <c r="AH11" s="113">
        <f>AH$2*'%BUDGET'!AG11</f>
        <v>218.42905258530158</v>
      </c>
      <c r="AI11" s="113">
        <f>AI$2*'%BUDGET'!AH11</f>
        <v>344.25229125353314</v>
      </c>
      <c r="AJ11" s="113">
        <f>AJ$2*'%BUDGET'!AI11</f>
        <v>171.18487904819915</v>
      </c>
      <c r="AK11" s="113">
        <f>AK$2*'%BUDGET'!AJ11</f>
        <v>267.17474332347672</v>
      </c>
      <c r="AL11" s="113">
        <f>AL$2*'%BUDGET'!AK11</f>
        <v>307.05357728840642</v>
      </c>
      <c r="AM11" s="113">
        <f>AM$2*'%BUDGET'!AL11</f>
        <v>258.3805681778029</v>
      </c>
      <c r="AN11" s="113">
        <f>AN$2*'%BUDGET'!AM11</f>
        <v>293.62976776191897</v>
      </c>
      <c r="AO11" s="113">
        <f>AO$2*'%BUDGET'!AN11</f>
        <v>572.70963027121525</v>
      </c>
      <c r="AP11" s="113">
        <f>AP$2*'%BUDGET'!AO11</f>
        <v>325.52373534675922</v>
      </c>
      <c r="AQ11" s="113">
        <f>AQ$2*'%BUDGET'!AP11</f>
        <v>624.882533288025</v>
      </c>
      <c r="AR11" s="113">
        <f>AR$2*'%BUDGET'!AQ11</f>
        <v>248.01296022981376</v>
      </c>
      <c r="AS11" s="113">
        <f>AS$2*'%BUDGET'!AR11</f>
        <v>241.55743915697551</v>
      </c>
      <c r="AT11" s="113">
        <f>AT$2*'%BUDGET'!AS11</f>
        <v>232.54651170103762</v>
      </c>
      <c r="AU11" s="113">
        <f>AU$2*'%BUDGET'!AT11</f>
        <v>366.50193062040393</v>
      </c>
      <c r="AV11" s="113">
        <f>AV$2*'%BUDGET'!AU11</f>
        <v>182.24886299443452</v>
      </c>
      <c r="AW11" s="113">
        <f>AW$2*'%BUDGET'!AV11</f>
        <v>267.17474332347672</v>
      </c>
      <c r="AX11" s="113">
        <f>AX$2*'%BUDGET'!AW11</f>
        <v>307.05357728840642</v>
      </c>
      <c r="AY11" s="113">
        <f>AY$2*'%BUDGET'!AX11</f>
        <v>258.3805681778029</v>
      </c>
      <c r="AZ11" s="113">
        <f>AZ$2*'%BUDGET'!AY11</f>
        <v>393.82254097930627</v>
      </c>
      <c r="BA11" s="113">
        <f>BA$2*'%BUDGET'!AZ11</f>
        <v>768.13043703255016</v>
      </c>
      <c r="BB11" s="113">
        <f>BB$2*'%BUDGET'!BA11</f>
        <v>436.59941422315859</v>
      </c>
      <c r="BC11" s="113">
        <f>BC$2*'%BUDGET'!BB11</f>
        <v>838.10585332960193</v>
      </c>
      <c r="BD11" s="113">
        <f>BD$2*'%BUDGET'!BC11</f>
        <v>304.91902193870442</v>
      </c>
      <c r="BE11" s="113">
        <f>BE$2*'%BUDGET'!BD11</f>
        <v>296.26073864669166</v>
      </c>
      <c r="BF11" s="113">
        <f>BF$2*'%BUDGET'!BE11</f>
        <v>284.17508951674716</v>
      </c>
      <c r="BG11" s="113">
        <f>BG$2*'%BUDGET'!BF11</f>
        <v>463.8389698476638</v>
      </c>
      <c r="BH11" s="113">
        <f>BH$2*'%BUDGET'!BG11</f>
        <v>216.71480451260558</v>
      </c>
      <c r="BI11" s="113">
        <f>BI$2*'%BUDGET'!BH11</f>
        <v>330.61921632008392</v>
      </c>
      <c r="BJ11" s="113">
        <f>BJ$2*'%BUDGET'!BI11</f>
        <v>384.1055635765876</v>
      </c>
      <c r="BK11" s="113">
        <f>BK$2*'%BUDGET'!BJ11</f>
        <v>318.82428003659908</v>
      </c>
      <c r="BL11" s="113">
        <f>BL$2*'%BUDGET'!BK11</f>
        <v>426.07940261712599</v>
      </c>
      <c r="BM11" s="113">
        <f>BM$2*'%BUDGET'!BL11</f>
        <v>491.23890564292276</v>
      </c>
      <c r="BN11" s="113">
        <f>BN$2*'%BUDGET'!BM11</f>
        <v>426.49876395653013</v>
      </c>
      <c r="BO11" s="113">
        <f>BO$2*'%BUDGET'!BN11</f>
        <v>649.30071585319581</v>
      </c>
    </row>
    <row r="12" spans="1:67" ht="15.75" x14ac:dyDescent="0.25">
      <c r="A12" s="76" t="s">
        <v>296</v>
      </c>
      <c r="B12" s="74" t="s">
        <v>298</v>
      </c>
      <c r="C12" s="113">
        <f>C$2*'%BUDGET'!B12</f>
        <v>676.87412126409026</v>
      </c>
      <c r="D12" s="113">
        <f>D$2*'%BUDGET'!C12</f>
        <v>676.87412126409026</v>
      </c>
      <c r="E12" s="113">
        <f>E$2*'%BUDGET'!D12</f>
        <v>1373</v>
      </c>
      <c r="F12" s="113">
        <f>F$2*'%BUDGET'!E12</f>
        <v>1373</v>
      </c>
      <c r="G12" s="113">
        <f>G$2*'%BUDGET'!F12</f>
        <v>1373</v>
      </c>
      <c r="H12" s="113">
        <f>H$2*'%BUDGET'!G12</f>
        <v>676.87412126409026</v>
      </c>
      <c r="I12" s="113">
        <f>I$2*'%BUDGET'!H12</f>
        <v>676.87412126409026</v>
      </c>
      <c r="J12" s="113">
        <f>J$2*'%BUDGET'!I12</f>
        <v>676.87412126409026</v>
      </c>
      <c r="K12" s="113">
        <f>K$2*'%BUDGET'!J12</f>
        <v>676.87412126409026</v>
      </c>
      <c r="L12" s="113">
        <f>L$2*'%BUDGET'!K12</f>
        <v>676.87412126409026</v>
      </c>
      <c r="M12" s="113">
        <f>M$2*'%BUDGET'!L12</f>
        <v>711.13686811613275</v>
      </c>
      <c r="N12" s="113">
        <f>N$2*'%BUDGET'!M12</f>
        <v>120.48014385619409</v>
      </c>
      <c r="O12" s="113">
        <f>O$2*'%BUDGET'!N12</f>
        <v>149.50743494061055</v>
      </c>
      <c r="P12" s="113">
        <f>P$2*'%BUDGET'!O12</f>
        <v>371.49801258385696</v>
      </c>
      <c r="Q12" s="113">
        <f>Q$2*'%BUDGET'!P12</f>
        <v>288.52198799101444</v>
      </c>
      <c r="R12" s="113">
        <f>R$2*'%BUDGET'!Q12</f>
        <v>547.95434178997493</v>
      </c>
      <c r="S12" s="113">
        <f>S$2*'%BUDGET'!R12</f>
        <v>206.46579938475688</v>
      </c>
      <c r="T12" s="113">
        <f>T$2*'%BUDGET'!S12</f>
        <v>0</v>
      </c>
      <c r="U12" s="113">
        <f>U$2*'%BUDGET'!T12</f>
        <v>370.8</v>
      </c>
      <c r="V12" s="113">
        <f>V$2*'%BUDGET'!U12</f>
        <v>612</v>
      </c>
      <c r="W12" s="113">
        <f>W$2*'%BUDGET'!V12</f>
        <v>199.99646999999999</v>
      </c>
      <c r="X12" s="113">
        <f>X$2*'%BUDGET'!W12</f>
        <v>199.99646999999999</v>
      </c>
      <c r="Y12" s="113">
        <f>Y$2*'%BUDGET'!X12</f>
        <v>199.99646999999999</v>
      </c>
      <c r="Z12" s="113">
        <f>Z$2*'%BUDGET'!Y12</f>
        <v>199.99646999999999</v>
      </c>
      <c r="AA12" s="113">
        <f>AA$2*'%BUDGET'!Z12</f>
        <v>199.99646999999999</v>
      </c>
      <c r="AB12" s="113">
        <f>AB$2*'%BUDGET'!AA12</f>
        <v>199.99646999999999</v>
      </c>
      <c r="AC12" s="113">
        <f>AC$2*'%BUDGET'!AB12</f>
        <v>199.99646999999999</v>
      </c>
      <c r="AD12" s="113">
        <f>AD$2*'%BUDGET'!AC12</f>
        <v>199.99646999999999</v>
      </c>
      <c r="AE12" s="113">
        <f>AE$2*'%BUDGET'!AD12</f>
        <v>223.58100999999999</v>
      </c>
      <c r="AF12" s="113">
        <f>AF$2*'%BUDGET'!AE12</f>
        <v>0</v>
      </c>
      <c r="AG12" s="113">
        <f>AG$2*'%BUDGET'!AF12</f>
        <v>716.70773335327272</v>
      </c>
      <c r="AH12" s="113">
        <f>AH$2*'%BUDGET'!AG12</f>
        <v>709.35564518263948</v>
      </c>
      <c r="AI12" s="113">
        <f>AI$2*'%BUDGET'!AH12</f>
        <v>709.35564518263948</v>
      </c>
      <c r="AJ12" s="113">
        <f>AJ$2*'%BUDGET'!AI12</f>
        <v>2245.2491757518051</v>
      </c>
      <c r="AK12" s="113">
        <f>AK$2*'%BUDGET'!AJ12</f>
        <v>0</v>
      </c>
      <c r="AL12" s="113">
        <f>AL$2*'%BUDGET'!AK12</f>
        <v>625.33649152013595</v>
      </c>
      <c r="AM12" s="113">
        <f>AM$2*'%BUDGET'!AL12</f>
        <v>1098.7</v>
      </c>
      <c r="AN12" s="113">
        <f>AN$2*'%BUDGET'!AM12</f>
        <v>1098.7</v>
      </c>
      <c r="AO12" s="113">
        <f>AO$2*'%BUDGET'!AN12</f>
        <v>1098.7</v>
      </c>
      <c r="AP12" s="113">
        <f>AP$2*'%BUDGET'!AO12</f>
        <v>1098.7</v>
      </c>
      <c r="AQ12" s="113">
        <f>AQ$2*'%BUDGET'!AP12</f>
        <v>1098.7</v>
      </c>
      <c r="AR12" s="113">
        <f>AR$2*'%BUDGET'!AQ12</f>
        <v>1098.7</v>
      </c>
      <c r="AS12" s="113">
        <f>AS$2*'%BUDGET'!AR12</f>
        <v>1098.7</v>
      </c>
      <c r="AT12" s="113">
        <f>AT$2*'%BUDGET'!AS12</f>
        <v>1098.7</v>
      </c>
      <c r="AU12" s="113">
        <f>AU$2*'%BUDGET'!AT12</f>
        <v>1098.7</v>
      </c>
      <c r="AV12" s="113">
        <f>AV$2*'%BUDGET'!AU12</f>
        <v>1098.7</v>
      </c>
      <c r="AW12" s="113">
        <f>AW$2*'%BUDGET'!AV12</f>
        <v>1098.7</v>
      </c>
      <c r="AX12" s="113">
        <f>AX$2*'%BUDGET'!AW12</f>
        <v>1098.7</v>
      </c>
      <c r="AY12" s="113">
        <f>AY$2*'%BUDGET'!AX12</f>
        <v>1098.7</v>
      </c>
      <c r="AZ12" s="113">
        <f>AZ$2*'%BUDGET'!AY12</f>
        <v>4715.5200000000004</v>
      </c>
      <c r="BA12" s="113">
        <f>BA$2*'%BUDGET'!AZ12</f>
        <v>4715.5200000000004</v>
      </c>
      <c r="BB12" s="113">
        <f>BB$2*'%BUDGET'!BA12</f>
        <v>4715.5200000000004</v>
      </c>
      <c r="BC12" s="113">
        <f>BC$2*'%BUDGET'!BB12</f>
        <v>4715.5200000000004</v>
      </c>
      <c r="BD12" s="113">
        <f>BD$2*'%BUDGET'!BC12</f>
        <v>0</v>
      </c>
      <c r="BE12" s="113">
        <f>BE$2*'%BUDGET'!BD12</f>
        <v>1218.9705473972224</v>
      </c>
      <c r="BF12" s="113">
        <f>BF$2*'%BUDGET'!BE12</f>
        <v>1208.4724494047371</v>
      </c>
      <c r="BG12" s="113">
        <f>BG$2*'%BUDGET'!BF12</f>
        <v>1762.0628396726836</v>
      </c>
      <c r="BH12" s="113">
        <f>BH$2*'%BUDGET'!BG12</f>
        <v>3401.5855372407086</v>
      </c>
      <c r="BI12" s="113">
        <f>BI$2*'%BUDGET'!BH12</f>
        <v>0</v>
      </c>
      <c r="BJ12" s="113">
        <f>BJ$2*'%BUDGET'!BI12</f>
        <v>1034.2932865005462</v>
      </c>
      <c r="BK12" s="113">
        <f>BK$2*'%BUDGET'!BJ12</f>
        <v>0</v>
      </c>
      <c r="BL12" s="113">
        <f>BL$2*'%BUDGET'!BK12</f>
        <v>2517.4600704150366</v>
      </c>
      <c r="BM12" s="113">
        <f>BM$2*'%BUDGET'!BL12</f>
        <v>953.17387743852805</v>
      </c>
      <c r="BN12" s="113">
        <f>BN$2*'%BUDGET'!BM12</f>
        <v>2146.2023186889178</v>
      </c>
      <c r="BO12" s="113">
        <f>BO$2*'%BUDGET'!BN12</f>
        <v>2011.256466332931</v>
      </c>
    </row>
    <row r="13" spans="1:67" ht="15.75" x14ac:dyDescent="0.25">
      <c r="A13" s="76" t="s">
        <v>58</v>
      </c>
      <c r="B13" s="74" t="s">
        <v>298</v>
      </c>
      <c r="C13" s="113">
        <f>C$2*'%BUDGET'!B13</f>
        <v>217.96267355950127</v>
      </c>
      <c r="D13" s="113">
        <f>D$2*'%BUDGET'!C13</f>
        <v>217.96267355950127</v>
      </c>
      <c r="E13" s="113">
        <f>E$2*'%BUDGET'!D13</f>
        <v>217.96267355950127</v>
      </c>
      <c r="F13" s="113">
        <f>F$2*'%BUDGET'!E13</f>
        <v>217.96267355950127</v>
      </c>
      <c r="G13" s="113">
        <f>G$2*'%BUDGET'!F13</f>
        <v>217.96267355950127</v>
      </c>
      <c r="H13" s="113">
        <f>H$2*'%BUDGET'!G13</f>
        <v>217.96267355950127</v>
      </c>
      <c r="I13" s="113">
        <f>I$2*'%BUDGET'!H13</f>
        <v>217.96267355950127</v>
      </c>
      <c r="J13" s="113">
        <f>J$2*'%BUDGET'!I13</f>
        <v>217.96267355950127</v>
      </c>
      <c r="K13" s="113">
        <f>K$2*'%BUDGET'!J13</f>
        <v>217.96267355950127</v>
      </c>
      <c r="L13" s="113">
        <f>L$2*'%BUDGET'!K13</f>
        <v>217.96267355950127</v>
      </c>
      <c r="M13" s="113">
        <f>M$2*'%BUDGET'!L13</f>
        <v>228.99574407107107</v>
      </c>
      <c r="N13" s="113">
        <f>N$2*'%BUDGET'!M13</f>
        <v>109.2051046847598</v>
      </c>
      <c r="O13" s="113">
        <f>O$2*'%BUDGET'!N13</f>
        <v>102.58264688228518</v>
      </c>
      <c r="P13" s="113">
        <f>P$2*'%BUDGET'!O13</f>
        <v>222.57774234359783</v>
      </c>
      <c r="Q13" s="113">
        <f>Q$2*'%BUDGET'!P13</f>
        <v>204.48363161724731</v>
      </c>
      <c r="R13" s="113">
        <f>R$2*'%BUDGET'!Q13</f>
        <v>233.10579769683892</v>
      </c>
      <c r="S13" s="113">
        <f>S$2*'%BUDGET'!R13</f>
        <v>187.14386050656933</v>
      </c>
      <c r="T13" s="113">
        <f>T$2*'%BUDGET'!S13</f>
        <v>195.18053712505687</v>
      </c>
      <c r="U13" s="113">
        <f>U$2*'%BUDGET'!T13</f>
        <v>180.49913462156977</v>
      </c>
      <c r="V13" s="113">
        <f>V$2*'%BUDGET'!U13</f>
        <v>297.91119306472677</v>
      </c>
      <c r="W13" s="113">
        <f>W$2*'%BUDGET'!V13</f>
        <v>355.15072516925414</v>
      </c>
      <c r="X13" s="113">
        <f>X$2*'%BUDGET'!W13</f>
        <v>355.15072516925414</v>
      </c>
      <c r="Y13" s="113">
        <f>Y$2*'%BUDGET'!X13</f>
        <v>359.92430162448568</v>
      </c>
      <c r="Z13" s="113">
        <f>Z$2*'%BUDGET'!Y13</f>
        <v>272.90868417188528</v>
      </c>
      <c r="AA13" s="113">
        <f>AA$2*'%BUDGET'!Z13</f>
        <v>224.79154758468104</v>
      </c>
      <c r="AB13" s="113">
        <f>AB$2*'%BUDGET'!AA13</f>
        <v>231.10141912926179</v>
      </c>
      <c r="AC13" s="113">
        <f>AC$2*'%BUDGET'!AB13</f>
        <v>385.53084885484532</v>
      </c>
      <c r="AD13" s="113">
        <f>AD$2*'%BUDGET'!AC13</f>
        <v>226.95473671250312</v>
      </c>
      <c r="AE13" s="113">
        <f>AE$2*'%BUDGET'!AD13</f>
        <v>253.71832442075365</v>
      </c>
      <c r="AF13" s="113">
        <f>AF$2*'%BUDGET'!AE13</f>
        <v>313.59159385247352</v>
      </c>
      <c r="AG13" s="113">
        <f>AG$2*'%BUDGET'!AF13</f>
        <v>276.69924490786741</v>
      </c>
      <c r="AH13" s="113">
        <f>AH$2*'%BUDGET'!AG13</f>
        <v>241.90686588799161</v>
      </c>
      <c r="AI13" s="113">
        <f>AI$2*'%BUDGET'!AH13</f>
        <v>424.74406310636675</v>
      </c>
      <c r="AJ13" s="113">
        <f>AJ$2*'%BUDGET'!AI13</f>
        <v>248.47059835305237</v>
      </c>
      <c r="AK13" s="113">
        <f>AK$2*'%BUDGET'!AJ13</f>
        <v>387.41899843555711</v>
      </c>
      <c r="AL13" s="113">
        <f>AL$2*'%BUDGET'!AK13</f>
        <v>257.79310709970372</v>
      </c>
      <c r="AM13" s="113">
        <f>AM$2*'%BUDGET'!AL13</f>
        <v>238.81353555536961</v>
      </c>
      <c r="AN13" s="113">
        <f>AN$2*'%BUDGET'!AM13</f>
        <v>228.13109855991695</v>
      </c>
      <c r="AO13" s="113">
        <f>AO$2*'%BUDGET'!AN13</f>
        <v>441.37373465174397</v>
      </c>
      <c r="AP13" s="113">
        <f>AP$2*'%BUDGET'!AO13</f>
        <v>254.42424765051936</v>
      </c>
      <c r="AQ13" s="113">
        <f>AQ$2*'%BUDGET'!AP13</f>
        <v>369.64935062782536</v>
      </c>
      <c r="AR13" s="113">
        <f>AR$2*'%BUDGET'!AQ13</f>
        <v>333.8595776799541</v>
      </c>
      <c r="AS13" s="113">
        <f>AS$2*'%BUDGET'!AR13</f>
        <v>294.58281044600187</v>
      </c>
      <c r="AT13" s="113">
        <f>AT$2*'%BUDGET'!AS13</f>
        <v>257.54173793714767</v>
      </c>
      <c r="AU13" s="113">
        <f>AU$2*'%BUDGET'!AT13</f>
        <v>452.19602920054763</v>
      </c>
      <c r="AV13" s="113">
        <f>AV$2*'%BUDGET'!AU13</f>
        <v>264.52969613420413</v>
      </c>
      <c r="AW13" s="113">
        <f>AW$2*'%BUDGET'!AV13</f>
        <v>387.41899843555711</v>
      </c>
      <c r="AX13" s="113">
        <f>AX$2*'%BUDGET'!AW13</f>
        <v>257.79310709970372</v>
      </c>
      <c r="AY13" s="113">
        <f>AY$2*'%BUDGET'!AX13</f>
        <v>238.81353555536961</v>
      </c>
      <c r="AZ13" s="113">
        <f>AZ$2*'%BUDGET'!AY13</f>
        <v>305.97432132328532</v>
      </c>
      <c r="BA13" s="113">
        <f>BA$2*'%BUDGET'!AZ13</f>
        <v>591.97991752326379</v>
      </c>
      <c r="BB13" s="113">
        <f>BB$2*'%BUDGET'!BA13</f>
        <v>341.23925670137919</v>
      </c>
      <c r="BC13" s="113">
        <f>BC$2*'%BUDGET'!BB13</f>
        <v>495.78163564682205</v>
      </c>
      <c r="BD13" s="113">
        <f>BD$2*'%BUDGET'!BC13</f>
        <v>439.81739632535368</v>
      </c>
      <c r="BE13" s="113">
        <f>BE$2*'%BUDGET'!BD13</f>
        <v>387.13855387886969</v>
      </c>
      <c r="BF13" s="113">
        <f>BF$2*'%BUDGET'!BE13</f>
        <v>337.45827313886105</v>
      </c>
      <c r="BG13" s="113">
        <f>BG$2*'%BUDGET'!BF13</f>
        <v>598.53278265533163</v>
      </c>
      <c r="BH13" s="113">
        <f>BH$2*'%BUDGET'!BG13</f>
        <v>346.83067251920357</v>
      </c>
      <c r="BI13" s="113">
        <f>BI$2*'%BUDGET'!BH13</f>
        <v>511.65243994550178</v>
      </c>
      <c r="BJ13" s="113">
        <f>BJ$2*'%BUDGET'!BI13</f>
        <v>337.79541484992188</v>
      </c>
      <c r="BK13" s="113">
        <f>BK$2*'%BUDGET'!BJ13</f>
        <v>312.33960650575989</v>
      </c>
      <c r="BL13" s="113">
        <f>BL$2*'%BUDGET'!BK13</f>
        <v>293.26399795131795</v>
      </c>
      <c r="BM13" s="113">
        <f>BM$2*'%BUDGET'!BL13</f>
        <v>436.62788046064304</v>
      </c>
      <c r="BN13" s="113">
        <f>BN$2*'%BUDGET'!BM13</f>
        <v>414.33706216970063</v>
      </c>
      <c r="BO13" s="113">
        <f>BO$2*'%BUDGET'!BN13</f>
        <v>463.35053645433055</v>
      </c>
    </row>
    <row r="14" spans="1:67" ht="15.75" x14ac:dyDescent="0.25">
      <c r="A14" s="76" t="s">
        <v>10</v>
      </c>
      <c r="B14" s="74" t="s">
        <v>298</v>
      </c>
      <c r="C14" s="113">
        <f>C$2*'%BUDGET'!B14</f>
        <v>218.77323756664592</v>
      </c>
      <c r="D14" s="113">
        <f>D$2*'%BUDGET'!C14</f>
        <v>218.77323756664592</v>
      </c>
      <c r="E14" s="113">
        <f>E$2*'%BUDGET'!D14</f>
        <v>218.77323756664592</v>
      </c>
      <c r="F14" s="113">
        <f>F$2*'%BUDGET'!E14</f>
        <v>218.77323756664592</v>
      </c>
      <c r="G14" s="113">
        <f>G$2*'%BUDGET'!F14</f>
        <v>218.77323756664592</v>
      </c>
      <c r="H14" s="113">
        <f>H$2*'%BUDGET'!G14</f>
        <v>218.77323756664592</v>
      </c>
      <c r="I14" s="113">
        <f>I$2*'%BUDGET'!H14</f>
        <v>218.77323756664592</v>
      </c>
      <c r="J14" s="113">
        <f>J$2*'%BUDGET'!I14</f>
        <v>218.77323756664592</v>
      </c>
      <c r="K14" s="113">
        <f>K$2*'%BUDGET'!J14</f>
        <v>218.77323756664592</v>
      </c>
      <c r="L14" s="113">
        <f>L$2*'%BUDGET'!K14</f>
        <v>218.77323756664592</v>
      </c>
      <c r="M14" s="113">
        <f>M$2*'%BUDGET'!L14</f>
        <v>229.84733808440404</v>
      </c>
      <c r="N14" s="113">
        <f>N$2*'%BUDGET'!M14</f>
        <v>96.409775371176693</v>
      </c>
      <c r="O14" s="113">
        <f>O$2*'%BUDGET'!N14</f>
        <v>219.0971539374321</v>
      </c>
      <c r="P14" s="113">
        <f>P$2*'%BUDGET'!O14</f>
        <v>193.30271424900769</v>
      </c>
      <c r="Q14" s="113">
        <f>Q$2*'%BUDGET'!P14</f>
        <v>270.21363787138546</v>
      </c>
      <c r="R14" s="113">
        <f>R$2*'%BUDGET'!Q14</f>
        <v>114.53359553087222</v>
      </c>
      <c r="S14" s="113">
        <f>S$2*'%BUDGET'!R14</f>
        <v>146.24708909524767</v>
      </c>
      <c r="T14" s="113">
        <f>T$2*'%BUDGET'!S14</f>
        <v>137.78298508186413</v>
      </c>
      <c r="U14" s="113">
        <f>U$2*'%BUDGET'!T14</f>
        <v>116.32416140160989</v>
      </c>
      <c r="V14" s="113">
        <f>V$2*'%BUDGET'!U14</f>
        <v>191.99133435217166</v>
      </c>
      <c r="W14" s="113">
        <f>W$2*'%BUDGET'!V14</f>
        <v>0</v>
      </c>
      <c r="X14" s="113">
        <f>X$2*'%BUDGET'!W14</f>
        <v>0</v>
      </c>
      <c r="Y14" s="113">
        <f>Y$2*'%BUDGET'!X14</f>
        <v>160.12881860458776</v>
      </c>
      <c r="Z14" s="113">
        <f>Z$2*'%BUDGET'!Y14</f>
        <v>0</v>
      </c>
      <c r="AA14" s="113">
        <f>AA$2*'%BUDGET'!Z14</f>
        <v>109.32292790095291</v>
      </c>
      <c r="AB14" s="113">
        <f>AB$2*'%BUDGET'!AA14</f>
        <v>288.99554917354192</v>
      </c>
      <c r="AC14" s="113">
        <f>AC$2*'%BUDGET'!AB14</f>
        <v>257.62456853206231</v>
      </c>
      <c r="AD14" s="113">
        <f>AD$2*'%BUDGET'!AC14</f>
        <v>225.71958767596809</v>
      </c>
      <c r="AE14" s="113">
        <f>AE$2*'%BUDGET'!AD14</f>
        <v>252.33752070412291</v>
      </c>
      <c r="AF14" s="113">
        <f>AF$2*'%BUDGET'!AE14</f>
        <v>245.59839311183086</v>
      </c>
      <c r="AG14" s="113">
        <f>AG$2*'%BUDGET'!AF14</f>
        <v>222.76839564709877</v>
      </c>
      <c r="AH14" s="113">
        <f>AH$2*'%BUDGET'!AG14</f>
        <v>170.45270872237572</v>
      </c>
      <c r="AI14" s="113">
        <f>AI$2*'%BUDGET'!AH14</f>
        <v>208.56273640840735</v>
      </c>
      <c r="AJ14" s="113">
        <f>AJ$2*'%BUDGET'!AI14</f>
        <v>149.88583471682261</v>
      </c>
      <c r="AK14" s="113">
        <f>AK$2*'%BUDGET'!AJ14</f>
        <v>287.82780198493782</v>
      </c>
      <c r="AL14" s="113">
        <f>AL$2*'%BUDGET'!AK14</f>
        <v>299.89853369101928</v>
      </c>
      <c r="AM14" s="113">
        <f>AM$2*'%BUDGET'!AL14</f>
        <v>296.09748403488402</v>
      </c>
      <c r="AN14" s="113">
        <f>AN$2*'%BUDGET'!AM14</f>
        <v>362.48114667304003</v>
      </c>
      <c r="AO14" s="113">
        <f>AO$2*'%BUDGET'!AN14</f>
        <v>320.23717284302438</v>
      </c>
      <c r="AP14" s="113">
        <f>AP$2*'%BUDGET'!AO14</f>
        <v>282.62356431618201</v>
      </c>
      <c r="AQ14" s="113">
        <f>AQ$2*'%BUDGET'!AP14</f>
        <v>276.76868156002394</v>
      </c>
      <c r="AR14" s="113">
        <f>AR$2*'%BUDGET'!AQ14</f>
        <v>261.47185514725635</v>
      </c>
      <c r="AS14" s="113">
        <f>AS$2*'%BUDGET'!AR14</f>
        <v>237.16631424173198</v>
      </c>
      <c r="AT14" s="113">
        <f>AT$2*'%BUDGET'!AS14</f>
        <v>181.46937119503315</v>
      </c>
      <c r="AU14" s="113">
        <f>AU$2*'%BUDGET'!AT14</f>
        <v>222.04251791852437</v>
      </c>
      <c r="AV14" s="113">
        <f>AV$2*'%BUDGET'!AU14</f>
        <v>159.57322345288082</v>
      </c>
      <c r="AW14" s="113">
        <f>AW$2*'%BUDGET'!AV14</f>
        <v>287.82780198493782</v>
      </c>
      <c r="AX14" s="113">
        <f>AX$2*'%BUDGET'!AW14</f>
        <v>299.89853369101928</v>
      </c>
      <c r="AY14" s="113">
        <f>AY$2*'%BUDGET'!AX14</f>
        <v>296.09748403488402</v>
      </c>
      <c r="AZ14" s="113">
        <f>AZ$2*'%BUDGET'!AY14</f>
        <v>486.16748679110924</v>
      </c>
      <c r="BA14" s="113">
        <f>BA$2*'%BUDGET'!AZ14</f>
        <v>429.50896323061869</v>
      </c>
      <c r="BB14" s="113">
        <f>BB$2*'%BUDGET'!BA14</f>
        <v>379.06078490609428</v>
      </c>
      <c r="BC14" s="113">
        <f>BC$2*'%BUDGET'!BB14</f>
        <v>371.20809060421522</v>
      </c>
      <c r="BD14" s="113">
        <f>BD$2*'%BUDGET'!BC14</f>
        <v>376.86258456212983</v>
      </c>
      <c r="BE14" s="113">
        <f>BE$2*'%BUDGET'!BD14</f>
        <v>344.26347190318683</v>
      </c>
      <c r="BF14" s="113">
        <f>BF$2*'%BUDGET'!BE14</f>
        <v>269.56153755021018</v>
      </c>
      <c r="BG14" s="113">
        <f>BG$2*'%BUDGET'!BF14</f>
        <v>323.97911196700886</v>
      </c>
      <c r="BH14" s="113">
        <f>BH$2*'%BUDGET'!BG14</f>
        <v>240.19395466786227</v>
      </c>
      <c r="BI14" s="113">
        <f>BI$2*'%BUDGET'!BH14</f>
        <v>412.21174562521111</v>
      </c>
      <c r="BJ14" s="113">
        <f>BJ$2*'%BUDGET'!BI14</f>
        <v>428.40126982843458</v>
      </c>
      <c r="BK14" s="113">
        <f>BK$2*'%BUDGET'!BJ14</f>
        <v>423.30322052172579</v>
      </c>
      <c r="BL14" s="113">
        <f>BL$2*'%BUDGET'!BK14</f>
        <v>547.11335676311546</v>
      </c>
      <c r="BM14" s="113">
        <f>BM$2*'%BUDGET'!BL14</f>
        <v>641.58918762186602</v>
      </c>
      <c r="BN14" s="113">
        <f>BN$2*'%BUDGET'!BM14</f>
        <v>433.12246357061002</v>
      </c>
      <c r="BO14" s="113">
        <f>BO$2*'%BUDGET'!BN14</f>
        <v>462.85512654581078</v>
      </c>
    </row>
    <row r="15" spans="1:67" ht="15.75" x14ac:dyDescent="0.25">
      <c r="A15" s="76" t="s">
        <v>3</v>
      </c>
      <c r="B15" s="74" t="s">
        <v>298</v>
      </c>
      <c r="C15" s="113">
        <f>C$2*'%BUDGET'!B15</f>
        <v>156.93898861736074</v>
      </c>
      <c r="D15" s="113">
        <f>D$2*'%BUDGET'!C15</f>
        <v>156.93898861736074</v>
      </c>
      <c r="E15" s="113">
        <f>E$2*'%BUDGET'!D15</f>
        <v>156.93898861736074</v>
      </c>
      <c r="F15" s="113">
        <f>F$2*'%BUDGET'!E15</f>
        <v>156.93898861736074</v>
      </c>
      <c r="G15" s="113">
        <f>G$2*'%BUDGET'!F15</f>
        <v>156.93898861736074</v>
      </c>
      <c r="H15" s="113">
        <f>H$2*'%BUDGET'!G15</f>
        <v>0</v>
      </c>
      <c r="I15" s="113">
        <f>I$2*'%BUDGET'!H15</f>
        <v>0</v>
      </c>
      <c r="J15" s="113">
        <f>J$2*'%BUDGET'!I15</f>
        <v>0</v>
      </c>
      <c r="K15" s="113">
        <f>K$2*'%BUDGET'!J15</f>
        <v>0</v>
      </c>
      <c r="L15" s="113">
        <f>L$2*'%BUDGET'!K15</f>
        <v>0</v>
      </c>
      <c r="M15" s="113">
        <f>M$2*'%BUDGET'!L15</f>
        <v>0</v>
      </c>
      <c r="N15" s="113">
        <f>N$2*'%BUDGET'!M15</f>
        <v>533.03225826541063</v>
      </c>
      <c r="O15" s="113">
        <f>O$2*'%BUDGET'!N15</f>
        <v>52.946554351263543</v>
      </c>
      <c r="P15" s="113">
        <f>P$2*'%BUDGET'!O15</f>
        <v>52.946554351263543</v>
      </c>
      <c r="Q15" s="113">
        <f>Q$2*'%BUDGET'!P15</f>
        <v>52.946554351263543</v>
      </c>
      <c r="R15" s="113">
        <f>R$2*'%BUDGET'!Q15</f>
        <v>52.946554351263543</v>
      </c>
      <c r="S15" s="113">
        <f>S$2*'%BUDGET'!R15</f>
        <v>105.89310870252709</v>
      </c>
      <c r="T15" s="113">
        <f>T$2*'%BUDGET'!S15</f>
        <v>0</v>
      </c>
      <c r="U15" s="113">
        <f>U$2*'%BUDGET'!T15</f>
        <v>0</v>
      </c>
      <c r="V15" s="113">
        <f>V$2*'%BUDGET'!U15</f>
        <v>0</v>
      </c>
      <c r="W15" s="113">
        <f>W$2*'%BUDGET'!V15</f>
        <v>0</v>
      </c>
      <c r="X15" s="113">
        <f>X$2*'%BUDGET'!W15</f>
        <v>0</v>
      </c>
      <c r="Y15" s="113">
        <f>Y$2*'%BUDGET'!X15</f>
        <v>0</v>
      </c>
      <c r="Z15" s="113">
        <f>Z$2*'%BUDGET'!Y15</f>
        <v>0</v>
      </c>
      <c r="AA15" s="113">
        <f>AA$2*'%BUDGET'!Z15</f>
        <v>0</v>
      </c>
      <c r="AB15" s="113">
        <f>AB$2*'%BUDGET'!AA15</f>
        <v>0</v>
      </c>
      <c r="AC15" s="113">
        <f>AC$2*'%BUDGET'!AB15</f>
        <v>0</v>
      </c>
      <c r="AD15" s="113">
        <f>AD$2*'%BUDGET'!AC15</f>
        <v>0</v>
      </c>
      <c r="AE15" s="113">
        <f>AE$2*'%BUDGET'!AD15</f>
        <v>0</v>
      </c>
      <c r="AF15" s="113">
        <f>AF$2*'%BUDGET'!AE15</f>
        <v>0</v>
      </c>
      <c r="AG15" s="113">
        <f>AG$2*'%BUDGET'!AF15</f>
        <v>0</v>
      </c>
      <c r="AH15" s="113">
        <f>AH$2*'%BUDGET'!AG15</f>
        <v>0</v>
      </c>
      <c r="AI15" s="113">
        <f>AI$2*'%BUDGET'!AH15</f>
        <v>0</v>
      </c>
      <c r="AJ15" s="113">
        <f>AJ$2*'%BUDGET'!AI15</f>
        <v>0</v>
      </c>
      <c r="AK15" s="113">
        <f>AK$2*'%BUDGET'!AJ15</f>
        <v>0</v>
      </c>
      <c r="AL15" s="113">
        <f>AL$2*'%BUDGET'!AK15</f>
        <v>0</v>
      </c>
      <c r="AM15" s="113">
        <f>AM$2*'%BUDGET'!AL15</f>
        <v>267.16232979415491</v>
      </c>
      <c r="AN15" s="113">
        <f>AN$2*'%BUDGET'!AM15</f>
        <v>0</v>
      </c>
      <c r="AO15" s="113">
        <f>AO$2*'%BUDGET'!AN15</f>
        <v>0</v>
      </c>
      <c r="AP15" s="113">
        <f>AP$2*'%BUDGET'!AO15</f>
        <v>0</v>
      </c>
      <c r="AQ15" s="113">
        <f>AQ$2*'%BUDGET'!AP15</f>
        <v>0</v>
      </c>
      <c r="AR15" s="113">
        <f>AR$2*'%BUDGET'!AQ15</f>
        <v>0</v>
      </c>
      <c r="AS15" s="113">
        <f>AS$2*'%BUDGET'!AR15</f>
        <v>0</v>
      </c>
      <c r="AT15" s="113">
        <f>AT$2*'%BUDGET'!AS15</f>
        <v>0</v>
      </c>
      <c r="AU15" s="113">
        <f>AU$2*'%BUDGET'!AT15</f>
        <v>0</v>
      </c>
      <c r="AV15" s="113">
        <f>AV$2*'%BUDGET'!AU15</f>
        <v>0</v>
      </c>
      <c r="AW15" s="113">
        <f>AW$2*'%BUDGET'!AV15</f>
        <v>0</v>
      </c>
      <c r="AX15" s="113">
        <f>AX$2*'%BUDGET'!AW15</f>
        <v>0</v>
      </c>
      <c r="AY15" s="113">
        <f>AY$2*'%BUDGET'!AX15</f>
        <v>267.16232979415491</v>
      </c>
      <c r="AZ15" s="113">
        <f>AZ$2*'%BUDGET'!AY15</f>
        <v>0</v>
      </c>
      <c r="BA15" s="113">
        <f>BA$2*'%BUDGET'!AZ15</f>
        <v>0</v>
      </c>
      <c r="BB15" s="113">
        <f>BB$2*'%BUDGET'!BA15</f>
        <v>0</v>
      </c>
      <c r="BC15" s="113">
        <f>BC$2*'%BUDGET'!BB15</f>
        <v>0</v>
      </c>
      <c r="BD15" s="113">
        <f>BD$2*'%BUDGET'!BC15</f>
        <v>0</v>
      </c>
      <c r="BE15" s="113">
        <f>BE$2*'%BUDGET'!BD15</f>
        <v>0</v>
      </c>
      <c r="BF15" s="113">
        <f>BF$2*'%BUDGET'!BE15</f>
        <v>0</v>
      </c>
      <c r="BG15" s="113">
        <f>BG$2*'%BUDGET'!BF15</f>
        <v>0</v>
      </c>
      <c r="BH15" s="113">
        <f>BH$2*'%BUDGET'!BG15</f>
        <v>0</v>
      </c>
      <c r="BI15" s="113">
        <f>BI$2*'%BUDGET'!BH15</f>
        <v>0</v>
      </c>
      <c r="BJ15" s="113">
        <f>BJ$2*'%BUDGET'!BI15</f>
        <v>0</v>
      </c>
      <c r="BK15" s="113">
        <f>BK$2*'%BUDGET'!BJ15</f>
        <v>358.3238456217955</v>
      </c>
      <c r="BL15" s="113">
        <f>BL$2*'%BUDGET'!BK15</f>
        <v>0</v>
      </c>
      <c r="BM15" s="113">
        <f>BM$2*'%BUDGET'!BL15</f>
        <v>0</v>
      </c>
      <c r="BN15" s="113">
        <f>BN$2*'%BUDGET'!BM15</f>
        <v>0</v>
      </c>
      <c r="BO15" s="113">
        <f>BO$2*'%BUDGET'!BN15</f>
        <v>0</v>
      </c>
    </row>
    <row r="16" spans="1:67" ht="15.75" x14ac:dyDescent="0.25">
      <c r="A16" s="76" t="s">
        <v>301</v>
      </c>
      <c r="B16" s="74" t="s">
        <v>298</v>
      </c>
      <c r="C16" s="113">
        <f>C$2*'%BUDGET'!B16</f>
        <v>96.145250911289494</v>
      </c>
      <c r="D16" s="113">
        <f>D$2*'%BUDGET'!C16</f>
        <v>96.145250911289494</v>
      </c>
      <c r="E16" s="113">
        <f>E$2*'%BUDGET'!D16</f>
        <v>96.145250911289494</v>
      </c>
      <c r="F16" s="113">
        <f>F$2*'%BUDGET'!E16</f>
        <v>96.145250911289494</v>
      </c>
      <c r="G16" s="113">
        <f>G$2*'%BUDGET'!F16</f>
        <v>96.145250911289494</v>
      </c>
      <c r="H16" s="113">
        <f>H$2*'%BUDGET'!G16</f>
        <v>96.145250911289494</v>
      </c>
      <c r="I16" s="113">
        <f>I$2*'%BUDGET'!H16</f>
        <v>96.145250911289494</v>
      </c>
      <c r="J16" s="113">
        <f>J$2*'%BUDGET'!I16</f>
        <v>96.145250911289494</v>
      </c>
      <c r="K16" s="113">
        <f>K$2*'%BUDGET'!J16</f>
        <v>96.145250911289494</v>
      </c>
      <c r="L16" s="113">
        <f>L$2*'%BUDGET'!K16</f>
        <v>96.145250911289494</v>
      </c>
      <c r="M16" s="113">
        <f>M$2*'%BUDGET'!L16</f>
        <v>101.01203528006926</v>
      </c>
      <c r="N16" s="113">
        <f>N$2*'%BUDGET'!M16</f>
        <v>37.000790616105569</v>
      </c>
      <c r="O16" s="113">
        <f>O$2*'%BUDGET'!N16</f>
        <v>31.703970330333782</v>
      </c>
      <c r="P16" s="113">
        <f>P$2*'%BUDGET'!O16</f>
        <v>48.35801257359671</v>
      </c>
      <c r="Q16" s="113">
        <f>Q$2*'%BUDGET'!P16</f>
        <v>261.17140751626346</v>
      </c>
      <c r="R16" s="113">
        <f>R$2*'%BUDGET'!Q16</f>
        <v>83.35850783943792</v>
      </c>
      <c r="S16" s="113">
        <f>S$2*'%BUDGET'!R16</f>
        <v>63.407940660667563</v>
      </c>
      <c r="T16" s="113">
        <f>T$2*'%BUDGET'!S16</f>
        <v>44.153406237368628</v>
      </c>
      <c r="U16" s="113">
        <f>U$2*'%BUDGET'!T16</f>
        <v>87.291365163069145</v>
      </c>
      <c r="V16" s="113">
        <f>V$2*'%BUDGET'!U16</f>
        <v>144.07312696817237</v>
      </c>
      <c r="W16" s="113">
        <f>W$2*'%BUDGET'!V16</f>
        <v>73.023363142528225</v>
      </c>
      <c r="X16" s="113">
        <f>X$2*'%BUDGET'!W16</f>
        <v>73.023363142528225</v>
      </c>
      <c r="Y16" s="113">
        <f>Y$2*'%BUDGET'!X16</f>
        <v>0</v>
      </c>
      <c r="Z16" s="113">
        <f>Z$2*'%BUDGET'!Y16</f>
        <v>74.148343485897612</v>
      </c>
      <c r="AA16" s="113">
        <f>AA$2*'%BUDGET'!Z16</f>
        <v>55.531396758343362</v>
      </c>
      <c r="AB16" s="113">
        <f>AB$2*'%BUDGET'!AA16</f>
        <v>59.033598031962121</v>
      </c>
      <c r="AC16" s="113">
        <f>AC$2*'%BUDGET'!AB16</f>
        <v>90.619938684748533</v>
      </c>
      <c r="AD16" s="113">
        <f>AD$2*'%BUDGET'!AC16</f>
        <v>279.59593892008769</v>
      </c>
      <c r="AE16" s="113">
        <f>AE$2*'%BUDGET'!AD16</f>
        <v>312.56722888984746</v>
      </c>
      <c r="AF16" s="113">
        <f>AF$2*'%BUDGET'!AE16</f>
        <v>56.026493737918479</v>
      </c>
      <c r="AG16" s="113">
        <f>AG$2*'%BUDGET'!AF16</f>
        <v>123.32730082554028</v>
      </c>
      <c r="AH16" s="113">
        <f>AH$2*'%BUDGET'!AG16</f>
        <v>43.039541096302969</v>
      </c>
      <c r="AI16" s="113">
        <f>AI$2*'%BUDGET'!AH16</f>
        <v>56.345641801880738</v>
      </c>
      <c r="AJ16" s="113">
        <f>AJ$2*'%BUDGET'!AI16</f>
        <v>0</v>
      </c>
      <c r="AK16" s="113">
        <f>AK$2*'%BUDGET'!AJ16</f>
        <v>55.357879126881834</v>
      </c>
      <c r="AL16" s="113">
        <f>AL$2*'%BUDGET'!AK16</f>
        <v>122.00271881293226</v>
      </c>
      <c r="AM16" s="113">
        <f>AM$2*'%BUDGET'!AL16</f>
        <v>45.124661263055266</v>
      </c>
      <c r="AN16" s="113">
        <f>AN$2*'%BUDGET'!AM16</f>
        <v>48.562417782597684</v>
      </c>
      <c r="AO16" s="113">
        <f>AO$2*'%BUDGET'!AN16</f>
        <v>62.485391793030097</v>
      </c>
      <c r="AP16" s="113">
        <f>AP$2*'%BUDGET'!AO16</f>
        <v>278.08259535564605</v>
      </c>
      <c r="AQ16" s="113">
        <f>AQ$2*'%BUDGET'!AP16</f>
        <v>94.799942681173633</v>
      </c>
      <c r="AR16" s="113">
        <f>AR$2*'%BUDGET'!AQ16</f>
        <v>59.647585920398285</v>
      </c>
      <c r="AS16" s="113">
        <f>AS$2*'%BUDGET'!AR16</f>
        <v>131.29816416378014</v>
      </c>
      <c r="AT16" s="113">
        <f>AT$2*'%BUDGET'!AS16</f>
        <v>45.821263374523326</v>
      </c>
      <c r="AU16" s="113">
        <f>AU$2*'%BUDGET'!AT16</f>
        <v>59.987361092758114</v>
      </c>
      <c r="AV16" s="113">
        <f>AV$2*'%BUDGET'!AU16</f>
        <v>0</v>
      </c>
      <c r="AW16" s="113">
        <f>AW$2*'%BUDGET'!AV16</f>
        <v>55.357879126881834</v>
      </c>
      <c r="AX16" s="113">
        <f>AX$2*'%BUDGET'!AW16</f>
        <v>122.00271881293226</v>
      </c>
      <c r="AY16" s="113">
        <f>AY$2*'%BUDGET'!AX16</f>
        <v>45.124661263055266</v>
      </c>
      <c r="AZ16" s="113">
        <f>AZ$2*'%BUDGET'!AY16</f>
        <v>65.132956079399236</v>
      </c>
      <c r="BA16" s="113">
        <f>BA$2*'%BUDGET'!AZ16</f>
        <v>83.806747379820834</v>
      </c>
      <c r="BB16" s="113">
        <f>BB$2*'%BUDGET'!BA16</f>
        <v>372.97033996184587</v>
      </c>
      <c r="BC16" s="113">
        <f>BC$2*'%BUDGET'!BB16</f>
        <v>127.14771596885178</v>
      </c>
      <c r="BD16" s="113">
        <f>BD$2*'%BUDGET'!BC16</f>
        <v>92.268077087335314</v>
      </c>
      <c r="BE16" s="113">
        <f>BE$2*'%BUDGET'!BD16</f>
        <v>188.36736906826505</v>
      </c>
      <c r="BF16" s="113">
        <f>BF$2*'%BUDGET'!BE16</f>
        <v>73.723916803726183</v>
      </c>
      <c r="BG16" s="113">
        <f>BG$2*'%BUDGET'!BF16</f>
        <v>92.723790834481434</v>
      </c>
      <c r="BH16" s="113">
        <f>BH$2*'%BUDGET'!BG16</f>
        <v>0</v>
      </c>
      <c r="BI16" s="113">
        <f>BI$2*'%BUDGET'!BH16</f>
        <v>86.514630349439756</v>
      </c>
      <c r="BJ16" s="113">
        <f>BJ$2*'%BUDGET'!BI16</f>
        <v>175.90011843660085</v>
      </c>
      <c r="BK16" s="113">
        <f>BK$2*'%BUDGET'!BJ16</f>
        <v>72.789619114221026</v>
      </c>
      <c r="BL16" s="113">
        <f>BL$2*'%BUDGET'!BK16</f>
        <v>75.764069207991852</v>
      </c>
      <c r="BM16" s="113">
        <f>BM$2*'%BUDGET'!BL16</f>
        <v>179.60860019877794</v>
      </c>
      <c r="BN16" s="113">
        <f>BN$2*'%BUDGET'!BM16</f>
        <v>348.64928737368382</v>
      </c>
      <c r="BO16" s="113">
        <f>BO$2*'%BUDGET'!BN16</f>
        <v>241.31509535261713</v>
      </c>
    </row>
    <row r="17" spans="1:67" ht="15.75" x14ac:dyDescent="0.25">
      <c r="A17" s="76" t="s">
        <v>29</v>
      </c>
      <c r="B17" s="74" t="s">
        <v>298</v>
      </c>
      <c r="C17" s="113">
        <f>C$2*'%BUDGET'!B17</f>
        <v>100.60191578035941</v>
      </c>
      <c r="D17" s="113">
        <f>D$2*'%BUDGET'!C17</f>
        <v>100.60191578035941</v>
      </c>
      <c r="E17" s="113">
        <f>E$2*'%BUDGET'!D17</f>
        <v>100.60191578035941</v>
      </c>
      <c r="F17" s="113">
        <f>F$2*'%BUDGET'!E17</f>
        <v>100.60191578035941</v>
      </c>
      <c r="G17" s="113">
        <f>G$2*'%BUDGET'!F17</f>
        <v>100.60191578035941</v>
      </c>
      <c r="H17" s="113">
        <f>H$2*'%BUDGET'!G17</f>
        <v>0</v>
      </c>
      <c r="I17" s="113">
        <f>I$2*'%BUDGET'!H17</f>
        <v>0</v>
      </c>
      <c r="J17" s="113">
        <f>J$2*'%BUDGET'!I17</f>
        <v>0</v>
      </c>
      <c r="K17" s="113">
        <f>K$2*'%BUDGET'!J17</f>
        <v>0</v>
      </c>
      <c r="L17" s="113">
        <f>L$2*'%BUDGET'!K17</f>
        <v>0</v>
      </c>
      <c r="M17" s="113">
        <f>M$2*'%BUDGET'!L17</f>
        <v>0</v>
      </c>
      <c r="N17" s="113">
        <f>N$2*'%BUDGET'!M17</f>
        <v>36.287482390823101</v>
      </c>
      <c r="O17" s="113">
        <f>O$2*'%BUDGET'!N17</f>
        <v>256.36069093129169</v>
      </c>
      <c r="P17" s="113">
        <f>P$2*'%BUDGET'!O17</f>
        <v>31.09277520627893</v>
      </c>
      <c r="Q17" s="113">
        <f>Q$2*'%BUDGET'!P17</f>
        <v>119.82213629744905</v>
      </c>
      <c r="R17" s="113">
        <f>R$2*'%BUDGET'!Q17</f>
        <v>31.09277520627893</v>
      </c>
      <c r="S17" s="113">
        <f>S$2*'%BUDGET'!R17</f>
        <v>62.185550412557859</v>
      </c>
      <c r="T17" s="113">
        <f>T$2*'%BUDGET'!S17</f>
        <v>0</v>
      </c>
      <c r="U17" s="113">
        <f>U$2*'%BUDGET'!T17</f>
        <v>0</v>
      </c>
      <c r="V17" s="113">
        <f>V$2*'%BUDGET'!U17</f>
        <v>0</v>
      </c>
      <c r="W17" s="113">
        <f>W$2*'%BUDGET'!V17</f>
        <v>0</v>
      </c>
      <c r="X17" s="113">
        <f>X$2*'%BUDGET'!W17</f>
        <v>0</v>
      </c>
      <c r="Y17" s="113">
        <f>Y$2*'%BUDGET'!X17</f>
        <v>0</v>
      </c>
      <c r="Z17" s="113">
        <f>Z$2*'%BUDGET'!Y17</f>
        <v>0</v>
      </c>
      <c r="AA17" s="113">
        <f>AA$2*'%BUDGET'!Z17</f>
        <v>0</v>
      </c>
      <c r="AB17" s="113">
        <f>AB$2*'%BUDGET'!AA17</f>
        <v>0</v>
      </c>
      <c r="AC17" s="113">
        <f>AC$2*'%BUDGET'!AB17</f>
        <v>0</v>
      </c>
      <c r="AD17" s="113">
        <f>AD$2*'%BUDGET'!AC17</f>
        <v>0</v>
      </c>
      <c r="AE17" s="113">
        <f>AE$2*'%BUDGET'!AD17</f>
        <v>0</v>
      </c>
      <c r="AF17" s="113">
        <f>AF$2*'%BUDGET'!AE17</f>
        <v>0</v>
      </c>
      <c r="AG17" s="113">
        <f>AG$2*'%BUDGET'!AF17</f>
        <v>0</v>
      </c>
      <c r="AH17" s="113">
        <f>AH$2*'%BUDGET'!AG17</f>
        <v>0</v>
      </c>
      <c r="AI17" s="113">
        <f>AI$2*'%BUDGET'!AH17</f>
        <v>0</v>
      </c>
      <c r="AJ17" s="113">
        <f>AJ$2*'%BUDGET'!AI17</f>
        <v>0</v>
      </c>
      <c r="AK17" s="113">
        <f>AK$2*'%BUDGET'!AJ17</f>
        <v>0</v>
      </c>
      <c r="AL17" s="113">
        <f>AL$2*'%BUDGET'!AK17</f>
        <v>0</v>
      </c>
      <c r="AM17" s="113">
        <f>AM$2*'%BUDGET'!AL17</f>
        <v>0</v>
      </c>
      <c r="AN17" s="113">
        <f>AN$2*'%BUDGET'!AM17</f>
        <v>171.75897736553947</v>
      </c>
      <c r="AO17" s="113">
        <f>AO$2*'%BUDGET'!AN17</f>
        <v>0</v>
      </c>
      <c r="AP17" s="113">
        <f>AP$2*'%BUDGET'!AO17</f>
        <v>83.622667669294614</v>
      </c>
      <c r="AQ17" s="113">
        <f>AQ$2*'%BUDGET'!AP17</f>
        <v>0</v>
      </c>
      <c r="AR17" s="113">
        <f>AR$2*'%BUDGET'!AQ17</f>
        <v>0</v>
      </c>
      <c r="AS17" s="113">
        <f>AS$2*'%BUDGET'!AR17</f>
        <v>0</v>
      </c>
      <c r="AT17" s="113">
        <f>AT$2*'%BUDGET'!AS17</f>
        <v>0</v>
      </c>
      <c r="AU17" s="113">
        <f>AU$2*'%BUDGET'!AT17</f>
        <v>0</v>
      </c>
      <c r="AV17" s="113">
        <f>AV$2*'%BUDGET'!AU17</f>
        <v>0</v>
      </c>
      <c r="AW17" s="113">
        <f>AW$2*'%BUDGET'!AV17</f>
        <v>0</v>
      </c>
      <c r="AX17" s="113">
        <f>AX$2*'%BUDGET'!AW17</f>
        <v>0</v>
      </c>
      <c r="AY17" s="113">
        <f>AY$2*'%BUDGET'!AX17</f>
        <v>0</v>
      </c>
      <c r="AZ17" s="113">
        <f>AZ$2*'%BUDGET'!AY17</f>
        <v>230.36682356044321</v>
      </c>
      <c r="BA17" s="113">
        <f>BA$2*'%BUDGET'!AZ17</f>
        <v>0</v>
      </c>
      <c r="BB17" s="113">
        <f>BB$2*'%BUDGET'!BA17</f>
        <v>112.15651504275284</v>
      </c>
      <c r="BC17" s="113">
        <f>BC$2*'%BUDGET'!BB17</f>
        <v>0</v>
      </c>
      <c r="BD17" s="113">
        <f>BD$2*'%BUDGET'!BC17</f>
        <v>0</v>
      </c>
      <c r="BE17" s="113">
        <f>BE$2*'%BUDGET'!BD17</f>
        <v>0</v>
      </c>
      <c r="BF17" s="113">
        <f>BF$2*'%BUDGET'!BE17</f>
        <v>0</v>
      </c>
      <c r="BG17" s="113">
        <f>BG$2*'%BUDGET'!BF17</f>
        <v>0</v>
      </c>
      <c r="BH17" s="113">
        <f>BH$2*'%BUDGET'!BG17</f>
        <v>0</v>
      </c>
      <c r="BI17" s="113">
        <f>BI$2*'%BUDGET'!BH17</f>
        <v>0</v>
      </c>
      <c r="BJ17" s="113">
        <f>BJ$2*'%BUDGET'!BI17</f>
        <v>0</v>
      </c>
      <c r="BK17" s="113">
        <f>BK$2*'%BUDGET'!BJ17</f>
        <v>0</v>
      </c>
      <c r="BL17" s="113">
        <f>BL$2*'%BUDGET'!BK17</f>
        <v>196.01090067773805</v>
      </c>
      <c r="BM17" s="113">
        <f>BM$2*'%BUDGET'!BL17</f>
        <v>0</v>
      </c>
      <c r="BN17" s="113">
        <f>BN$2*'%BUDGET'!BM17</f>
        <v>376.5412292361903</v>
      </c>
      <c r="BO17" s="113">
        <f>BO$2*'%BUDGET'!BN17</f>
        <v>0</v>
      </c>
    </row>
    <row r="18" spans="1:67" ht="15.75" x14ac:dyDescent="0.25">
      <c r="A18" s="76" t="s">
        <v>7</v>
      </c>
      <c r="B18" s="74" t="s">
        <v>298</v>
      </c>
      <c r="C18" s="113">
        <f>C$2*'%BUDGET'!B18</f>
        <v>31.594750235934587</v>
      </c>
      <c r="D18" s="113">
        <f>D$2*'%BUDGET'!C18</f>
        <v>31.594750235934587</v>
      </c>
      <c r="E18" s="113">
        <f>E$2*'%BUDGET'!D18</f>
        <v>31.594750235934587</v>
      </c>
      <c r="F18" s="113">
        <f>F$2*'%BUDGET'!E18</f>
        <v>31.594750235934587</v>
      </c>
      <c r="G18" s="113">
        <f>G$2*'%BUDGET'!F18</f>
        <v>31.594750235934587</v>
      </c>
      <c r="H18" s="113">
        <f>H$2*'%BUDGET'!G18</f>
        <v>31.594750235934587</v>
      </c>
      <c r="I18" s="113">
        <f>I$2*'%BUDGET'!H18</f>
        <v>31.594750235934587</v>
      </c>
      <c r="J18" s="113">
        <f>J$2*'%BUDGET'!I18</f>
        <v>31.594750235934587</v>
      </c>
      <c r="K18" s="113">
        <f>K$2*'%BUDGET'!J18</f>
        <v>31.594750235934587</v>
      </c>
      <c r="L18" s="113">
        <f>L$2*'%BUDGET'!K18</f>
        <v>31.594750235934587</v>
      </c>
      <c r="M18" s="113">
        <f>M$2*'%BUDGET'!L18</f>
        <v>33.194047498423629</v>
      </c>
      <c r="N18" s="113">
        <f>N$2*'%BUDGET'!M18</f>
        <v>31.719776819778101</v>
      </c>
      <c r="O18" s="113">
        <f>O$2*'%BUDGET'!N18</f>
        <v>77.082762421842489</v>
      </c>
      <c r="P18" s="113">
        <f>P$2*'%BUDGET'!O18</f>
        <v>28.933010414230072</v>
      </c>
      <c r="Q18" s="113">
        <f>Q$2*'%BUDGET'!P18</f>
        <v>28.71328730591982</v>
      </c>
      <c r="R18" s="113">
        <f>R$2*'%BUDGET'!Q18</f>
        <v>22.181371666961319</v>
      </c>
      <c r="S18" s="113">
        <f>S$2*'%BUDGET'!R18</f>
        <v>27.258591840841795</v>
      </c>
      <c r="T18" s="113">
        <f>T$2*'%BUDGET'!S18</f>
        <v>14.493083987910756</v>
      </c>
      <c r="U18" s="113">
        <f>U$2*'%BUDGET'!T18</f>
        <v>11.578825070640297</v>
      </c>
      <c r="V18" s="113">
        <f>V$2*'%BUDGET'!U18</f>
        <v>19.110682155425735</v>
      </c>
      <c r="W18" s="113">
        <f>W$2*'%BUDGET'!V18</f>
        <v>17.700873472674306</v>
      </c>
      <c r="X18" s="113">
        <f>X$2*'%BUDGET'!W18</f>
        <v>17.700873472674306</v>
      </c>
      <c r="Y18" s="113">
        <f>Y$2*'%BUDGET'!X18</f>
        <v>17.791798738488243</v>
      </c>
      <c r="Z18" s="113">
        <f>Z$2*'%BUDGET'!Y18</f>
        <v>17.110791781335276</v>
      </c>
      <c r="AA18" s="113">
        <f>AA$2*'%BUDGET'!Z18</f>
        <v>30.463507026867198</v>
      </c>
      <c r="AB18" s="113">
        <f>AB$2*'%BUDGET'!AA18</f>
        <v>62.439510062027381</v>
      </c>
      <c r="AC18" s="113">
        <f>AC$2*'%BUDGET'!AB18</f>
        <v>30.568269223786633</v>
      </c>
      <c r="AD18" s="113">
        <f>AD$2*'%BUDGET'!AC18</f>
        <v>28.941510043553301</v>
      </c>
      <c r="AE18" s="113">
        <f>AE$2*'%BUDGET'!AD18</f>
        <v>32.354431288026191</v>
      </c>
      <c r="AF18" s="113">
        <f>AF$2*'%BUDGET'!AE18</f>
        <v>22.288705410489918</v>
      </c>
      <c r="AG18" s="113">
        <f>AG$2*'%BUDGET'!AF18</f>
        <v>17.056297696461417</v>
      </c>
      <c r="AH18" s="113">
        <f>AH$2*'%BUDGET'!AG18</f>
        <v>19.231146569099408</v>
      </c>
      <c r="AI18" s="113">
        <f>AI$2*'%BUDGET'!AH18</f>
        <v>16.325467367274552</v>
      </c>
      <c r="AJ18" s="113">
        <f>AJ$2*'%BUDGET'!AI18</f>
        <v>26.659332800516555</v>
      </c>
      <c r="AK18" s="113">
        <f>AK$2*'%BUDGET'!AJ18</f>
        <v>17.898619010767185</v>
      </c>
      <c r="AL18" s="113">
        <f>AL$2*'%BUDGET'!AK18</f>
        <v>43.850706365804648</v>
      </c>
      <c r="AM18" s="113">
        <f>AM$2*'%BUDGET'!AL18</f>
        <v>24.946417159981856</v>
      </c>
      <c r="AN18" s="113">
        <f>AN$2*'%BUDGET'!AM18</f>
        <v>53.971762999177237</v>
      </c>
      <c r="AO18" s="113">
        <f>AO$2*'%BUDGET'!AN18</f>
        <v>34.000724367740489</v>
      </c>
      <c r="AP18" s="113">
        <f>AP$2*'%BUDGET'!AO18</f>
        <v>32.08289582401779</v>
      </c>
      <c r="AQ18" s="113">
        <f>AQ$2*'%BUDGET'!AP18</f>
        <v>23.676413755446301</v>
      </c>
      <c r="AR18" s="113">
        <f>AR$2*'%BUDGET'!AQ18</f>
        <v>23.729264180722165</v>
      </c>
      <c r="AS18" s="113">
        <f>AS$2*'%BUDGET'!AR18</f>
        <v>18.158676627036975</v>
      </c>
      <c r="AT18" s="113">
        <f>AT$2*'%BUDGET'!AS18</f>
        <v>20.474089859951086</v>
      </c>
      <c r="AU18" s="113">
        <f>AU$2*'%BUDGET'!AT18</f>
        <v>17.380611430643942</v>
      </c>
      <c r="AV18" s="113">
        <f>AV$2*'%BUDGET'!AU18</f>
        <v>28.382373011557693</v>
      </c>
      <c r="AW18" s="113">
        <f>AW$2*'%BUDGET'!AV18</f>
        <v>17.898619010767185</v>
      </c>
      <c r="AX18" s="113">
        <f>AX$2*'%BUDGET'!AW18</f>
        <v>43.850706365804648</v>
      </c>
      <c r="AY18" s="113">
        <f>AY$2*'%BUDGET'!AX18</f>
        <v>24.946417159981856</v>
      </c>
      <c r="AZ18" s="113">
        <f>AZ$2*'%BUDGET'!AY18</f>
        <v>72.388085879300604</v>
      </c>
      <c r="BA18" s="113">
        <f>BA$2*'%BUDGET'!AZ18</f>
        <v>45.602500617368143</v>
      </c>
      <c r="BB18" s="113">
        <f>BB$2*'%BUDGET'!BA18</f>
        <v>43.030267849524542</v>
      </c>
      <c r="BC18" s="113">
        <f>BC$2*'%BUDGET'!BB18</f>
        <v>31.755313834555082</v>
      </c>
      <c r="BD18" s="113">
        <f>BD$2*'%BUDGET'!BC18</f>
        <v>31.525788336854973</v>
      </c>
      <c r="BE18" s="113">
        <f>BE$2*'%BUDGET'!BD18</f>
        <v>24.05439685682358</v>
      </c>
      <c r="BF18" s="113">
        <f>BF$2*'%BUDGET'!BE18</f>
        <v>27.159878735427597</v>
      </c>
      <c r="BG18" s="113">
        <f>BG$2*'%BUDGET'!BF18</f>
        <v>23.010839130961401</v>
      </c>
      <c r="BH18" s="113">
        <f>BH$2*'%BUDGET'!BG18</f>
        <v>37.766637679823241</v>
      </c>
      <c r="BI18" s="113">
        <f>BI$2*'%BUDGET'!BH18</f>
        <v>23.705602005330757</v>
      </c>
      <c r="BJ18" s="113">
        <f>BJ$2*'%BUDGET'!BI18</f>
        <v>58.513098070119341</v>
      </c>
      <c r="BK18" s="113">
        <f>BK$2*'%BUDGET'!BJ18</f>
        <v>33.1582600126874</v>
      </c>
      <c r="BL18" s="113">
        <f>BL$2*'%BUDGET'!BK18</f>
        <v>58.899424737485198</v>
      </c>
      <c r="BM18" s="113">
        <f>BM$2*'%BUDGET'!BL18</f>
        <v>37.041640915627866</v>
      </c>
      <c r="BN18" s="113">
        <f>BN$2*'%BUDGET'!BM18</f>
        <v>49.741988162543066</v>
      </c>
      <c r="BO18" s="113">
        <f>BO$2*'%BUDGET'!BN18</f>
        <v>42.286560423020823</v>
      </c>
    </row>
    <row r="20" spans="1:67" x14ac:dyDescent="0.25">
      <c r="C20" s="78"/>
    </row>
    <row r="22" spans="1:67" x14ac:dyDescent="0.25">
      <c r="AJ22" s="144"/>
    </row>
    <row r="23" spans="1:67" x14ac:dyDescent="0.25">
      <c r="F23" s="79"/>
      <c r="P23" s="79"/>
    </row>
    <row r="24" spans="1:67" x14ac:dyDescent="0.25">
      <c r="M24" s="79"/>
      <c r="N24" s="79"/>
      <c r="O24" s="79"/>
      <c r="AC24" s="133"/>
      <c r="AL24" s="144"/>
    </row>
    <row r="25" spans="1:67" x14ac:dyDescent="0.25">
      <c r="W25" s="116"/>
    </row>
  </sheetData>
  <conditionalFormatting sqref="A2">
    <cfRule type="cellIs" dxfId="0" priority="1" operator="greaterThan">
      <formula>1.0001</formula>
    </cfRule>
  </conditionalFormatting>
  <conditionalFormatting sqref="C2:BO18">
    <cfRule type="colorScale" priority="52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:BO18">
    <cfRule type="colorScale" priority="5277">
      <colorScale>
        <cfvo type="min"/>
        <cfvo type="max"/>
        <color rgb="FFFCFCFF"/>
        <color rgb="FFF8696B"/>
      </colorScale>
    </cfRule>
  </conditionalFormatting>
  <conditionalFormatting sqref="C16:BO16">
    <cfRule type="colorScale" priority="52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74"/>
  <sheetViews>
    <sheetView workbookViewId="0">
      <pane ySplit="1" topLeftCell="A46" activePane="bottomLeft" state="frozen"/>
      <selection pane="bottomLeft" activeCell="D75" sqref="D75"/>
    </sheetView>
  </sheetViews>
  <sheetFormatPr defaultColWidth="8.85546875" defaultRowHeight="15.75" x14ac:dyDescent="0.25"/>
  <cols>
    <col min="1" max="1" width="6" style="16" bestFit="1" customWidth="1"/>
    <col min="2" max="2" width="9" style="16" bestFit="1" customWidth="1"/>
    <col min="3" max="3" width="15" style="16" bestFit="1" customWidth="1"/>
    <col min="4" max="4" width="15.28515625" style="16" bestFit="1" customWidth="1"/>
    <col min="5" max="16384" width="8.85546875" style="16"/>
  </cols>
  <sheetData>
    <row r="1" spans="1:4" x14ac:dyDescent="0.25">
      <c r="A1" s="70" t="s">
        <v>550</v>
      </c>
      <c r="B1" s="70" t="s">
        <v>551</v>
      </c>
      <c r="C1" s="70" t="s">
        <v>552</v>
      </c>
      <c r="D1" s="16" t="s">
        <v>553</v>
      </c>
    </row>
    <row r="2" spans="1:4" x14ac:dyDescent="0.25">
      <c r="A2" s="71">
        <v>1</v>
      </c>
      <c r="B2" s="71" t="s">
        <v>554</v>
      </c>
      <c r="C2" s="72">
        <v>43556</v>
      </c>
      <c r="D2" s="72">
        <v>43556</v>
      </c>
    </row>
    <row r="3" spans="1:4" x14ac:dyDescent="0.25">
      <c r="A3" s="71">
        <v>2</v>
      </c>
      <c r="B3" s="71" t="s">
        <v>554</v>
      </c>
      <c r="C3" s="72">
        <v>43586</v>
      </c>
      <c r="D3" s="72">
        <v>43586</v>
      </c>
    </row>
    <row r="4" spans="1:4" x14ac:dyDescent="0.25">
      <c r="A4" s="71">
        <v>3</v>
      </c>
      <c r="B4" s="71" t="s">
        <v>554</v>
      </c>
      <c r="C4" s="72">
        <v>43617</v>
      </c>
      <c r="D4" s="72">
        <v>43617</v>
      </c>
    </row>
    <row r="5" spans="1:4" x14ac:dyDescent="0.25">
      <c r="A5" s="71">
        <v>4</v>
      </c>
      <c r="B5" s="71" t="s">
        <v>554</v>
      </c>
      <c r="C5" s="72">
        <v>43647</v>
      </c>
      <c r="D5" s="72">
        <v>43647</v>
      </c>
    </row>
    <row r="6" spans="1:4" x14ac:dyDescent="0.25">
      <c r="A6" s="71">
        <v>5</v>
      </c>
      <c r="B6" s="71" t="s">
        <v>554</v>
      </c>
      <c r="C6" s="72">
        <v>43678</v>
      </c>
      <c r="D6" s="72">
        <v>43678</v>
      </c>
    </row>
    <row r="7" spans="1:4" x14ac:dyDescent="0.25">
      <c r="A7" s="71">
        <v>6</v>
      </c>
      <c r="B7" s="71" t="s">
        <v>554</v>
      </c>
      <c r="C7" s="72">
        <v>43709</v>
      </c>
      <c r="D7" s="72">
        <v>43709</v>
      </c>
    </row>
    <row r="8" spans="1:4" x14ac:dyDescent="0.25">
      <c r="A8" s="71">
        <v>7</v>
      </c>
      <c r="B8" s="71" t="s">
        <v>554</v>
      </c>
      <c r="C8" s="72">
        <v>43739</v>
      </c>
      <c r="D8" s="72">
        <v>43739</v>
      </c>
    </row>
    <row r="9" spans="1:4" x14ac:dyDescent="0.25">
      <c r="A9" s="71">
        <v>8</v>
      </c>
      <c r="B9" s="71" t="s">
        <v>554</v>
      </c>
      <c r="C9" s="72">
        <v>43770</v>
      </c>
      <c r="D9" s="72">
        <v>43770</v>
      </c>
    </row>
    <row r="10" spans="1:4" x14ac:dyDescent="0.25">
      <c r="A10" s="71">
        <v>9</v>
      </c>
      <c r="B10" s="71" t="s">
        <v>554</v>
      </c>
      <c r="C10" s="72">
        <v>43800</v>
      </c>
      <c r="D10" s="72">
        <v>43800</v>
      </c>
    </row>
    <row r="11" spans="1:4" x14ac:dyDescent="0.25">
      <c r="A11" s="71">
        <v>10</v>
      </c>
      <c r="B11" s="71" t="s">
        <v>554</v>
      </c>
      <c r="C11" s="72">
        <v>43831</v>
      </c>
      <c r="D11" s="72">
        <v>43831</v>
      </c>
    </row>
    <row r="12" spans="1:4" x14ac:dyDescent="0.25">
      <c r="A12" s="71">
        <v>11</v>
      </c>
      <c r="B12" s="71" t="s">
        <v>554</v>
      </c>
      <c r="C12" s="72">
        <v>43862</v>
      </c>
      <c r="D12" s="72">
        <v>43862</v>
      </c>
    </row>
    <row r="13" spans="1:4" x14ac:dyDescent="0.25">
      <c r="A13" s="71">
        <v>12</v>
      </c>
      <c r="B13" s="71" t="s">
        <v>554</v>
      </c>
      <c r="C13" s="72">
        <v>43891</v>
      </c>
      <c r="D13" s="72">
        <v>43891</v>
      </c>
    </row>
    <row r="14" spans="1:4" x14ac:dyDescent="0.25">
      <c r="A14" s="71">
        <v>13</v>
      </c>
      <c r="B14" s="71" t="s">
        <v>555</v>
      </c>
      <c r="C14" s="72">
        <v>43922</v>
      </c>
      <c r="D14" s="72">
        <v>43922</v>
      </c>
    </row>
    <row r="15" spans="1:4" x14ac:dyDescent="0.25">
      <c r="A15" s="71">
        <v>14</v>
      </c>
      <c r="B15" s="71" t="s">
        <v>555</v>
      </c>
      <c r="C15" s="72">
        <v>43952</v>
      </c>
      <c r="D15" s="72">
        <v>43952</v>
      </c>
    </row>
    <row r="16" spans="1:4" x14ac:dyDescent="0.25">
      <c r="A16" s="71">
        <v>15</v>
      </c>
      <c r="B16" s="71" t="s">
        <v>555</v>
      </c>
      <c r="C16" s="72">
        <v>43983</v>
      </c>
      <c r="D16" s="72">
        <v>43983</v>
      </c>
    </row>
    <row r="17" spans="1:4" x14ac:dyDescent="0.25">
      <c r="A17" s="71">
        <v>16</v>
      </c>
      <c r="B17" s="71" t="s">
        <v>555</v>
      </c>
      <c r="C17" s="72">
        <v>44013</v>
      </c>
      <c r="D17" s="72">
        <v>44013</v>
      </c>
    </row>
    <row r="18" spans="1:4" x14ac:dyDescent="0.25">
      <c r="A18" s="71">
        <v>17</v>
      </c>
      <c r="B18" s="71" t="s">
        <v>555</v>
      </c>
      <c r="C18" s="72">
        <v>44044</v>
      </c>
      <c r="D18" s="72">
        <v>44044</v>
      </c>
    </row>
    <row r="19" spans="1:4" x14ac:dyDescent="0.25">
      <c r="A19" s="71">
        <v>18</v>
      </c>
      <c r="B19" s="71" t="s">
        <v>555</v>
      </c>
      <c r="C19" s="72">
        <v>44075</v>
      </c>
      <c r="D19" s="72">
        <v>44075</v>
      </c>
    </row>
    <row r="20" spans="1:4" x14ac:dyDescent="0.25">
      <c r="A20" s="71">
        <v>19</v>
      </c>
      <c r="B20" s="71" t="s">
        <v>555</v>
      </c>
      <c r="C20" s="72">
        <v>44105</v>
      </c>
      <c r="D20" s="72">
        <v>44105</v>
      </c>
    </row>
    <row r="21" spans="1:4" x14ac:dyDescent="0.25">
      <c r="A21" s="71">
        <v>20</v>
      </c>
      <c r="B21" s="71" t="s">
        <v>555</v>
      </c>
      <c r="C21" s="72">
        <v>44136</v>
      </c>
      <c r="D21" s="72">
        <v>44136</v>
      </c>
    </row>
    <row r="22" spans="1:4" x14ac:dyDescent="0.25">
      <c r="A22" s="71">
        <v>21</v>
      </c>
      <c r="B22" s="71" t="s">
        <v>555</v>
      </c>
      <c r="C22" s="72">
        <v>44166</v>
      </c>
      <c r="D22" s="72">
        <v>44166</v>
      </c>
    </row>
    <row r="23" spans="1:4" x14ac:dyDescent="0.25">
      <c r="A23" s="71">
        <v>22</v>
      </c>
      <c r="B23" s="71" t="s">
        <v>555</v>
      </c>
      <c r="C23" s="72">
        <v>44197</v>
      </c>
      <c r="D23" s="72">
        <v>44197</v>
      </c>
    </row>
    <row r="24" spans="1:4" x14ac:dyDescent="0.25">
      <c r="A24" s="71">
        <v>23</v>
      </c>
      <c r="B24" s="71" t="s">
        <v>555</v>
      </c>
      <c r="C24" s="72">
        <v>44228</v>
      </c>
      <c r="D24" s="72">
        <v>44228</v>
      </c>
    </row>
    <row r="25" spans="1:4" x14ac:dyDescent="0.25">
      <c r="A25" s="71">
        <v>24</v>
      </c>
      <c r="B25" s="71" t="s">
        <v>555</v>
      </c>
      <c r="C25" s="72">
        <v>44256</v>
      </c>
      <c r="D25" s="72">
        <v>44256</v>
      </c>
    </row>
    <row r="26" spans="1:4" x14ac:dyDescent="0.25">
      <c r="A26" s="71">
        <v>25</v>
      </c>
      <c r="B26" s="71" t="s">
        <v>660</v>
      </c>
      <c r="C26" s="72">
        <v>44287</v>
      </c>
      <c r="D26" s="72">
        <v>44287</v>
      </c>
    </row>
    <row r="27" spans="1:4" x14ac:dyDescent="0.25">
      <c r="A27" s="71">
        <v>26</v>
      </c>
      <c r="B27" s="71" t="s">
        <v>660</v>
      </c>
      <c r="C27" s="72">
        <v>44317</v>
      </c>
      <c r="D27" s="72">
        <v>44317</v>
      </c>
    </row>
    <row r="28" spans="1:4" x14ac:dyDescent="0.25">
      <c r="A28" s="71">
        <v>27</v>
      </c>
      <c r="B28" s="71" t="s">
        <v>660</v>
      </c>
      <c r="C28" s="72">
        <v>44348</v>
      </c>
      <c r="D28" s="72">
        <v>44348</v>
      </c>
    </row>
    <row r="29" spans="1:4" x14ac:dyDescent="0.25">
      <c r="A29" s="71">
        <v>28</v>
      </c>
      <c r="B29" s="71" t="s">
        <v>660</v>
      </c>
      <c r="C29" s="72">
        <v>44378</v>
      </c>
      <c r="D29" s="72">
        <v>44378</v>
      </c>
    </row>
    <row r="30" spans="1:4" x14ac:dyDescent="0.25">
      <c r="A30" s="71">
        <v>29</v>
      </c>
      <c r="B30" s="71" t="s">
        <v>660</v>
      </c>
      <c r="C30" s="72">
        <v>44409</v>
      </c>
      <c r="D30" s="72">
        <v>44409</v>
      </c>
    </row>
    <row r="31" spans="1:4" x14ac:dyDescent="0.25">
      <c r="A31" s="71">
        <v>30</v>
      </c>
      <c r="B31" s="71" t="s">
        <v>660</v>
      </c>
      <c r="C31" s="72">
        <v>44440</v>
      </c>
      <c r="D31" s="72">
        <v>44440</v>
      </c>
    </row>
    <row r="32" spans="1:4" x14ac:dyDescent="0.25">
      <c r="A32" s="71">
        <v>31</v>
      </c>
      <c r="B32" s="71" t="s">
        <v>660</v>
      </c>
      <c r="C32" s="72">
        <v>44470</v>
      </c>
      <c r="D32" s="72">
        <v>44470</v>
      </c>
    </row>
    <row r="33" spans="1:4" x14ac:dyDescent="0.25">
      <c r="A33" s="71">
        <v>32</v>
      </c>
      <c r="B33" s="71" t="s">
        <v>660</v>
      </c>
      <c r="C33" s="72">
        <v>44501</v>
      </c>
      <c r="D33" s="72">
        <v>44501</v>
      </c>
    </row>
    <row r="34" spans="1:4" x14ac:dyDescent="0.25">
      <c r="A34" s="71">
        <v>33</v>
      </c>
      <c r="B34" s="71" t="s">
        <v>660</v>
      </c>
      <c r="C34" s="72">
        <v>44531</v>
      </c>
      <c r="D34" s="72">
        <v>44531</v>
      </c>
    </row>
    <row r="35" spans="1:4" x14ac:dyDescent="0.25">
      <c r="A35" s="71">
        <v>34</v>
      </c>
      <c r="B35" s="71" t="s">
        <v>660</v>
      </c>
      <c r="C35" s="72">
        <v>44562</v>
      </c>
      <c r="D35" s="72">
        <v>44562</v>
      </c>
    </row>
    <row r="36" spans="1:4" x14ac:dyDescent="0.25">
      <c r="A36" s="71">
        <v>35</v>
      </c>
      <c r="B36" s="71" t="s">
        <v>660</v>
      </c>
      <c r="C36" s="72">
        <v>44593</v>
      </c>
      <c r="D36" s="72">
        <v>44593</v>
      </c>
    </row>
    <row r="37" spans="1:4" x14ac:dyDescent="0.25">
      <c r="A37" s="71">
        <v>36</v>
      </c>
      <c r="B37" s="71" t="s">
        <v>660</v>
      </c>
      <c r="C37" s="72">
        <v>44621</v>
      </c>
      <c r="D37" s="72">
        <v>44621</v>
      </c>
    </row>
    <row r="38" spans="1:4" x14ac:dyDescent="0.25">
      <c r="A38" s="71">
        <v>37</v>
      </c>
      <c r="B38" s="71" t="s">
        <v>4397</v>
      </c>
      <c r="C38" s="72">
        <v>44652</v>
      </c>
      <c r="D38" s="72">
        <v>44652</v>
      </c>
    </row>
    <row r="39" spans="1:4" x14ac:dyDescent="0.25">
      <c r="A39" s="71">
        <v>38</v>
      </c>
      <c r="B39" s="71" t="s">
        <v>4397</v>
      </c>
      <c r="C39" s="72">
        <v>44682</v>
      </c>
      <c r="D39" s="72">
        <v>44682</v>
      </c>
    </row>
    <row r="40" spans="1:4" x14ac:dyDescent="0.25">
      <c r="A40" s="71">
        <v>39</v>
      </c>
      <c r="B40" s="71" t="s">
        <v>4397</v>
      </c>
      <c r="C40" s="72">
        <v>44713</v>
      </c>
      <c r="D40" s="72">
        <v>44713</v>
      </c>
    </row>
    <row r="41" spans="1:4" x14ac:dyDescent="0.25">
      <c r="A41" s="71">
        <v>40</v>
      </c>
      <c r="B41" s="71" t="s">
        <v>4397</v>
      </c>
      <c r="C41" s="72">
        <v>44743</v>
      </c>
      <c r="D41" s="72">
        <v>44743</v>
      </c>
    </row>
    <row r="42" spans="1:4" x14ac:dyDescent="0.25">
      <c r="A42" s="71">
        <v>41</v>
      </c>
      <c r="B42" s="71" t="s">
        <v>4397</v>
      </c>
      <c r="C42" s="72">
        <v>44774</v>
      </c>
      <c r="D42" s="72">
        <v>44774</v>
      </c>
    </row>
    <row r="43" spans="1:4" x14ac:dyDescent="0.25">
      <c r="A43" s="71">
        <v>42</v>
      </c>
      <c r="B43" s="71" t="s">
        <v>4397</v>
      </c>
      <c r="C43" s="72">
        <v>44805</v>
      </c>
      <c r="D43" s="72">
        <v>44805</v>
      </c>
    </row>
    <row r="44" spans="1:4" x14ac:dyDescent="0.25">
      <c r="A44" s="71">
        <v>43</v>
      </c>
      <c r="B44" s="71" t="s">
        <v>4397</v>
      </c>
      <c r="C44" s="72">
        <v>44835</v>
      </c>
      <c r="D44" s="72">
        <v>44835</v>
      </c>
    </row>
    <row r="45" spans="1:4" x14ac:dyDescent="0.25">
      <c r="A45" s="71">
        <v>44</v>
      </c>
      <c r="B45" s="71" t="s">
        <v>4397</v>
      </c>
      <c r="C45" s="72">
        <v>44866</v>
      </c>
      <c r="D45" s="72">
        <v>44866</v>
      </c>
    </row>
    <row r="46" spans="1:4" x14ac:dyDescent="0.25">
      <c r="A46" s="71">
        <v>45</v>
      </c>
      <c r="B46" s="71" t="s">
        <v>4397</v>
      </c>
      <c r="C46" s="72">
        <v>44896</v>
      </c>
      <c r="D46" s="72">
        <v>44896</v>
      </c>
    </row>
    <row r="47" spans="1:4" x14ac:dyDescent="0.25">
      <c r="A47" s="71">
        <v>46</v>
      </c>
      <c r="B47" s="71" t="s">
        <v>4397</v>
      </c>
      <c r="C47" s="72">
        <v>44927</v>
      </c>
      <c r="D47" s="72">
        <v>44927</v>
      </c>
    </row>
    <row r="48" spans="1:4" x14ac:dyDescent="0.25">
      <c r="A48" s="71">
        <v>47</v>
      </c>
      <c r="B48" s="71" t="s">
        <v>4397</v>
      </c>
      <c r="C48" s="72">
        <v>44958</v>
      </c>
      <c r="D48" s="72">
        <v>44958</v>
      </c>
    </row>
    <row r="49" spans="1:4" x14ac:dyDescent="0.25">
      <c r="A49" s="71">
        <v>48</v>
      </c>
      <c r="B49" s="71" t="s">
        <v>4397</v>
      </c>
      <c r="C49" s="72">
        <v>44986</v>
      </c>
      <c r="D49" s="72">
        <v>44986</v>
      </c>
    </row>
    <row r="50" spans="1:4" x14ac:dyDescent="0.25">
      <c r="A50" s="71">
        <v>49</v>
      </c>
      <c r="B50" s="71" t="s">
        <v>4398</v>
      </c>
      <c r="C50" s="72">
        <v>45017</v>
      </c>
      <c r="D50" s="72">
        <v>45017</v>
      </c>
    </row>
    <row r="51" spans="1:4" x14ac:dyDescent="0.25">
      <c r="A51" s="71">
        <v>50</v>
      </c>
      <c r="B51" s="71" t="s">
        <v>4398</v>
      </c>
      <c r="C51" s="72">
        <v>45047</v>
      </c>
      <c r="D51" s="72">
        <v>45047</v>
      </c>
    </row>
    <row r="52" spans="1:4" x14ac:dyDescent="0.25">
      <c r="A52" s="71">
        <v>51</v>
      </c>
      <c r="B52" s="71" t="s">
        <v>4398</v>
      </c>
      <c r="C52" s="72">
        <v>45078</v>
      </c>
      <c r="D52" s="72">
        <v>45078</v>
      </c>
    </row>
    <row r="53" spans="1:4" x14ac:dyDescent="0.25">
      <c r="A53" s="71">
        <v>52</v>
      </c>
      <c r="B53" s="71" t="s">
        <v>4398</v>
      </c>
      <c r="C53" s="72">
        <v>45108</v>
      </c>
      <c r="D53" s="72">
        <v>45108</v>
      </c>
    </row>
    <row r="54" spans="1:4" x14ac:dyDescent="0.25">
      <c r="A54" s="71">
        <v>53</v>
      </c>
      <c r="B54" s="71" t="s">
        <v>4398</v>
      </c>
      <c r="C54" s="72">
        <v>45139</v>
      </c>
      <c r="D54" s="72">
        <v>45139</v>
      </c>
    </row>
    <row r="55" spans="1:4" x14ac:dyDescent="0.25">
      <c r="A55" s="71">
        <v>54</v>
      </c>
      <c r="B55" s="71" t="s">
        <v>4398</v>
      </c>
      <c r="C55" s="72">
        <v>45170</v>
      </c>
      <c r="D55" s="72">
        <v>45170</v>
      </c>
    </row>
    <row r="56" spans="1:4" x14ac:dyDescent="0.25">
      <c r="A56" s="71">
        <v>55</v>
      </c>
      <c r="B56" s="71" t="s">
        <v>4398</v>
      </c>
      <c r="C56" s="72">
        <v>45200</v>
      </c>
      <c r="D56" s="72">
        <v>45200</v>
      </c>
    </row>
    <row r="57" spans="1:4" x14ac:dyDescent="0.25">
      <c r="A57" s="71">
        <v>56</v>
      </c>
      <c r="B57" s="71" t="s">
        <v>4398</v>
      </c>
      <c r="C57" s="72">
        <v>45231</v>
      </c>
      <c r="D57" s="72">
        <v>45231</v>
      </c>
    </row>
    <row r="58" spans="1:4" x14ac:dyDescent="0.25">
      <c r="A58" s="71">
        <v>57</v>
      </c>
      <c r="B58" s="71" t="s">
        <v>4398</v>
      </c>
      <c r="C58" s="72">
        <v>45261</v>
      </c>
      <c r="D58" s="72">
        <v>45261</v>
      </c>
    </row>
    <row r="59" spans="1:4" x14ac:dyDescent="0.25">
      <c r="A59" s="71">
        <v>58</v>
      </c>
      <c r="B59" s="71" t="s">
        <v>4398</v>
      </c>
      <c r="C59" s="72">
        <v>45292</v>
      </c>
      <c r="D59" s="72">
        <v>45292</v>
      </c>
    </row>
    <row r="60" spans="1:4" x14ac:dyDescent="0.25">
      <c r="A60" s="71">
        <v>59</v>
      </c>
      <c r="B60" s="71" t="s">
        <v>4398</v>
      </c>
      <c r="C60" s="72">
        <v>45323</v>
      </c>
      <c r="D60" s="72">
        <v>45323</v>
      </c>
    </row>
    <row r="61" spans="1:4" x14ac:dyDescent="0.25">
      <c r="A61" s="71">
        <v>60</v>
      </c>
      <c r="B61" s="71" t="s">
        <v>4398</v>
      </c>
      <c r="C61" s="72">
        <v>45352</v>
      </c>
      <c r="D61" s="72">
        <v>45352</v>
      </c>
    </row>
    <row r="62" spans="1:4" x14ac:dyDescent="0.25">
      <c r="A62" s="71">
        <v>61</v>
      </c>
      <c r="B62" s="71" t="s">
        <v>4399</v>
      </c>
      <c r="C62" s="72">
        <v>45383</v>
      </c>
      <c r="D62" s="72">
        <v>45383</v>
      </c>
    </row>
    <row r="63" spans="1:4" x14ac:dyDescent="0.25">
      <c r="A63" s="71">
        <v>62</v>
      </c>
      <c r="B63" s="71" t="s">
        <v>4399</v>
      </c>
      <c r="C63" s="72">
        <v>45413</v>
      </c>
      <c r="D63" s="72">
        <v>45413</v>
      </c>
    </row>
    <row r="64" spans="1:4" x14ac:dyDescent="0.25">
      <c r="A64" s="71">
        <v>63</v>
      </c>
      <c r="B64" s="71" t="s">
        <v>4399</v>
      </c>
      <c r="C64" s="72">
        <v>45444</v>
      </c>
      <c r="D64" s="72">
        <v>45444</v>
      </c>
    </row>
    <row r="65" spans="1:4" x14ac:dyDescent="0.25">
      <c r="A65" s="71">
        <v>64</v>
      </c>
      <c r="B65" s="71" t="s">
        <v>4399</v>
      </c>
      <c r="C65" s="72">
        <v>45474</v>
      </c>
      <c r="D65" s="72">
        <v>45474</v>
      </c>
    </row>
    <row r="66" spans="1:4" x14ac:dyDescent="0.25">
      <c r="A66" s="71">
        <v>65</v>
      </c>
      <c r="B66" s="71" t="s">
        <v>4399</v>
      </c>
      <c r="C66" s="72">
        <v>45505</v>
      </c>
      <c r="D66" s="72">
        <v>45505</v>
      </c>
    </row>
    <row r="67" spans="1:4" x14ac:dyDescent="0.25">
      <c r="A67" s="71">
        <v>66</v>
      </c>
      <c r="B67" s="71" t="s">
        <v>4399</v>
      </c>
      <c r="C67" s="72">
        <v>45536</v>
      </c>
      <c r="D67" s="72">
        <v>45536</v>
      </c>
    </row>
    <row r="68" spans="1:4" x14ac:dyDescent="0.25">
      <c r="A68" s="71">
        <v>67</v>
      </c>
      <c r="B68" s="71" t="s">
        <v>4399</v>
      </c>
      <c r="C68" s="72">
        <v>45566</v>
      </c>
      <c r="D68" s="72">
        <v>45566</v>
      </c>
    </row>
    <row r="69" spans="1:4" x14ac:dyDescent="0.25">
      <c r="A69" s="71">
        <v>68</v>
      </c>
      <c r="B69" s="71" t="s">
        <v>4399</v>
      </c>
      <c r="C69" s="72">
        <v>45597</v>
      </c>
      <c r="D69" s="72">
        <v>45597</v>
      </c>
    </row>
    <row r="70" spans="1:4" x14ac:dyDescent="0.25">
      <c r="A70" s="71">
        <v>69</v>
      </c>
      <c r="B70" s="71" t="s">
        <v>4399</v>
      </c>
      <c r="C70" s="72">
        <v>45627</v>
      </c>
      <c r="D70" s="72">
        <v>45627</v>
      </c>
    </row>
    <row r="71" spans="1:4" x14ac:dyDescent="0.25">
      <c r="A71" s="71">
        <v>70</v>
      </c>
      <c r="B71" s="71" t="s">
        <v>4399</v>
      </c>
      <c r="C71" s="72">
        <v>45658</v>
      </c>
      <c r="D71" s="72">
        <v>45658</v>
      </c>
    </row>
    <row r="72" spans="1:4" x14ac:dyDescent="0.25">
      <c r="A72" s="71">
        <v>71</v>
      </c>
      <c r="B72" s="71" t="s">
        <v>4399</v>
      </c>
      <c r="C72" s="72">
        <v>45689</v>
      </c>
      <c r="D72" s="72">
        <v>45689</v>
      </c>
    </row>
    <row r="73" spans="1:4" x14ac:dyDescent="0.25">
      <c r="A73" s="71">
        <v>72</v>
      </c>
      <c r="B73" s="71" t="s">
        <v>4399</v>
      </c>
      <c r="C73" s="72">
        <v>45717</v>
      </c>
      <c r="D73" s="72">
        <v>45717</v>
      </c>
    </row>
    <row r="74" spans="1:4" x14ac:dyDescent="0.25">
      <c r="A74" s="71"/>
      <c r="B74" s="71"/>
      <c r="C74" s="72"/>
      <c r="D74" s="72"/>
    </row>
  </sheetData>
  <autoFilter ref="B1:D1" xr:uid="{00000000-0001-0000-0F00-000000000000}">
    <sortState xmlns:xlrd2="http://schemas.microsoft.com/office/spreadsheetml/2017/richdata2" ref="B2:D70">
      <sortCondition ref="C1"/>
    </sortState>
  </autoFilter>
  <phoneticPr fontId="4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2"/>
  <sheetViews>
    <sheetView workbookViewId="0">
      <selection activeCell="H29" sqref="H29"/>
    </sheetView>
  </sheetViews>
  <sheetFormatPr defaultColWidth="8.85546875" defaultRowHeight="15" x14ac:dyDescent="0.25"/>
  <cols>
    <col min="1" max="1" width="13.5703125" style="9" bestFit="1" customWidth="1"/>
    <col min="2" max="2" width="11.42578125" style="9" bestFit="1" customWidth="1"/>
    <col min="3" max="3" width="5.42578125" style="9" bestFit="1" customWidth="1"/>
    <col min="4" max="4" width="15" style="9" bestFit="1" customWidth="1"/>
    <col min="5" max="5" width="21" style="9" bestFit="1" customWidth="1"/>
    <col min="6" max="16384" width="8.85546875" style="9"/>
  </cols>
  <sheetData>
    <row r="1" spans="1:5" x14ac:dyDescent="0.25">
      <c r="A1" s="46" t="s">
        <v>383</v>
      </c>
      <c r="B1" s="46" t="s">
        <v>384</v>
      </c>
      <c r="C1" s="46" t="s">
        <v>382</v>
      </c>
      <c r="D1" s="46" t="s">
        <v>385</v>
      </c>
      <c r="E1" s="46" t="s">
        <v>386</v>
      </c>
    </row>
    <row r="2" spans="1:5" x14ac:dyDescent="0.25">
      <c r="A2" s="47">
        <v>333</v>
      </c>
      <c r="B2" s="47">
        <f>A3-1</f>
        <v>374</v>
      </c>
      <c r="C2" s="47">
        <v>8</v>
      </c>
      <c r="D2" s="47">
        <v>33.299999999999997</v>
      </c>
      <c r="E2" s="47">
        <f>B2%*10</f>
        <v>37.400000000000006</v>
      </c>
    </row>
    <row r="3" spans="1:5" x14ac:dyDescent="0.25">
      <c r="A3" s="47">
        <v>375</v>
      </c>
      <c r="B3" s="47">
        <f t="shared" ref="B3:B11" si="0">A4-1</f>
        <v>416</v>
      </c>
      <c r="C3" s="47">
        <v>9</v>
      </c>
      <c r="D3" s="47">
        <f>A3/10</f>
        <v>37.5</v>
      </c>
      <c r="E3" s="47">
        <f t="shared" ref="E3:E12" si="1">B3%*10</f>
        <v>41.6</v>
      </c>
    </row>
    <row r="4" spans="1:5" x14ac:dyDescent="0.25">
      <c r="A4" s="47">
        <v>417</v>
      </c>
      <c r="B4" s="47">
        <f t="shared" si="0"/>
        <v>584</v>
      </c>
      <c r="C4" s="47">
        <v>10</v>
      </c>
      <c r="D4" s="47">
        <f t="shared" ref="D4:D12" si="2">A4/10</f>
        <v>41.7</v>
      </c>
      <c r="E4" s="47">
        <f t="shared" si="1"/>
        <v>58.4</v>
      </c>
    </row>
    <row r="5" spans="1:5" x14ac:dyDescent="0.25">
      <c r="A5" s="47">
        <v>585</v>
      </c>
      <c r="B5" s="47">
        <f t="shared" si="0"/>
        <v>619</v>
      </c>
      <c r="C5" s="47">
        <v>14</v>
      </c>
      <c r="D5" s="47">
        <f t="shared" si="2"/>
        <v>58.5</v>
      </c>
      <c r="E5" s="47">
        <f t="shared" si="1"/>
        <v>61.900000000000006</v>
      </c>
    </row>
    <row r="6" spans="1:5" x14ac:dyDescent="0.25">
      <c r="A6" s="47">
        <v>620</v>
      </c>
      <c r="B6" s="47">
        <f t="shared" si="0"/>
        <v>749</v>
      </c>
      <c r="C6" s="47">
        <v>14.8</v>
      </c>
      <c r="D6" s="47">
        <f t="shared" si="2"/>
        <v>62</v>
      </c>
      <c r="E6" s="47">
        <f t="shared" si="1"/>
        <v>74.900000000000006</v>
      </c>
    </row>
    <row r="7" spans="1:5" x14ac:dyDescent="0.25">
      <c r="A7" s="47">
        <v>750</v>
      </c>
      <c r="B7" s="47">
        <f t="shared" si="0"/>
        <v>799</v>
      </c>
      <c r="C7" s="47">
        <v>18</v>
      </c>
      <c r="D7" s="47">
        <f t="shared" si="2"/>
        <v>75</v>
      </c>
      <c r="E7" s="47">
        <f t="shared" si="1"/>
        <v>79.900000000000006</v>
      </c>
    </row>
    <row r="8" spans="1:5" x14ac:dyDescent="0.25">
      <c r="A8" s="47">
        <v>800</v>
      </c>
      <c r="B8" s="47">
        <f t="shared" si="0"/>
        <v>874</v>
      </c>
      <c r="C8" s="47">
        <v>19.2</v>
      </c>
      <c r="D8" s="47">
        <f t="shared" si="2"/>
        <v>80</v>
      </c>
      <c r="E8" s="47">
        <f t="shared" si="1"/>
        <v>87.4</v>
      </c>
    </row>
    <row r="9" spans="1:5" x14ac:dyDescent="0.25">
      <c r="A9" s="47">
        <v>875</v>
      </c>
      <c r="B9" s="47">
        <f t="shared" si="0"/>
        <v>915</v>
      </c>
      <c r="C9" s="47">
        <v>21</v>
      </c>
      <c r="D9" s="47">
        <f t="shared" si="2"/>
        <v>87.5</v>
      </c>
      <c r="E9" s="47">
        <f t="shared" si="1"/>
        <v>91.5</v>
      </c>
    </row>
    <row r="10" spans="1:5" x14ac:dyDescent="0.25">
      <c r="A10" s="47">
        <v>916</v>
      </c>
      <c r="B10" s="47">
        <f t="shared" si="0"/>
        <v>989</v>
      </c>
      <c r="C10" s="47">
        <v>22</v>
      </c>
      <c r="D10" s="47">
        <f t="shared" si="2"/>
        <v>91.6</v>
      </c>
      <c r="E10" s="47">
        <f t="shared" si="1"/>
        <v>98.9</v>
      </c>
    </row>
    <row r="11" spans="1:5" x14ac:dyDescent="0.25">
      <c r="A11" s="47">
        <v>990</v>
      </c>
      <c r="B11" s="47">
        <f t="shared" si="0"/>
        <v>998</v>
      </c>
      <c r="C11" s="47">
        <v>24</v>
      </c>
      <c r="D11" s="47">
        <f t="shared" si="2"/>
        <v>99</v>
      </c>
      <c r="E11" s="47">
        <f t="shared" si="1"/>
        <v>99.800000000000011</v>
      </c>
    </row>
    <row r="12" spans="1:5" x14ac:dyDescent="0.25">
      <c r="A12" s="47">
        <v>999</v>
      </c>
      <c r="B12" s="47">
        <v>1000</v>
      </c>
      <c r="C12" s="47">
        <v>24</v>
      </c>
      <c r="D12" s="47">
        <f t="shared" si="2"/>
        <v>99.9</v>
      </c>
      <c r="E12" s="47">
        <f t="shared" si="1"/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FINAL</vt:lpstr>
      <vt:lpstr>stock</vt:lpstr>
      <vt:lpstr>SIP</vt:lpstr>
      <vt:lpstr>SIP_Name</vt:lpstr>
      <vt:lpstr>stocks and mf</vt:lpstr>
      <vt:lpstr>FD_RD</vt:lpstr>
      <vt:lpstr>LIC</vt:lpstr>
      <vt:lpstr>GOLD_RESERVE</vt:lpstr>
      <vt:lpstr>Asset</vt:lpstr>
      <vt:lpstr>SIP_Transations</vt:lpstr>
      <vt:lpstr>GOLD RATE</vt:lpstr>
      <vt:lpstr>CURRENCY</vt:lpstr>
      <vt:lpstr>Asset_Type</vt:lpstr>
      <vt:lpstr>Budget Processing on Actual</vt:lpstr>
      <vt:lpstr>%BUDGET</vt:lpstr>
      <vt:lpstr>Budget_Grid</vt:lpstr>
      <vt:lpstr>FIN_Year</vt:lpstr>
      <vt:lpstr>Gold_Qual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Saraswat</dc:creator>
  <cp:lastModifiedBy>Vineet Saraswat</cp:lastModifiedBy>
  <dcterms:created xsi:type="dcterms:W3CDTF">2019-12-18T14:34:36Z</dcterms:created>
  <dcterms:modified xsi:type="dcterms:W3CDTF">2025-06-06T11:35:58Z</dcterms:modified>
</cp:coreProperties>
</file>